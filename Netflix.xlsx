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520" windowHeight="11500" tabRatio="500" activeTab="1"/>
  </bookViews>
  <sheets>
    <sheet name="Historical Data" sheetId="1" r:id="rId1"/>
    <sheet name="Model" sheetId="2" r:id="rId2"/>
    <sheet name="Re-Payment" sheetId="9" r:id="rId3"/>
    <sheet name="Scenario" sheetId="3" r:id="rId4"/>
    <sheet name="WACC" sheetId="4" r:id="rId5"/>
    <sheet name="Market Data" sheetId="5" r:id="rId6"/>
    <sheet name="Comps Data" sheetId="7" r:id="rId7"/>
    <sheet name="Comps" sheetId="8" r:id="rId8"/>
    <sheet name="Foot Ball Field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<sst xmlns="http://schemas.openxmlformats.org/spreadsheetml/2006/main" count="392" uniqueCount="309">
  <si>
    <t>NETFLIX, INC.</t>
  </si>
  <si>
    <t>Historical Data</t>
  </si>
  <si>
    <t>Revenues</t>
  </si>
  <si>
    <t>Cost of revenues</t>
  </si>
  <si>
    <t>Marketing / Sales and marketing</t>
  </si>
  <si>
    <t>Technology and development</t>
  </si>
  <si>
    <t>General and administrative</t>
  </si>
  <si>
    <t>Operating income</t>
  </si>
  <si>
    <t>Other income (expense):</t>
  </si>
  <si>
    <t>Interest expense</t>
  </si>
  <si>
    <t>Interest and other income (expense)</t>
  </si>
  <si>
    <t>Income before income taxes</t>
  </si>
  <si>
    <t>Provision for income taxes</t>
  </si>
  <si>
    <t>Net income</t>
  </si>
  <si>
    <t>BALANCE SHEET</t>
  </si>
  <si>
    <t>Assets</t>
  </si>
  <si>
    <t>Current assets:</t>
  </si>
  <si>
    <t>Cash and cash equivalents</t>
  </si>
  <si>
    <t>Short-term investments</t>
  </si>
  <si>
    <t>Other current assets</t>
  </si>
  <si>
    <t>Total current assets</t>
  </si>
  <si>
    <t>Content assets, net</t>
  </si>
  <si>
    <t>Property and equipment, net</t>
  </si>
  <si>
    <t>Other non-current assets</t>
  </si>
  <si>
    <t>Total assets</t>
  </si>
  <si>
    <t>Liabilities and Stockholders' Equity</t>
  </si>
  <si>
    <t>Current liabilities:</t>
  </si>
  <si>
    <t>Current content liabilities</t>
  </si>
  <si>
    <t>Accounts payable</t>
  </si>
  <si>
    <t>Accrued expenses and other liabilities</t>
  </si>
  <si>
    <t>Deferred revenue</t>
  </si>
  <si>
    <t>Short-term debt</t>
  </si>
  <si>
    <t>Total current liabilities</t>
  </si>
  <si>
    <t>Non-current content liabilities</t>
  </si>
  <si>
    <t>Long-term debt</t>
  </si>
  <si>
    <t>Other non-current liabilities</t>
  </si>
  <si>
    <t>Total liabilities</t>
  </si>
  <si>
    <t>Stockholders' equity:</t>
  </si>
  <si>
    <t>Preferred stock ($0.001 par; none issued/outstanding)</t>
  </si>
  <si>
    <t>Common stock and additional paid-in capital</t>
  </si>
  <si>
    <t>Treasury stock, at cost</t>
  </si>
  <si>
    <t>Accumulated other comprehensive income (loss)</t>
  </si>
  <si>
    <t>Retained earnings</t>
  </si>
  <si>
    <t>Total stockholders' equity</t>
  </si>
  <si>
    <t>Total liabilities and stockholders' equity</t>
  </si>
  <si>
    <t>CASH FLOW</t>
  </si>
  <si>
    <t>Cash flows from operating activities:</t>
  </si>
  <si>
    <t>Adjustments to reconcile net income to net cash provided by operating activities:</t>
  </si>
  <si>
    <t>Additions to content assets</t>
  </si>
  <si>
    <t>Change in content liabilities</t>
  </si>
  <si>
    <t>Amortization of content assets</t>
  </si>
  <si>
    <t>Depreciation and amortization of property, equipment and intangibles</t>
  </si>
  <si>
    <t>Stock-based compensation expense</t>
  </si>
  <si>
    <t>Foreign currency remeasurement (gain) loss on debt</t>
  </si>
  <si>
    <t>Other non-cash items</t>
  </si>
  <si>
    <t>Deferred income taxes</t>
  </si>
  <si>
    <t>Changes in operating assets and liabilities:</t>
  </si>
  <si>
    <t>Other non-current assets and liabilities</t>
  </si>
  <si>
    <t>Net cash provided by operating activities</t>
  </si>
  <si>
    <t>Cash flows from investing activities:</t>
  </si>
  <si>
    <t>Purchases of property and equipment</t>
  </si>
  <si>
    <t>Change in other assets</t>
  </si>
  <si>
    <t>Acquisitions</t>
  </si>
  <si>
    <t>Purchases of investments</t>
  </si>
  <si>
    <t>Proceeds from maturities and sales of investments</t>
  </si>
  <si>
    <t>Net cash provided by (used in) investing activities</t>
  </si>
  <si>
    <t>Cash flows from financing activities:</t>
  </si>
  <si>
    <t>Proceeds from issuance of debt</t>
  </si>
  <si>
    <t>Repayments of debt</t>
  </si>
  <si>
    <t>Proceeds from issuance of common stock</t>
  </si>
  <si>
    <t>Repurchases of common stock</t>
  </si>
  <si>
    <t>Taxes paid related to net share settlement of equity awards</t>
  </si>
  <si>
    <t>Other financing activities</t>
  </si>
  <si>
    <t>Net cash used in financing activities</t>
  </si>
  <si>
    <t>Effect of exchange rate changes on cash, cash equivalents and restricted cash</t>
  </si>
  <si>
    <t>Net increase (decrease) in cash, cash equivalents and restricted cash</t>
  </si>
  <si>
    <t>Cash, cash equivalents and restricted cash, beginning of year</t>
  </si>
  <si>
    <t>Cash, cash equivalents and restricted cash, end of year</t>
  </si>
  <si>
    <t>Forecasted Period</t>
  </si>
  <si>
    <t>Financial Statement Analysis &amp; Valuation</t>
  </si>
  <si>
    <t>Ratios &amp; Assumptions</t>
  </si>
  <si>
    <t>LIVE SCENARIO</t>
  </si>
  <si>
    <t>Base Case</t>
  </si>
  <si>
    <t>Revenue Growth %</t>
  </si>
  <si>
    <t>COGS as % of Revenue</t>
  </si>
  <si>
    <t>Operating Expense as % of Revenue</t>
  </si>
  <si>
    <t>Depreciation &amp; Amortization as % PP&amp;E</t>
  </si>
  <si>
    <t>Interest as % of Debt</t>
  </si>
  <si>
    <t>Other Revenue as % of Revenue</t>
  </si>
  <si>
    <t>Dividend Payout Ratio</t>
  </si>
  <si>
    <t>Day Sale's Oustanding</t>
  </si>
  <si>
    <t>Day Inventory Outstanding</t>
  </si>
  <si>
    <t>Day Payable Oustanding</t>
  </si>
  <si>
    <t>Capital Assets Turnover Ratio</t>
  </si>
  <si>
    <t>Tax Rate (% of PBT)</t>
  </si>
  <si>
    <t>INCOME STATEMENT</t>
  </si>
  <si>
    <t>Revenue</t>
  </si>
  <si>
    <t>Less: Cost of Good Sold</t>
  </si>
  <si>
    <t>Gross Profit</t>
  </si>
  <si>
    <t>Less: Operating Expense</t>
  </si>
  <si>
    <t>EBITDA</t>
  </si>
  <si>
    <t>Less: Depreciation &amp; Amortization</t>
  </si>
  <si>
    <t>EBIT</t>
  </si>
  <si>
    <t>Less: Interest</t>
  </si>
  <si>
    <t>Other Income</t>
  </si>
  <si>
    <t>Profit Before Tax</t>
  </si>
  <si>
    <t>Less: Tax</t>
  </si>
  <si>
    <t>Profit After Tax</t>
  </si>
  <si>
    <t>Current Assets</t>
  </si>
  <si>
    <t>Cash &amp; Bank</t>
  </si>
  <si>
    <t>Trade Receivable</t>
  </si>
  <si>
    <t>Inventories</t>
  </si>
  <si>
    <t>Other Current Assets</t>
  </si>
  <si>
    <t>Non-Current Assets</t>
  </si>
  <si>
    <t>Plant, Property &amp; Equipment</t>
  </si>
  <si>
    <t>Content Assets</t>
  </si>
  <si>
    <t>Goodwill</t>
  </si>
  <si>
    <t>Financial Assets</t>
  </si>
  <si>
    <t>Other Non-Current</t>
  </si>
  <si>
    <t>TOTAL ASSETS</t>
  </si>
  <si>
    <t>Liabilities</t>
  </si>
  <si>
    <t>Current Liabilities</t>
  </si>
  <si>
    <t>Trade Payable</t>
  </si>
  <si>
    <t>Other Current Liabilities</t>
  </si>
  <si>
    <t>Non-Current Liabilities</t>
  </si>
  <si>
    <t>Borrowing</t>
  </si>
  <si>
    <t>Other Non-Current Liabilities</t>
  </si>
  <si>
    <t>TOTAL LABILITIES</t>
  </si>
  <si>
    <t>Equity</t>
  </si>
  <si>
    <t>Other Equity</t>
  </si>
  <si>
    <t>TOTAL SHAREHOLDER FUND</t>
  </si>
  <si>
    <t>Non-Controlling Interest</t>
  </si>
  <si>
    <t>Total Liabilities and Equity</t>
  </si>
  <si>
    <t>CHECK</t>
  </si>
  <si>
    <t>CASH FlOW</t>
  </si>
  <si>
    <t>Cash Flow From Operation</t>
  </si>
  <si>
    <t>Add: Depreciation &amp; Amortization</t>
  </si>
  <si>
    <t>Add/Less: Working capital</t>
  </si>
  <si>
    <t>Add/Less: Other Adjustment</t>
  </si>
  <si>
    <t>Total</t>
  </si>
  <si>
    <t>Cash Flow from Investing Activities</t>
  </si>
  <si>
    <t>Investment in PP&amp;E</t>
  </si>
  <si>
    <t>Sale proceeds from sale of PP&amp;E</t>
  </si>
  <si>
    <t>Purchase/sale of investments</t>
  </si>
  <si>
    <t>Dividend Income</t>
  </si>
  <si>
    <t>Interest income</t>
  </si>
  <si>
    <t>Cash Flow from Financing Activities</t>
  </si>
  <si>
    <t>Issuance/repayment of debt</t>
  </si>
  <si>
    <t>Proceeds from issue of Common Shares</t>
  </si>
  <si>
    <t>Dividend paid</t>
  </si>
  <si>
    <t>Interest paid</t>
  </si>
  <si>
    <t>Effect of exchange rate changes on cash</t>
  </si>
  <si>
    <t>Net decrease in Cash and Cash Equivalents</t>
  </si>
  <si>
    <t>Opening Cash Balance</t>
  </si>
  <si>
    <t>Closing Cash Balance</t>
  </si>
  <si>
    <t>Supporting Schedule</t>
  </si>
  <si>
    <t>Working Capital</t>
  </si>
  <si>
    <t>Inventory</t>
  </si>
  <si>
    <t>Other</t>
  </si>
  <si>
    <t>Depreciation &amp; Amortization</t>
  </si>
  <si>
    <t>Opening Balance</t>
  </si>
  <si>
    <t>Add/Less: Purchase/sale</t>
  </si>
  <si>
    <t>Closing Balance</t>
  </si>
  <si>
    <t>Debt Schedule</t>
  </si>
  <si>
    <t>Issuance/repayment</t>
  </si>
  <si>
    <t>Interest Expense</t>
  </si>
  <si>
    <t>DCF VALUATION</t>
  </si>
  <si>
    <t>Assumption's</t>
  </si>
  <si>
    <t>Transaction Date</t>
  </si>
  <si>
    <t>Fiscal Year End Date</t>
  </si>
  <si>
    <t>Tax Rate</t>
  </si>
  <si>
    <t>EV/EBITDA</t>
  </si>
  <si>
    <t>Growth Rate</t>
  </si>
  <si>
    <t>Terminal Value</t>
  </si>
  <si>
    <t>Discount Rate</t>
  </si>
  <si>
    <t>Shares Outstanding</t>
  </si>
  <si>
    <t>Perpetuity</t>
  </si>
  <si>
    <t>Average</t>
  </si>
  <si>
    <t>Discounted Cash Flow's</t>
  </si>
  <si>
    <t>Entry</t>
  </si>
  <si>
    <t>Exit</t>
  </si>
  <si>
    <t>Date</t>
  </si>
  <si>
    <t>Time Period</t>
  </si>
  <si>
    <t>Yearfrac.</t>
  </si>
  <si>
    <t>less: Taxes</t>
  </si>
  <si>
    <t>NOPAT</t>
  </si>
  <si>
    <t>Less: Capex</t>
  </si>
  <si>
    <t>Less: Working Capital</t>
  </si>
  <si>
    <t>Free Cash Flow To Firm</t>
  </si>
  <si>
    <t>Transaction FCFF</t>
  </si>
  <si>
    <t>Intrinsic Value</t>
  </si>
  <si>
    <t>Rate of Return</t>
  </si>
  <si>
    <t>Enterprise Value</t>
  </si>
  <si>
    <t>Current Price</t>
  </si>
  <si>
    <t>Add: Cash &amp; Cash Eq</t>
  </si>
  <si>
    <t>Target Price</t>
  </si>
  <si>
    <t>Less: Debt</t>
  </si>
  <si>
    <t>Upside %</t>
  </si>
  <si>
    <t>Less: Non-Controlling Interest</t>
  </si>
  <si>
    <t>Equity Value</t>
  </si>
  <si>
    <t>Intrinsic Value per Share</t>
  </si>
  <si>
    <t>Sensitivity Analysis</t>
  </si>
  <si>
    <t>Sensitivities - Intrinsic Value per share</t>
  </si>
  <si>
    <t>Exit Multiple</t>
  </si>
  <si>
    <t>Perpetual Growth Rate</t>
  </si>
  <si>
    <t>Loan Repayment</t>
  </si>
  <si>
    <t>UNSECURED — SENIOR NOTES (fixed rate, publicly registered)</t>
  </si>
  <si>
    <t>4.375% Senior Notes (issued Oct 2016, matures Nov 2026)</t>
  </si>
  <si>
    <t>3.625% Senior Notes (issued May 2017, matures May 2027)</t>
  </si>
  <si>
    <t>4.875% Senior Notes (issued Oct 2017, matures Apr 2028)</t>
  </si>
  <si>
    <t>5.875% Senior Notes (issued Apr 2018, matures Nov 2028)</t>
  </si>
  <si>
    <t>4.625% Senior Notes (issued Oct 2018, matures May 2029)</t>
  </si>
  <si>
    <t>6.375% Senior Notes (issued Oct 2018, matures May 2029)</t>
  </si>
  <si>
    <t>3.875% Senior Notes (issued Apr 2019, matures Nov 2029)</t>
  </si>
  <si>
    <t>5.375% Senior Notes (issued Apr 2019, matures Nov 2029)</t>
  </si>
  <si>
    <t>3.625% Senior Notes (issued Oct 2019, matures June 2030)</t>
  </si>
  <si>
    <t>4.875% Senior Notes (issued Oct 2019, matures June 2030)</t>
  </si>
  <si>
    <t>4.900% Senior Notes (issued Aug 2024, matures Aug 2034)</t>
  </si>
  <si>
    <t>5.400% Senior Notes (issued Aug 2024, matures Aug 2054)</t>
  </si>
  <si>
    <t>OPERATING LEASE LIABILITIES (undiscounted future payments)</t>
  </si>
  <si>
    <t>Operating lease payments due</t>
  </si>
  <si>
    <t>TOTAL REPAYMENT</t>
  </si>
  <si>
    <t>Live Scenario</t>
  </si>
  <si>
    <t>Scenarios</t>
  </si>
  <si>
    <t>Growth %</t>
  </si>
  <si>
    <t>Bull Case</t>
  </si>
  <si>
    <t>Bear Case</t>
  </si>
  <si>
    <t>Annual growth tapering</t>
  </si>
  <si>
    <t>Weighted-Average Cost of Capital (WACC)</t>
  </si>
  <si>
    <t>All Amounts in $ Millions Unless Otherwise Stated</t>
  </si>
  <si>
    <t>Comparable Companies Beta</t>
  </si>
  <si>
    <t>Debt/</t>
  </si>
  <si>
    <t>Tax</t>
  </si>
  <si>
    <t>Levered</t>
  </si>
  <si>
    <t>Unlevered</t>
  </si>
  <si>
    <t>Company Name</t>
  </si>
  <si>
    <t>Value</t>
  </si>
  <si>
    <t>Debt</t>
  </si>
  <si>
    <t>Capital</t>
  </si>
  <si>
    <t>Rate %</t>
  </si>
  <si>
    <t>Beta</t>
  </si>
  <si>
    <t>The Walt Disney Company</t>
  </si>
  <si>
    <t>Comcast Corporation</t>
  </si>
  <si>
    <t>Paramount Skydance Corporation</t>
  </si>
  <si>
    <t>Fox Corporation</t>
  </si>
  <si>
    <t>Median</t>
  </si>
  <si>
    <t>Netflix, Inc.</t>
  </si>
  <si>
    <t>WACC Calculation</t>
  </si>
  <si>
    <t>Target Capital Structure</t>
  </si>
  <si>
    <t>Proportion of Debt</t>
  </si>
  <si>
    <t>Proportion of Equity</t>
  </si>
  <si>
    <t>Current Capital Structure</t>
  </si>
  <si>
    <t>Market Cap</t>
  </si>
  <si>
    <t>Total Debt</t>
  </si>
  <si>
    <t>Debt / Equity</t>
  </si>
  <si>
    <t>Cost of Debt</t>
  </si>
  <si>
    <t>Pre-Tax Cost of Debt</t>
  </si>
  <si>
    <t>After-Tax Cost of Debt</t>
  </si>
  <si>
    <t>Cost of Equity</t>
  </si>
  <si>
    <t>Risk Free Rate</t>
  </si>
  <si>
    <t>Equity Risk Premium</t>
  </si>
  <si>
    <t>Levered Equity Beta (relevered to NFLX capital structure)</t>
  </si>
  <si>
    <t>WACC</t>
  </si>
  <si>
    <t>Market Data ( Nasdaq)</t>
  </si>
  <si>
    <t>Index (Nasdaq)</t>
  </si>
  <si>
    <t>DATE</t>
  </si>
  <si>
    <t>Closing Price</t>
  </si>
  <si>
    <t>Period (yrs)</t>
  </si>
  <si>
    <t>Return's</t>
  </si>
  <si>
    <t>Comps Data</t>
  </si>
  <si>
    <t>Company</t>
  </si>
  <si>
    <t>Ticker</t>
  </si>
  <si>
    <t>Price</t>
  </si>
  <si>
    <t>Shares</t>
  </si>
  <si>
    <t>Cash</t>
  </si>
  <si>
    <t>Sales</t>
  </si>
  <si>
    <t>Net Income</t>
  </si>
  <si>
    <t>NFLX</t>
  </si>
  <si>
    <t>DIS</t>
  </si>
  <si>
    <t>CMCSA</t>
  </si>
  <si>
    <t>PSKY</t>
  </si>
  <si>
    <t>FOXA</t>
  </si>
  <si>
    <t>(marketscreener.com)</t>
  </si>
  <si>
    <t>Comps Valuation</t>
  </si>
  <si>
    <t>Market Data</t>
  </si>
  <si>
    <t>Financial Data</t>
  </si>
  <si>
    <t>Valuation</t>
  </si>
  <si>
    <t>EV</t>
  </si>
  <si>
    <t>Earnings</t>
  </si>
  <si>
    <t>EV/Sales</t>
  </si>
  <si>
    <t>PE</t>
  </si>
  <si>
    <t>($/share)</t>
  </si>
  <si>
    <t>M</t>
  </si>
  <si>
    <t>$M</t>
  </si>
  <si>
    <t>&amp; Equivalents</t>
  </si>
  <si>
    <t>x</t>
  </si>
  <si>
    <t>Metric</t>
  </si>
  <si>
    <t>Comps</t>
  </si>
  <si>
    <t>Net Debt</t>
  </si>
  <si>
    <t>Share Price</t>
  </si>
  <si>
    <t>P/E</t>
  </si>
  <si>
    <t>Valuation Summary — Football Field ($ per share)</t>
  </si>
  <si>
    <t>Football Field Data</t>
  </si>
  <si>
    <t>DCF</t>
  </si>
  <si>
    <t>52-week high/low</t>
  </si>
  <si>
    <t>Market Consensus</t>
  </si>
  <si>
    <t>High</t>
  </si>
  <si>
    <t>Low</t>
  </si>
  <si>
    <t>Valuation 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</si>
</sst>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$&quot;#,##0.00"/>
    <numFmt numFmtId="177" formatCode="&quot;$&quot;#,##0"/>
    <numFmt numFmtId="178" formatCode="[$$-409]#,##0.00;[Red]\-[$$-409]#,##0.00"/>
    <numFmt numFmtId="179" formatCode="0.0\x"/>
    <numFmt numFmtId="180" formatCode="0_);\(0\)"/>
    <numFmt numFmtId="181" formatCode="#,##0;\(#,##0\);\-"/>
    <numFmt numFmtId="182" formatCode="0.00_);[Red]\(0.00\)"/>
    <numFmt numFmtId="183" formatCode="&quot;$&quot;#,##0.00_);[Red]&quot;($&quot;#,##0.00\)"/>
    <numFmt numFmtId="184" formatCode="0.0%"/>
    <numFmt numFmtId="185" formatCode="0\F"/>
    <numFmt numFmtId="186" formatCode="#,##0.00;\(#,##0.00\);\-"/>
    <numFmt numFmtId="187" formatCode="0\A"/>
    <numFmt numFmtId="188" formatCode=";;;"/>
    <numFmt numFmtId="189" formatCode="\-"/>
    <numFmt numFmtId="190" formatCode="&quot;$&quot;#,##0_);&quot;($&quot;#,##0\)"/>
    <numFmt numFmtId="191" formatCode="0.00_);\(0.00\)"/>
    <numFmt numFmtId="192" formatCode="&quot;$&quot;#,##0;&quot;($&quot;#,##0\);\-"/>
    <numFmt numFmtId="193" formatCode="##.#\x"/>
    <numFmt numFmtId="194" formatCode="#,##0.00;\(#,##0.00\)"/>
    <numFmt numFmtId="195" formatCode="m/d/yyyy;@"/>
    <numFmt numFmtId="196" formatCode="0.000"/>
  </numFmts>
  <fonts count="70">
    <font>
      <sz val="11"/>
      <color theme="1"/>
      <name val="Calibri"/>
      <charset val="1"/>
    </font>
    <font>
      <sz val="11"/>
      <color theme="1"/>
      <name val="Times New Roman Regular"/>
      <charset val="1"/>
    </font>
    <font>
      <b/>
      <sz val="24"/>
      <color theme="0"/>
      <name val="Times New Roman Regular"/>
      <charset val="1"/>
    </font>
    <font>
      <sz val="11"/>
      <color theme="0"/>
      <name val="Times New Roman Regular"/>
      <charset val="1"/>
    </font>
    <font>
      <sz val="11"/>
      <color theme="1"/>
      <name val="Calibri"/>
      <charset val="134"/>
    </font>
    <font>
      <sz val="12"/>
      <color theme="0"/>
      <name val="Times New Roman Regular"/>
      <charset val="134"/>
    </font>
    <font>
      <sz val="11"/>
      <color theme="1"/>
      <name val="Times New Roman Regular"/>
      <charset val="134"/>
    </font>
    <font>
      <sz val="11"/>
      <name val="Times New Roman"/>
      <charset val="1"/>
    </font>
    <font>
      <i/>
      <u/>
      <sz val="6"/>
      <color theme="1"/>
      <name val="Times New Roman Regular"/>
      <charset val="134"/>
    </font>
    <font>
      <sz val="11"/>
      <color theme="0"/>
      <name val="Times New Roman Regular"/>
      <charset val="134"/>
    </font>
    <font>
      <b/>
      <sz val="36"/>
      <color theme="0"/>
      <name val="Times New Roman Regular"/>
      <charset val="1"/>
    </font>
    <font>
      <sz val="14"/>
      <color theme="0"/>
      <name val="Times New Roman Regular"/>
      <charset val="1"/>
    </font>
    <font>
      <sz val="12"/>
      <color theme="0"/>
      <name val="Times New Roman Regular"/>
      <charset val="1"/>
    </font>
    <font>
      <b/>
      <sz val="12"/>
      <color theme="0"/>
      <name val="Times New Roman Regular"/>
      <charset val="1"/>
    </font>
    <font>
      <sz val="11"/>
      <color rgb="FF00B050"/>
      <name val="Times New Roman Regular"/>
      <charset val="1"/>
    </font>
    <font>
      <b/>
      <sz val="11"/>
      <color theme="0"/>
      <name val="Times New Roman Regular"/>
      <charset val="1"/>
    </font>
    <font>
      <sz val="12"/>
      <name val="Times New Roman Regular"/>
      <charset val="1"/>
    </font>
    <font>
      <sz val="12"/>
      <color rgb="FF0000FF"/>
      <name val="Times New Roman"/>
      <charset val="1"/>
    </font>
    <font>
      <sz val="11"/>
      <color rgb="FF0000FF"/>
      <name val="Times New Roman Regular"/>
      <charset val="1"/>
    </font>
    <font>
      <b/>
      <i/>
      <sz val="6"/>
      <color theme="1"/>
      <name val="Times New Roman Regular"/>
      <charset val="1"/>
    </font>
    <font>
      <sz val="11"/>
      <color rgb="FF008000"/>
      <name val="Times New Roman Regular"/>
      <charset val="1"/>
    </font>
    <font>
      <b/>
      <sz val="11"/>
      <color theme="1"/>
      <name val="Times New Roman Regular"/>
      <charset val="1"/>
    </font>
    <font>
      <sz val="11"/>
      <name val="Times New Roman Regular"/>
      <charset val="1"/>
    </font>
    <font>
      <b/>
      <sz val="11"/>
      <name val="Times New Roman Regular"/>
      <charset val="1"/>
    </font>
    <font>
      <sz val="24"/>
      <color theme="0"/>
      <name val="Times New Roman Regular"/>
      <charset val="1"/>
    </font>
    <font>
      <b/>
      <sz val="11"/>
      <color theme="1"/>
      <name val="Times New Roman Regular"/>
      <charset val="134"/>
    </font>
    <font>
      <sz val="11"/>
      <color rgb="FF00B0F0"/>
      <name val="Times New Roman Regular"/>
      <charset val="134"/>
    </font>
    <font>
      <sz val="10"/>
      <name val="Times New Roman Regular"/>
      <charset val="1"/>
    </font>
    <font>
      <sz val="28"/>
      <color theme="0"/>
      <name val="Times New Roman Regular"/>
      <charset val="1"/>
    </font>
    <font>
      <b/>
      <sz val="18"/>
      <color theme="0"/>
      <name val="Times New Roman Regular"/>
      <charset val="1"/>
    </font>
    <font>
      <sz val="11"/>
      <color theme="0"/>
      <name val="Calibri"/>
      <charset val="134"/>
    </font>
    <font>
      <b/>
      <sz val="11"/>
      <color theme="1"/>
      <name val="Calibri"/>
      <charset val="1"/>
    </font>
    <font>
      <b/>
      <i/>
      <sz val="11"/>
      <color theme="1"/>
      <name val="Times New Roman Regular"/>
      <charset val="1"/>
    </font>
    <font>
      <i/>
      <sz val="11"/>
      <color theme="1"/>
      <name val="Times New Roman Regular"/>
      <charset val="1"/>
    </font>
    <font>
      <b/>
      <sz val="12"/>
      <color theme="1"/>
      <name val="Times New Roman Regular"/>
      <charset val="1"/>
    </font>
    <font>
      <sz val="12"/>
      <color theme="1"/>
      <name val="Times New Roman Regular"/>
      <charset val="1"/>
    </font>
    <font>
      <b/>
      <sz val="12"/>
      <color theme="1"/>
      <name val="Times New Roman Regular"/>
      <charset val="134"/>
    </font>
    <font>
      <sz val="12"/>
      <color theme="1"/>
      <name val="Times New Roman Regular"/>
      <charset val="134"/>
    </font>
    <font>
      <sz val="12"/>
      <name val="Times New Roman Regular"/>
      <charset val="134"/>
    </font>
    <font>
      <sz val="12"/>
      <color rgb="FF00B0F0"/>
      <name val="Times New Roman Regular"/>
      <charset val="134"/>
    </font>
    <font>
      <b/>
      <sz val="10"/>
      <color theme="1"/>
      <name val="Times New Roman Regular"/>
      <charset val="134"/>
    </font>
    <font>
      <b/>
      <sz val="14"/>
      <color theme="1"/>
      <name val="Times New Roman Regular"/>
      <charset val="134"/>
    </font>
    <font>
      <i/>
      <sz val="11"/>
      <color theme="1"/>
      <name val="Times New Roman Regular"/>
      <charset val="134"/>
    </font>
    <font>
      <b/>
      <sz val="11"/>
      <color rgb="FF0000FF"/>
      <name val="Times New Roman Regular"/>
      <charset val="1"/>
    </font>
    <font>
      <i/>
      <sz val="9"/>
      <color rgb="FF666666"/>
      <name val="Times New Roman"/>
      <charset val="1"/>
    </font>
    <font>
      <b/>
      <sz val="11"/>
      <name val="Cambria"/>
      <charset val="1"/>
    </font>
    <font>
      <sz val="11"/>
      <color rgb="FF008000"/>
      <name val="Calibri"/>
      <charset val="1"/>
    </font>
    <font>
      <b/>
      <i/>
      <sz val="11"/>
      <name val="Times New Roman Regular"/>
      <charset val="1"/>
    </font>
    <font>
      <b/>
      <u/>
      <sz val="11"/>
      <name val="Times New Roman Regular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0000"/>
        <bgColor rgb="FFC00000"/>
      </patternFill>
    </fill>
    <fill>
      <patternFill patternType="solid">
        <fgColor rgb="FFFF0000"/>
        <bgColor rgb="FF4D4B4B"/>
      </patternFill>
    </fill>
    <fill>
      <patternFill patternType="solid">
        <fgColor theme="5"/>
        <bgColor rgb="FF993366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3366"/>
      </patternFill>
    </fill>
    <fill>
      <patternFill patternType="solid">
        <fgColor rgb="FFC00000"/>
        <bgColor rgb="FFFF0000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9" fillId="0" borderId="0" applyBorder="0" applyAlignment="0" applyProtection="0"/>
    <xf numFmtId="44" fontId="49" fillId="0" borderId="0" applyBorder="0" applyAlignment="0" applyProtection="0"/>
    <xf numFmtId="9" fontId="49" fillId="0" borderId="0" applyBorder="0" applyAlignment="0" applyProtection="0"/>
    <xf numFmtId="41" fontId="49" fillId="0" borderId="0" applyBorder="0" applyAlignment="0" applyProtection="0"/>
    <xf numFmtId="42" fontId="49" fillId="0" borderId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9" borderId="12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10" borderId="15" applyNumberFormat="0" applyAlignment="0" applyProtection="0">
      <alignment vertical="center"/>
    </xf>
    <xf numFmtId="0" fontId="60" fillId="11" borderId="16" applyNumberFormat="0" applyAlignment="0" applyProtection="0">
      <alignment vertical="center"/>
    </xf>
    <xf numFmtId="0" fontId="61" fillId="11" borderId="15" applyNumberFormat="0" applyAlignment="0" applyProtection="0">
      <alignment vertical="center"/>
    </xf>
    <xf numFmtId="0" fontId="62" fillId="12" borderId="17" applyNumberFormat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9" fillId="17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9" fillId="25" borderId="0" applyNumberFormat="0" applyBorder="0" applyAlignment="0" applyProtection="0">
      <alignment vertical="center"/>
    </xf>
    <xf numFmtId="0" fontId="69" fillId="26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4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6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8" fillId="39" borderId="0" applyNumberFormat="0" applyBorder="0" applyAlignment="0" applyProtection="0">
      <alignment vertical="center"/>
    </xf>
  </cellStyleXfs>
  <cellXfs count="232">
    <xf numFmtId="0" fontId="0" fillId="0" borderId="0" xfId="0"/>
    <xf numFmtId="0" fontId="1" fillId="0" borderId="0" xfId="0" applyFont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4" fillId="0" borderId="0" xfId="0" applyFont="1" applyFill="1" applyAlignment="1" applyProtection="1"/>
    <xf numFmtId="0" fontId="4" fillId="0" borderId="0" xfId="0" applyFont="1" applyFill="1" applyAlignment="1">
      <alignment vertical="center"/>
    </xf>
    <xf numFmtId="0" fontId="5" fillId="3" borderId="0" xfId="0" applyFont="1" applyFill="1" applyAlignment="1" applyProtection="1"/>
    <xf numFmtId="0" fontId="4" fillId="3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horizontal="center"/>
    </xf>
    <xf numFmtId="0" fontId="6" fillId="0" borderId="0" xfId="0" applyFont="1" applyFill="1" applyAlignment="1" applyProtection="1">
      <alignment horizontal="center" wrapText="1"/>
    </xf>
    <xf numFmtId="0" fontId="6" fillId="0" borderId="0" xfId="0" applyFont="1" applyFill="1" applyAlignment="1" applyProtection="1"/>
    <xf numFmtId="2" fontId="6" fillId="0" borderId="1" xfId="0" applyNumberFormat="1" applyFont="1" applyFill="1" applyBorder="1" applyAlignment="1" applyProtection="1">
      <alignment vertical="center"/>
    </xf>
    <xf numFmtId="2" fontId="7" fillId="0" borderId="1" xfId="0" applyNumberFormat="1" applyFont="1" applyFill="1" applyBorder="1" applyAlignment="1" applyProtection="1">
      <alignment vertical="center"/>
    </xf>
    <xf numFmtId="0" fontId="6" fillId="0" borderId="1" xfId="0" applyFont="1" applyFill="1" applyBorder="1" applyAlignment="1" applyProtection="1">
      <alignment vertical="center"/>
    </xf>
    <xf numFmtId="0" fontId="4" fillId="0" borderId="1" xfId="0" applyFont="1" applyFill="1" applyBorder="1" applyAlignment="1" applyProtection="1">
      <alignment vertical="center"/>
    </xf>
    <xf numFmtId="2" fontId="7" fillId="0" borderId="0" xfId="0" applyNumberFormat="1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</xf>
    <xf numFmtId="0" fontId="8" fillId="0" borderId="0" xfId="0" applyFont="1" applyFill="1" applyAlignment="1" applyProtection="1">
      <alignment vertical="center"/>
    </xf>
    <xf numFmtId="2" fontId="6" fillId="0" borderId="0" xfId="0" applyNumberFormat="1" applyFont="1" applyFill="1" applyAlignment="1" applyProtection="1">
      <alignment vertical="center"/>
    </xf>
    <xf numFmtId="0" fontId="9" fillId="3" borderId="0" xfId="0" applyFont="1" applyFill="1" applyAlignment="1" applyProtection="1">
      <alignment vertical="center"/>
    </xf>
    <xf numFmtId="0" fontId="10" fillId="2" borderId="0" xfId="0" applyFont="1" applyFill="1" applyAlignment="1"/>
    <xf numFmtId="0" fontId="11" fillId="2" borderId="0" xfId="0" applyFont="1" applyFill="1" applyAlignment="1"/>
    <xf numFmtId="0" fontId="12" fillId="2" borderId="0" xfId="0" applyFont="1" applyFill="1" applyAlignment="1"/>
    <xf numFmtId="0" fontId="13" fillId="2" borderId="0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176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  <xf numFmtId="178" fontId="1" fillId="0" borderId="0" xfId="0" applyNumberFormat="1" applyFont="1" applyAlignment="1">
      <alignment horizontal="center"/>
    </xf>
    <xf numFmtId="177" fontId="14" fillId="0" borderId="0" xfId="0" applyNumberFormat="1" applyFont="1" applyAlignment="1">
      <alignment horizontal="center"/>
    </xf>
    <xf numFmtId="179" fontId="1" fillId="0" borderId="0" xfId="0" applyNumberFormat="1" applyFont="1" applyAlignment="1"/>
    <xf numFmtId="0" fontId="1" fillId="0" borderId="0" xfId="0" applyFont="1" applyAlignment="1">
      <alignment horizontal="center"/>
    </xf>
    <xf numFmtId="0" fontId="13" fillId="2" borderId="0" xfId="0" applyFont="1" applyFill="1" applyAlignment="1"/>
    <xf numFmtId="179" fontId="12" fillId="2" borderId="0" xfId="0" applyNumberFormat="1" applyFont="1" applyFill="1" applyAlignment="1"/>
    <xf numFmtId="3" fontId="14" fillId="0" borderId="0" xfId="0" applyNumberFormat="1" applyFont="1" applyAlignment="1">
      <alignment horizontal="center"/>
    </xf>
    <xf numFmtId="180" fontId="1" fillId="0" borderId="0" xfId="0" applyNumberFormat="1" applyFont="1" applyAlignment="1">
      <alignment horizontal="center"/>
    </xf>
    <xf numFmtId="181" fontId="1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0" fontId="13" fillId="2" borderId="0" xfId="0" applyFont="1" applyFill="1" applyAlignment="1">
      <alignment horizontal="center"/>
    </xf>
    <xf numFmtId="182" fontId="1" fillId="0" borderId="0" xfId="0" applyNumberFormat="1" applyFont="1" applyAlignment="1">
      <alignment horizontal="center"/>
    </xf>
    <xf numFmtId="0" fontId="15" fillId="2" borderId="0" xfId="0" applyFont="1" applyFill="1" applyAlignment="1"/>
    <xf numFmtId="183" fontId="16" fillId="0" borderId="0" xfId="0" applyNumberFormat="1" applyFont="1" applyAlignment="1"/>
    <xf numFmtId="3" fontId="17" fillId="0" borderId="0" xfId="0" applyNumberFormat="1" applyFont="1" applyAlignment="1"/>
    <xf numFmtId="177" fontId="1" fillId="0" borderId="0" xfId="0" applyNumberFormat="1" applyFont="1" applyAlignment="1"/>
    <xf numFmtId="0" fontId="1" fillId="4" borderId="0" xfId="0" applyFont="1" applyFill="1" applyAlignment="1"/>
    <xf numFmtId="176" fontId="18" fillId="0" borderId="0" xfId="0" applyNumberFormat="1" applyFont="1" applyAlignment="1"/>
    <xf numFmtId="0" fontId="18" fillId="0" borderId="0" xfId="0" applyFont="1" applyAlignment="1"/>
    <xf numFmtId="177" fontId="18" fillId="0" borderId="0" xfId="0" applyNumberFormat="1" applyFont="1" applyAlignment="1"/>
    <xf numFmtId="0" fontId="19" fillId="0" borderId="0" xfId="0" applyFont="1" applyAlignment="1"/>
    <xf numFmtId="176" fontId="20" fillId="0" borderId="0" xfId="0" applyNumberFormat="1" applyFont="1" applyAlignment="1"/>
    <xf numFmtId="3" fontId="20" fillId="0" borderId="0" xfId="0" applyNumberFormat="1" applyFont="1" applyAlignment="1"/>
    <xf numFmtId="2" fontId="20" fillId="0" borderId="0" xfId="0" applyNumberFormat="1" applyFont="1" applyAlignment="1"/>
    <xf numFmtId="184" fontId="20" fillId="0" borderId="0" xfId="0" applyNumberFormat="1" applyFont="1" applyAlignment="1"/>
    <xf numFmtId="58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3" xfId="0" applyFont="1" applyFill="1" applyBorder="1" applyAlignment="1"/>
    <xf numFmtId="184" fontId="18" fillId="0" borderId="0" xfId="0" applyNumberFormat="1" applyFont="1" applyAlignment="1"/>
    <xf numFmtId="10" fontId="3" fillId="2" borderId="3" xfId="0" applyNumberFormat="1" applyFont="1" applyFill="1" applyBorder="1" applyAlignment="1"/>
    <xf numFmtId="0" fontId="21" fillId="0" borderId="0" xfId="0" applyFont="1" applyAlignment="1"/>
    <xf numFmtId="0" fontId="1" fillId="0" borderId="1" xfId="0" applyFont="1" applyBorder="1" applyAlignment="1"/>
    <xf numFmtId="177" fontId="1" fillId="0" borderId="1" xfId="0" applyNumberFormat="1" applyFont="1" applyBorder="1" applyAlignment="1"/>
    <xf numFmtId="184" fontId="1" fillId="0" borderId="1" xfId="0" applyNumberFormat="1" applyFont="1" applyBorder="1" applyAlignment="1"/>
    <xf numFmtId="184" fontId="22" fillId="0" borderId="1" xfId="0" applyNumberFormat="1" applyFont="1" applyBorder="1" applyAlignment="1"/>
    <xf numFmtId="2" fontId="18" fillId="0" borderId="1" xfId="0" applyNumberFormat="1" applyFont="1" applyBorder="1" applyAlignment="1"/>
    <xf numFmtId="2" fontId="1" fillId="0" borderId="1" xfId="0" applyNumberFormat="1" applyFont="1" applyBorder="1" applyAlignment="1"/>
    <xf numFmtId="184" fontId="1" fillId="0" borderId="0" xfId="0" applyNumberFormat="1" applyFont="1" applyAlignment="1"/>
    <xf numFmtId="2" fontId="18" fillId="0" borderId="0" xfId="0" applyNumberFormat="1" applyFont="1" applyAlignment="1"/>
    <xf numFmtId="2" fontId="1" fillId="0" borderId="0" xfId="0" applyNumberFormat="1" applyFont="1" applyAlignment="1"/>
    <xf numFmtId="177" fontId="3" fillId="2" borderId="0" xfId="0" applyNumberFormat="1" applyFont="1" applyFill="1" applyAlignment="1"/>
    <xf numFmtId="184" fontId="3" fillId="2" borderId="0" xfId="0" applyNumberFormat="1" applyFont="1" applyFill="1" applyAlignment="1"/>
    <xf numFmtId="2" fontId="3" fillId="2" borderId="0" xfId="0" applyNumberFormat="1" applyFont="1" applyFill="1" applyAlignment="1"/>
    <xf numFmtId="0" fontId="23" fillId="0" borderId="0" xfId="0" applyFont="1" applyAlignment="1"/>
    <xf numFmtId="0" fontId="0" fillId="0" borderId="0" xfId="0" applyAlignment="1"/>
    <xf numFmtId="0" fontId="24" fillId="2" borderId="0" xfId="0" applyFont="1" applyFill="1" applyAlignment="1"/>
    <xf numFmtId="0" fontId="1" fillId="2" borderId="0" xfId="0" applyFont="1" applyFill="1" applyAlignment="1"/>
    <xf numFmtId="0" fontId="25" fillId="0" borderId="0" xfId="0" applyFont="1" applyAlignment="1"/>
    <xf numFmtId="0" fontId="6" fillId="0" borderId="0" xfId="0" applyFont="1" applyAlignment="1"/>
    <xf numFmtId="185" fontId="25" fillId="0" borderId="0" xfId="0" applyNumberFormat="1" applyFont="1" applyAlignment="1"/>
    <xf numFmtId="0" fontId="6" fillId="0" borderId="1" xfId="0" applyFont="1" applyBorder="1" applyAlignment="1"/>
    <xf numFmtId="10" fontId="6" fillId="0" borderId="4" xfId="0" applyNumberFormat="1" applyFont="1" applyBorder="1" applyAlignment="1"/>
    <xf numFmtId="0" fontId="6" fillId="0" borderId="1" xfId="0" applyFont="1" applyBorder="1" applyAlignment="1">
      <alignment vertical="center"/>
    </xf>
    <xf numFmtId="10" fontId="6" fillId="0" borderId="1" xfId="0" applyNumberFormat="1" applyFont="1" applyBorder="1" applyAlignment="1"/>
    <xf numFmtId="10" fontId="6" fillId="0" borderId="5" xfId="0" applyNumberFormat="1" applyFont="1" applyBorder="1" applyAlignment="1"/>
    <xf numFmtId="10" fontId="6" fillId="0" borderId="0" xfId="0" applyNumberFormat="1" applyFont="1" applyAlignment="1"/>
    <xf numFmtId="10" fontId="6" fillId="0" borderId="6" xfId="0" applyNumberFormat="1" applyFont="1" applyBorder="1" applyAlignment="1"/>
    <xf numFmtId="10" fontId="26" fillId="0" borderId="7" xfId="0" applyNumberFormat="1" applyFont="1" applyBorder="1" applyAlignment="1"/>
    <xf numFmtId="4" fontId="6" fillId="0" borderId="0" xfId="0" applyNumberFormat="1" applyFont="1" applyAlignment="1"/>
    <xf numFmtId="0" fontId="0" fillId="5" borderId="0" xfId="0" applyFill="1"/>
    <xf numFmtId="0" fontId="0" fillId="0" borderId="0" xfId="0" applyBorder="1"/>
    <xf numFmtId="0" fontId="15" fillId="6" borderId="0" xfId="0" applyFont="1" applyFill="1" applyBorder="1" applyAlignment="1"/>
    <xf numFmtId="0" fontId="3" fillId="5" borderId="0" xfId="0" applyFont="1" applyFill="1" applyBorder="1"/>
    <xf numFmtId="0" fontId="27" fillId="0" borderId="0" xfId="0" applyFont="1" applyFill="1" applyBorder="1" applyAlignment="1"/>
    <xf numFmtId="0" fontId="1" fillId="0" borderId="0" xfId="0" applyFont="1" applyBorder="1"/>
    <xf numFmtId="186" fontId="27" fillId="0" borderId="0" xfId="0" applyNumberFormat="1" applyFont="1" applyFill="1" applyBorder="1" applyAlignment="1"/>
    <xf numFmtId="186" fontId="15" fillId="6" borderId="0" xfId="0" applyNumberFormat="1" applyFont="1" applyFill="1" applyBorder="1" applyAlignment="1"/>
    <xf numFmtId="0" fontId="28" fillId="2" borderId="0" xfId="0" applyFont="1" applyFill="1" applyAlignment="1"/>
    <xf numFmtId="0" fontId="29" fillId="2" borderId="0" xfId="0" applyFont="1" applyFill="1" applyBorder="1" applyAlignment="1">
      <alignment horizontal="center" vertical="center"/>
    </xf>
    <xf numFmtId="187" fontId="11" fillId="2" borderId="0" xfId="0" applyNumberFormat="1" applyFont="1" applyFill="1" applyAlignment="1">
      <alignment horizontal="center"/>
    </xf>
    <xf numFmtId="185" fontId="11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vertical="center"/>
    </xf>
    <xf numFmtId="0" fontId="30" fillId="2" borderId="0" xfId="0" applyFont="1" applyFill="1" applyAlignment="1">
      <alignment vertical="center"/>
    </xf>
    <xf numFmtId="188" fontId="0" fillId="0" borderId="0" xfId="0" applyNumberFormat="1" applyAlignment="1"/>
    <xf numFmtId="0" fontId="0" fillId="0" borderId="0" xfId="0" applyAlignment="1">
      <alignment horizontal="center"/>
    </xf>
    <xf numFmtId="10" fontId="1" fillId="0" borderId="0" xfId="0" applyNumberFormat="1" applyFont="1" applyAlignment="1">
      <alignment horizontal="center"/>
    </xf>
    <xf numFmtId="10" fontId="1" fillId="0" borderId="0" xfId="0" applyNumberFormat="1" applyFont="1" applyAlignment="1"/>
    <xf numFmtId="189" fontId="0" fillId="0" borderId="0" xfId="0" applyNumberFormat="1" applyAlignment="1"/>
    <xf numFmtId="10" fontId="0" fillId="0" borderId="0" xfId="0" applyNumberFormat="1"/>
    <xf numFmtId="182" fontId="1" fillId="0" borderId="0" xfId="0" applyNumberFormat="1" applyFont="1" applyAlignment="1"/>
    <xf numFmtId="184" fontId="0" fillId="0" borderId="0" xfId="0" applyNumberFormat="1" applyAlignment="1"/>
    <xf numFmtId="0" fontId="0" fillId="2" borderId="0" xfId="0" applyFill="1" applyAlignment="1"/>
    <xf numFmtId="180" fontId="0" fillId="0" borderId="0" xfId="0" applyNumberFormat="1" applyAlignment="1"/>
    <xf numFmtId="0" fontId="31" fillId="0" borderId="0" xfId="0" applyFont="1" applyAlignment="1"/>
    <xf numFmtId="190" fontId="21" fillId="0" borderId="0" xfId="0" applyNumberFormat="1" applyFont="1" applyAlignment="1"/>
    <xf numFmtId="190" fontId="1" fillId="0" borderId="0" xfId="0" applyNumberFormat="1" applyFont="1" applyAlignment="1"/>
    <xf numFmtId="0" fontId="21" fillId="0" borderId="1" xfId="0" applyFont="1" applyBorder="1" applyAlignment="1"/>
    <xf numFmtId="0" fontId="31" fillId="0" borderId="1" xfId="0" applyFont="1" applyBorder="1" applyAlignment="1"/>
    <xf numFmtId="190" fontId="21" fillId="0" borderId="1" xfId="0" applyNumberFormat="1" applyFont="1" applyBorder="1" applyAlignment="1"/>
    <xf numFmtId="181" fontId="0" fillId="0" borderId="0" xfId="0" applyNumberFormat="1" applyAlignment="1"/>
    <xf numFmtId="181" fontId="1" fillId="0" borderId="0" xfId="0" applyNumberFormat="1" applyFont="1" applyAlignment="1"/>
    <xf numFmtId="0" fontId="32" fillId="0" borderId="0" xfId="0" applyFont="1" applyAlignment="1"/>
    <xf numFmtId="0" fontId="33" fillId="0" borderId="0" xfId="0" applyFont="1" applyAlignment="1"/>
    <xf numFmtId="0" fontId="34" fillId="0" borderId="0" xfId="0" applyFont="1" applyAlignment="1"/>
    <xf numFmtId="0" fontId="35" fillId="0" borderId="0" xfId="0" applyFont="1" applyAlignment="1"/>
    <xf numFmtId="0" fontId="35" fillId="0" borderId="1" xfId="0" applyFont="1" applyBorder="1" applyAlignment="1"/>
    <xf numFmtId="0" fontId="34" fillId="0" borderId="1" xfId="0" applyFont="1" applyBorder="1" applyAlignment="1"/>
    <xf numFmtId="0" fontId="0" fillId="0" borderId="1" xfId="0" applyBorder="1" applyAlignment="1"/>
    <xf numFmtId="0" fontId="36" fillId="0" borderId="0" xfId="0" applyFont="1" applyAlignment="1"/>
    <xf numFmtId="0" fontId="37" fillId="0" borderId="0" xfId="0" applyFont="1" applyAlignment="1"/>
    <xf numFmtId="4" fontId="37" fillId="0" borderId="0" xfId="0" applyNumberFormat="1" applyFont="1" applyAlignment="1">
      <alignment vertical="center"/>
    </xf>
    <xf numFmtId="0" fontId="36" fillId="0" borderId="1" xfId="0" applyFont="1" applyBorder="1" applyAlignment="1"/>
    <xf numFmtId="4" fontId="36" fillId="0" borderId="1" xfId="0" applyNumberFormat="1" applyFont="1" applyBorder="1" applyAlignment="1">
      <alignment vertical="center"/>
    </xf>
    <xf numFmtId="190" fontId="1" fillId="0" borderId="1" xfId="0" applyNumberFormat="1" applyFont="1" applyBorder="1" applyAlignment="1"/>
    <xf numFmtId="4" fontId="38" fillId="0" borderId="0" xfId="0" applyNumberFormat="1" applyFont="1" applyAlignment="1"/>
    <xf numFmtId="191" fontId="16" fillId="0" borderId="0" xfId="0" applyNumberFormat="1" applyFont="1" applyAlignment="1">
      <alignment horizontal="left" vertical="center"/>
    </xf>
    <xf numFmtId="191" fontId="16" fillId="0" borderId="0" xfId="0" applyNumberFormat="1" applyFont="1" applyAlignment="1"/>
    <xf numFmtId="0" fontId="22" fillId="0" borderId="0" xfId="0" applyFont="1" applyAlignment="1"/>
    <xf numFmtId="0" fontId="23" fillId="0" borderId="1" xfId="0" applyFont="1" applyBorder="1" applyAlignment="1"/>
    <xf numFmtId="181" fontId="21" fillId="0" borderId="1" xfId="0" applyNumberFormat="1" applyFont="1" applyBorder="1" applyAlignment="1"/>
    <xf numFmtId="192" fontId="1" fillId="0" borderId="0" xfId="0" applyNumberFormat="1" applyFont="1" applyAlignment="1"/>
    <xf numFmtId="192" fontId="21" fillId="0" borderId="1" xfId="0" applyNumberFormat="1" applyFont="1" applyBorder="1" applyAlignment="1"/>
    <xf numFmtId="4" fontId="6" fillId="0" borderId="0" xfId="0" applyNumberFormat="1" applyFont="1" applyAlignment="1">
      <alignment vertical="center"/>
    </xf>
    <xf numFmtId="4" fontId="36" fillId="0" borderId="8" xfId="0" applyNumberFormat="1" applyFont="1" applyBorder="1" applyAlignment="1">
      <alignment vertical="center" wrapText="1"/>
    </xf>
    <xf numFmtId="4" fontId="37" fillId="0" borderId="8" xfId="0" applyNumberFormat="1" applyFont="1" applyBorder="1" applyAlignment="1">
      <alignment vertical="center"/>
    </xf>
    <xf numFmtId="58" fontId="39" fillId="0" borderId="0" xfId="0" applyNumberFormat="1" applyFont="1" applyAlignment="1">
      <alignment vertical="center"/>
    </xf>
    <xf numFmtId="0" fontId="37" fillId="0" borderId="0" xfId="0" applyFont="1" applyAlignment="1">
      <alignment vertical="center"/>
    </xf>
    <xf numFmtId="10" fontId="37" fillId="0" borderId="0" xfId="0" applyNumberFormat="1" applyFont="1" applyAlignment="1">
      <alignment vertical="center"/>
    </xf>
    <xf numFmtId="192" fontId="0" fillId="0" borderId="0" xfId="0" applyNumberFormat="1" applyAlignment="1"/>
    <xf numFmtId="193" fontId="37" fillId="0" borderId="0" xfId="0" applyNumberFormat="1" applyFont="1" applyAlignment="1">
      <alignment vertical="center"/>
    </xf>
    <xf numFmtId="9" fontId="39" fillId="0" borderId="0" xfId="0" applyNumberFormat="1" applyFont="1" applyAlignment="1">
      <alignment vertical="center"/>
    </xf>
    <xf numFmtId="194" fontId="25" fillId="0" borderId="0" xfId="0" applyNumberFormat="1" applyFont="1" applyAlignment="1"/>
    <xf numFmtId="194" fontId="6" fillId="0" borderId="0" xfId="0" applyNumberFormat="1" applyFont="1" applyAlignment="1"/>
    <xf numFmtId="194" fontId="6" fillId="0" borderId="1" xfId="0" applyNumberFormat="1" applyFont="1" applyBorder="1" applyAlignment="1"/>
    <xf numFmtId="4" fontId="37" fillId="0" borderId="0" xfId="0" applyNumberFormat="1" applyFont="1" applyAlignment="1">
      <alignment vertical="center" wrapText="1"/>
    </xf>
    <xf numFmtId="194" fontId="25" fillId="0" borderId="1" xfId="0" applyNumberFormat="1" applyFont="1" applyBorder="1" applyAlignment="1"/>
    <xf numFmtId="4" fontId="40" fillId="0" borderId="0" xfId="0" applyNumberFormat="1" applyFont="1" applyAlignment="1">
      <alignment vertical="center"/>
    </xf>
    <xf numFmtId="4" fontId="41" fillId="0" borderId="0" xfId="0" applyNumberFormat="1" applyFont="1" applyAlignment="1">
      <alignment vertical="center" wrapText="1"/>
    </xf>
    <xf numFmtId="0" fontId="21" fillId="0" borderId="0" xfId="0" applyFont="1" applyAlignment="1">
      <alignment horizontal="center"/>
    </xf>
    <xf numFmtId="185" fontId="21" fillId="0" borderId="0" xfId="0" applyNumberFormat="1" applyFont="1" applyAlignment="1"/>
    <xf numFmtId="0" fontId="42" fillId="0" borderId="1" xfId="0" applyFont="1" applyBorder="1" applyAlignment="1"/>
    <xf numFmtId="4" fontId="37" fillId="0" borderId="1" xfId="0" applyNumberFormat="1" applyFont="1" applyBorder="1" applyAlignment="1">
      <alignment vertical="center"/>
    </xf>
    <xf numFmtId="195" fontId="33" fillId="0" borderId="1" xfId="0" applyNumberFormat="1" applyFont="1" applyBorder="1" applyAlignment="1"/>
    <xf numFmtId="0" fontId="42" fillId="0" borderId="0" xfId="0" applyFont="1" applyAlignment="1"/>
    <xf numFmtId="180" fontId="1" fillId="0" borderId="0" xfId="0" applyNumberFormat="1" applyFont="1" applyAlignment="1"/>
    <xf numFmtId="4" fontId="36" fillId="0" borderId="0" xfId="0" applyNumberFormat="1" applyFont="1" applyAlignment="1">
      <alignment vertical="center" wrapText="1"/>
    </xf>
    <xf numFmtId="4" fontId="36" fillId="0" borderId="0" xfId="0" applyNumberFormat="1" applyFont="1" applyAlignment="1">
      <alignment vertical="center"/>
    </xf>
    <xf numFmtId="4" fontId="36" fillId="0" borderId="1" xfId="0" applyNumberFormat="1" applyFont="1" applyBorder="1" applyAlignment="1">
      <alignment vertical="center" wrapText="1"/>
    </xf>
    <xf numFmtId="180" fontId="21" fillId="0" borderId="1" xfId="0" applyNumberFormat="1" applyFont="1" applyBorder="1" applyAlignment="1"/>
    <xf numFmtId="180" fontId="1" fillId="0" borderId="1" xfId="0" applyNumberFormat="1" applyFont="1" applyBorder="1" applyAlignment="1"/>
    <xf numFmtId="184" fontId="21" fillId="0" borderId="0" xfId="0" applyNumberFormat="1" applyFont="1" applyAlignment="1"/>
    <xf numFmtId="180" fontId="21" fillId="0" borderId="0" xfId="0" applyNumberFormat="1" applyFont="1" applyAlignment="1"/>
    <xf numFmtId="176" fontId="43" fillId="0" borderId="0" xfId="0" applyNumberFormat="1" applyFont="1" applyAlignment="1"/>
    <xf numFmtId="0" fontId="9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2" fillId="0" borderId="1" xfId="0" applyFont="1" applyBorder="1" applyAlignment="1"/>
    <xf numFmtId="0" fontId="9" fillId="0" borderId="1" xfId="0" applyFont="1" applyBorder="1" applyAlignment="1">
      <alignment vertical="center"/>
    </xf>
    <xf numFmtId="190" fontId="23" fillId="0" borderId="1" xfId="0" applyNumberFormat="1" applyFont="1" applyBorder="1" applyAlignment="1"/>
    <xf numFmtId="176" fontId="17" fillId="0" borderId="1" xfId="0" applyNumberFormat="1" applyFont="1" applyBorder="1" applyAlignment="1"/>
    <xf numFmtId="190" fontId="6" fillId="0" borderId="0" xfId="0" applyNumberFormat="1" applyFont="1" applyAlignment="1"/>
    <xf numFmtId="176" fontId="6" fillId="0" borderId="0" xfId="0" applyNumberFormat="1" applyFont="1" applyAlignment="1"/>
    <xf numFmtId="184" fontId="6" fillId="0" borderId="0" xfId="0" applyNumberFormat="1" applyFont="1" applyAlignment="1"/>
    <xf numFmtId="194" fontId="22" fillId="0" borderId="0" xfId="0" applyNumberFormat="1" applyFont="1" applyAlignment="1"/>
    <xf numFmtId="0" fontId="22" fillId="0" borderId="1" xfId="0" applyFont="1" applyBorder="1" applyAlignment="1">
      <alignment vertical="center"/>
    </xf>
    <xf numFmtId="194" fontId="23" fillId="0" borderId="0" xfId="0" applyNumberFormat="1" applyFont="1" applyAlignment="1"/>
    <xf numFmtId="190" fontId="15" fillId="2" borderId="0" xfId="0" applyNumberFormat="1" applyFont="1" applyFill="1" applyAlignment="1"/>
    <xf numFmtId="192" fontId="3" fillId="2" borderId="0" xfId="0" applyNumberFormat="1" applyFont="1" applyFill="1" applyAlignment="1"/>
    <xf numFmtId="0" fontId="0" fillId="7" borderId="0" xfId="0" applyFill="1" applyAlignment="1"/>
    <xf numFmtId="4" fontId="5" fillId="0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Continuous"/>
    </xf>
    <xf numFmtId="192" fontId="3" fillId="5" borderId="0" xfId="0" applyNumberFormat="1" applyFont="1" applyFill="1" applyAlignment="1">
      <alignment horizontal="centerContinuous"/>
    </xf>
    <xf numFmtId="4" fontId="37" fillId="0" borderId="0" xfId="0" applyNumberFormat="1" applyFont="1" applyAlignment="1">
      <alignment horizontal="centerContinuous" vertical="center"/>
    </xf>
    <xf numFmtId="0" fontId="0" fillId="0" borderId="0" xfId="0" applyAlignment="1">
      <alignment horizontal="centerContinuous"/>
    </xf>
    <xf numFmtId="192" fontId="0" fillId="0" borderId="0" xfId="0" applyNumberFormat="1" applyAlignment="1">
      <alignment horizontal="centerContinuous"/>
    </xf>
    <xf numFmtId="188" fontId="37" fillId="0" borderId="0" xfId="0" applyNumberFormat="1" applyFont="1" applyAlignment="1">
      <alignment vertical="center"/>
    </xf>
    <xf numFmtId="179" fontId="37" fillId="0" borderId="0" xfId="0" applyNumberFormat="1" applyFont="1" applyBorder="1" applyAlignment="1">
      <alignment vertical="center"/>
    </xf>
    <xf numFmtId="179" fontId="37" fillId="0" borderId="8" xfId="0" applyNumberFormat="1" applyFont="1" applyBorder="1" applyAlignment="1">
      <alignment vertical="center"/>
    </xf>
    <xf numFmtId="4" fontId="36" fillId="0" borderId="0" xfId="0" applyNumberFormat="1" applyFont="1" applyAlignment="1">
      <alignment horizontal="center" vertical="center" textRotation="90" wrapText="1"/>
    </xf>
    <xf numFmtId="176" fontId="37" fillId="0" borderId="9" xfId="0" applyNumberFormat="1" applyFont="1" applyBorder="1" applyAlignment="1">
      <alignment vertical="center" wrapText="1"/>
    </xf>
    <xf numFmtId="176" fontId="37" fillId="0" borderId="0" xfId="0" applyNumberFormat="1" applyFont="1" applyAlignment="1">
      <alignment vertical="center" wrapText="1"/>
    </xf>
    <xf numFmtId="176" fontId="37" fillId="0" borderId="0" xfId="0" applyNumberFormat="1" applyFont="1" applyAlignment="1">
      <alignment vertical="center"/>
    </xf>
    <xf numFmtId="176" fontId="37" fillId="0" borderId="10" xfId="0" applyNumberFormat="1" applyFont="1" applyBorder="1" applyAlignment="1">
      <alignment vertical="center" wrapText="1"/>
    </xf>
    <xf numFmtId="176" fontId="5" fillId="8" borderId="0" xfId="0" applyNumberFormat="1" applyFont="1" applyFill="1" applyAlignment="1">
      <alignment vertical="center" wrapText="1"/>
    </xf>
    <xf numFmtId="176" fontId="5" fillId="8" borderId="0" xfId="0" applyNumberFormat="1" applyFont="1" applyFill="1" applyAlignment="1">
      <alignment vertical="center"/>
    </xf>
    <xf numFmtId="176" fontId="5" fillId="5" borderId="0" xfId="0" applyNumberFormat="1" applyFont="1" applyFill="1" applyAlignment="1">
      <alignment vertical="center" wrapText="1"/>
    </xf>
    <xf numFmtId="196" fontId="0" fillId="0" borderId="0" xfId="0" applyNumberFormat="1" applyAlignment="1"/>
    <xf numFmtId="192" fontId="0" fillId="7" borderId="0" xfId="0" applyNumberFormat="1" applyFill="1" applyAlignment="1"/>
    <xf numFmtId="10" fontId="37" fillId="0" borderId="0" xfId="0" applyNumberFormat="1" applyFont="1" applyBorder="1" applyAlignment="1">
      <alignment vertical="center"/>
    </xf>
    <xf numFmtId="10" fontId="37" fillId="0" borderId="8" xfId="0" applyNumberFormat="1" applyFont="1" applyBorder="1" applyAlignment="1">
      <alignment vertical="center"/>
    </xf>
    <xf numFmtId="3" fontId="0" fillId="7" borderId="0" xfId="0" applyNumberFormat="1" applyFill="1" applyAlignment="1"/>
    <xf numFmtId="176" fontId="0" fillId="7" borderId="0" xfId="0" applyNumberFormat="1" applyFill="1" applyAlignment="1"/>
    <xf numFmtId="0" fontId="44" fillId="0" borderId="0" xfId="0" applyFont="1"/>
    <xf numFmtId="184" fontId="0" fillId="7" borderId="0" xfId="0" applyNumberFormat="1" applyFill="1" applyAlignment="1"/>
    <xf numFmtId="0" fontId="45" fillId="0" borderId="0" xfId="0" applyFont="1" applyAlignment="1"/>
    <xf numFmtId="176" fontId="0" fillId="0" borderId="0" xfId="0" applyNumberFormat="1" applyAlignment="1"/>
    <xf numFmtId="184" fontId="46" fillId="0" borderId="0" xfId="0" applyNumberFormat="1" applyFont="1" applyAlignment="1"/>
    <xf numFmtId="3" fontId="0" fillId="0" borderId="0" xfId="0" applyNumberFormat="1" applyAlignment="1"/>
    <xf numFmtId="179" fontId="0" fillId="0" borderId="0" xfId="0" applyNumberFormat="1" applyAlignment="1"/>
    <xf numFmtId="0" fontId="3" fillId="0" borderId="0" xfId="0" applyFont="1" applyAlignment="1"/>
    <xf numFmtId="0" fontId="23" fillId="0" borderId="0" xfId="0" applyFont="1" applyAlignment="1">
      <alignment horizontal="center"/>
    </xf>
    <xf numFmtId="191" fontId="23" fillId="0" borderId="0" xfId="0" applyNumberFormat="1" applyFont="1" applyAlignment="1"/>
    <xf numFmtId="191" fontId="22" fillId="0" borderId="0" xfId="0" applyNumberFormat="1" applyFont="1" applyAlignment="1"/>
    <xf numFmtId="180" fontId="23" fillId="0" borderId="0" xfId="0" applyNumberFormat="1" applyFont="1" applyAlignment="1"/>
    <xf numFmtId="191" fontId="22" fillId="0" borderId="0" xfId="0" applyNumberFormat="1" applyFont="1" applyAlignment="1">
      <alignment indent="1"/>
    </xf>
    <xf numFmtId="180" fontId="22" fillId="0" borderId="0" xfId="0" applyNumberFormat="1" applyFont="1" applyAlignment="1"/>
    <xf numFmtId="180" fontId="23" fillId="0" borderId="11" xfId="0" applyNumberFormat="1" applyFont="1" applyBorder="1" applyAlignment="1"/>
    <xf numFmtId="191" fontId="1" fillId="0" borderId="0" xfId="0" applyNumberFormat="1" applyFont="1" applyAlignment="1"/>
    <xf numFmtId="191" fontId="47" fillId="0" borderId="0" xfId="0" applyNumberFormat="1" applyFont="1" applyAlignment="1"/>
    <xf numFmtId="0" fontId="48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C0C0C0"/>
      <rgbColor rgb="00948A54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00B050"/>
      <rgbColor rgb="00003300"/>
      <rgbColor rgb="00333300"/>
      <rgbColor rgb="00993300"/>
      <rgbColor rgb="00993366"/>
      <rgbColor rgb="00333399"/>
      <rgbColor rgb="00333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"/>
  <sheetViews>
    <sheetView showGridLines="0" zoomScale="117" zoomScaleNormal="117" topLeftCell="A29" workbookViewId="0">
      <selection activeCell="H73" sqref="H73"/>
    </sheetView>
  </sheetViews>
  <sheetFormatPr defaultColWidth="9.15178571428571" defaultRowHeight="16.8"/>
  <cols>
    <col min="1" max="3" width="1.24107142857143" style="140" customWidth="1"/>
    <col min="4" max="4" width="40.6428571428571" style="140" customWidth="1"/>
    <col min="5" max="6" width="9.14285714285714" style="140"/>
    <col min="7" max="7" width="2.64285714285714" style="140" customWidth="1"/>
    <col min="8" max="10" width="13.5" style="140" customWidth="1"/>
    <col min="11" max="12" width="13.6428571428571" style="140" customWidth="1"/>
    <col min="13" max="16384" width="9.14285714285714" style="140"/>
  </cols>
  <sheetData>
    <row r="1" s="221" customFormat="1" ht="33.75" customHeight="1" spans="1:14">
      <c r="A1" s="78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40"/>
      <c r="N1" s="140"/>
    </row>
    <row r="2" s="221" customFormat="1" ht="16.5" customHeight="1" spans="1:1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140"/>
      <c r="N2" s="140"/>
    </row>
    <row r="3" s="221" customFormat="1" ht="16.5" customHeight="1" spans="1:14">
      <c r="M3" s="140"/>
      <c r="N3" s="140"/>
    </row>
    <row r="4" ht="16.5" customHeight="1" spans="1:14">
      <c r="D4" s="76"/>
      <c r="E4" s="76"/>
      <c r="F4" s="76"/>
      <c r="G4" s="76"/>
      <c r="H4" s="222">
        <v>2021</v>
      </c>
      <c r="I4" s="222">
        <f>H4+1</f>
        <v>2022</v>
      </c>
      <c r="J4" s="222">
        <f>I4+1</f>
        <v>2023</v>
      </c>
      <c r="K4" s="222">
        <f>J4+1</f>
        <v>2024</v>
      </c>
      <c r="L4" s="222">
        <f>K4+1</f>
        <v>2025</v>
      </c>
    </row>
    <row r="5" ht="16.5" customHeight="1" spans="1:14">
      <c r="C5" s="223" t="s">
        <v>2</v>
      </c>
      <c r="E5" s="224"/>
      <c r="F5" s="224"/>
      <c r="G5" s="224"/>
      <c r="H5" s="225">
        <v>29697844</v>
      </c>
      <c r="I5" s="225">
        <v>31615550</v>
      </c>
      <c r="J5" s="225">
        <v>33723297</v>
      </c>
      <c r="K5" s="225">
        <v>39000966</v>
      </c>
      <c r="L5" s="225">
        <v>45183036</v>
      </c>
    </row>
    <row r="6" ht="16.5" customHeight="1" spans="1:14">
      <c r="D6" s="226" t="s">
        <v>3</v>
      </c>
      <c r="E6" s="224"/>
      <c r="F6" s="224"/>
      <c r="G6" s="224"/>
      <c r="H6" s="227">
        <v>17332683</v>
      </c>
      <c r="I6" s="227">
        <v>19168285</v>
      </c>
      <c r="J6" s="227">
        <v>19715368</v>
      </c>
      <c r="K6" s="227">
        <v>21038464</v>
      </c>
      <c r="L6" s="227">
        <v>23275329</v>
      </c>
    </row>
    <row r="7" ht="16.5" customHeight="1" spans="1:14">
      <c r="D7" s="226" t="s">
        <v>4</v>
      </c>
      <c r="E7" s="224"/>
      <c r="F7" s="224"/>
      <c r="G7" s="224"/>
      <c r="H7" s="227">
        <v>2545146</v>
      </c>
      <c r="I7" s="227">
        <v>2530502</v>
      </c>
      <c r="J7" s="227">
        <v>2657883</v>
      </c>
      <c r="K7" s="227">
        <v>2917554</v>
      </c>
      <c r="L7" s="227">
        <v>3301306</v>
      </c>
    </row>
    <row r="8" ht="16.5" customHeight="1" spans="1:14">
      <c r="D8" s="226" t="s">
        <v>5</v>
      </c>
      <c r="E8" s="224"/>
      <c r="F8" s="224"/>
      <c r="G8" s="224"/>
      <c r="H8" s="227">
        <v>2273885</v>
      </c>
      <c r="I8" s="227">
        <v>2711041</v>
      </c>
      <c r="J8" s="227">
        <v>2675758</v>
      </c>
      <c r="K8" s="227">
        <v>2925295</v>
      </c>
      <c r="L8" s="227">
        <v>3391390</v>
      </c>
    </row>
    <row r="9" ht="16.5" customHeight="1" spans="1:14">
      <c r="D9" s="226" t="s">
        <v>6</v>
      </c>
      <c r="E9" s="224"/>
      <c r="F9" s="224"/>
      <c r="G9" s="224"/>
      <c r="H9" s="227">
        <v>1351621</v>
      </c>
      <c r="I9" s="227">
        <v>1572891</v>
      </c>
      <c r="J9" s="227">
        <v>1720285</v>
      </c>
      <c r="K9" s="227">
        <v>1702039</v>
      </c>
      <c r="L9" s="227">
        <v>1888408</v>
      </c>
    </row>
    <row r="10" ht="16.5" customHeight="1" spans="1:14">
      <c r="C10" s="223" t="s">
        <v>7</v>
      </c>
      <c r="E10" s="224"/>
      <c r="F10" s="224"/>
      <c r="G10" s="224"/>
      <c r="H10" s="228">
        <f>H5-H6-H7-H8-H9</f>
        <v>6194509</v>
      </c>
      <c r="I10" s="228">
        <f>I5-I6-I7-I8-I9</f>
        <v>5632831</v>
      </c>
      <c r="J10" s="228">
        <f>J5-J6-J7-J8-J9</f>
        <v>6954003</v>
      </c>
      <c r="K10" s="228">
        <f>K5-K6-K7-K8-K9</f>
        <v>10417614</v>
      </c>
      <c r="L10" s="228">
        <f>L5-L6-L7-L8-L9</f>
        <v>13326603</v>
      </c>
    </row>
    <row r="11" ht="16.5" customHeight="1" spans="1:14">
      <c r="D11" s="229"/>
      <c r="E11" s="224"/>
      <c r="F11" s="224"/>
      <c r="G11" s="224"/>
      <c r="H11" s="167"/>
      <c r="I11" s="167"/>
      <c r="J11" s="167"/>
      <c r="K11" s="167"/>
      <c r="L11" s="167"/>
    </row>
    <row r="12" ht="16.5" customHeight="1" spans="1:14">
      <c r="D12" s="230" t="s">
        <v>8</v>
      </c>
      <c r="E12" s="224"/>
      <c r="F12" s="224"/>
      <c r="G12" s="224"/>
      <c r="H12" s="167"/>
      <c r="I12" s="167"/>
      <c r="J12" s="167"/>
      <c r="K12" s="167"/>
      <c r="L12" s="167"/>
    </row>
    <row r="13" ht="16.5" customHeight="1" spans="1:14">
      <c r="D13" s="226" t="s">
        <v>9</v>
      </c>
      <c r="E13" s="224"/>
      <c r="F13" s="224"/>
      <c r="G13" s="224"/>
      <c r="H13" s="227">
        <v>-765620</v>
      </c>
      <c r="I13" s="227">
        <v>-706212</v>
      </c>
      <c r="J13" s="227">
        <v>-699826</v>
      </c>
      <c r="K13" s="227">
        <v>-718733</v>
      </c>
      <c r="L13" s="227">
        <v>-776510</v>
      </c>
    </row>
    <row r="14" ht="16.5" customHeight="1" spans="1:14">
      <c r="D14" s="226" t="s">
        <v>10</v>
      </c>
      <c r="E14" s="224"/>
      <c r="F14" s="224"/>
      <c r="G14" s="224"/>
      <c r="H14" s="227">
        <v>411214</v>
      </c>
      <c r="I14" s="227">
        <v>337310</v>
      </c>
      <c r="J14" s="227">
        <v>-48772</v>
      </c>
      <c r="K14" s="227">
        <v>266776</v>
      </c>
      <c r="L14" s="227">
        <v>172459</v>
      </c>
    </row>
    <row r="15" ht="16.5" customHeight="1" spans="1:14">
      <c r="D15" s="223" t="s">
        <v>11</v>
      </c>
      <c r="E15" s="224"/>
      <c r="F15" s="224"/>
      <c r="G15" s="224"/>
      <c r="H15" s="225">
        <f>H10+H13+H14</f>
        <v>5840103</v>
      </c>
      <c r="I15" s="225">
        <f>I10+I13+I14</f>
        <v>5263929</v>
      </c>
      <c r="J15" s="225">
        <f>J10+J13+J14</f>
        <v>6205405</v>
      </c>
      <c r="K15" s="225">
        <f>K10+K13+K14</f>
        <v>9965657</v>
      </c>
      <c r="L15" s="225">
        <f>L10+L13+L14</f>
        <v>12722552</v>
      </c>
    </row>
    <row r="16" ht="16.5" customHeight="1" spans="1:14">
      <c r="D16" s="226" t="s">
        <v>12</v>
      </c>
      <c r="E16" s="224"/>
      <c r="F16" s="224"/>
      <c r="G16" s="224"/>
      <c r="H16" s="227">
        <v>-723875</v>
      </c>
      <c r="I16" s="227">
        <v>-772005</v>
      </c>
      <c r="J16" s="227">
        <v>-797415</v>
      </c>
      <c r="K16" s="227">
        <v>-1254026</v>
      </c>
      <c r="L16" s="227">
        <v>-1741351</v>
      </c>
    </row>
    <row r="17" ht="16.5" customHeight="1" spans="1:12">
      <c r="C17" s="223" t="s">
        <v>13</v>
      </c>
      <c r="E17" s="224"/>
      <c r="F17" s="224"/>
      <c r="G17" s="224"/>
      <c r="H17" s="228">
        <f>H15+H16</f>
        <v>5116228</v>
      </c>
      <c r="I17" s="228">
        <f>I15+I16</f>
        <v>4491924</v>
      </c>
      <c r="J17" s="228">
        <f>J15+J16</f>
        <v>5407990</v>
      </c>
      <c r="K17" s="228">
        <f>K15+K16</f>
        <v>8711631</v>
      </c>
      <c r="L17" s="228">
        <f>L15+L16</f>
        <v>10981201</v>
      </c>
    </row>
    <row r="18" ht="16.5" customHeight="1" spans="1:12">
      <c r="D18" s="224"/>
      <c r="E18" s="224"/>
      <c r="F18" s="224"/>
      <c r="G18" s="224"/>
      <c r="H18" s="227"/>
      <c r="I18" s="227"/>
      <c r="J18" s="227"/>
      <c r="K18" s="227"/>
      <c r="L18" s="227"/>
    </row>
    <row r="19" ht="16.5" customHeight="1" spans="1:12">
      <c r="A19" s="231" t="s">
        <v>14</v>
      </c>
      <c r="D19" s="224"/>
      <c r="E19" s="224"/>
      <c r="F19" s="224"/>
      <c r="G19" s="224"/>
      <c r="H19" s="227"/>
      <c r="I19" s="227"/>
      <c r="J19" s="227"/>
      <c r="K19" s="227"/>
      <c r="L19" s="227"/>
    </row>
    <row r="20" ht="16.5" customHeight="1" spans="1:12">
      <c r="B20" s="230" t="s">
        <v>15</v>
      </c>
      <c r="E20" s="224"/>
      <c r="F20" s="224"/>
      <c r="G20" s="224"/>
      <c r="H20" s="227"/>
      <c r="I20" s="227"/>
      <c r="J20" s="227"/>
      <c r="K20" s="227"/>
      <c r="L20" s="227"/>
    </row>
    <row r="21" ht="16.5" customHeight="1" spans="1:12">
      <c r="C21" s="230" t="s">
        <v>16</v>
      </c>
      <c r="E21" s="224"/>
      <c r="F21" s="224"/>
      <c r="G21" s="224"/>
      <c r="H21" s="227"/>
      <c r="I21" s="227"/>
      <c r="J21" s="227"/>
      <c r="K21" s="227"/>
      <c r="L21" s="227"/>
    </row>
    <row r="22" ht="16.5" customHeight="1" spans="1:12">
      <c r="D22" s="226" t="s">
        <v>17</v>
      </c>
      <c r="E22" s="224"/>
      <c r="F22" s="224"/>
      <c r="G22" s="224"/>
      <c r="H22" s="227">
        <v>6027804</v>
      </c>
      <c r="I22" s="227">
        <v>5147176</v>
      </c>
      <c r="J22" s="227">
        <v>7116913</v>
      </c>
      <c r="K22" s="227">
        <v>7804733</v>
      </c>
      <c r="L22" s="227">
        <v>9033681</v>
      </c>
    </row>
    <row r="23" ht="16.5" customHeight="1" spans="1:12">
      <c r="D23" s="226" t="s">
        <v>18</v>
      </c>
      <c r="E23" s="224"/>
      <c r="F23" s="224"/>
      <c r="G23" s="224"/>
      <c r="H23" s="227">
        <v>0</v>
      </c>
      <c r="I23" s="227">
        <v>911276</v>
      </c>
      <c r="J23" s="227">
        <v>20973</v>
      </c>
      <c r="K23" s="227">
        <v>1779006</v>
      </c>
      <c r="L23" s="227">
        <v>28678</v>
      </c>
    </row>
    <row r="24" ht="16.5" customHeight="1" spans="1:12">
      <c r="D24" s="226" t="s">
        <v>19</v>
      </c>
      <c r="E24" s="224"/>
      <c r="F24" s="224"/>
      <c r="G24" s="224"/>
      <c r="H24" s="227">
        <v>2042021</v>
      </c>
      <c r="I24" s="227">
        <v>3208021</v>
      </c>
      <c r="J24" s="227">
        <v>2780247</v>
      </c>
      <c r="K24" s="227">
        <v>3516640</v>
      </c>
      <c r="L24" s="227">
        <v>3957832</v>
      </c>
    </row>
    <row r="25" ht="16.5" customHeight="1" spans="1:12">
      <c r="C25" s="223" t="s">
        <v>20</v>
      </c>
      <c r="E25" s="224"/>
      <c r="F25" s="224"/>
      <c r="G25" s="224"/>
      <c r="H25" s="228">
        <f>SUM(H22:H24)</f>
        <v>8069825</v>
      </c>
      <c r="I25" s="228">
        <f>SUM(I22:I24)</f>
        <v>9266473</v>
      </c>
      <c r="J25" s="228">
        <f>SUM(J22:J24)</f>
        <v>9918133</v>
      </c>
      <c r="K25" s="228">
        <f>SUM(K22:K24)</f>
        <v>13100379</v>
      </c>
      <c r="L25" s="228">
        <f>SUM(L22:L24)</f>
        <v>13020191</v>
      </c>
    </row>
    <row r="26" ht="16.5" customHeight="1" spans="1:12">
      <c r="C26" s="223"/>
      <c r="E26" s="224"/>
      <c r="F26" s="224"/>
      <c r="G26" s="224"/>
      <c r="H26" s="225"/>
      <c r="I26" s="225"/>
      <c r="J26" s="225"/>
      <c r="K26" s="225"/>
      <c r="L26" s="225"/>
    </row>
    <row r="27" ht="16.5" customHeight="1" spans="1:12">
      <c r="D27" s="224" t="s">
        <v>21</v>
      </c>
      <c r="E27" s="224"/>
      <c r="F27" s="224"/>
      <c r="G27" s="224"/>
      <c r="H27" s="227">
        <v>30919539</v>
      </c>
      <c r="I27" s="227">
        <v>32736713</v>
      </c>
      <c r="J27" s="227">
        <v>31658056</v>
      </c>
      <c r="K27" s="227">
        <v>32452462</v>
      </c>
      <c r="L27" s="227">
        <v>32778392</v>
      </c>
    </row>
    <row r="28" ht="16.5" customHeight="1" spans="1:12">
      <c r="D28" s="224" t="s">
        <v>22</v>
      </c>
      <c r="E28" s="224"/>
      <c r="F28" s="224"/>
      <c r="G28" s="224"/>
      <c r="H28" s="227">
        <v>1323453</v>
      </c>
      <c r="I28" s="227">
        <v>1398257</v>
      </c>
      <c r="J28" s="227">
        <v>1491444</v>
      </c>
      <c r="K28" s="227">
        <v>1593756</v>
      </c>
      <c r="L28" s="227">
        <v>2004350</v>
      </c>
    </row>
    <row r="29" ht="16.5" customHeight="1" spans="1:12">
      <c r="D29" s="224" t="s">
        <v>23</v>
      </c>
      <c r="E29" s="224"/>
      <c r="F29" s="224"/>
      <c r="G29" s="224"/>
      <c r="H29" s="227">
        <v>4271846</v>
      </c>
      <c r="I29" s="227">
        <v>5193325</v>
      </c>
      <c r="J29" s="227">
        <v>5664359</v>
      </c>
      <c r="K29" s="227">
        <v>6483777</v>
      </c>
      <c r="L29" s="227">
        <v>7794060</v>
      </c>
    </row>
    <row r="30" ht="16.5" customHeight="1" spans="1:12">
      <c r="C30" s="223" t="s">
        <v>24</v>
      </c>
      <c r="E30" s="224"/>
      <c r="F30" s="224"/>
      <c r="G30" s="224"/>
      <c r="H30" s="228">
        <f>H25+H27+H28+H29</f>
        <v>44584663</v>
      </c>
      <c r="I30" s="228">
        <f>I25+I27+I28+I29</f>
        <v>48594768</v>
      </c>
      <c r="J30" s="228">
        <f>J25+J27+J28+J29</f>
        <v>48731992</v>
      </c>
      <c r="K30" s="228">
        <f>K25+K27+K28+K29</f>
        <v>53630374</v>
      </c>
      <c r="L30" s="228">
        <f>L25+L27+L28+L29</f>
        <v>55596993</v>
      </c>
    </row>
    <row r="31" ht="16.5" customHeight="1" spans="1:12">
      <c r="D31" s="229"/>
      <c r="E31" s="224"/>
      <c r="F31" s="224"/>
      <c r="G31" s="224"/>
      <c r="H31" s="167"/>
      <c r="I31" s="167"/>
      <c r="J31" s="167"/>
      <c r="K31" s="167"/>
      <c r="L31" s="167"/>
    </row>
    <row r="32" ht="16.5" customHeight="1" spans="1:12">
      <c r="A32" s="230" t="s">
        <v>25</v>
      </c>
      <c r="E32" s="224"/>
      <c r="F32" s="224"/>
      <c r="G32" s="224"/>
      <c r="H32" s="167"/>
      <c r="I32" s="167"/>
      <c r="J32" s="167"/>
      <c r="K32" s="167"/>
      <c r="L32" s="167"/>
    </row>
    <row r="33" ht="16.5" customHeight="1" spans="1:12">
      <c r="B33" s="230" t="s">
        <v>26</v>
      </c>
      <c r="E33" s="224"/>
      <c r="F33" s="224"/>
      <c r="G33" s="224"/>
      <c r="H33" s="167"/>
      <c r="I33" s="167"/>
      <c r="J33" s="167"/>
      <c r="K33" s="167"/>
      <c r="L33" s="167"/>
    </row>
    <row r="34" ht="16.5" customHeight="1" spans="1:12">
      <c r="D34" s="226" t="s">
        <v>27</v>
      </c>
      <c r="E34" s="224"/>
      <c r="F34" s="224"/>
      <c r="G34" s="224"/>
      <c r="H34" s="227">
        <v>4292967</v>
      </c>
      <c r="I34" s="227">
        <v>4480150</v>
      </c>
      <c r="J34" s="227">
        <v>4466470</v>
      </c>
      <c r="K34" s="227">
        <v>4393681</v>
      </c>
      <c r="L34" s="227">
        <v>4084854</v>
      </c>
    </row>
    <row r="35" ht="16.5" customHeight="1" spans="1:12">
      <c r="D35" s="226" t="s">
        <v>28</v>
      </c>
      <c r="E35" s="224"/>
      <c r="F35" s="224"/>
      <c r="G35" s="224"/>
      <c r="H35" s="227">
        <v>837483</v>
      </c>
      <c r="I35" s="227">
        <v>671513</v>
      </c>
      <c r="J35" s="227">
        <v>747412</v>
      </c>
      <c r="K35" s="227">
        <v>899909</v>
      </c>
      <c r="L35" s="227">
        <v>900612</v>
      </c>
    </row>
    <row r="36" ht="16.5" customHeight="1" spans="1:12">
      <c r="D36" s="226" t="s">
        <v>29</v>
      </c>
      <c r="E36" s="224"/>
      <c r="F36" s="224"/>
      <c r="G36" s="224"/>
      <c r="H36" s="227">
        <v>1449351</v>
      </c>
      <c r="I36" s="227">
        <v>1514650</v>
      </c>
      <c r="J36" s="227">
        <v>1803960</v>
      </c>
      <c r="K36" s="227">
        <v>2156544</v>
      </c>
      <c r="L36" s="227">
        <v>3220869</v>
      </c>
    </row>
    <row r="37" ht="16.5" customHeight="1" spans="1:12">
      <c r="D37" s="226" t="s">
        <v>30</v>
      </c>
      <c r="E37" s="224"/>
      <c r="F37" s="224"/>
      <c r="G37" s="224"/>
      <c r="H37" s="227">
        <v>1209342</v>
      </c>
      <c r="I37" s="227">
        <v>1264661</v>
      </c>
      <c r="J37" s="227">
        <v>1442969</v>
      </c>
      <c r="K37" s="227">
        <v>1520813</v>
      </c>
      <c r="L37" s="227">
        <v>1775730</v>
      </c>
    </row>
    <row r="38" ht="16.5" customHeight="1" spans="1:12">
      <c r="D38" s="226" t="s">
        <v>31</v>
      </c>
      <c r="E38" s="224"/>
      <c r="F38" s="224"/>
      <c r="G38" s="224"/>
      <c r="H38" s="227">
        <v>699823</v>
      </c>
      <c r="I38" s="227">
        <v>0</v>
      </c>
      <c r="J38" s="227">
        <v>399844</v>
      </c>
      <c r="K38" s="227">
        <v>1784453</v>
      </c>
      <c r="L38" s="227">
        <v>998865</v>
      </c>
    </row>
    <row r="39" ht="16.5" customHeight="1" spans="1:12">
      <c r="C39" s="223" t="s">
        <v>32</v>
      </c>
      <c r="E39" s="224"/>
      <c r="F39" s="224"/>
      <c r="G39" s="224"/>
      <c r="H39" s="228">
        <f>SUM(H34:H38)</f>
        <v>8488966</v>
      </c>
      <c r="I39" s="228">
        <f>SUM(I34:I38)</f>
        <v>7930974</v>
      </c>
      <c r="J39" s="228">
        <f>SUM(J34:J38)</f>
        <v>8860655</v>
      </c>
      <c r="K39" s="228">
        <f>SUM(K34:K38)</f>
        <v>10755400</v>
      </c>
      <c r="L39" s="228">
        <f>SUM(L34:L38)</f>
        <v>10980930</v>
      </c>
    </row>
    <row r="40" ht="16.5" customHeight="1" spans="1:12">
      <c r="C40" s="223"/>
      <c r="E40" s="224"/>
      <c r="F40" s="224"/>
      <c r="G40" s="224"/>
      <c r="H40" s="225"/>
      <c r="I40" s="225"/>
      <c r="J40" s="225"/>
      <c r="K40" s="225"/>
      <c r="L40" s="225"/>
    </row>
    <row r="41" ht="16.5" customHeight="1" spans="1:12">
      <c r="D41" s="224" t="s">
        <v>33</v>
      </c>
      <c r="E41" s="224"/>
      <c r="F41" s="224"/>
      <c r="G41" s="224"/>
      <c r="H41" s="227">
        <v>3094213</v>
      </c>
      <c r="I41" s="227">
        <v>3081277</v>
      </c>
      <c r="J41" s="227">
        <v>2578173</v>
      </c>
      <c r="K41" s="227">
        <v>1780806</v>
      </c>
      <c r="L41" s="227">
        <v>1579476</v>
      </c>
    </row>
    <row r="42" ht="16.5" customHeight="1" spans="1:12">
      <c r="D42" s="224" t="s">
        <v>34</v>
      </c>
      <c r="E42" s="224"/>
      <c r="F42" s="224"/>
      <c r="G42" s="224"/>
      <c r="H42" s="227">
        <v>14693072</v>
      </c>
      <c r="I42" s="227">
        <v>14353076</v>
      </c>
      <c r="J42" s="227">
        <v>14143417</v>
      </c>
      <c r="K42" s="227">
        <v>13798351</v>
      </c>
      <c r="L42" s="227">
        <v>13463971</v>
      </c>
    </row>
    <row r="43" ht="16.5" customHeight="1" spans="1:12">
      <c r="D43" s="224" t="s">
        <v>35</v>
      </c>
      <c r="E43" s="224"/>
      <c r="F43" s="224"/>
      <c r="G43" s="224"/>
      <c r="H43" s="227">
        <v>2459164</v>
      </c>
      <c r="I43" s="227">
        <v>2452040</v>
      </c>
      <c r="J43" s="227">
        <v>2561434</v>
      </c>
      <c r="K43" s="227">
        <v>2552250</v>
      </c>
      <c r="L43" s="227">
        <v>2957128</v>
      </c>
    </row>
    <row r="44" ht="16.5" customHeight="1" spans="1:12">
      <c r="C44" s="223" t="s">
        <v>36</v>
      </c>
      <c r="E44" s="224"/>
      <c r="F44" s="224"/>
      <c r="G44" s="224"/>
      <c r="H44" s="228">
        <f>H39+H41+H42+H43</f>
        <v>28735415</v>
      </c>
      <c r="I44" s="228">
        <f>I39+I41+I42+I43</f>
        <v>27817367</v>
      </c>
      <c r="J44" s="228">
        <f>J39+J41+J42+J43</f>
        <v>28143679</v>
      </c>
      <c r="K44" s="228">
        <f>K39+K41+K42+K43</f>
        <v>28886807</v>
      </c>
      <c r="L44" s="228">
        <f>L39+L41+L42+L43</f>
        <v>28981505</v>
      </c>
    </row>
    <row r="45" ht="16.5" customHeight="1" spans="1:12">
      <c r="D45" s="229"/>
      <c r="E45" s="224"/>
      <c r="F45" s="224"/>
      <c r="G45" s="224"/>
      <c r="H45" s="167"/>
      <c r="I45" s="167"/>
      <c r="J45" s="167"/>
      <c r="K45" s="167"/>
      <c r="L45" s="167"/>
    </row>
    <row r="46" ht="16.5" customHeight="1" spans="1:12">
      <c r="A46" s="230" t="s">
        <v>37</v>
      </c>
      <c r="E46" s="224"/>
      <c r="F46" s="224"/>
      <c r="G46" s="224"/>
      <c r="H46" s="167"/>
      <c r="I46" s="167"/>
      <c r="J46" s="167"/>
      <c r="K46" s="167"/>
      <c r="L46" s="167"/>
    </row>
    <row r="47" ht="16.5" customHeight="1" spans="1:12">
      <c r="D47" s="226" t="s">
        <v>38</v>
      </c>
      <c r="E47" s="224"/>
      <c r="F47" s="224"/>
      <c r="G47" s="224"/>
      <c r="H47" s="227">
        <v>0</v>
      </c>
      <c r="I47" s="227">
        <v>0</v>
      </c>
      <c r="J47" s="227">
        <v>0</v>
      </c>
      <c r="K47" s="227">
        <v>0</v>
      </c>
      <c r="L47" s="227">
        <v>0</v>
      </c>
    </row>
    <row r="48" ht="16.5" customHeight="1" spans="1:12">
      <c r="D48" s="226" t="s">
        <v>39</v>
      </c>
      <c r="E48" s="224"/>
      <c r="F48" s="224"/>
      <c r="G48" s="224"/>
      <c r="H48" s="227">
        <v>4024561</v>
      </c>
      <c r="I48" s="227">
        <v>4637601</v>
      </c>
      <c r="J48" s="227">
        <v>5145172</v>
      </c>
      <c r="K48" s="227">
        <v>6252126</v>
      </c>
      <c r="L48" s="227">
        <v>7286410</v>
      </c>
    </row>
    <row r="49" ht="16.5" customHeight="1" spans="1:12">
      <c r="D49" s="226" t="s">
        <v>40</v>
      </c>
      <c r="E49" s="224"/>
      <c r="F49" s="224"/>
      <c r="G49" s="224"/>
      <c r="H49" s="227">
        <v>-824190</v>
      </c>
      <c r="I49" s="227">
        <v>-824190</v>
      </c>
      <c r="J49" s="227">
        <v>-6922200</v>
      </c>
      <c r="K49" s="227">
        <v>-13171638</v>
      </c>
      <c r="L49" s="227">
        <v>-22372658</v>
      </c>
    </row>
    <row r="50" ht="16.5" customHeight="1" spans="1:12">
      <c r="D50" s="226" t="s">
        <v>41</v>
      </c>
      <c r="E50" s="224"/>
      <c r="F50" s="224"/>
      <c r="G50" s="224"/>
      <c r="H50" s="227">
        <v>-40495</v>
      </c>
      <c r="I50" s="227">
        <v>-217306</v>
      </c>
      <c r="J50" s="227">
        <v>-223945</v>
      </c>
      <c r="K50" s="227">
        <v>362162</v>
      </c>
      <c r="L50" s="227">
        <v>-580382</v>
      </c>
    </row>
    <row r="51" ht="16.5" customHeight="1" spans="1:12">
      <c r="D51" s="226" t="s">
        <v>42</v>
      </c>
      <c r="E51" s="224"/>
      <c r="F51" s="224"/>
      <c r="G51" s="224"/>
      <c r="H51" s="227">
        <v>12689372</v>
      </c>
      <c r="I51" s="227">
        <v>17181296</v>
      </c>
      <c r="J51" s="227">
        <v>22589286</v>
      </c>
      <c r="K51" s="227">
        <v>31300917</v>
      </c>
      <c r="L51" s="227">
        <v>42282118</v>
      </c>
    </row>
    <row r="52" ht="16.5" customHeight="1" spans="1:12">
      <c r="C52" s="223" t="s">
        <v>43</v>
      </c>
      <c r="E52" s="224"/>
      <c r="F52" s="224"/>
      <c r="G52" s="224"/>
      <c r="H52" s="225">
        <f>H48+H49+H50+H51</f>
        <v>15849248</v>
      </c>
      <c r="I52" s="225">
        <f>I48+I49+I50+I51</f>
        <v>20777401</v>
      </c>
      <c r="J52" s="225">
        <f>J48+J49+J50+J51</f>
        <v>20588313</v>
      </c>
      <c r="K52" s="225">
        <f>K48+K49+K50+K51</f>
        <v>24743567</v>
      </c>
      <c r="L52" s="225">
        <f>L48+L49+L50+L51</f>
        <v>26615488</v>
      </c>
    </row>
    <row r="53" ht="16.5" customHeight="1" spans="1:12">
      <c r="C53" s="223" t="s">
        <v>44</v>
      </c>
      <c r="E53" s="224"/>
      <c r="F53" s="224"/>
      <c r="G53" s="224"/>
      <c r="H53" s="225">
        <f>H44+H52</f>
        <v>44584663</v>
      </c>
      <c r="I53" s="225">
        <f>I44+I52</f>
        <v>48594768</v>
      </c>
      <c r="J53" s="225">
        <f>J44+J52</f>
        <v>48731992</v>
      </c>
      <c r="K53" s="225">
        <f>K44+K52</f>
        <v>53630374</v>
      </c>
      <c r="L53" s="225">
        <f>L44+L52</f>
        <v>55596993</v>
      </c>
    </row>
    <row r="54" ht="16.5" customHeight="1" spans="1:12">
      <c r="D54" s="224"/>
      <c r="E54" s="224"/>
      <c r="F54" s="224"/>
      <c r="G54" s="224"/>
      <c r="H54" s="227"/>
      <c r="I54" s="227"/>
      <c r="J54" s="227"/>
      <c r="K54" s="227"/>
      <c r="L54" s="227"/>
    </row>
    <row r="55" ht="16.5" customHeight="1" spans="1:12">
      <c r="A55" s="231" t="s">
        <v>45</v>
      </c>
      <c r="D55" s="224"/>
      <c r="E55" s="224"/>
      <c r="F55" s="224"/>
      <c r="G55" s="224"/>
      <c r="H55" s="227"/>
      <c r="I55" s="227"/>
      <c r="J55" s="227"/>
      <c r="K55" s="227"/>
      <c r="L55" s="227"/>
    </row>
    <row r="56" ht="16.5" customHeight="1" spans="1:12">
      <c r="B56" s="230" t="s">
        <v>46</v>
      </c>
      <c r="E56" s="224"/>
      <c r="F56" s="224"/>
      <c r="G56" s="224"/>
      <c r="H56" s="227"/>
      <c r="I56" s="227"/>
      <c r="J56" s="227"/>
      <c r="K56" s="227"/>
      <c r="L56" s="227"/>
    </row>
    <row r="57" ht="16.5" customHeight="1" spans="1:12">
      <c r="D57" s="224" t="s">
        <v>13</v>
      </c>
      <c r="E57" s="224"/>
      <c r="F57" s="224"/>
      <c r="G57" s="224"/>
      <c r="H57" s="227">
        <v>5116228</v>
      </c>
      <c r="I57" s="227">
        <v>4491924</v>
      </c>
      <c r="J57" s="227">
        <v>5407990</v>
      </c>
      <c r="K57" s="227">
        <v>8711631</v>
      </c>
      <c r="L57" s="227">
        <v>10981201</v>
      </c>
    </row>
    <row r="58" ht="16.5" customHeight="1" spans="1:12">
      <c r="C58" s="230" t="s">
        <v>47</v>
      </c>
      <c r="E58" s="224"/>
      <c r="F58" s="224"/>
      <c r="G58" s="224"/>
      <c r="H58" s="167"/>
      <c r="I58" s="167"/>
      <c r="J58" s="167"/>
      <c r="K58" s="167"/>
      <c r="L58" s="167"/>
    </row>
    <row r="59" ht="16.5" customHeight="1" spans="1:12">
      <c r="D59" s="226" t="s">
        <v>48</v>
      </c>
      <c r="E59" s="224"/>
      <c r="F59" s="224"/>
      <c r="G59" s="224"/>
      <c r="H59" s="227">
        <v>-17702202</v>
      </c>
      <c r="I59" s="227">
        <v>-16839038</v>
      </c>
      <c r="J59" s="227">
        <v>-12554703</v>
      </c>
      <c r="K59" s="227">
        <v>-16223617</v>
      </c>
      <c r="L59" s="227">
        <v>-17096617</v>
      </c>
    </row>
    <row r="60" ht="16.5" customHeight="1" spans="1:12">
      <c r="D60" s="226" t="s">
        <v>49</v>
      </c>
      <c r="E60" s="224"/>
      <c r="F60" s="224"/>
      <c r="G60" s="224"/>
      <c r="H60" s="227">
        <v>232898</v>
      </c>
      <c r="I60" s="227">
        <v>179310</v>
      </c>
      <c r="J60" s="227">
        <v>-585602</v>
      </c>
      <c r="K60" s="227">
        <v>-779135</v>
      </c>
      <c r="L60" s="227">
        <v>-610838</v>
      </c>
    </row>
    <row r="61" ht="16.5" customHeight="1" spans="1:12">
      <c r="D61" s="226" t="s">
        <v>50</v>
      </c>
      <c r="E61" s="224"/>
      <c r="F61" s="224"/>
      <c r="G61" s="224"/>
      <c r="H61" s="227">
        <v>12230367</v>
      </c>
      <c r="I61" s="227">
        <v>14026132</v>
      </c>
      <c r="J61" s="227">
        <v>14197437</v>
      </c>
      <c r="K61" s="227">
        <v>15301517</v>
      </c>
      <c r="L61" s="227">
        <v>16422166</v>
      </c>
    </row>
    <row r="62" ht="16.5" customHeight="1" spans="1:12">
      <c r="D62" s="226" t="s">
        <v>51</v>
      </c>
      <c r="E62" s="224"/>
      <c r="F62" s="224"/>
      <c r="G62" s="224"/>
      <c r="H62" s="227">
        <v>208412</v>
      </c>
      <c r="I62" s="227">
        <v>336682</v>
      </c>
      <c r="J62" s="227">
        <v>356947</v>
      </c>
      <c r="K62" s="227">
        <v>328914</v>
      </c>
      <c r="L62" s="227">
        <v>333389</v>
      </c>
    </row>
    <row r="63" ht="16.5" customHeight="1" spans="1:12">
      <c r="D63" s="226" t="s">
        <v>52</v>
      </c>
      <c r="E63" s="224"/>
      <c r="F63" s="224"/>
      <c r="G63" s="224"/>
      <c r="H63" s="227">
        <v>403220</v>
      </c>
      <c r="I63" s="227">
        <v>575452</v>
      </c>
      <c r="J63" s="227">
        <v>339368</v>
      </c>
      <c r="K63" s="227">
        <v>272588</v>
      </c>
      <c r="L63" s="227">
        <v>368449</v>
      </c>
    </row>
    <row r="64" ht="16.5" customHeight="1" spans="1:12">
      <c r="D64" s="226" t="s">
        <v>53</v>
      </c>
      <c r="E64" s="224"/>
      <c r="F64" s="224"/>
      <c r="G64" s="224"/>
      <c r="H64" s="227">
        <v>-430661</v>
      </c>
      <c r="I64" s="227">
        <v>-353111</v>
      </c>
      <c r="J64" s="227">
        <v>176296</v>
      </c>
      <c r="K64" s="227">
        <v>-121539</v>
      </c>
      <c r="L64" s="227">
        <v>72348</v>
      </c>
    </row>
    <row r="65" ht="16.5" customHeight="1" spans="2:12">
      <c r="D65" s="226" t="s">
        <v>54</v>
      </c>
      <c r="E65" s="224"/>
      <c r="F65" s="224"/>
      <c r="G65" s="224"/>
      <c r="H65" s="227">
        <v>376777</v>
      </c>
      <c r="I65" s="227">
        <v>533543</v>
      </c>
      <c r="J65" s="227">
        <v>512075</v>
      </c>
      <c r="K65" s="227">
        <v>494778</v>
      </c>
      <c r="L65" s="227">
        <v>577451</v>
      </c>
    </row>
    <row r="66" ht="16.5" customHeight="1" spans="2:12">
      <c r="D66" s="226" t="s">
        <v>55</v>
      </c>
      <c r="E66" s="224"/>
      <c r="F66" s="224"/>
      <c r="G66" s="224"/>
      <c r="H66" s="227">
        <v>199548</v>
      </c>
      <c r="I66" s="227">
        <v>-166550</v>
      </c>
      <c r="J66" s="227">
        <v>-459359</v>
      </c>
      <c r="K66" s="227">
        <v>-590698</v>
      </c>
      <c r="L66" s="227">
        <v>-442056</v>
      </c>
    </row>
    <row r="67" ht="16.5" customHeight="1" spans="2:12">
      <c r="C67" s="230" t="s">
        <v>56</v>
      </c>
      <c r="E67" s="224"/>
      <c r="F67" s="224"/>
      <c r="G67" s="224"/>
      <c r="H67" s="167"/>
      <c r="I67" s="167"/>
      <c r="J67" s="167"/>
      <c r="K67" s="167"/>
      <c r="L67" s="167"/>
    </row>
    <row r="68" ht="16.5" customHeight="1" spans="2:12">
      <c r="D68" s="226" t="s">
        <v>19</v>
      </c>
      <c r="E68" s="224"/>
      <c r="F68" s="224"/>
      <c r="G68" s="224"/>
      <c r="H68" s="227">
        <v>-369681</v>
      </c>
      <c r="I68" s="227">
        <v>-353834</v>
      </c>
      <c r="J68" s="227">
        <v>-181003</v>
      </c>
      <c r="K68" s="227">
        <v>22180</v>
      </c>
      <c r="L68" s="227">
        <v>-790661</v>
      </c>
    </row>
    <row r="69" ht="16.5" customHeight="1" spans="2:12">
      <c r="D69" s="226" t="s">
        <v>28</v>
      </c>
      <c r="E69" s="224"/>
      <c r="F69" s="224"/>
      <c r="G69" s="224"/>
      <c r="H69" s="227">
        <v>145115</v>
      </c>
      <c r="I69" s="227">
        <v>-158543</v>
      </c>
      <c r="J69" s="227">
        <v>93502</v>
      </c>
      <c r="K69" s="227">
        <v>121353</v>
      </c>
      <c r="L69" s="227">
        <v>-8039</v>
      </c>
    </row>
    <row r="70" ht="16.5" customHeight="1" spans="2:12">
      <c r="D70" s="226" t="s">
        <v>29</v>
      </c>
      <c r="E70" s="224"/>
      <c r="F70" s="224"/>
      <c r="G70" s="224"/>
      <c r="H70" s="227">
        <v>180338</v>
      </c>
      <c r="I70" s="227">
        <v>-55513</v>
      </c>
      <c r="J70" s="227">
        <v>103565</v>
      </c>
      <c r="K70" s="227">
        <v>191899</v>
      </c>
      <c r="L70" s="227">
        <v>881218</v>
      </c>
    </row>
    <row r="71" ht="16.5" customHeight="1" spans="2:12">
      <c r="D71" s="226" t="s">
        <v>30</v>
      </c>
      <c r="E71" s="224"/>
      <c r="F71" s="224"/>
      <c r="G71" s="224"/>
      <c r="H71" s="227">
        <v>91350</v>
      </c>
      <c r="I71" s="227">
        <v>27356</v>
      </c>
      <c r="J71" s="227">
        <v>178708</v>
      </c>
      <c r="K71" s="227">
        <v>77844</v>
      </c>
      <c r="L71" s="227">
        <v>254917</v>
      </c>
    </row>
    <row r="72" ht="16.5" customHeight="1" spans="2:12">
      <c r="D72" s="226" t="s">
        <v>57</v>
      </c>
      <c r="E72" s="224"/>
      <c r="F72" s="224"/>
      <c r="G72" s="224"/>
      <c r="H72" s="227">
        <v>-289099</v>
      </c>
      <c r="I72" s="227">
        <v>-217553</v>
      </c>
      <c r="J72" s="227">
        <v>-310920</v>
      </c>
      <c r="K72" s="227">
        <v>-446351</v>
      </c>
      <c r="L72" s="227">
        <v>-793655</v>
      </c>
    </row>
    <row r="73" ht="16.5" customHeight="1" spans="2:12">
      <c r="C73" s="223" t="s">
        <v>58</v>
      </c>
      <c r="E73" s="224"/>
      <c r="F73" s="224"/>
      <c r="G73" s="224"/>
      <c r="H73" s="228">
        <f>SUM(H57,H59,H60,H61,H62,H63,H64,H65,H66,H68,H69,H70,H71,H72)</f>
        <v>392610</v>
      </c>
      <c r="I73" s="228">
        <f>SUM(I57,I59,I60,I61,I62,I63,I64,I65,I66,I68,I69,I70,I71,I72)</f>
        <v>2026257</v>
      </c>
      <c r="J73" s="228">
        <f>SUM(J57,J59,J60,J61,J62,J63,J64,J65,J66,J68,J69,J70,J71,J72)</f>
        <v>7274301</v>
      </c>
      <c r="K73" s="228">
        <f>SUM(K57,K59,K60,K61,K62,K63,K64,K65,K66,K68,K69,K70,K71,K72)</f>
        <v>7361364</v>
      </c>
      <c r="L73" s="228">
        <f>SUM(L57,L59,L60,L61,L62,L63,L64,L65,L66,L68,L69,L70,L71,L72)</f>
        <v>10149273</v>
      </c>
    </row>
    <row r="74" ht="16.5" customHeight="1" spans="2:12">
      <c r="D74" s="229"/>
      <c r="E74" s="224"/>
      <c r="F74" s="224"/>
      <c r="G74" s="224"/>
      <c r="H74" s="167"/>
      <c r="I74" s="167"/>
      <c r="J74" s="167"/>
      <c r="K74" s="167"/>
      <c r="L74" s="167"/>
    </row>
    <row r="75" ht="16.5" customHeight="1" spans="2:12">
      <c r="B75" s="230" t="s">
        <v>59</v>
      </c>
      <c r="E75" s="224"/>
      <c r="F75" s="224"/>
      <c r="G75" s="224"/>
      <c r="H75" s="167"/>
      <c r="I75" s="167"/>
      <c r="J75" s="167"/>
      <c r="K75" s="167"/>
      <c r="L75" s="167"/>
    </row>
    <row r="76" ht="16.5" customHeight="1" spans="2:12">
      <c r="D76" s="226" t="s">
        <v>60</v>
      </c>
      <c r="E76" s="224"/>
      <c r="F76" s="224"/>
      <c r="G76" s="224"/>
      <c r="H76" s="227">
        <v>-524585</v>
      </c>
      <c r="I76" s="227">
        <v>-407729</v>
      </c>
      <c r="J76" s="227">
        <v>-348552</v>
      </c>
      <c r="K76" s="227">
        <v>-439538</v>
      </c>
      <c r="L76" s="227">
        <v>-688220</v>
      </c>
    </row>
    <row r="77" ht="16.5" customHeight="1" spans="2:12">
      <c r="D77" s="226" t="s">
        <v>61</v>
      </c>
      <c r="E77" s="224"/>
      <c r="F77" s="224"/>
      <c r="G77" s="224"/>
      <c r="H77" s="227">
        <v>-26919</v>
      </c>
      <c r="I77" s="227">
        <v>0</v>
      </c>
      <c r="J77" s="227">
        <v>0</v>
      </c>
      <c r="K77" s="227">
        <v>0</v>
      </c>
      <c r="L77" s="227">
        <v>0</v>
      </c>
    </row>
    <row r="78" ht="16.5" customHeight="1" spans="2:12">
      <c r="D78" s="226" t="s">
        <v>62</v>
      </c>
      <c r="E78" s="224"/>
      <c r="F78" s="224"/>
      <c r="G78" s="224"/>
      <c r="H78" s="227">
        <v>-788349</v>
      </c>
      <c r="I78" s="227">
        <v>-757387</v>
      </c>
      <c r="J78" s="227">
        <v>0</v>
      </c>
      <c r="K78" s="227">
        <v>0</v>
      </c>
      <c r="L78" s="227">
        <v>-17194</v>
      </c>
    </row>
    <row r="79" ht="16.5" customHeight="1" spans="2:12">
      <c r="D79" s="226" t="s">
        <v>63</v>
      </c>
      <c r="E79" s="224"/>
      <c r="F79" s="224"/>
      <c r="G79" s="224"/>
      <c r="H79" s="227">
        <v>0</v>
      </c>
      <c r="I79" s="227">
        <v>-911276</v>
      </c>
      <c r="J79" s="227">
        <v>-504862</v>
      </c>
      <c r="K79" s="227">
        <v>-1742246</v>
      </c>
      <c r="L79" s="227">
        <v>-169965</v>
      </c>
    </row>
    <row r="80" ht="16.5" customHeight="1" spans="2:12">
      <c r="D80" s="226" t="s">
        <v>64</v>
      </c>
      <c r="E80" s="224"/>
      <c r="F80" s="224"/>
      <c r="G80" s="224"/>
      <c r="H80" s="227">
        <v>0</v>
      </c>
      <c r="I80" s="227">
        <v>0</v>
      </c>
      <c r="J80" s="227">
        <v>1395165</v>
      </c>
      <c r="K80" s="227">
        <v>0</v>
      </c>
      <c r="L80" s="227">
        <v>1917067</v>
      </c>
    </row>
    <row r="81" ht="16.5" customHeight="1" spans="2:12">
      <c r="D81" s="223" t="s">
        <v>65</v>
      </c>
      <c r="E81" s="224"/>
      <c r="F81" s="224"/>
      <c r="G81" s="224"/>
      <c r="H81" s="228">
        <f>SUM(H76:H80)</f>
        <v>-1339853</v>
      </c>
      <c r="I81" s="228">
        <f>SUM(I76:I80)</f>
        <v>-2076392</v>
      </c>
      <c r="J81" s="228">
        <f>SUM(J76:J80)</f>
        <v>541751</v>
      </c>
      <c r="K81" s="228">
        <f>SUM(K76:K80)</f>
        <v>-2181784</v>
      </c>
      <c r="L81" s="228">
        <f>SUM(L76:L80)</f>
        <v>1041688</v>
      </c>
    </row>
    <row r="82" ht="16.5" customHeight="1" spans="2:12">
      <c r="D82" s="229"/>
      <c r="E82" s="224"/>
      <c r="F82" s="224"/>
      <c r="G82" s="224"/>
      <c r="H82" s="167"/>
      <c r="I82" s="167"/>
      <c r="J82" s="167"/>
      <c r="K82" s="167"/>
      <c r="L82" s="167"/>
    </row>
    <row r="83" ht="16.5" customHeight="1" spans="2:12">
      <c r="B83" s="230" t="s">
        <v>66</v>
      </c>
      <c r="E83" s="224"/>
      <c r="F83" s="224"/>
      <c r="G83" s="224"/>
      <c r="H83" s="167"/>
      <c r="I83" s="167"/>
      <c r="J83" s="167"/>
      <c r="K83" s="167"/>
      <c r="L83" s="167"/>
    </row>
    <row r="84" ht="16.5" customHeight="1" spans="2:12">
      <c r="D84" s="226" t="s">
        <v>67</v>
      </c>
      <c r="E84" s="224"/>
      <c r="F84" s="224"/>
      <c r="G84" s="224"/>
      <c r="H84" s="227">
        <v>0</v>
      </c>
      <c r="I84" s="227">
        <v>0</v>
      </c>
      <c r="J84" s="227">
        <v>0</v>
      </c>
      <c r="K84" s="227">
        <v>1794460</v>
      </c>
      <c r="L84" s="227">
        <v>0</v>
      </c>
    </row>
    <row r="85" ht="16.5" customHeight="1" spans="2:12">
      <c r="D85" s="226" t="s">
        <v>68</v>
      </c>
      <c r="E85" s="224"/>
      <c r="F85" s="224"/>
      <c r="G85" s="224"/>
      <c r="H85" s="227">
        <v>-500000</v>
      </c>
      <c r="I85" s="227">
        <v>-700000</v>
      </c>
      <c r="J85" s="227">
        <v>0</v>
      </c>
      <c r="K85" s="227">
        <v>-400000</v>
      </c>
      <c r="L85" s="227">
        <v>-1833450</v>
      </c>
    </row>
    <row r="86" ht="16.5" customHeight="1" spans="2:12">
      <c r="D86" s="226" t="s">
        <v>69</v>
      </c>
      <c r="E86" s="224"/>
      <c r="F86" s="224"/>
      <c r="G86" s="224"/>
      <c r="H86" s="227">
        <v>174414</v>
      </c>
      <c r="I86" s="227">
        <v>35746</v>
      </c>
      <c r="J86" s="227">
        <v>169990</v>
      </c>
      <c r="K86" s="227">
        <v>832887</v>
      </c>
      <c r="L86" s="227">
        <v>666965</v>
      </c>
    </row>
    <row r="87" ht="16.5" customHeight="1" spans="2:12">
      <c r="D87" s="226" t="s">
        <v>70</v>
      </c>
      <c r="E87" s="224"/>
      <c r="F87" s="224"/>
      <c r="G87" s="224"/>
      <c r="H87" s="227">
        <v>-600022</v>
      </c>
      <c r="I87" s="227">
        <v>0</v>
      </c>
      <c r="J87" s="227">
        <v>-6045347</v>
      </c>
      <c r="K87" s="227">
        <v>-6263746</v>
      </c>
      <c r="L87" s="227">
        <v>-9127167</v>
      </c>
    </row>
    <row r="88" ht="16.5" customHeight="1" spans="2:12">
      <c r="D88" s="226" t="s">
        <v>71</v>
      </c>
      <c r="E88" s="224"/>
      <c r="F88" s="224"/>
      <c r="G88" s="224"/>
      <c r="H88" s="227">
        <v>-224168</v>
      </c>
      <c r="I88" s="227">
        <v>0</v>
      </c>
      <c r="J88" s="227">
        <v>0</v>
      </c>
      <c r="K88" s="227">
        <v>-8285</v>
      </c>
      <c r="L88" s="227">
        <v>-46165</v>
      </c>
    </row>
    <row r="89" ht="16.5" customHeight="1" spans="2:12">
      <c r="D89" s="226" t="s">
        <v>72</v>
      </c>
      <c r="E89" s="224"/>
      <c r="F89" s="224"/>
      <c r="G89" s="224"/>
      <c r="H89" s="227">
        <v>0</v>
      </c>
      <c r="I89" s="227">
        <v>0</v>
      </c>
      <c r="J89" s="227">
        <v>-75446</v>
      </c>
      <c r="K89" s="227">
        <v>-29743</v>
      </c>
      <c r="L89" s="227">
        <v>-5806</v>
      </c>
    </row>
    <row r="90" ht="16.5" customHeight="1" spans="2:12">
      <c r="C90" s="223" t="s">
        <v>73</v>
      </c>
      <c r="E90" s="224"/>
      <c r="F90" s="224"/>
      <c r="G90" s="224"/>
      <c r="H90" s="228">
        <f>SUM(H84:H89)</f>
        <v>-1149776</v>
      </c>
      <c r="I90" s="228">
        <f>SUM(I84:I89)</f>
        <v>-664254</v>
      </c>
      <c r="J90" s="228">
        <f>SUM(J84:J89)</f>
        <v>-5950803</v>
      </c>
      <c r="K90" s="228">
        <f>SUM(K84:K89)</f>
        <v>-4074427</v>
      </c>
      <c r="L90" s="228">
        <f>SUM(L84:L89)</f>
        <v>-10345623</v>
      </c>
    </row>
    <row r="91" ht="16.5" customHeight="1" spans="2:12">
      <c r="D91" s="229"/>
      <c r="E91" s="224"/>
      <c r="F91" s="224"/>
      <c r="G91" s="224"/>
      <c r="H91" s="167"/>
      <c r="I91" s="167"/>
      <c r="J91" s="167"/>
      <c r="K91" s="167"/>
      <c r="L91" s="167"/>
    </row>
    <row r="92" ht="16.5" customHeight="1" spans="2:12">
      <c r="D92" s="224" t="s">
        <v>74</v>
      </c>
      <c r="E92" s="224"/>
      <c r="F92" s="224"/>
      <c r="G92" s="224"/>
      <c r="H92" s="227">
        <v>-86740</v>
      </c>
      <c r="I92" s="227">
        <v>-170140</v>
      </c>
      <c r="J92" s="227">
        <v>82684</v>
      </c>
      <c r="K92" s="227">
        <v>-416331</v>
      </c>
      <c r="L92" s="227">
        <v>386519</v>
      </c>
    </row>
    <row r="93" ht="16.5" customHeight="1" spans="2:12">
      <c r="C93" s="223" t="s">
        <v>75</v>
      </c>
      <c r="E93" s="224"/>
      <c r="F93" s="224"/>
      <c r="G93" s="224"/>
      <c r="H93" s="225">
        <f>H73+H81+H90+H92</f>
        <v>-2183759</v>
      </c>
      <c r="I93" s="225">
        <f>I73+I81+I90+I92</f>
        <v>-884529</v>
      </c>
      <c r="J93" s="225">
        <f>J73+J81+J90+J92</f>
        <v>1947933</v>
      </c>
      <c r="K93" s="225">
        <f>K73+K81+K90+K92</f>
        <v>688822</v>
      </c>
      <c r="L93" s="225">
        <f>L73+L81+L90+L92</f>
        <v>1231857</v>
      </c>
    </row>
    <row r="94" ht="16.5" customHeight="1" spans="2:12">
      <c r="D94" s="224" t="s">
        <v>76</v>
      </c>
      <c r="E94" s="224"/>
      <c r="F94" s="224"/>
      <c r="G94" s="224"/>
      <c r="H94" s="227">
        <v>8238870</v>
      </c>
      <c r="I94" s="227">
        <v>6055111</v>
      </c>
      <c r="J94" s="227">
        <v>5170582</v>
      </c>
      <c r="K94" s="227">
        <v>7118515</v>
      </c>
      <c r="L94" s="227">
        <v>7807337</v>
      </c>
    </row>
    <row r="95" ht="16.5" customHeight="1" spans="2:12">
      <c r="C95" s="223" t="s">
        <v>77</v>
      </c>
      <c r="E95" s="224"/>
      <c r="F95" s="224"/>
      <c r="G95" s="224"/>
      <c r="H95" s="225">
        <f>H93+H94</f>
        <v>6055111</v>
      </c>
      <c r="I95" s="225">
        <f>I93+I94</f>
        <v>5170582</v>
      </c>
      <c r="J95" s="225">
        <f>J93+J94</f>
        <v>7118515</v>
      </c>
      <c r="K95" s="225">
        <f>K93+K94</f>
        <v>7807337</v>
      </c>
      <c r="L95" s="225">
        <f>L93+L94</f>
        <v>9039194</v>
      </c>
    </row>
    <row r="96" ht="16.5" customHeight="1" spans="2:12">
      <c r="D96" s="229"/>
      <c r="E96" s="224"/>
      <c r="F96" s="224"/>
      <c r="G96" s="224"/>
      <c r="H96" s="227"/>
      <c r="I96" s="227"/>
      <c r="J96" s="227"/>
      <c r="K96" s="227"/>
      <c r="L96" s="227"/>
    </row>
    <row r="97" ht="16.5" customHeight="1" spans="4:12">
      <c r="D97" s="230"/>
      <c r="E97" s="224"/>
      <c r="F97" s="224"/>
      <c r="G97" s="224"/>
      <c r="H97" s="224"/>
      <c r="I97" s="224"/>
      <c r="J97" s="224"/>
      <c r="K97" s="224"/>
      <c r="L97" s="224"/>
    </row>
    <row r="98" ht="16.5" customHeight="1" spans="4:12">
      <c r="D98" s="226"/>
      <c r="E98" s="224"/>
      <c r="F98" s="224"/>
      <c r="G98" s="224"/>
      <c r="H98" s="224"/>
      <c r="I98" s="224"/>
      <c r="J98" s="224"/>
      <c r="K98" s="224"/>
      <c r="L98" s="224"/>
    </row>
    <row r="99" ht="16.5" customHeight="1" spans="4:12">
      <c r="D99" s="226"/>
      <c r="E99" s="224"/>
      <c r="F99" s="224"/>
      <c r="G99" s="224"/>
      <c r="H99" s="224"/>
      <c r="I99" s="224"/>
      <c r="J99" s="224"/>
      <c r="K99" s="224"/>
      <c r="L99" s="224"/>
    </row>
    <row r="100" ht="16.5" customHeight="1" spans="4:12">
      <c r="D100" s="224"/>
      <c r="E100" s="224"/>
      <c r="F100" s="224"/>
      <c r="G100" s="224"/>
      <c r="H100" s="224"/>
      <c r="I100" s="224"/>
      <c r="J100" s="224"/>
      <c r="K100" s="224"/>
      <c r="L100" s="224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9"/>
  <sheetViews>
    <sheetView showGridLines="0" tabSelected="1" zoomScale="68" zoomScaleNormal="68" workbookViewId="0">
      <pane xSplit="6" ySplit="2" topLeftCell="G125" activePane="bottomRight" state="frozen"/>
      <selection/>
      <selection pane="topRight"/>
      <selection pane="bottomLeft"/>
      <selection pane="bottomRight" activeCell="M104" sqref="M104"/>
    </sheetView>
  </sheetViews>
  <sheetFormatPr defaultColWidth="9.16071428571429" defaultRowHeight="16.8"/>
  <cols>
    <col min="1" max="3" width="1.24107142857143" style="77" customWidth="1"/>
    <col min="4" max="4" width="40.6428571428571" style="77" customWidth="1"/>
    <col min="6" max="6" width="13.2232142857143" style="77" customWidth="1"/>
    <col min="7" max="7" width="2.64285714285714" style="77" customWidth="1"/>
    <col min="8" max="17" width="13.6428571428571" style="77" customWidth="1"/>
    <col min="22" max="22" width="12.7857142857143"/>
  </cols>
  <sheetData>
    <row r="1" ht="39.75" customHeight="1" spans="1:22">
      <c r="A1" s="100" t="s">
        <v>0</v>
      </c>
      <c r="B1" s="3"/>
      <c r="C1" s="3"/>
      <c r="D1" s="3"/>
      <c r="E1" s="3"/>
      <c r="F1" s="3"/>
      <c r="G1" s="3"/>
      <c r="H1" s="101" t="s">
        <v>1</v>
      </c>
      <c r="I1" s="101"/>
      <c r="J1" s="101"/>
      <c r="K1" s="101"/>
      <c r="L1" s="101"/>
      <c r="M1" s="101" t="s">
        <v>78</v>
      </c>
      <c r="N1" s="101"/>
      <c r="O1" s="101"/>
      <c r="P1" s="101"/>
      <c r="Q1" s="101"/>
    </row>
    <row r="2" ht="17.25" customHeight="1" spans="1:22">
      <c r="A2" s="23" t="s">
        <v>79</v>
      </c>
      <c r="B2" s="3"/>
      <c r="C2" s="3"/>
      <c r="D2" s="3"/>
      <c r="E2" s="3"/>
      <c r="F2" s="3"/>
      <c r="G2" s="3"/>
      <c r="H2" s="102">
        <v>2021</v>
      </c>
      <c r="I2" s="102">
        <f t="shared" ref="I2:Q2" si="0">H2+1</f>
        <v>2022</v>
      </c>
      <c r="J2" s="102">
        <f t="shared" si="0"/>
        <v>2023</v>
      </c>
      <c r="K2" s="102">
        <f t="shared" si="0"/>
        <v>2024</v>
      </c>
      <c r="L2" s="102">
        <f t="shared" si="0"/>
        <v>2025</v>
      </c>
      <c r="M2" s="103">
        <f t="shared" si="0"/>
        <v>2026</v>
      </c>
      <c r="N2" s="103">
        <f t="shared" si="0"/>
        <v>2027</v>
      </c>
      <c r="O2" s="103">
        <f t="shared" si="0"/>
        <v>2028</v>
      </c>
      <c r="P2" s="103">
        <f t="shared" si="0"/>
        <v>2029</v>
      </c>
      <c r="Q2" s="103">
        <f t="shared" si="0"/>
        <v>2030</v>
      </c>
    </row>
    <row r="3" outlineLevel="1"/>
    <row r="4" outlineLevel="1" spans="1:22">
      <c r="A4" s="104" t="s">
        <v>80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</row>
    <row r="5" outlineLevel="1"/>
    <row r="6" ht="16.5" customHeight="1" outlineLevel="1" spans="1:22">
      <c r="A6" s="1"/>
      <c r="B6" s="1"/>
      <c r="C6" s="63" t="s">
        <v>81</v>
      </c>
      <c r="D6" s="1"/>
      <c r="E6" s="3" t="s">
        <v>82</v>
      </c>
      <c r="G6" s="106">
        <f>IF(E6=Scenario!D6,1,IF(E6=Scenario!D7,2,3))</f>
        <v>1</v>
      </c>
      <c r="H6" s="107"/>
      <c r="I6" s="107"/>
      <c r="J6" s="107"/>
      <c r="K6" s="107"/>
      <c r="L6" s="107"/>
    </row>
    <row r="7" ht="16.5" customHeight="1" outlineLevel="1" spans="1:22">
      <c r="A7" s="1"/>
      <c r="B7" s="64"/>
      <c r="C7" s="64" t="s">
        <v>83</v>
      </c>
      <c r="D7" s="64"/>
      <c r="E7" s="1"/>
      <c r="H7" s="108"/>
      <c r="I7" s="108">
        <f>(I22-H22)/H22</f>
        <v>0.064573913176997</v>
      </c>
      <c r="J7" s="108">
        <f>(J22-I22)/I22</f>
        <v>0.0666680478435453</v>
      </c>
      <c r="K7" s="108">
        <f>(K22-J22)/J22</f>
        <v>0.156499199944774</v>
      </c>
      <c r="L7" s="108">
        <f>(L22-K22)/K22</f>
        <v>0.158510689196775</v>
      </c>
      <c r="M7" s="109">
        <f t="array" ref="M7:Q7">CHOOSE(G6,Scenario!H6:L6,Scenario!H7:L7,Scenario!H8:L8)</f>
        <v>0.111562962540523</v>
      </c>
      <c r="N7" s="109">
        <v>0.104358905483663</v>
      </c>
      <c r="O7" s="109">
        <v>0.0976200425817142</v>
      </c>
      <c r="P7" s="109">
        <v>0.0913163344277078</v>
      </c>
      <c r="Q7" s="109">
        <v>0.0854196813767314</v>
      </c>
    </row>
    <row r="8" ht="16.5" customHeight="1" outlineLevel="1" spans="1:22">
      <c r="A8" s="1"/>
      <c r="B8" s="1"/>
      <c r="C8" s="1" t="s">
        <v>84</v>
      </c>
      <c r="D8" s="1"/>
      <c r="E8" s="1"/>
      <c r="H8" s="108">
        <f>H23/-H22</f>
        <v>0.583634387735352</v>
      </c>
      <c r="I8" s="108">
        <f>I23/-I22</f>
        <v>0.606292947615967</v>
      </c>
      <c r="J8" s="108">
        <f>J23/-J22</f>
        <v>0.584621604465305</v>
      </c>
      <c r="K8" s="108">
        <f>K23/-K22</f>
        <v>0.539434433495827</v>
      </c>
      <c r="L8" s="108">
        <f>L23/-L22</f>
        <v>0.51513424197524</v>
      </c>
      <c r="M8" s="109">
        <f t="shared" ref="M8:M13" si="1">AVERAGE(H8:L8)</f>
        <v>0.565823523057538</v>
      </c>
      <c r="N8" s="109">
        <f t="shared" ref="N8:N18" si="2">M8</f>
        <v>0.565823523057538</v>
      </c>
      <c r="O8" s="109">
        <f t="shared" ref="O8:O18" si="3">N8</f>
        <v>0.565823523057538</v>
      </c>
      <c r="P8" s="109">
        <f t="shared" ref="P8:P18" si="4">O8</f>
        <v>0.565823523057538</v>
      </c>
      <c r="Q8" s="109">
        <f t="shared" ref="Q8:Q18" si="5">P8</f>
        <v>0.565823523057538</v>
      </c>
    </row>
    <row r="9" ht="16.5" customHeight="1" outlineLevel="1" spans="1:22">
      <c r="A9" s="1"/>
      <c r="B9" s="1"/>
      <c r="C9" s="1" t="s">
        <v>85</v>
      </c>
      <c r="D9" s="1"/>
      <c r="E9" s="1"/>
      <c r="H9" s="108">
        <f>H25/-H22</f>
        <v>0.207781143977994</v>
      </c>
      <c r="I9" s="108">
        <f>I25/-I22</f>
        <v>0.215540580505479</v>
      </c>
      <c r="J9" s="108">
        <f>J25/-J22</f>
        <v>0.209170710681106</v>
      </c>
      <c r="K9" s="108">
        <f>K25/-K22</f>
        <v>0.193453874962995</v>
      </c>
      <c r="L9" s="108">
        <f>L25/-L22</f>
        <v>0.189918711969687</v>
      </c>
      <c r="M9" s="109">
        <f t="shared" si="1"/>
        <v>0.203173004419452</v>
      </c>
      <c r="N9" s="109">
        <f t="shared" si="2"/>
        <v>0.203173004419452</v>
      </c>
      <c r="O9" s="109">
        <f t="shared" si="3"/>
        <v>0.203173004419452</v>
      </c>
      <c r="P9" s="109">
        <f t="shared" si="4"/>
        <v>0.203173004419452</v>
      </c>
      <c r="Q9" s="109">
        <f t="shared" si="5"/>
        <v>0.203173004419452</v>
      </c>
    </row>
    <row r="10" ht="16.5" customHeight="1" outlineLevel="1" spans="1:22">
      <c r="A10" s="1"/>
      <c r="B10" s="1"/>
      <c r="C10" s="1" t="s">
        <v>86</v>
      </c>
      <c r="D10" s="1"/>
      <c r="E10" s="1"/>
      <c r="H10" s="108">
        <f>H27/-H45</f>
        <v>0.157475936055153</v>
      </c>
      <c r="I10" s="108">
        <f>I27/-I45</f>
        <v>0.24078692257575</v>
      </c>
      <c r="J10" s="108">
        <f>J27/-J45</f>
        <v>0.239329803867929</v>
      </c>
      <c r="K10" s="108">
        <f>K27/-K45</f>
        <v>0.206376634817375</v>
      </c>
      <c r="L10" s="108">
        <f>L27/-L45</f>
        <v>0.166332726320253</v>
      </c>
      <c r="M10" s="109">
        <f t="shared" si="1"/>
        <v>0.202060404727292</v>
      </c>
      <c r="N10" s="109">
        <f t="shared" si="2"/>
        <v>0.202060404727292</v>
      </c>
      <c r="O10" s="109">
        <f t="shared" si="3"/>
        <v>0.202060404727292</v>
      </c>
      <c r="P10" s="109">
        <f t="shared" si="4"/>
        <v>0.202060404727292</v>
      </c>
      <c r="Q10" s="109">
        <f t="shared" si="5"/>
        <v>0.202060404727292</v>
      </c>
    </row>
    <row r="11" ht="16.5" customHeight="1" outlineLevel="1" spans="1:22">
      <c r="A11" s="1"/>
      <c r="B11" s="1"/>
      <c r="C11" s="1" t="s">
        <v>87</v>
      </c>
      <c r="D11" s="1"/>
      <c r="E11" s="1"/>
      <c r="H11" s="108">
        <f>H29/-H58</f>
        <v>0.0497385319655594</v>
      </c>
      <c r="I11" s="108">
        <f>I29/-I58</f>
        <v>0.0492028328979795</v>
      </c>
      <c r="J11" s="108">
        <f>J29/-J58</f>
        <v>0.0481202943411385</v>
      </c>
      <c r="K11" s="108">
        <f>K29/-K58</f>
        <v>0.0461234704614137</v>
      </c>
      <c r="L11" s="108">
        <f>L29/-L58</f>
        <v>0.0536900231738782</v>
      </c>
      <c r="M11" s="109">
        <f t="shared" si="1"/>
        <v>0.0493750305679939</v>
      </c>
      <c r="N11" s="109">
        <f t="shared" si="2"/>
        <v>0.0493750305679939</v>
      </c>
      <c r="O11" s="109">
        <f t="shared" si="3"/>
        <v>0.0493750305679939</v>
      </c>
      <c r="P11" s="109">
        <f t="shared" si="4"/>
        <v>0.0493750305679939</v>
      </c>
      <c r="Q11" s="109">
        <f t="shared" si="5"/>
        <v>0.0493750305679939</v>
      </c>
    </row>
    <row r="12" ht="16.5" customHeight="1" outlineLevel="1" spans="1:22">
      <c r="A12" s="1"/>
      <c r="B12" s="1"/>
      <c r="C12" s="1" t="s">
        <v>88</v>
      </c>
      <c r="D12" s="1"/>
      <c r="E12" s="1"/>
      <c r="H12" s="108">
        <f>H30/H22</f>
        <v>0.0138465943857743</v>
      </c>
      <c r="I12" s="108">
        <f>I30/I22</f>
        <v>0.0106691169377094</v>
      </c>
      <c r="J12" s="108">
        <f>J30/J22</f>
        <v>-0.00144624056182882</v>
      </c>
      <c r="K12" s="108">
        <f>K30/K22</f>
        <v>0.00684024082890665</v>
      </c>
      <c r="L12" s="108">
        <f>L30/L22</f>
        <v>0.00381689712041484</v>
      </c>
      <c r="M12" s="109">
        <f t="shared" si="1"/>
        <v>0.00674532174219528</v>
      </c>
      <c r="N12" s="109">
        <f t="shared" si="2"/>
        <v>0.00674532174219528</v>
      </c>
      <c r="O12" s="109">
        <f t="shared" si="3"/>
        <v>0.00674532174219528</v>
      </c>
      <c r="P12" s="109">
        <f t="shared" si="4"/>
        <v>0.00674532174219528</v>
      </c>
      <c r="Q12" s="109">
        <f t="shared" si="5"/>
        <v>0.00674532174219528</v>
      </c>
    </row>
    <row r="13" ht="16.5" customHeight="1" outlineLevel="1" spans="1:22">
      <c r="A13" s="1"/>
      <c r="B13" s="1"/>
      <c r="C13" s="1" t="s">
        <v>89</v>
      </c>
      <c r="D13" s="1"/>
      <c r="E13" s="1"/>
      <c r="H13" s="108">
        <f>H90/H33</f>
        <v>0</v>
      </c>
      <c r="I13" s="108">
        <f>I90/I33</f>
        <v>0</v>
      </c>
      <c r="J13" s="108">
        <f>J90/J33</f>
        <v>0</v>
      </c>
      <c r="K13" s="108">
        <f>K90/K33</f>
        <v>0</v>
      </c>
      <c r="L13" s="108">
        <f>L90/L33</f>
        <v>0</v>
      </c>
      <c r="M13" s="109">
        <f t="shared" si="1"/>
        <v>0</v>
      </c>
      <c r="N13" s="109">
        <f t="shared" si="2"/>
        <v>0</v>
      </c>
      <c r="O13" s="109">
        <f t="shared" si="3"/>
        <v>0</v>
      </c>
      <c r="P13" s="109">
        <f t="shared" si="4"/>
        <v>0</v>
      </c>
      <c r="Q13" s="109">
        <f t="shared" si="5"/>
        <v>0</v>
      </c>
    </row>
    <row r="14" ht="16.5" customHeight="1" outlineLevel="1" spans="1:22">
      <c r="A14" s="1"/>
      <c r="B14" s="1"/>
      <c r="C14" s="1" t="s">
        <v>90</v>
      </c>
      <c r="D14" s="1"/>
      <c r="E14" s="1"/>
      <c r="H14" s="110">
        <v>0</v>
      </c>
      <c r="I14" s="110">
        <f>H14</f>
        <v>0</v>
      </c>
      <c r="J14" s="110">
        <f>I14</f>
        <v>0</v>
      </c>
      <c r="K14" s="110">
        <f>J14</f>
        <v>0</v>
      </c>
      <c r="L14" s="110">
        <f>K14</f>
        <v>0</v>
      </c>
      <c r="M14" s="110">
        <f>L14</f>
        <v>0</v>
      </c>
      <c r="N14" s="110">
        <f t="shared" si="2"/>
        <v>0</v>
      </c>
      <c r="O14" s="110">
        <f t="shared" si="3"/>
        <v>0</v>
      </c>
      <c r="P14" s="110">
        <f t="shared" si="4"/>
        <v>0</v>
      </c>
      <c r="Q14" s="110">
        <f t="shared" si="5"/>
        <v>0</v>
      </c>
      <c r="V14" s="111"/>
    </row>
    <row r="15" ht="16.5" customHeight="1" outlineLevel="1" spans="1:22">
      <c r="A15" s="1"/>
      <c r="B15" s="1"/>
      <c r="C15" s="1" t="s">
        <v>91</v>
      </c>
      <c r="D15" s="1"/>
      <c r="E15" s="1"/>
      <c r="H15" s="110">
        <v>0</v>
      </c>
      <c r="I15" s="110">
        <f>H15</f>
        <v>0</v>
      </c>
      <c r="J15" s="110">
        <f>I15</f>
        <v>0</v>
      </c>
      <c r="K15" s="110">
        <f>J15</f>
        <v>0</v>
      </c>
      <c r="L15" s="110">
        <f>K15</f>
        <v>0</v>
      </c>
      <c r="M15" s="110">
        <f>L15</f>
        <v>0</v>
      </c>
      <c r="N15" s="110">
        <f t="shared" si="2"/>
        <v>0</v>
      </c>
      <c r="O15" s="110">
        <f t="shared" si="3"/>
        <v>0</v>
      </c>
      <c r="P15" s="110">
        <f t="shared" si="4"/>
        <v>0</v>
      </c>
      <c r="Q15" s="110">
        <f t="shared" si="5"/>
        <v>0</v>
      </c>
    </row>
    <row r="16" ht="16.5" customHeight="1" outlineLevel="1" spans="1:22">
      <c r="A16" s="1"/>
      <c r="B16" s="1"/>
      <c r="C16" s="1" t="s">
        <v>92</v>
      </c>
      <c r="D16" s="1"/>
      <c r="E16" s="1"/>
      <c r="H16" s="112">
        <f>H54/-H23*365</f>
        <v>17.6361210206175</v>
      </c>
      <c r="I16" s="112">
        <f>I54/-I23*365</f>
        <v>12.7868635613463</v>
      </c>
      <c r="J16" s="112">
        <f>J54/-J23*365</f>
        <v>13.8371944160515</v>
      </c>
      <c r="K16" s="112">
        <f>K54/-K23*365</f>
        <v>15.6126789959571</v>
      </c>
      <c r="L16" s="112">
        <f>L54/-L23*365</f>
        <v>14.1232538538983</v>
      </c>
      <c r="M16" s="112">
        <f>AVERAGE(H16:L16)</f>
        <v>14.7992223695741</v>
      </c>
      <c r="N16" s="112">
        <f t="shared" si="2"/>
        <v>14.7992223695741</v>
      </c>
      <c r="O16" s="112">
        <f t="shared" si="3"/>
        <v>14.7992223695741</v>
      </c>
      <c r="P16" s="112">
        <f t="shared" si="4"/>
        <v>14.7992223695741</v>
      </c>
      <c r="Q16" s="112">
        <f t="shared" si="5"/>
        <v>14.7992223695741</v>
      </c>
    </row>
    <row r="17" ht="16.5" customHeight="1" outlineLevel="1" spans="1:17">
      <c r="A17" s="1"/>
      <c r="B17" s="1"/>
      <c r="C17" s="1" t="s">
        <v>93</v>
      </c>
      <c r="D17" s="1"/>
      <c r="E17" s="1"/>
      <c r="H17" s="35">
        <f>H22/(H45)</f>
        <v>22.4396665389704</v>
      </c>
      <c r="I17" s="35">
        <f>I22/(I45)</f>
        <v>22.6106860183786</v>
      </c>
      <c r="J17" s="35">
        <f>J22/(J45)</f>
        <v>22.6111721258056</v>
      </c>
      <c r="K17" s="35">
        <f>K22/(K45)</f>
        <v>24.4711022264387</v>
      </c>
      <c r="L17" s="35">
        <f>L22/(L45)</f>
        <v>22.5424880884077</v>
      </c>
      <c r="M17" s="35">
        <f>AVERAGE(H17:L17)</f>
        <v>22.9350229996002</v>
      </c>
      <c r="N17" s="35">
        <f t="shared" si="2"/>
        <v>22.9350229996002</v>
      </c>
      <c r="O17" s="35">
        <f t="shared" si="3"/>
        <v>22.9350229996002</v>
      </c>
      <c r="P17" s="35">
        <f t="shared" si="4"/>
        <v>22.9350229996002</v>
      </c>
      <c r="Q17" s="35">
        <f t="shared" si="5"/>
        <v>22.9350229996002</v>
      </c>
    </row>
    <row r="18" ht="16.5" customHeight="1" outlineLevel="1" spans="1:17">
      <c r="A18" s="1"/>
      <c r="B18" s="1"/>
      <c r="C18" s="1" t="s">
        <v>94</v>
      </c>
      <c r="D18" s="1"/>
      <c r="E18" s="1"/>
      <c r="H18" s="70">
        <f>-H32/H31</f>
        <v>0.128535993895972</v>
      </c>
      <c r="I18" s="70">
        <f>-I32/I31</f>
        <v>0.15668079964329</v>
      </c>
      <c r="J18" s="70">
        <f>-J32/J31</f>
        <v>0.136346195869065</v>
      </c>
      <c r="K18" s="70">
        <f>-K32/K31</f>
        <v>0.13012965065064</v>
      </c>
      <c r="L18" s="70">
        <f>-L32/L31</f>
        <v>0.140554369976406</v>
      </c>
      <c r="M18" s="70">
        <f>AVERAGE(H18:L18)</f>
        <v>0.138449402007075</v>
      </c>
      <c r="N18" s="70">
        <f t="shared" si="2"/>
        <v>0.138449402007075</v>
      </c>
      <c r="O18" s="70">
        <f t="shared" si="3"/>
        <v>0.138449402007075</v>
      </c>
      <c r="P18" s="70">
        <f t="shared" si="4"/>
        <v>0.138449402007075</v>
      </c>
      <c r="Q18" s="70">
        <f t="shared" si="5"/>
        <v>0.138449402007075</v>
      </c>
    </row>
    <row r="19" ht="16.5" customHeight="1" spans="1:17">
      <c r="A19" s="1"/>
      <c r="B19" s="1"/>
      <c r="C19" s="1"/>
      <c r="D19" s="1"/>
      <c r="E19" s="1"/>
      <c r="H19" s="113"/>
      <c r="I19" s="113"/>
      <c r="J19" s="113"/>
      <c r="K19" s="113"/>
      <c r="L19" s="113"/>
      <c r="M19" s="113"/>
      <c r="N19" s="113"/>
      <c r="O19" s="113"/>
      <c r="P19" s="113"/>
      <c r="Q19" s="113"/>
    </row>
    <row r="20" ht="16.5" customHeight="1" spans="1:17">
      <c r="A20" s="3" t="s">
        <v>95</v>
      </c>
      <c r="B20" s="79"/>
      <c r="C20" s="79"/>
      <c r="D20" s="79"/>
      <c r="E20" s="79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</row>
    <row r="21" ht="16.5" customHeight="1" outlineLevel="1" spans="1:17">
      <c r="A21" s="1"/>
      <c r="B21" s="1"/>
      <c r="C21" s="1"/>
      <c r="D21" s="1"/>
      <c r="E21" s="1"/>
      <c r="L21" s="115"/>
      <c r="M21" s="115"/>
      <c r="N21" s="115"/>
      <c r="O21" s="115"/>
      <c r="P21" s="115"/>
      <c r="Q21" s="115"/>
    </row>
    <row r="22" ht="16.5" customHeight="1" outlineLevel="1" spans="1:17">
      <c r="A22" s="1"/>
      <c r="B22" s="63" t="s">
        <v>96</v>
      </c>
      <c r="C22" s="63"/>
      <c r="D22" s="63"/>
      <c r="E22" s="63"/>
      <c r="F22" s="116"/>
      <c r="G22" s="116"/>
      <c r="H22" s="117">
        <f>'Historical Data'!H5</f>
        <v>29697844</v>
      </c>
      <c r="I22" s="117">
        <f>'Historical Data'!I5</f>
        <v>31615550</v>
      </c>
      <c r="J22" s="117">
        <f>'Historical Data'!J5</f>
        <v>33723297</v>
      </c>
      <c r="K22" s="117">
        <f>'Historical Data'!K5</f>
        <v>39000966</v>
      </c>
      <c r="L22" s="117">
        <f>'Historical Data'!L5</f>
        <v>45183036</v>
      </c>
      <c r="M22" s="117">
        <f>L22*(1+M7)</f>
        <v>50223789.3527351</v>
      </c>
      <c r="N22" s="117">
        <f>M22*(1+N7)</f>
        <v>55465089.0388286</v>
      </c>
      <c r="O22" s="117">
        <f>N22*(1+O7)</f>
        <v>60879593.3925976</v>
      </c>
      <c r="P22" s="117">
        <f>O22*(1+P7)</f>
        <v>66438894.7026589</v>
      </c>
      <c r="Q22" s="117">
        <f>P22*(1+Q7)</f>
        <v>72114083.9191822</v>
      </c>
    </row>
    <row r="23" ht="16.5" customHeight="1" outlineLevel="1" spans="1:17">
      <c r="A23" s="1"/>
      <c r="B23" s="1" t="s">
        <v>97</v>
      </c>
      <c r="C23" s="1"/>
      <c r="D23" s="1"/>
      <c r="E23" s="1"/>
      <c r="H23" s="118">
        <f>-'Historical Data'!H6</f>
        <v>-17332683</v>
      </c>
      <c r="I23" s="118">
        <f>-'Historical Data'!I6</f>
        <v>-19168285</v>
      </c>
      <c r="J23" s="118">
        <f>-'Historical Data'!J6</f>
        <v>-19715368</v>
      </c>
      <c r="K23" s="118">
        <f>-'Historical Data'!K6</f>
        <v>-21038464</v>
      </c>
      <c r="L23" s="118">
        <f>-'Historical Data'!L6</f>
        <v>-23275329</v>
      </c>
      <c r="M23" s="118">
        <f>M22*-M8</f>
        <v>-28417801.4328643</v>
      </c>
      <c r="N23" s="118">
        <f>N22*-N8</f>
        <v>-31383452.08665</v>
      </c>
      <c r="O23" s="118">
        <f>O22*-O8</f>
        <v>-34447106.01571</v>
      </c>
      <c r="P23" s="118">
        <f>P22*-P8</f>
        <v>-37592689.4687073</v>
      </c>
      <c r="Q23" s="118">
        <f>Q22*-Q8</f>
        <v>-40803845.0252187</v>
      </c>
    </row>
    <row r="24" ht="16.5" customHeight="1" outlineLevel="1" spans="1:17">
      <c r="A24" s="1"/>
      <c r="B24" s="119" t="s">
        <v>98</v>
      </c>
      <c r="C24" s="119"/>
      <c r="D24" s="119"/>
      <c r="E24" s="119"/>
      <c r="F24" s="120"/>
      <c r="G24" s="120"/>
      <c r="H24" s="121">
        <f t="shared" ref="H24:Q24" si="6">SUM(H22:H23)</f>
        <v>12365161</v>
      </c>
      <c r="I24" s="121">
        <f t="shared" si="6"/>
        <v>12447265</v>
      </c>
      <c r="J24" s="121">
        <f t="shared" si="6"/>
        <v>14007929</v>
      </c>
      <c r="K24" s="121">
        <f t="shared" si="6"/>
        <v>17962502</v>
      </c>
      <c r="L24" s="121">
        <f t="shared" si="6"/>
        <v>21907707</v>
      </c>
      <c r="M24" s="121">
        <f t="shared" si="6"/>
        <v>21805987.9198708</v>
      </c>
      <c r="N24" s="121">
        <f t="shared" si="6"/>
        <v>24081636.9521785</v>
      </c>
      <c r="O24" s="121">
        <f t="shared" si="6"/>
        <v>26432487.3768876</v>
      </c>
      <c r="P24" s="121">
        <f t="shared" si="6"/>
        <v>28846205.2339516</v>
      </c>
      <c r="Q24" s="121">
        <f t="shared" si="6"/>
        <v>31310238.8939636</v>
      </c>
    </row>
    <row r="25" ht="16.5" customHeight="1" outlineLevel="1" spans="1:17">
      <c r="A25" s="1"/>
      <c r="B25" s="1" t="s">
        <v>99</v>
      </c>
      <c r="C25" s="1"/>
      <c r="D25" s="1"/>
      <c r="E25" s="1"/>
      <c r="H25" s="118">
        <f>-SUM('Historical Data'!H7:H9)</f>
        <v>-6170652</v>
      </c>
      <c r="I25" s="118">
        <f>-SUM('Historical Data'!I7:I9)</f>
        <v>-6814434</v>
      </c>
      <c r="J25" s="118">
        <f>-SUM('Historical Data'!J7:J9)</f>
        <v>-7053926</v>
      </c>
      <c r="K25" s="118">
        <f>-SUM('Historical Data'!K7:K9)</f>
        <v>-7544888</v>
      </c>
      <c r="L25" s="118">
        <f>-SUM('Historical Data'!L7:L9)</f>
        <v>-8581104</v>
      </c>
      <c r="M25" s="118">
        <f>M22*-M9</f>
        <v>-10204118.1761249</v>
      </c>
      <c r="N25" s="118">
        <f>N22*-N9</f>
        <v>-11269008.7804112</v>
      </c>
      <c r="O25" s="118">
        <f>O22*-O9</f>
        <v>-12369089.8974087</v>
      </c>
      <c r="P25" s="118">
        <f>P22*-P9</f>
        <v>-13498589.8470468</v>
      </c>
      <c r="Q25" s="118">
        <f>Q22*-Q9</f>
        <v>-14651635.0908167</v>
      </c>
    </row>
    <row r="26" ht="16.5" customHeight="1" outlineLevel="1" spans="1:17">
      <c r="A26" s="1"/>
      <c r="B26" s="119" t="s">
        <v>100</v>
      </c>
      <c r="C26" s="119"/>
      <c r="D26" s="119"/>
      <c r="E26" s="119"/>
      <c r="F26" s="120"/>
      <c r="G26" s="120"/>
      <c r="H26" s="121">
        <f t="shared" ref="H26:Q26" si="7">SUM(H24:H25)</f>
        <v>6194509</v>
      </c>
      <c r="I26" s="121">
        <f t="shared" si="7"/>
        <v>5632831</v>
      </c>
      <c r="J26" s="121">
        <f t="shared" si="7"/>
        <v>6954003</v>
      </c>
      <c r="K26" s="121">
        <f t="shared" si="7"/>
        <v>10417614</v>
      </c>
      <c r="L26" s="121">
        <f t="shared" si="7"/>
        <v>13326603</v>
      </c>
      <c r="M26" s="121">
        <f t="shared" si="7"/>
        <v>11601869.743746</v>
      </c>
      <c r="N26" s="121">
        <f t="shared" si="7"/>
        <v>12812628.1717673</v>
      </c>
      <c r="O26" s="121">
        <f t="shared" si="7"/>
        <v>14063397.4794789</v>
      </c>
      <c r="P26" s="121">
        <f t="shared" si="7"/>
        <v>15347615.3869048</v>
      </c>
      <c r="Q26" s="121">
        <f t="shared" si="7"/>
        <v>16658603.8031468</v>
      </c>
    </row>
    <row r="27" ht="16.5" customHeight="1" outlineLevel="1" spans="1:17">
      <c r="A27" s="1"/>
      <c r="B27" s="1" t="s">
        <v>101</v>
      </c>
      <c r="C27" s="1"/>
      <c r="D27" s="1"/>
      <c r="E27" s="1"/>
      <c r="H27" s="118">
        <f>-'Historical Data'!H62</f>
        <v>-208412</v>
      </c>
      <c r="I27" s="118">
        <f>-'Historical Data'!I62</f>
        <v>-336682</v>
      </c>
      <c r="J27" s="118">
        <f>-'Historical Data'!J62</f>
        <v>-356947</v>
      </c>
      <c r="K27" s="118">
        <f>-'Historical Data'!K62</f>
        <v>-328914</v>
      </c>
      <c r="L27" s="118">
        <f>-'Historical Data'!L62</f>
        <v>-333389</v>
      </c>
      <c r="M27" s="118">
        <f>M111</f>
        <v>-404999.772215148</v>
      </c>
      <c r="N27" s="118">
        <f>N111</f>
        <v>-367575.018210896</v>
      </c>
      <c r="O27" s="118">
        <f>O111</f>
        <v>-339479.16328353</v>
      </c>
      <c r="P27" s="118">
        <f>P111</f>
        <v>-318586.322835155</v>
      </c>
      <c r="Q27" s="118">
        <f>Q111</f>
        <v>-303190.777374944</v>
      </c>
    </row>
    <row r="28" ht="16.5" customHeight="1" outlineLevel="1" spans="1:17">
      <c r="B28" s="119" t="s">
        <v>102</v>
      </c>
      <c r="C28" s="119"/>
      <c r="D28" s="119"/>
      <c r="E28" s="120"/>
      <c r="F28" s="120"/>
      <c r="G28" s="120"/>
      <c r="H28" s="121">
        <f t="shared" ref="H28:Q28" si="8">SUM(H26:H27)</f>
        <v>5986097</v>
      </c>
      <c r="I28" s="121">
        <f t="shared" si="8"/>
        <v>5296149</v>
      </c>
      <c r="J28" s="121">
        <f t="shared" si="8"/>
        <v>6597056</v>
      </c>
      <c r="K28" s="121">
        <f t="shared" si="8"/>
        <v>10088700</v>
      </c>
      <c r="L28" s="121">
        <f t="shared" si="8"/>
        <v>12993214</v>
      </c>
      <c r="M28" s="121">
        <f t="shared" si="8"/>
        <v>11196869.9715308</v>
      </c>
      <c r="N28" s="121">
        <f t="shared" si="8"/>
        <v>12445053.1535564</v>
      </c>
      <c r="O28" s="121">
        <f t="shared" si="8"/>
        <v>13723918.3161954</v>
      </c>
      <c r="P28" s="121">
        <f t="shared" si="8"/>
        <v>15029029.0640696</v>
      </c>
      <c r="Q28" s="121">
        <f t="shared" si="8"/>
        <v>16355413.0257719</v>
      </c>
    </row>
    <row r="29" ht="16.5" customHeight="1" outlineLevel="1" spans="1:17">
      <c r="B29" s="1" t="s">
        <v>103</v>
      </c>
      <c r="C29" s="1"/>
      <c r="D29" s="1"/>
      <c r="H29" s="118">
        <f>'Historical Data'!H13</f>
        <v>-765620</v>
      </c>
      <c r="I29" s="118">
        <f>'Historical Data'!I13</f>
        <v>-706212</v>
      </c>
      <c r="J29" s="118">
        <f>'Historical Data'!J13</f>
        <v>-699826</v>
      </c>
      <c r="K29" s="118">
        <f>'Historical Data'!K13</f>
        <v>-718733</v>
      </c>
      <c r="L29" s="118">
        <f>'Historical Data'!L13</f>
        <v>-776510</v>
      </c>
      <c r="M29" s="118">
        <f>M118</f>
        <v>-714102.969599882</v>
      </c>
      <c r="N29" s="118">
        <f>N118</f>
        <v>-714017.032660366</v>
      </c>
      <c r="O29" s="118">
        <f>O118</f>
        <v>-713931.095720851</v>
      </c>
      <c r="P29" s="118">
        <f>P118</f>
        <v>-713845.158781335</v>
      </c>
      <c r="Q29" s="118">
        <f>Q118</f>
        <v>-713759.221841819</v>
      </c>
    </row>
    <row r="30" ht="16.5" customHeight="1" outlineLevel="1" spans="1:17">
      <c r="B30" s="1" t="s">
        <v>104</v>
      </c>
      <c r="C30" s="1"/>
      <c r="D30" s="1"/>
      <c r="H30" s="118">
        <f>'Historical Data'!H14</f>
        <v>411214</v>
      </c>
      <c r="I30" s="118">
        <f>'Historical Data'!I14</f>
        <v>337310</v>
      </c>
      <c r="J30" s="118">
        <f>'Historical Data'!J14</f>
        <v>-48772</v>
      </c>
      <c r="K30" s="118">
        <f>'Historical Data'!K14</f>
        <v>266776</v>
      </c>
      <c r="L30" s="118">
        <f>'Historical Data'!L14</f>
        <v>172459</v>
      </c>
      <c r="M30" s="118">
        <f>M22*M12</f>
        <v>338775.61829644</v>
      </c>
      <c r="N30" s="118">
        <f>N22*N12</f>
        <v>374129.871026407</v>
      </c>
      <c r="O30" s="118">
        <f>O22*O12</f>
        <v>410652.444967096</v>
      </c>
      <c r="P30" s="118">
        <f>P22*P12</f>
        <v>448151.720965268</v>
      </c>
      <c r="Q30" s="118">
        <f>Q22*Q12</f>
        <v>486432.698178555</v>
      </c>
    </row>
    <row r="31" ht="16.5" customHeight="1" outlineLevel="1" spans="1:17">
      <c r="B31" s="119" t="s">
        <v>105</v>
      </c>
      <c r="C31" s="119"/>
      <c r="D31" s="119"/>
      <c r="E31" s="120"/>
      <c r="F31" s="120"/>
      <c r="G31" s="120"/>
      <c r="H31" s="121">
        <f t="shared" ref="H31:Q31" si="9">SUM(H28:H30)</f>
        <v>5631691</v>
      </c>
      <c r="I31" s="121">
        <f t="shared" si="9"/>
        <v>4927247</v>
      </c>
      <c r="J31" s="121">
        <f t="shared" si="9"/>
        <v>5848458</v>
      </c>
      <c r="K31" s="121">
        <f t="shared" si="9"/>
        <v>9636743</v>
      </c>
      <c r="L31" s="121">
        <f t="shared" si="9"/>
        <v>12389163</v>
      </c>
      <c r="M31" s="121">
        <f t="shared" si="9"/>
        <v>10821542.6202274</v>
      </c>
      <c r="N31" s="121">
        <f t="shared" si="9"/>
        <v>12105165.9919224</v>
      </c>
      <c r="O31" s="121">
        <f t="shared" si="9"/>
        <v>13420639.6654416</v>
      </c>
      <c r="P31" s="121">
        <f t="shared" si="9"/>
        <v>14763335.6262535</v>
      </c>
      <c r="Q31" s="121">
        <f t="shared" si="9"/>
        <v>16128086.5021086</v>
      </c>
    </row>
    <row r="32" ht="16.5" customHeight="1" outlineLevel="1" spans="1:17">
      <c r="B32" s="1" t="s">
        <v>106</v>
      </c>
      <c r="C32" s="1"/>
      <c r="D32" s="1"/>
      <c r="H32" s="118">
        <f>'Historical Data'!H16</f>
        <v>-723875</v>
      </c>
      <c r="I32" s="118">
        <f>'Historical Data'!I16</f>
        <v>-772005</v>
      </c>
      <c r="J32" s="118">
        <f>'Historical Data'!J16</f>
        <v>-797415</v>
      </c>
      <c r="K32" s="118">
        <f>'Historical Data'!K16</f>
        <v>-1254026</v>
      </c>
      <c r="L32" s="118">
        <f>'Historical Data'!L16</f>
        <v>-1741351</v>
      </c>
      <c r="M32" s="118">
        <f>-M31*M18</f>
        <v>-1498236.10456455</v>
      </c>
      <c r="N32" s="118">
        <f>-N31*N18</f>
        <v>-1675952.99277804</v>
      </c>
      <c r="O32" s="118">
        <f>-O31*O18</f>
        <v>-1858079.53623283</v>
      </c>
      <c r="P32" s="118">
        <f>-P31*P18</f>
        <v>-2043974.98908455</v>
      </c>
      <c r="Q32" s="118">
        <f>-Q31*Q18</f>
        <v>-2232923.93173532</v>
      </c>
    </row>
    <row r="33" ht="16.5" customHeight="1" outlineLevel="1" spans="1:18">
      <c r="B33" s="119" t="s">
        <v>107</v>
      </c>
      <c r="C33" s="119"/>
      <c r="D33" s="119"/>
      <c r="E33" s="120"/>
      <c r="F33" s="120"/>
      <c r="G33" s="120"/>
      <c r="H33" s="121">
        <f t="shared" ref="H33:Q33" si="10">SUM(H31:H32)</f>
        <v>4907816</v>
      </c>
      <c r="I33" s="121">
        <f t="shared" si="10"/>
        <v>4155242</v>
      </c>
      <c r="J33" s="121">
        <f t="shared" si="10"/>
        <v>5051043</v>
      </c>
      <c r="K33" s="121">
        <f t="shared" si="10"/>
        <v>8382717</v>
      </c>
      <c r="L33" s="121">
        <f t="shared" si="10"/>
        <v>10647812</v>
      </c>
      <c r="M33" s="121">
        <f t="shared" si="10"/>
        <v>9323306.51566281</v>
      </c>
      <c r="N33" s="121">
        <f t="shared" si="10"/>
        <v>10429212.9991444</v>
      </c>
      <c r="O33" s="121">
        <f t="shared" si="10"/>
        <v>11562560.1292088</v>
      </c>
      <c r="P33" s="121">
        <f t="shared" si="10"/>
        <v>12719360.637169</v>
      </c>
      <c r="Q33" s="121">
        <f t="shared" si="10"/>
        <v>13895162.5703733</v>
      </c>
    </row>
    <row r="34" ht="16.5" customHeight="1" spans="1:18">
      <c r="B34" s="1"/>
      <c r="C34" s="1"/>
      <c r="D34" s="1"/>
    </row>
    <row r="35" ht="16.5" customHeight="1" spans="1:18">
      <c r="A35" s="3" t="s">
        <v>14</v>
      </c>
      <c r="B35" s="79"/>
      <c r="C35" s="79"/>
      <c r="D35" s="79"/>
      <c r="E35" s="79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</row>
    <row r="36" outlineLevel="1"/>
    <row r="37" ht="16.5" customHeight="1" outlineLevel="1" spans="1:18">
      <c r="A37" s="63" t="s">
        <v>15</v>
      </c>
      <c r="B37" s="1"/>
      <c r="C37" s="1"/>
      <c r="D37" s="1"/>
      <c r="E37" s="1"/>
      <c r="F37" s="1"/>
      <c r="H37" s="122"/>
      <c r="I37" s="122"/>
      <c r="J37" s="122"/>
      <c r="K37" s="122"/>
      <c r="L37" s="122"/>
      <c r="M37" s="122"/>
      <c r="N37" s="122"/>
      <c r="O37" s="122"/>
      <c r="P37" s="122"/>
      <c r="Q37" s="122"/>
    </row>
    <row r="38" ht="16.5" customHeight="1" outlineLevel="1" spans="1:18">
      <c r="A38" s="1"/>
      <c r="B38" s="63" t="s">
        <v>108</v>
      </c>
      <c r="C38" s="1"/>
      <c r="D38" s="1"/>
      <c r="E38" s="1"/>
      <c r="F38" s="1"/>
      <c r="G38" s="1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"/>
    </row>
    <row r="39" ht="16.5" customHeight="1" outlineLevel="1" spans="1:18">
      <c r="A39" s="1"/>
      <c r="B39" s="1"/>
      <c r="C39" s="1" t="s">
        <v>109</v>
      </c>
      <c r="D39" s="1"/>
      <c r="E39" s="1"/>
      <c r="F39" s="1"/>
      <c r="G39" s="1"/>
      <c r="H39" s="118">
        <f>'Historical Data'!H22</f>
        <v>6027804</v>
      </c>
      <c r="I39" s="118">
        <f>'Historical Data'!I22</f>
        <v>5147176</v>
      </c>
      <c r="J39" s="118">
        <f>'Historical Data'!J22</f>
        <v>7116913</v>
      </c>
      <c r="K39" s="118">
        <f>'Historical Data'!K22</f>
        <v>7804733</v>
      </c>
      <c r="L39" s="118">
        <f>'Historical Data'!L22</f>
        <v>9033681</v>
      </c>
      <c r="M39" s="118">
        <f>M97</f>
        <v>18792073.6069305</v>
      </c>
      <c r="N39" s="118">
        <f>N97</f>
        <v>29478837.6451836</v>
      </c>
      <c r="O39" s="118">
        <f>O97</f>
        <v>41267274.6085094</v>
      </c>
      <c r="P39" s="118">
        <f>P97</f>
        <v>54188627.7830264</v>
      </c>
      <c r="Q39" s="118">
        <f>Q97</f>
        <v>68267993.1401942</v>
      </c>
      <c r="R39" s="1"/>
    </row>
    <row r="40" ht="16.5" customHeight="1" outlineLevel="1" spans="1:18">
      <c r="A40" s="1"/>
      <c r="B40" s="1"/>
      <c r="C40" s="1" t="s">
        <v>110</v>
      </c>
      <c r="D40" s="1"/>
      <c r="E40" s="1"/>
      <c r="F40" s="1"/>
      <c r="G40" s="1"/>
      <c r="H40" s="118">
        <v>0</v>
      </c>
      <c r="I40" s="118">
        <f t="shared" ref="I40:Q40" si="11">H40</f>
        <v>0</v>
      </c>
      <c r="J40" s="118">
        <f t="shared" si="11"/>
        <v>0</v>
      </c>
      <c r="K40" s="118">
        <f t="shared" si="11"/>
        <v>0</v>
      </c>
      <c r="L40" s="118">
        <f t="shared" si="11"/>
        <v>0</v>
      </c>
      <c r="M40" s="118">
        <f t="shared" si="11"/>
        <v>0</v>
      </c>
      <c r="N40" s="118">
        <f t="shared" si="11"/>
        <v>0</v>
      </c>
      <c r="O40" s="118">
        <f t="shared" si="11"/>
        <v>0</v>
      </c>
      <c r="P40" s="118">
        <f t="shared" si="11"/>
        <v>0</v>
      </c>
      <c r="Q40" s="118">
        <f t="shared" si="11"/>
        <v>0</v>
      </c>
      <c r="R40" s="1"/>
    </row>
    <row r="41" ht="16.5" customHeight="1" outlineLevel="1" spans="1:18">
      <c r="A41" s="1"/>
      <c r="B41" s="1"/>
      <c r="C41" s="1" t="s">
        <v>111</v>
      </c>
      <c r="D41" s="1"/>
      <c r="E41" s="1"/>
      <c r="F41" s="1"/>
      <c r="G41" s="1"/>
      <c r="H41" s="118">
        <v>0</v>
      </c>
      <c r="I41" s="118">
        <f t="shared" ref="I41:Q41" si="12">H41</f>
        <v>0</v>
      </c>
      <c r="J41" s="118">
        <f t="shared" si="12"/>
        <v>0</v>
      </c>
      <c r="K41" s="118">
        <f t="shared" si="12"/>
        <v>0</v>
      </c>
      <c r="L41" s="118">
        <f t="shared" si="12"/>
        <v>0</v>
      </c>
      <c r="M41" s="118">
        <f t="shared" si="12"/>
        <v>0</v>
      </c>
      <c r="N41" s="118">
        <f t="shared" si="12"/>
        <v>0</v>
      </c>
      <c r="O41" s="118">
        <f t="shared" si="12"/>
        <v>0</v>
      </c>
      <c r="P41" s="118">
        <f t="shared" si="12"/>
        <v>0</v>
      </c>
      <c r="Q41" s="118">
        <f t="shared" si="12"/>
        <v>0</v>
      </c>
      <c r="R41" s="1"/>
    </row>
    <row r="42" ht="16.5" customHeight="1" outlineLevel="1" spans="1:18">
      <c r="A42" s="1"/>
      <c r="B42" s="1"/>
      <c r="C42" s="1" t="s">
        <v>112</v>
      </c>
      <c r="D42" s="1"/>
      <c r="E42" s="1"/>
      <c r="F42" s="1"/>
      <c r="G42" s="1"/>
      <c r="H42" s="118">
        <f>'Historical Data'!H24+'Historical Data'!H23</f>
        <v>2042021</v>
      </c>
      <c r="I42" s="118">
        <f>'Historical Data'!I24+'Historical Data'!I23</f>
        <v>4119297</v>
      </c>
      <c r="J42" s="118">
        <f>'Historical Data'!J24+'Historical Data'!J23</f>
        <v>2801220</v>
      </c>
      <c r="K42" s="118">
        <f>'Historical Data'!K24+'Historical Data'!K23</f>
        <v>5295646</v>
      </c>
      <c r="L42" s="118">
        <f>'Historical Data'!L24+'Historical Data'!L23</f>
        <v>3986510</v>
      </c>
      <c r="M42" s="118">
        <f>L42</f>
        <v>3986510</v>
      </c>
      <c r="N42" s="118">
        <f>M42</f>
        <v>3986510</v>
      </c>
      <c r="O42" s="118">
        <f>N42</f>
        <v>3986510</v>
      </c>
      <c r="P42" s="118">
        <f>O42</f>
        <v>3986510</v>
      </c>
      <c r="Q42" s="118">
        <f>P42</f>
        <v>3986510</v>
      </c>
      <c r="R42" s="1"/>
    </row>
    <row r="43" ht="16.5" customHeight="1" outlineLevel="1" spans="1:18">
      <c r="A43" s="1"/>
      <c r="B43" s="1"/>
      <c r="C43" s="1"/>
      <c r="D43" s="1"/>
      <c r="E43" s="1"/>
      <c r="F43" s="1"/>
      <c r="G43" s="1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"/>
    </row>
    <row r="44" ht="16.5" customHeight="1" outlineLevel="1" spans="1:18">
      <c r="A44" s="1"/>
      <c r="B44" s="63" t="s">
        <v>113</v>
      </c>
      <c r="C44" s="1"/>
      <c r="D44" s="1"/>
      <c r="E44" s="1"/>
      <c r="F44" s="1"/>
      <c r="G44" s="1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"/>
    </row>
    <row r="45" ht="16.5" customHeight="1" outlineLevel="1" spans="1:18">
      <c r="A45" s="1"/>
      <c r="B45" s="1"/>
      <c r="C45" s="1" t="s">
        <v>114</v>
      </c>
      <c r="D45" s="1"/>
      <c r="E45" s="1"/>
      <c r="F45" s="1"/>
      <c r="G45" s="1"/>
      <c r="H45" s="118">
        <f>'Historical Data'!H28</f>
        <v>1323453</v>
      </c>
      <c r="I45" s="118">
        <f>'Historical Data'!I28</f>
        <v>1398257</v>
      </c>
      <c r="J45" s="118">
        <f>'Historical Data'!J28</f>
        <v>1491444</v>
      </c>
      <c r="K45" s="118">
        <f>'Historical Data'!K28</f>
        <v>1593756</v>
      </c>
      <c r="L45" s="118">
        <f>'Historical Data'!L28</f>
        <v>2004350</v>
      </c>
      <c r="M45" s="118">
        <f>M112</f>
        <v>1819134.32622779</v>
      </c>
      <c r="N45" s="118">
        <f>N112</f>
        <v>1680087.51512551</v>
      </c>
      <c r="O45" s="118">
        <f>O112</f>
        <v>1576688.53165533</v>
      </c>
      <c r="P45" s="118">
        <f>P112</f>
        <v>1500495.74425104</v>
      </c>
      <c r="Q45" s="118">
        <f>Q112</f>
        <v>1444751.38175967</v>
      </c>
      <c r="R45" s="1"/>
    </row>
    <row r="46" ht="16.5" customHeight="1" outlineLevel="1" spans="1:18">
      <c r="A46" s="1"/>
      <c r="B46" s="1"/>
      <c r="C46" s="1" t="s">
        <v>115</v>
      </c>
      <c r="D46" s="1"/>
      <c r="E46" s="1"/>
      <c r="F46" s="1"/>
      <c r="G46" s="1"/>
      <c r="H46" s="118">
        <f>'Historical Data'!H27</f>
        <v>30919539</v>
      </c>
      <c r="I46" s="118">
        <f>'Historical Data'!I27</f>
        <v>32736713</v>
      </c>
      <c r="J46" s="118">
        <f>'Historical Data'!J27</f>
        <v>31658056</v>
      </c>
      <c r="K46" s="118">
        <f>'Historical Data'!K27</f>
        <v>32452462</v>
      </c>
      <c r="L46" s="118">
        <f>'Historical Data'!L27</f>
        <v>32778392</v>
      </c>
      <c r="M46" s="118">
        <f>L46</f>
        <v>32778392</v>
      </c>
      <c r="N46" s="118">
        <f>M46</f>
        <v>32778392</v>
      </c>
      <c r="O46" s="118">
        <f>N46</f>
        <v>32778392</v>
      </c>
      <c r="P46" s="118">
        <f>O46</f>
        <v>32778392</v>
      </c>
      <c r="Q46" s="118">
        <f>P46</f>
        <v>32778392</v>
      </c>
      <c r="R46" s="1"/>
    </row>
    <row r="47" ht="16.5" customHeight="1" outlineLevel="1" spans="1:18">
      <c r="A47" s="1"/>
      <c r="B47" s="1"/>
      <c r="C47" s="1" t="s">
        <v>116</v>
      </c>
      <c r="D47" s="1"/>
      <c r="E47" s="1"/>
      <c r="F47" s="1"/>
      <c r="G47" s="1"/>
      <c r="H47" s="118">
        <v>0</v>
      </c>
      <c r="I47" s="118">
        <f t="shared" ref="I47:Q47" si="13">H47</f>
        <v>0</v>
      </c>
      <c r="J47" s="118">
        <f t="shared" si="13"/>
        <v>0</v>
      </c>
      <c r="K47" s="118">
        <f t="shared" si="13"/>
        <v>0</v>
      </c>
      <c r="L47" s="118">
        <f t="shared" si="13"/>
        <v>0</v>
      </c>
      <c r="M47" s="118">
        <f t="shared" si="13"/>
        <v>0</v>
      </c>
      <c r="N47" s="118">
        <f t="shared" si="13"/>
        <v>0</v>
      </c>
      <c r="O47" s="118">
        <f t="shared" si="13"/>
        <v>0</v>
      </c>
      <c r="P47" s="118">
        <f t="shared" si="13"/>
        <v>0</v>
      </c>
      <c r="Q47" s="118">
        <f t="shared" si="13"/>
        <v>0</v>
      </c>
      <c r="R47" s="1"/>
    </row>
    <row r="48" ht="16.5" customHeight="1" outlineLevel="1" spans="1:18">
      <c r="A48" s="1"/>
      <c r="B48" s="1"/>
      <c r="C48" s="1" t="s">
        <v>117</v>
      </c>
      <c r="D48" s="1"/>
      <c r="E48" s="1"/>
      <c r="F48" s="1"/>
      <c r="G48" s="1"/>
      <c r="H48" s="118">
        <v>0</v>
      </c>
      <c r="I48" s="118">
        <f t="shared" ref="I48:Q48" si="14">H48</f>
        <v>0</v>
      </c>
      <c r="J48" s="118">
        <f t="shared" si="14"/>
        <v>0</v>
      </c>
      <c r="K48" s="118">
        <f t="shared" si="14"/>
        <v>0</v>
      </c>
      <c r="L48" s="118">
        <f t="shared" si="14"/>
        <v>0</v>
      </c>
      <c r="M48" s="118">
        <f t="shared" si="14"/>
        <v>0</v>
      </c>
      <c r="N48" s="118">
        <f t="shared" si="14"/>
        <v>0</v>
      </c>
      <c r="O48" s="118">
        <f t="shared" si="14"/>
        <v>0</v>
      </c>
      <c r="P48" s="118">
        <f t="shared" si="14"/>
        <v>0</v>
      </c>
      <c r="Q48" s="118">
        <f t="shared" si="14"/>
        <v>0</v>
      </c>
      <c r="R48" s="1"/>
    </row>
    <row r="49" ht="16.5" customHeight="1" outlineLevel="1" spans="1:18">
      <c r="A49" s="1"/>
      <c r="B49" s="1"/>
      <c r="C49" s="1" t="s">
        <v>118</v>
      </c>
      <c r="D49" s="1"/>
      <c r="E49" s="1"/>
      <c r="F49" s="1"/>
      <c r="G49" s="1"/>
      <c r="H49" s="118">
        <f>'Historical Data'!H29</f>
        <v>4271846</v>
      </c>
      <c r="I49" s="118">
        <f>'Historical Data'!I29</f>
        <v>5193325</v>
      </c>
      <c r="J49" s="118">
        <f>'Historical Data'!J29</f>
        <v>5664359</v>
      </c>
      <c r="K49" s="118">
        <f>'Historical Data'!K29</f>
        <v>6483777</v>
      </c>
      <c r="L49" s="118">
        <f>'Historical Data'!L29</f>
        <v>7794060</v>
      </c>
      <c r="M49" s="118">
        <f>L49</f>
        <v>7794060</v>
      </c>
      <c r="N49" s="118">
        <f>M49</f>
        <v>7794060</v>
      </c>
      <c r="O49" s="118">
        <f>N49</f>
        <v>7794060</v>
      </c>
      <c r="P49" s="118">
        <f>O49</f>
        <v>7794060</v>
      </c>
      <c r="Q49" s="118">
        <f>P49</f>
        <v>7794060</v>
      </c>
      <c r="R49" s="1"/>
    </row>
    <row r="50" ht="16.5" customHeight="1" outlineLevel="1" spans="1:18">
      <c r="A50" s="1"/>
      <c r="B50" s="64"/>
      <c r="C50" s="119" t="s">
        <v>119</v>
      </c>
      <c r="D50" s="119"/>
      <c r="E50" s="119"/>
      <c r="F50" s="119"/>
      <c r="G50" s="119"/>
      <c r="H50" s="121">
        <f t="shared" ref="H50:Q50" si="15">SUM(H39:H42,H45:H49)</f>
        <v>44584663</v>
      </c>
      <c r="I50" s="121">
        <f t="shared" si="15"/>
        <v>48594768</v>
      </c>
      <c r="J50" s="121">
        <f t="shared" si="15"/>
        <v>48731992</v>
      </c>
      <c r="K50" s="121">
        <f t="shared" si="15"/>
        <v>53630374</v>
      </c>
      <c r="L50" s="121">
        <f t="shared" si="15"/>
        <v>55596993</v>
      </c>
      <c r="M50" s="121">
        <f t="shared" si="15"/>
        <v>65170169.9331583</v>
      </c>
      <c r="N50" s="121">
        <f t="shared" si="15"/>
        <v>75717887.1603092</v>
      </c>
      <c r="O50" s="121">
        <f t="shared" si="15"/>
        <v>87402925.1401648</v>
      </c>
      <c r="P50" s="121">
        <f t="shared" si="15"/>
        <v>100248085.527277</v>
      </c>
      <c r="Q50" s="121">
        <f t="shared" si="15"/>
        <v>114271706.521954</v>
      </c>
      <c r="R50" s="1"/>
    </row>
    <row r="51" ht="16.5" customHeight="1" outlineLevel="1" spans="1:18">
      <c r="A51" s="1"/>
      <c r="B51" s="1"/>
      <c r="C51" s="1"/>
      <c r="D51" s="1"/>
      <c r="E51" s="1"/>
      <c r="F51" s="1"/>
      <c r="G51" s="1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"/>
    </row>
    <row r="52" ht="16.5" customHeight="1" outlineLevel="1" spans="1:18">
      <c r="A52" s="63" t="s">
        <v>120</v>
      </c>
      <c r="B52" s="1"/>
      <c r="C52" s="1"/>
      <c r="D52" s="1"/>
      <c r="E52" s="1"/>
      <c r="F52" s="1"/>
      <c r="G52" s="1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"/>
    </row>
    <row r="53" ht="16.5" customHeight="1" outlineLevel="1" spans="1:18">
      <c r="A53" s="1"/>
      <c r="B53" s="63" t="s">
        <v>121</v>
      </c>
      <c r="C53" s="1"/>
      <c r="D53" s="1"/>
      <c r="E53" s="1"/>
      <c r="F53" s="1"/>
      <c r="G53" s="1"/>
      <c r="H53" s="118"/>
      <c r="I53" s="118"/>
      <c r="J53" s="118"/>
      <c r="K53" s="118"/>
      <c r="L53" s="118"/>
      <c r="M53" s="118"/>
      <c r="N53" s="118"/>
      <c r="O53" s="118"/>
      <c r="P53" s="118"/>
      <c r="Q53" s="118"/>
    </row>
    <row r="54" ht="16.5" customHeight="1" outlineLevel="1" spans="1:18">
      <c r="A54" s="1"/>
      <c r="B54" s="1"/>
      <c r="C54" s="1" t="s">
        <v>122</v>
      </c>
      <c r="D54" s="1"/>
      <c r="E54" s="1"/>
      <c r="F54" s="1"/>
      <c r="G54" s="1"/>
      <c r="H54" s="118">
        <f>'Historical Data'!H35</f>
        <v>837483</v>
      </c>
      <c r="I54" s="118">
        <f>'Historical Data'!I35</f>
        <v>671513</v>
      </c>
      <c r="J54" s="118">
        <f>'Historical Data'!J35</f>
        <v>747412</v>
      </c>
      <c r="K54" s="118">
        <f>'Historical Data'!K35</f>
        <v>899909</v>
      </c>
      <c r="L54" s="118">
        <f>'Historical Data'!L35</f>
        <v>900612</v>
      </c>
      <c r="M54" s="118">
        <f>-M23/365*M16</f>
        <v>1152222.91139551</v>
      </c>
      <c r="N54" s="118">
        <f>-N23/365*N16</f>
        <v>1272467.63330194</v>
      </c>
      <c r="O54" s="118">
        <f>-O23/365*O16</f>
        <v>1396685.97784873</v>
      </c>
      <c r="P54" s="118">
        <f>-P23/365*P16</f>
        <v>1524226.22169246</v>
      </c>
      <c r="Q54" s="118">
        <f>-Q23/365*Q16</f>
        <v>1654425.13989549</v>
      </c>
    </row>
    <row r="55" ht="16.5" customHeight="1" outlineLevel="1" spans="1:18">
      <c r="A55" s="1"/>
      <c r="B55" s="1"/>
      <c r="C55" s="1" t="s">
        <v>123</v>
      </c>
      <c r="D55" s="1"/>
      <c r="E55" s="1"/>
      <c r="F55" s="1"/>
      <c r="G55" s="1"/>
      <c r="H55" s="118">
        <f>SUM('Historical Data'!H36:H37,'Historical Data'!H34)</f>
        <v>6951660</v>
      </c>
      <c r="I55" s="118">
        <f>SUM('Historical Data'!I36:I37,'Historical Data'!I34)</f>
        <v>7259461</v>
      </c>
      <c r="J55" s="118">
        <f>SUM('Historical Data'!J36:J37,'Historical Data'!J34)</f>
        <v>7713399</v>
      </c>
      <c r="K55" s="118">
        <f>SUM('Historical Data'!K36:K37,'Historical Data'!K34)</f>
        <v>8071038</v>
      </c>
      <c r="L55" s="118">
        <f>SUM('Historical Data'!L36:L37,'Historical Data'!L34)</f>
        <v>9081453</v>
      </c>
      <c r="M55" s="118">
        <f>L55</f>
        <v>9081453</v>
      </c>
      <c r="N55" s="118">
        <f>M55</f>
        <v>9081453</v>
      </c>
      <c r="O55" s="118">
        <f>N55</f>
        <v>9081453</v>
      </c>
      <c r="P55" s="118">
        <f>O55</f>
        <v>9081453</v>
      </c>
      <c r="Q55" s="118">
        <f>P55</f>
        <v>9081453</v>
      </c>
    </row>
    <row r="56" ht="16.5" customHeight="1" outlineLevel="1" spans="1:18">
      <c r="A56" s="1"/>
      <c r="B56" s="1"/>
      <c r="C56" s="1"/>
      <c r="D56" s="1"/>
      <c r="E56" s="1"/>
      <c r="F56" s="1"/>
      <c r="G56" s="1"/>
      <c r="H56" s="118"/>
      <c r="I56" s="118"/>
      <c r="J56" s="118"/>
      <c r="K56" s="118"/>
      <c r="L56" s="118"/>
      <c r="M56" s="118"/>
      <c r="N56" s="118"/>
      <c r="O56" s="118"/>
      <c r="P56" s="118"/>
      <c r="Q56" s="118"/>
    </row>
    <row r="57" ht="16.5" customHeight="1" outlineLevel="1" spans="1:18">
      <c r="A57" s="1"/>
      <c r="B57" s="63" t="s">
        <v>124</v>
      </c>
      <c r="C57" s="1"/>
      <c r="D57" s="1"/>
      <c r="E57" s="1"/>
      <c r="F57" s="1"/>
      <c r="G57" s="1"/>
      <c r="H57" s="118"/>
      <c r="I57" s="118"/>
      <c r="J57" s="118"/>
      <c r="K57" s="118"/>
      <c r="L57" s="118"/>
      <c r="M57" s="118"/>
      <c r="N57" s="118"/>
      <c r="O57" s="118"/>
      <c r="P57" s="118"/>
      <c r="Q57" s="118"/>
    </row>
    <row r="58" ht="16.5" customHeight="1" outlineLevel="1" spans="1:18">
      <c r="A58" s="1"/>
      <c r="B58" s="1"/>
      <c r="C58" s="1" t="s">
        <v>125</v>
      </c>
      <c r="D58" s="1"/>
      <c r="E58" s="1"/>
      <c r="F58" s="1"/>
      <c r="G58" s="1"/>
      <c r="H58" s="118">
        <f>'Historical Data'!H42+'Historical Data'!H38</f>
        <v>15392895</v>
      </c>
      <c r="I58" s="118">
        <f>'Historical Data'!I42+'Historical Data'!I38</f>
        <v>14353076</v>
      </c>
      <c r="J58" s="118">
        <f>'Historical Data'!J42+'Historical Data'!J38</f>
        <v>14543261</v>
      </c>
      <c r="K58" s="118">
        <f>'Historical Data'!K42+'Historical Data'!K38</f>
        <v>15582804</v>
      </c>
      <c r="L58" s="118">
        <f>'Historical Data'!L42+'Historical Data'!L38</f>
        <v>14462836</v>
      </c>
      <c r="M58" s="118">
        <f>M117</f>
        <v>14461095.5061</v>
      </c>
      <c r="N58" s="118">
        <f>N117</f>
        <v>14459355.0122</v>
      </c>
      <c r="O58" s="118">
        <f>O117</f>
        <v>14457614.5183</v>
      </c>
      <c r="P58" s="118">
        <f>P117</f>
        <v>14455874.0244</v>
      </c>
      <c r="Q58" s="118">
        <f>Q117</f>
        <v>14454133.5305</v>
      </c>
    </row>
    <row r="59" ht="16.5" customHeight="1" outlineLevel="1" spans="1:18">
      <c r="A59" s="1"/>
      <c r="B59" s="1"/>
      <c r="C59" s="1" t="s">
        <v>126</v>
      </c>
      <c r="D59" s="1"/>
      <c r="E59" s="1"/>
      <c r="F59" s="1"/>
      <c r="G59" s="1"/>
      <c r="H59" s="118">
        <f>SUM('Historical Data'!H43,'Historical Data'!H41)</f>
        <v>5553377</v>
      </c>
      <c r="I59" s="118">
        <f>SUM('Historical Data'!I43,'Historical Data'!I41)</f>
        <v>5533317</v>
      </c>
      <c r="J59" s="118">
        <f>SUM('Historical Data'!J43,'Historical Data'!J41)</f>
        <v>5139607</v>
      </c>
      <c r="K59" s="118">
        <f>SUM('Historical Data'!K43,'Historical Data'!K41)</f>
        <v>4333056</v>
      </c>
      <c r="L59" s="118">
        <f>SUM('Historical Data'!L43,'Historical Data'!L41)</f>
        <v>4536604</v>
      </c>
      <c r="M59" s="118">
        <f>L59</f>
        <v>4536604</v>
      </c>
      <c r="N59" s="118">
        <f>M59</f>
        <v>4536604</v>
      </c>
      <c r="O59" s="118">
        <f>N59</f>
        <v>4536604</v>
      </c>
      <c r="P59" s="118">
        <f>O59</f>
        <v>4536604</v>
      </c>
      <c r="Q59" s="118">
        <f>P59</f>
        <v>4536604</v>
      </c>
    </row>
    <row r="60" ht="16.5" customHeight="1" outlineLevel="1" spans="1:18">
      <c r="A60" s="1"/>
      <c r="B60" s="64"/>
      <c r="C60" s="119" t="s">
        <v>127</v>
      </c>
      <c r="D60" s="119"/>
      <c r="E60" s="119"/>
      <c r="F60" s="119"/>
      <c r="G60" s="119"/>
      <c r="H60" s="121">
        <f t="shared" ref="H60:Q60" si="16">SUM(H54:H55,H58:H59)</f>
        <v>28735415</v>
      </c>
      <c r="I60" s="121">
        <f t="shared" si="16"/>
        <v>27817367</v>
      </c>
      <c r="J60" s="121">
        <f t="shared" si="16"/>
        <v>28143679</v>
      </c>
      <c r="K60" s="121">
        <f t="shared" si="16"/>
        <v>28886807</v>
      </c>
      <c r="L60" s="121">
        <f t="shared" si="16"/>
        <v>28981505</v>
      </c>
      <c r="M60" s="121">
        <f t="shared" si="16"/>
        <v>29231375.4174955</v>
      </c>
      <c r="N60" s="121">
        <f t="shared" si="16"/>
        <v>29349879.6455019</v>
      </c>
      <c r="O60" s="121">
        <f t="shared" si="16"/>
        <v>29472357.4961487</v>
      </c>
      <c r="P60" s="121">
        <f t="shared" si="16"/>
        <v>29598157.2460925</v>
      </c>
      <c r="Q60" s="121">
        <f t="shared" si="16"/>
        <v>29726615.6703955</v>
      </c>
    </row>
    <row r="61" ht="16.5" customHeight="1" outlineLevel="1" spans="1:18">
      <c r="A61" s="1"/>
      <c r="B61" s="1"/>
      <c r="C61" s="1"/>
      <c r="D61" s="1"/>
      <c r="E61" s="1"/>
      <c r="F61" s="1"/>
      <c r="G61" s="1"/>
      <c r="H61" s="118"/>
      <c r="I61" s="118"/>
      <c r="J61" s="118"/>
      <c r="K61" s="118"/>
      <c r="L61" s="118"/>
      <c r="M61" s="118"/>
      <c r="N61" s="118"/>
      <c r="O61" s="118"/>
      <c r="P61" s="118"/>
      <c r="Q61" s="118"/>
    </row>
    <row r="62" ht="16.5" customHeight="1" outlineLevel="1" spans="1:18">
      <c r="A62" s="1"/>
      <c r="B62" s="1" t="s">
        <v>128</v>
      </c>
      <c r="C62" s="1"/>
      <c r="D62" s="1"/>
      <c r="E62" s="1"/>
      <c r="F62" s="1"/>
      <c r="G62" s="1"/>
      <c r="H62" s="118">
        <f>'Historical Data'!H48</f>
        <v>4024561</v>
      </c>
      <c r="I62" s="118">
        <f>'Historical Data'!I48</f>
        <v>4637601</v>
      </c>
      <c r="J62" s="118">
        <f>'Historical Data'!J48</f>
        <v>5145172</v>
      </c>
      <c r="K62" s="118">
        <f>'Historical Data'!K48</f>
        <v>6252126</v>
      </c>
      <c r="L62" s="118">
        <f>'Historical Data'!L48</f>
        <v>7286410</v>
      </c>
      <c r="M62" s="118">
        <f>L62+M22*M122</f>
        <v>7286410</v>
      </c>
      <c r="N62" s="118">
        <f>M62+N22*N122</f>
        <v>7286410</v>
      </c>
      <c r="O62" s="118">
        <f>N62+O22*O122</f>
        <v>7286410</v>
      </c>
      <c r="P62" s="118">
        <f>O62+P22*P122</f>
        <v>7286410</v>
      </c>
      <c r="Q62" s="118">
        <f>P62+Q22*Q122</f>
        <v>7286410</v>
      </c>
    </row>
    <row r="63" ht="16.5" customHeight="1" outlineLevel="1" spans="1:18">
      <c r="A63" s="1"/>
      <c r="B63" s="1" t="s">
        <v>129</v>
      </c>
      <c r="C63" s="1"/>
      <c r="D63" s="1"/>
      <c r="E63" s="1"/>
      <c r="F63" s="1"/>
      <c r="G63" s="1"/>
      <c r="H63" s="118">
        <f>SUM('Historical Data'!H49:H51)</f>
        <v>11824687</v>
      </c>
      <c r="I63" s="118">
        <f>SUM('Historical Data'!I49:I51)</f>
        <v>16139800</v>
      </c>
      <c r="J63" s="118">
        <f>SUM('Historical Data'!J49:J51)</f>
        <v>15443141</v>
      </c>
      <c r="K63" s="118">
        <f>SUM('Historical Data'!K49:K51)</f>
        <v>18491441</v>
      </c>
      <c r="L63" s="118">
        <f>SUM('Historical Data'!L49:L51)</f>
        <v>19329078</v>
      </c>
      <c r="M63" s="118">
        <f>L63+M33</f>
        <v>28652384.5156628</v>
      </c>
      <c r="N63" s="118">
        <f>M63+N33</f>
        <v>39081597.5148072</v>
      </c>
      <c r="O63" s="118">
        <f>N63+O33</f>
        <v>50644157.644016</v>
      </c>
      <c r="P63" s="118">
        <f>O63+P33</f>
        <v>63363518.281185</v>
      </c>
      <c r="Q63" s="118">
        <f>P63+Q33</f>
        <v>77258680.8515583</v>
      </c>
    </row>
    <row r="64" ht="16.5" customHeight="1" outlineLevel="1" spans="1:18">
      <c r="A64" s="1"/>
      <c r="B64" s="119" t="s">
        <v>130</v>
      </c>
      <c r="C64" s="64"/>
      <c r="D64" s="64"/>
      <c r="E64" s="64"/>
      <c r="F64" s="64"/>
      <c r="G64" s="64"/>
      <c r="H64" s="121">
        <f t="shared" ref="H64:Q64" si="17">SUM(H62:H63)</f>
        <v>15849248</v>
      </c>
      <c r="I64" s="121">
        <f t="shared" si="17"/>
        <v>20777401</v>
      </c>
      <c r="J64" s="121">
        <f t="shared" si="17"/>
        <v>20588313</v>
      </c>
      <c r="K64" s="121">
        <f t="shared" si="17"/>
        <v>24743567</v>
      </c>
      <c r="L64" s="121">
        <f t="shared" si="17"/>
        <v>26615488</v>
      </c>
      <c r="M64" s="121">
        <f t="shared" si="17"/>
        <v>35938794.5156628</v>
      </c>
      <c r="N64" s="121">
        <f t="shared" si="17"/>
        <v>46368007.5148072</v>
      </c>
      <c r="O64" s="121">
        <f t="shared" si="17"/>
        <v>57930567.644016</v>
      </c>
      <c r="P64" s="121">
        <f t="shared" si="17"/>
        <v>70649928.281185</v>
      </c>
      <c r="Q64" s="121">
        <f t="shared" si="17"/>
        <v>84545090.8515583</v>
      </c>
    </row>
    <row r="65" ht="16.5" customHeight="1" outlineLevel="1" spans="1:17">
      <c r="A65" s="1"/>
      <c r="B65" s="1" t="s">
        <v>131</v>
      </c>
      <c r="C65" s="1"/>
      <c r="D65" s="1"/>
      <c r="E65" s="1"/>
      <c r="F65" s="1"/>
      <c r="G65" s="123"/>
      <c r="H65" s="118">
        <v>0</v>
      </c>
      <c r="I65" s="118">
        <f t="shared" ref="I65:Q65" si="18">H65</f>
        <v>0</v>
      </c>
      <c r="J65" s="118">
        <f t="shared" si="18"/>
        <v>0</v>
      </c>
      <c r="K65" s="118">
        <f t="shared" si="18"/>
        <v>0</v>
      </c>
      <c r="L65" s="118">
        <f t="shared" si="18"/>
        <v>0</v>
      </c>
      <c r="M65" s="118">
        <f t="shared" si="18"/>
        <v>0</v>
      </c>
      <c r="N65" s="118">
        <f t="shared" si="18"/>
        <v>0</v>
      </c>
      <c r="O65" s="118">
        <f t="shared" si="18"/>
        <v>0</v>
      </c>
      <c r="P65" s="118">
        <f t="shared" si="18"/>
        <v>0</v>
      </c>
      <c r="Q65" s="118">
        <f t="shared" si="18"/>
        <v>0</v>
      </c>
    </row>
    <row r="66" ht="16.5" customHeight="1" outlineLevel="1" spans="1:17">
      <c r="A66" s="1"/>
      <c r="B66" s="119" t="s">
        <v>132</v>
      </c>
      <c r="C66" s="64"/>
      <c r="D66" s="64"/>
      <c r="E66" s="64"/>
      <c r="F66" s="64"/>
      <c r="G66" s="64"/>
      <c r="H66" s="121">
        <f t="shared" ref="H66:Q66" si="19">SUM(H60,H64)</f>
        <v>44584663</v>
      </c>
      <c r="I66" s="121">
        <f t="shared" si="19"/>
        <v>48594768</v>
      </c>
      <c r="J66" s="121">
        <f t="shared" si="19"/>
        <v>48731992</v>
      </c>
      <c r="K66" s="121">
        <f t="shared" si="19"/>
        <v>53630374</v>
      </c>
      <c r="L66" s="121">
        <f t="shared" si="19"/>
        <v>55596993</v>
      </c>
      <c r="M66" s="121">
        <f t="shared" si="19"/>
        <v>65170169.9331583</v>
      </c>
      <c r="N66" s="121">
        <f t="shared" si="19"/>
        <v>75717887.1603091</v>
      </c>
      <c r="O66" s="121">
        <f t="shared" si="19"/>
        <v>87402925.1401648</v>
      </c>
      <c r="P66" s="121">
        <f t="shared" si="19"/>
        <v>100248085.527277</v>
      </c>
      <c r="Q66" s="121">
        <f t="shared" si="19"/>
        <v>114271706.521954</v>
      </c>
    </row>
    <row r="67" ht="16.5" customHeight="1" outlineLevel="1" spans="1:17">
      <c r="A67" s="1"/>
      <c r="B67" s="63"/>
      <c r="C67" s="1"/>
      <c r="D67" s="1"/>
      <c r="E67" s="1"/>
      <c r="F67" s="1"/>
      <c r="G67" s="1"/>
      <c r="H67" s="63"/>
      <c r="I67" s="63"/>
      <c r="J67" s="63"/>
      <c r="K67" s="63"/>
      <c r="L67" s="63"/>
      <c r="M67" s="63"/>
      <c r="N67" s="63"/>
      <c r="O67" s="63"/>
      <c r="P67" s="63"/>
      <c r="Q67" s="63"/>
    </row>
    <row r="68" ht="16.5" customHeight="1" outlineLevel="1" spans="1:17">
      <c r="A68" s="1"/>
      <c r="C68" s="1"/>
      <c r="D68" s="124" t="s">
        <v>133</v>
      </c>
      <c r="E68" s="125"/>
      <c r="F68" s="125"/>
      <c r="G68" s="125"/>
      <c r="H68" s="124" t="str">
        <f t="shared" ref="H68:Q68" si="20">IF(ABS(H50-H66)&lt;50000,"TALLIED","ERROR")</f>
        <v>TALLIED</v>
      </c>
      <c r="I68" s="124" t="str">
        <f t="shared" si="20"/>
        <v>TALLIED</v>
      </c>
      <c r="J68" s="124" t="str">
        <f t="shared" si="20"/>
        <v>TALLIED</v>
      </c>
      <c r="K68" s="124" t="str">
        <f t="shared" si="20"/>
        <v>TALLIED</v>
      </c>
      <c r="L68" s="124" t="str">
        <f t="shared" si="20"/>
        <v>TALLIED</v>
      </c>
      <c r="M68" s="124" t="str">
        <f t="shared" si="20"/>
        <v>TALLIED</v>
      </c>
      <c r="N68" s="124" t="str">
        <f t="shared" si="20"/>
        <v>TALLIED</v>
      </c>
      <c r="O68" s="124" t="str">
        <f t="shared" si="20"/>
        <v>TALLIED</v>
      </c>
      <c r="P68" s="124" t="str">
        <f t="shared" si="20"/>
        <v>TALLIED</v>
      </c>
      <c r="Q68" s="124" t="str">
        <f t="shared" si="20"/>
        <v>TALLIED</v>
      </c>
    </row>
    <row r="69" ht="16.5" customHeight="1" spans="1:1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6.5" customHeight="1" spans="1:17">
      <c r="A70" s="3" t="s">
        <v>134</v>
      </c>
      <c r="B70" s="79"/>
      <c r="C70" s="79"/>
      <c r="D70" s="79"/>
      <c r="E70" s="79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</row>
    <row r="71" outlineLevel="1"/>
    <row r="72" ht="17.25" customHeight="1" outlineLevel="1" spans="1:17">
      <c r="A72" s="126" t="s">
        <v>135</v>
      </c>
      <c r="B72" s="127"/>
      <c r="C72" s="127"/>
      <c r="D72" s="127"/>
      <c r="E72" s="127"/>
      <c r="F72" s="127"/>
      <c r="N72" s="1"/>
      <c r="O72" s="1"/>
      <c r="P72" s="1"/>
      <c r="Q72" s="1"/>
    </row>
    <row r="73" ht="17.25" customHeight="1" outlineLevel="1" spans="1:17">
      <c r="A73" s="127"/>
      <c r="B73" s="127" t="s">
        <v>107</v>
      </c>
      <c r="C73" s="127"/>
      <c r="D73" s="127"/>
      <c r="E73" s="127"/>
      <c r="F73" s="127"/>
      <c r="H73" s="118">
        <f>'Historical Data'!H57</f>
        <v>5116228</v>
      </c>
      <c r="I73" s="118">
        <f>'Historical Data'!I57</f>
        <v>4491924</v>
      </c>
      <c r="J73" s="118">
        <f>'Historical Data'!J57</f>
        <v>5407990</v>
      </c>
      <c r="K73" s="118">
        <f>'Historical Data'!K57</f>
        <v>8711631</v>
      </c>
      <c r="L73" s="118">
        <f>'Historical Data'!L57</f>
        <v>10981201</v>
      </c>
      <c r="M73" s="118">
        <f>M33</f>
        <v>9323306.51566281</v>
      </c>
      <c r="N73" s="118">
        <f>N33</f>
        <v>10429212.9991444</v>
      </c>
      <c r="O73" s="118">
        <f>O33</f>
        <v>11562560.1292088</v>
      </c>
      <c r="P73" s="118">
        <f>P33</f>
        <v>12719360.637169</v>
      </c>
      <c r="Q73" s="118">
        <f>Q33</f>
        <v>13895162.5703733</v>
      </c>
    </row>
    <row r="74" ht="17.25" customHeight="1" outlineLevel="1" spans="1:17">
      <c r="A74" s="127"/>
      <c r="B74" s="127"/>
      <c r="C74" s="127" t="s">
        <v>136</v>
      </c>
      <c r="D74" s="127"/>
      <c r="E74" s="127"/>
      <c r="F74" s="127"/>
      <c r="H74" s="118">
        <f>'Historical Data'!H62</f>
        <v>208412</v>
      </c>
      <c r="I74" s="118">
        <f>'Historical Data'!I62</f>
        <v>336682</v>
      </c>
      <c r="J74" s="118">
        <f>'Historical Data'!J62</f>
        <v>356947</v>
      </c>
      <c r="K74" s="118">
        <f>'Historical Data'!K62</f>
        <v>328914</v>
      </c>
      <c r="L74" s="118">
        <f>'Historical Data'!L62</f>
        <v>333389</v>
      </c>
      <c r="M74" s="118">
        <f>-M111</f>
        <v>404999.772215148</v>
      </c>
      <c r="N74" s="118">
        <f>-N111</f>
        <v>367575.018210896</v>
      </c>
      <c r="O74" s="118">
        <f>-O111</f>
        <v>339479.16328353</v>
      </c>
      <c r="P74" s="118">
        <f>-P111</f>
        <v>318586.322835155</v>
      </c>
      <c r="Q74" s="118">
        <f>-Q111</f>
        <v>303190.777374944</v>
      </c>
    </row>
    <row r="75" ht="17.25" customHeight="1" outlineLevel="1" spans="1:17">
      <c r="A75" s="127"/>
      <c r="B75" s="127"/>
      <c r="C75" s="127" t="s">
        <v>137</v>
      </c>
      <c r="D75" s="127"/>
      <c r="E75" s="127"/>
      <c r="F75" s="127"/>
      <c r="H75" s="118">
        <f t="shared" ref="H75:Q75" si="21">H106</f>
        <v>-241977</v>
      </c>
      <c r="I75" s="118">
        <f t="shared" si="21"/>
        <v>-758087</v>
      </c>
      <c r="J75" s="118">
        <f t="shared" si="21"/>
        <v>-116148</v>
      </c>
      <c r="K75" s="118">
        <f t="shared" si="21"/>
        <v>-33075</v>
      </c>
      <c r="L75" s="118">
        <f t="shared" si="21"/>
        <v>-456220</v>
      </c>
      <c r="M75" s="118">
        <f t="shared" si="21"/>
        <v>251610.911395508</v>
      </c>
      <c r="N75" s="118">
        <f t="shared" si="21"/>
        <v>120244.721906435</v>
      </c>
      <c r="O75" s="118">
        <f t="shared" si="21"/>
        <v>124218.344546789</v>
      </c>
      <c r="P75" s="118">
        <f t="shared" si="21"/>
        <v>127540.243843725</v>
      </c>
      <c r="Q75" s="118">
        <f t="shared" si="21"/>
        <v>130198.918203029</v>
      </c>
    </row>
    <row r="76" ht="17.25" customHeight="1" outlineLevel="1" spans="1:17">
      <c r="A76" s="127"/>
      <c r="B76" s="127"/>
      <c r="C76" s="127" t="s">
        <v>138</v>
      </c>
      <c r="D76" s="127"/>
      <c r="E76" s="127"/>
      <c r="F76" s="127"/>
      <c r="H76" s="118">
        <f>SUM('Historical Data'!H59:H61,'Historical Data'!H63:H66)</f>
        <v>-4690053</v>
      </c>
      <c r="I76" s="118">
        <f>SUM('Historical Data'!I59:I61,'Historical Data'!I63:I66)</f>
        <v>-2044262</v>
      </c>
      <c r="J76" s="118">
        <f>SUM('Historical Data'!J59:J61,'Historical Data'!J63:J66)</f>
        <v>1625512</v>
      </c>
      <c r="K76" s="118">
        <f>SUM('Historical Data'!K59:K61,'Historical Data'!K63:K66)</f>
        <v>-1646106</v>
      </c>
      <c r="L76" s="118">
        <f>SUM('Historical Data'!L59:L61,'Historical Data'!L63:L66)</f>
        <v>-709097</v>
      </c>
      <c r="M76" s="118">
        <f>-SUM(M29:M30)</f>
        <v>375327.351303442</v>
      </c>
      <c r="N76" s="118">
        <f>-SUM(N29:N30)</f>
        <v>339887.161633959</v>
      </c>
      <c r="O76" s="118">
        <f>-SUM(O29:O30)</f>
        <v>303278.650753755</v>
      </c>
      <c r="P76" s="118">
        <f>-SUM(P29:P30)</f>
        <v>265693.437816067</v>
      </c>
      <c r="Q76" s="118">
        <f>-SUM(Q29:Q30)</f>
        <v>227326.523663264</v>
      </c>
    </row>
    <row r="77" ht="17.25" customHeight="1" outlineLevel="1" spans="1:17">
      <c r="A77" s="127"/>
      <c r="B77" s="128"/>
      <c r="C77" s="129" t="s">
        <v>139</v>
      </c>
      <c r="D77" s="128"/>
      <c r="E77" s="128"/>
      <c r="F77" s="128"/>
      <c r="G77" s="130"/>
      <c r="H77" s="121">
        <f t="shared" ref="H77:Q77" si="22">SUM(H73:H76)</f>
        <v>392610</v>
      </c>
      <c r="I77" s="121">
        <f t="shared" si="22"/>
        <v>2026257</v>
      </c>
      <c r="J77" s="121">
        <f t="shared" si="22"/>
        <v>7274301</v>
      </c>
      <c r="K77" s="121">
        <f t="shared" si="22"/>
        <v>7361364</v>
      </c>
      <c r="L77" s="121">
        <f t="shared" si="22"/>
        <v>10149273</v>
      </c>
      <c r="M77" s="121">
        <f t="shared" si="22"/>
        <v>10355244.5505769</v>
      </c>
      <c r="N77" s="121">
        <f t="shared" si="22"/>
        <v>11256919.9008957</v>
      </c>
      <c r="O77" s="121">
        <f t="shared" si="22"/>
        <v>12329536.2877929</v>
      </c>
      <c r="P77" s="121">
        <f t="shared" si="22"/>
        <v>13431180.6416639</v>
      </c>
      <c r="Q77" s="121">
        <f t="shared" si="22"/>
        <v>14555878.7896146</v>
      </c>
    </row>
    <row r="78" ht="17.25" customHeight="1" outlineLevel="1" spans="1:17">
      <c r="A78" s="127"/>
      <c r="B78" s="127"/>
      <c r="C78" s="127"/>
      <c r="D78" s="127"/>
      <c r="E78" s="127"/>
      <c r="F78" s="127"/>
      <c r="H78" s="118"/>
      <c r="I78" s="118"/>
      <c r="J78" s="118"/>
      <c r="K78" s="118"/>
      <c r="L78" s="118"/>
      <c r="M78" s="118"/>
      <c r="N78" s="118"/>
      <c r="O78" s="118"/>
      <c r="P78" s="118"/>
      <c r="Q78" s="118"/>
    </row>
    <row r="79" ht="17.25" customHeight="1" outlineLevel="1" spans="1:17">
      <c r="A79" s="131" t="s">
        <v>140</v>
      </c>
      <c r="B79" s="132"/>
      <c r="C79" s="127"/>
      <c r="D79" s="127"/>
      <c r="E79" s="133"/>
      <c r="F79" s="133"/>
      <c r="H79" s="118"/>
      <c r="I79" s="118"/>
      <c r="J79" s="118"/>
      <c r="K79" s="118"/>
      <c r="L79" s="118"/>
      <c r="M79" s="118"/>
      <c r="N79" s="118"/>
      <c r="O79" s="118"/>
      <c r="P79" s="118"/>
      <c r="Q79" s="118"/>
    </row>
    <row r="80" ht="17.25" customHeight="1" outlineLevel="1" spans="1:17">
      <c r="A80" s="132"/>
      <c r="B80" s="132" t="s">
        <v>141</v>
      </c>
      <c r="C80" s="127"/>
      <c r="D80" s="127"/>
      <c r="E80" s="133"/>
      <c r="F80" s="133"/>
      <c r="H80" s="118">
        <f>'Historical Data'!H76</f>
        <v>-524585</v>
      </c>
      <c r="I80" s="118">
        <f>'Historical Data'!I76</f>
        <v>-407729</v>
      </c>
      <c r="J80" s="118">
        <f>'Historical Data'!J76</f>
        <v>-348552</v>
      </c>
      <c r="K80" s="118">
        <f>'Historical Data'!K76</f>
        <v>-439538</v>
      </c>
      <c r="L80" s="118">
        <f>'Historical Data'!L76</f>
        <v>-688220</v>
      </c>
      <c r="M80" s="118">
        <f>-M110</f>
        <v>-219784.098442935</v>
      </c>
      <c r="N80" s="118">
        <f>-N110</f>
        <v>-228528.207108614</v>
      </c>
      <c r="O80" s="118">
        <f>-O110</f>
        <v>-236080.179813353</v>
      </c>
      <c r="P80" s="118">
        <f>-P110</f>
        <v>-242393.535430866</v>
      </c>
      <c r="Q80" s="118">
        <f>-Q110</f>
        <v>-247446.414883572</v>
      </c>
    </row>
    <row r="81" ht="17.25" customHeight="1" outlineLevel="1" spans="1:17">
      <c r="A81" s="132"/>
      <c r="B81" s="132" t="s">
        <v>142</v>
      </c>
      <c r="C81" s="127"/>
      <c r="D81" s="127"/>
      <c r="E81" s="133"/>
      <c r="F81" s="133"/>
      <c r="H81" s="118"/>
      <c r="I81" s="118"/>
      <c r="J81" s="118"/>
      <c r="K81" s="118"/>
      <c r="L81" s="118"/>
      <c r="M81" s="118"/>
      <c r="N81" s="118"/>
      <c r="O81" s="118"/>
      <c r="P81" s="118"/>
      <c r="Q81" s="118"/>
    </row>
    <row r="82" ht="17.25" customHeight="1" outlineLevel="1" spans="1:17">
      <c r="A82" s="132"/>
      <c r="B82" s="132" t="s">
        <v>143</v>
      </c>
      <c r="C82" s="127"/>
      <c r="D82" s="127"/>
      <c r="E82" s="133"/>
      <c r="F82" s="133"/>
      <c r="H82" s="118">
        <f>SUM('Historical Data'!H77:H80)</f>
        <v>-815268</v>
      </c>
      <c r="I82" s="118">
        <f>SUM('Historical Data'!I77:I80)</f>
        <v>-1668663</v>
      </c>
      <c r="J82" s="118">
        <f>SUM('Historical Data'!J77:J80)</f>
        <v>890303</v>
      </c>
      <c r="K82" s="118">
        <f>SUM('Historical Data'!K77:K80)</f>
        <v>-1742246</v>
      </c>
      <c r="L82" s="118">
        <f>SUM('Historical Data'!L77:L80)</f>
        <v>1729908</v>
      </c>
      <c r="M82" s="118"/>
      <c r="N82" s="118"/>
      <c r="O82" s="118"/>
      <c r="P82" s="118"/>
      <c r="Q82" s="118"/>
    </row>
    <row r="83" ht="17.25" customHeight="1" outlineLevel="1" spans="1:17">
      <c r="A83" s="132"/>
      <c r="B83" s="132" t="s">
        <v>144</v>
      </c>
      <c r="C83" s="127"/>
      <c r="D83" s="127"/>
      <c r="E83" s="133"/>
      <c r="F83" s="133"/>
      <c r="H83" s="118"/>
      <c r="I83" s="118"/>
      <c r="J83" s="118"/>
      <c r="K83" s="118"/>
      <c r="L83" s="118"/>
      <c r="M83" s="118"/>
      <c r="N83" s="118"/>
      <c r="O83" s="118"/>
      <c r="P83" s="118"/>
      <c r="Q83" s="118"/>
    </row>
    <row r="84" ht="17.25" customHeight="1" outlineLevel="1" spans="1:17">
      <c r="A84" s="132"/>
      <c r="B84" s="132" t="s">
        <v>145</v>
      </c>
      <c r="C84" s="127"/>
      <c r="D84" s="127"/>
      <c r="E84" s="133"/>
      <c r="F84" s="133"/>
      <c r="H84" s="118"/>
      <c r="I84" s="118"/>
      <c r="J84" s="118"/>
      <c r="K84" s="118"/>
      <c r="L84" s="118"/>
      <c r="M84" s="118">
        <f>M30</f>
        <v>338775.61829644</v>
      </c>
      <c r="N84" s="118">
        <f>N30</f>
        <v>374129.871026407</v>
      </c>
      <c r="O84" s="118">
        <f>O30</f>
        <v>410652.444967096</v>
      </c>
      <c r="P84" s="118">
        <f>P30</f>
        <v>448151.720965268</v>
      </c>
      <c r="Q84" s="118">
        <f>Q30</f>
        <v>486432.698178555</v>
      </c>
    </row>
    <row r="85" ht="17.25" customHeight="1" outlineLevel="1" spans="1:17">
      <c r="A85" s="131"/>
      <c r="B85" s="134" t="s">
        <v>140</v>
      </c>
      <c r="C85" s="134"/>
      <c r="D85" s="128"/>
      <c r="E85" s="135"/>
      <c r="F85" s="135"/>
      <c r="G85" s="130"/>
      <c r="H85" s="121">
        <f t="shared" ref="H85:Q85" si="23">SUM(H80:H84)</f>
        <v>-1339853</v>
      </c>
      <c r="I85" s="121">
        <f t="shared" si="23"/>
        <v>-2076392</v>
      </c>
      <c r="J85" s="121">
        <f t="shared" si="23"/>
        <v>541751</v>
      </c>
      <c r="K85" s="121">
        <f t="shared" si="23"/>
        <v>-2181784</v>
      </c>
      <c r="L85" s="121">
        <f t="shared" si="23"/>
        <v>1041688</v>
      </c>
      <c r="M85" s="136">
        <f t="shared" si="23"/>
        <v>118991.519853505</v>
      </c>
      <c r="N85" s="136">
        <f t="shared" si="23"/>
        <v>145601.663917793</v>
      </c>
      <c r="O85" s="136">
        <f t="shared" si="23"/>
        <v>174572.265153743</v>
      </c>
      <c r="P85" s="136">
        <f t="shared" si="23"/>
        <v>205758.185534402</v>
      </c>
      <c r="Q85" s="136">
        <f t="shared" si="23"/>
        <v>238986.283294983</v>
      </c>
    </row>
    <row r="86" ht="17.25" customHeight="1" outlineLevel="1" spans="1:17">
      <c r="A86" s="132"/>
      <c r="B86" s="132"/>
      <c r="C86" s="132"/>
      <c r="D86" s="132"/>
      <c r="E86" s="133"/>
      <c r="F86" s="133"/>
      <c r="H86" s="117"/>
      <c r="I86" s="117"/>
      <c r="J86" s="117"/>
      <c r="K86" s="117"/>
      <c r="L86" s="117"/>
      <c r="M86" s="118"/>
      <c r="N86" s="118"/>
      <c r="O86" s="118"/>
      <c r="P86" s="118"/>
      <c r="Q86" s="118"/>
    </row>
    <row r="87" ht="17.25" customHeight="1" outlineLevel="1" spans="1:17">
      <c r="A87" s="131" t="s">
        <v>146</v>
      </c>
      <c r="B87" s="132"/>
      <c r="C87" s="127"/>
      <c r="D87" s="127"/>
      <c r="E87" s="133"/>
      <c r="F87" s="133"/>
      <c r="H87" s="118"/>
      <c r="I87" s="118"/>
      <c r="J87" s="118"/>
      <c r="K87" s="118"/>
      <c r="L87" s="118"/>
      <c r="M87" s="118"/>
      <c r="N87" s="118"/>
      <c r="O87" s="118"/>
      <c r="P87" s="118"/>
      <c r="Q87" s="118"/>
    </row>
    <row r="88" ht="17.25" customHeight="1" outlineLevel="1" spans="1:17">
      <c r="A88" s="132"/>
      <c r="B88" s="132" t="s">
        <v>147</v>
      </c>
      <c r="C88" s="127"/>
      <c r="D88" s="127"/>
      <c r="E88" s="133"/>
      <c r="F88" s="133"/>
      <c r="H88" s="118">
        <f>SUM('Historical Data'!H84:H85,'Historical Data'!H88:H89)</f>
        <v>-724168</v>
      </c>
      <c r="I88" s="118">
        <f>SUM('Historical Data'!I84:I85,'Historical Data'!I88:I89)</f>
        <v>-700000</v>
      </c>
      <c r="J88" s="118">
        <f>SUM('Historical Data'!J84:J85,'Historical Data'!J88:J89)</f>
        <v>-75446</v>
      </c>
      <c r="K88" s="118">
        <f>SUM('Historical Data'!K84:K85,'Historical Data'!K88:K89)</f>
        <v>1356432</v>
      </c>
      <c r="L88" s="118">
        <f>SUM('Historical Data'!L84:L85,'Historical Data'!L88:L89)</f>
        <v>-1885421</v>
      </c>
      <c r="M88" s="118">
        <f>M116</f>
        <v>-1740.4939</v>
      </c>
      <c r="N88" s="118">
        <f>N116</f>
        <v>-1740.4939</v>
      </c>
      <c r="O88" s="118">
        <f>O116</f>
        <v>-1740.4939</v>
      </c>
      <c r="P88" s="118">
        <f>P116</f>
        <v>-1740.4939</v>
      </c>
      <c r="Q88" s="118">
        <f>Q116</f>
        <v>-1740.4939</v>
      </c>
    </row>
    <row r="89" ht="17.25" customHeight="1" outlineLevel="1" spans="1:17">
      <c r="A89" s="132"/>
      <c r="B89" s="137" t="s">
        <v>148</v>
      </c>
      <c r="C89" s="127"/>
      <c r="D89" s="127"/>
      <c r="E89" s="133"/>
      <c r="F89" s="133"/>
      <c r="H89" s="118">
        <f>'Historical Data'!H86+'Historical Data'!H87</f>
        <v>-425608</v>
      </c>
      <c r="I89" s="118">
        <f>'Historical Data'!I86+'Historical Data'!I87</f>
        <v>35746</v>
      </c>
      <c r="J89" s="118">
        <f>'Historical Data'!J86+'Historical Data'!J87</f>
        <v>-5875357</v>
      </c>
      <c r="K89" s="118">
        <f>'Historical Data'!K86+'Historical Data'!K87</f>
        <v>-5430859</v>
      </c>
      <c r="L89" s="118">
        <f>'Historical Data'!L86+'Historical Data'!L87</f>
        <v>-8460202</v>
      </c>
      <c r="M89" s="118">
        <v>0</v>
      </c>
      <c r="N89" s="118">
        <v>0</v>
      </c>
      <c r="O89" s="118">
        <v>0</v>
      </c>
      <c r="P89" s="118">
        <v>0</v>
      </c>
      <c r="Q89" s="118">
        <v>0</v>
      </c>
    </row>
    <row r="90" ht="17.25" customHeight="1" outlineLevel="1" spans="1:17">
      <c r="A90" s="132"/>
      <c r="B90" s="132" t="s">
        <v>149</v>
      </c>
      <c r="C90" s="127"/>
      <c r="D90" s="127"/>
      <c r="E90" s="133"/>
      <c r="F90" s="133"/>
      <c r="H90" s="118"/>
      <c r="I90" s="118"/>
      <c r="J90" s="118"/>
      <c r="K90" s="118"/>
      <c r="L90" s="118"/>
      <c r="M90" s="118"/>
      <c r="N90" s="118"/>
      <c r="O90" s="118"/>
      <c r="P90" s="118"/>
      <c r="Q90" s="118"/>
    </row>
    <row r="91" ht="17.25" customHeight="1" outlineLevel="1" spans="1:17">
      <c r="A91" s="132"/>
      <c r="B91" s="132" t="s">
        <v>150</v>
      </c>
      <c r="C91" s="127"/>
      <c r="D91" s="127"/>
      <c r="E91" s="133"/>
      <c r="F91" s="133"/>
      <c r="H91" s="118"/>
      <c r="I91" s="118"/>
      <c r="J91" s="118"/>
      <c r="K91" s="118"/>
      <c r="L91" s="118"/>
      <c r="M91" s="118">
        <f>M118</f>
        <v>-714102.969599882</v>
      </c>
      <c r="N91" s="118">
        <f>N118</f>
        <v>-714017.032660366</v>
      </c>
      <c r="O91" s="118">
        <f>O118</f>
        <v>-713931.095720851</v>
      </c>
      <c r="P91" s="118">
        <f>P118</f>
        <v>-713845.158781335</v>
      </c>
      <c r="Q91" s="118">
        <f>Q118</f>
        <v>-713759.221841819</v>
      </c>
    </row>
    <row r="92" ht="17.25" customHeight="1" outlineLevel="1" spans="1:17">
      <c r="A92" s="131"/>
      <c r="B92" s="134" t="s">
        <v>146</v>
      </c>
      <c r="C92" s="128"/>
      <c r="D92" s="128"/>
      <c r="E92" s="135"/>
      <c r="F92" s="135"/>
      <c r="G92" s="130"/>
      <c r="H92" s="121">
        <f t="shared" ref="H92:Q92" si="24">SUM(H88:H91)</f>
        <v>-1149776</v>
      </c>
      <c r="I92" s="121">
        <f t="shared" si="24"/>
        <v>-664254</v>
      </c>
      <c r="J92" s="121">
        <f t="shared" si="24"/>
        <v>-5950803</v>
      </c>
      <c r="K92" s="121">
        <f t="shared" si="24"/>
        <v>-4074427</v>
      </c>
      <c r="L92" s="121">
        <f t="shared" si="24"/>
        <v>-10345623</v>
      </c>
      <c r="M92" s="121">
        <f t="shared" si="24"/>
        <v>-715843.463499882</v>
      </c>
      <c r="N92" s="121">
        <f t="shared" si="24"/>
        <v>-715757.526560366</v>
      </c>
      <c r="O92" s="121">
        <f t="shared" si="24"/>
        <v>-715671.589620851</v>
      </c>
      <c r="P92" s="121">
        <f t="shared" si="24"/>
        <v>-715585.652681335</v>
      </c>
      <c r="Q92" s="121">
        <f t="shared" si="24"/>
        <v>-715499.715741819</v>
      </c>
    </row>
    <row r="93" ht="17.25" customHeight="1" outlineLevel="1" spans="1:17">
      <c r="A93" s="131"/>
      <c r="B93" s="131"/>
      <c r="C93" s="131"/>
      <c r="D93" s="131"/>
      <c r="E93" s="133"/>
      <c r="F93" s="133"/>
      <c r="H93" s="118"/>
      <c r="I93" s="118"/>
      <c r="J93" s="118"/>
      <c r="K93" s="118"/>
      <c r="L93" s="118"/>
      <c r="M93" s="118"/>
      <c r="N93" s="118"/>
      <c r="O93" s="118"/>
      <c r="P93" s="118"/>
      <c r="Q93" s="118"/>
    </row>
    <row r="94" ht="17.25" customHeight="1" outlineLevel="1" spans="1:17">
      <c r="A94" s="127"/>
      <c r="B94" s="138" t="s">
        <v>151</v>
      </c>
      <c r="C94" s="139"/>
      <c r="D94" s="139"/>
      <c r="E94" s="133"/>
      <c r="F94" s="133"/>
      <c r="H94" s="118">
        <f>'Historical Data'!H92</f>
        <v>-86740</v>
      </c>
      <c r="I94" s="118">
        <f>'Historical Data'!I92</f>
        <v>-170140</v>
      </c>
      <c r="J94" s="118">
        <f>'Historical Data'!J92</f>
        <v>82684</v>
      </c>
      <c r="K94" s="118">
        <f>'Historical Data'!K92</f>
        <v>-416331</v>
      </c>
      <c r="L94" s="118">
        <f>'Historical Data'!L92</f>
        <v>386519</v>
      </c>
      <c r="M94" s="118">
        <v>0</v>
      </c>
      <c r="N94" s="118">
        <v>0</v>
      </c>
      <c r="O94" s="118">
        <v>0</v>
      </c>
      <c r="P94" s="118">
        <v>0</v>
      </c>
      <c r="Q94" s="118">
        <v>0</v>
      </c>
    </row>
    <row r="95" ht="17.25" customHeight="1" outlineLevel="1" spans="1:17">
      <c r="A95" s="131" t="s">
        <v>152</v>
      </c>
      <c r="B95" s="133"/>
      <c r="C95" s="133"/>
      <c r="D95" s="133"/>
      <c r="E95" s="127"/>
      <c r="F95" s="127"/>
      <c r="H95" s="117">
        <f t="shared" ref="H95:Q95" si="25">SUM(H77,H85,H94,H92)</f>
        <v>-2183759</v>
      </c>
      <c r="I95" s="117">
        <f t="shared" si="25"/>
        <v>-884529</v>
      </c>
      <c r="J95" s="117">
        <f t="shared" si="25"/>
        <v>1947933</v>
      </c>
      <c r="K95" s="117">
        <f t="shared" si="25"/>
        <v>688822</v>
      </c>
      <c r="L95" s="117">
        <f t="shared" si="25"/>
        <v>1231857</v>
      </c>
      <c r="M95" s="117">
        <f t="shared" si="25"/>
        <v>9758392.60693053</v>
      </c>
      <c r="N95" s="117">
        <f t="shared" si="25"/>
        <v>10686764.0382531</v>
      </c>
      <c r="O95" s="117">
        <f t="shared" si="25"/>
        <v>11788436.9633258</v>
      </c>
      <c r="P95" s="117">
        <f t="shared" si="25"/>
        <v>12921353.174517</v>
      </c>
      <c r="Q95" s="117">
        <f t="shared" si="25"/>
        <v>14079365.3571677</v>
      </c>
    </row>
    <row r="96" ht="17.25" customHeight="1" outlineLevel="1" spans="1:17">
      <c r="A96" s="132"/>
      <c r="B96" s="132" t="s">
        <v>153</v>
      </c>
      <c r="C96" s="133"/>
      <c r="D96" s="133"/>
      <c r="E96" s="127"/>
      <c r="F96" s="127"/>
      <c r="H96" s="118">
        <f>'Historical Data'!H94</f>
        <v>8238870</v>
      </c>
      <c r="I96" s="118">
        <f t="shared" ref="I96:Q96" si="26">H97</f>
        <v>6055111</v>
      </c>
      <c r="J96" s="118">
        <f t="shared" si="26"/>
        <v>5170582</v>
      </c>
      <c r="K96" s="118">
        <f t="shared" si="26"/>
        <v>7118515</v>
      </c>
      <c r="L96" s="118">
        <f t="shared" si="26"/>
        <v>7807337</v>
      </c>
      <c r="M96" s="118">
        <f>L39</f>
        <v>9033681</v>
      </c>
      <c r="N96" s="118">
        <f t="shared" si="26"/>
        <v>18792073.6069305</v>
      </c>
      <c r="O96" s="118">
        <f t="shared" si="26"/>
        <v>29478837.6451836</v>
      </c>
      <c r="P96" s="118">
        <f t="shared" si="26"/>
        <v>41267274.6085094</v>
      </c>
      <c r="Q96" s="118">
        <f t="shared" si="26"/>
        <v>54188627.7830264</v>
      </c>
    </row>
    <row r="97" ht="17.25" customHeight="1" outlineLevel="1" spans="1:17">
      <c r="A97" s="134"/>
      <c r="B97" s="134" t="s">
        <v>154</v>
      </c>
      <c r="C97" s="135"/>
      <c r="D97" s="135"/>
      <c r="E97" s="128"/>
      <c r="F97" s="128"/>
      <c r="G97" s="130"/>
      <c r="H97" s="121">
        <f t="shared" ref="H97:Q97" si="27">SUM(H95:H96)</f>
        <v>6055111</v>
      </c>
      <c r="I97" s="121">
        <f t="shared" si="27"/>
        <v>5170582</v>
      </c>
      <c r="J97" s="121">
        <f t="shared" si="27"/>
        <v>7118515</v>
      </c>
      <c r="K97" s="121">
        <f t="shared" si="27"/>
        <v>7807337</v>
      </c>
      <c r="L97" s="121">
        <f t="shared" si="27"/>
        <v>9039194</v>
      </c>
      <c r="M97" s="121">
        <f t="shared" si="27"/>
        <v>18792073.6069305</v>
      </c>
      <c r="N97" s="121">
        <f t="shared" si="27"/>
        <v>29478837.6451836</v>
      </c>
      <c r="O97" s="121">
        <f t="shared" si="27"/>
        <v>41267274.6085094</v>
      </c>
      <c r="P97" s="121">
        <f t="shared" si="27"/>
        <v>54188627.7830264</v>
      </c>
      <c r="Q97" s="121">
        <f t="shared" si="27"/>
        <v>68267993.1401942</v>
      </c>
    </row>
    <row r="98" ht="16.5" customHeight="1" spans="1:17"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6.5" customHeight="1" spans="1:17">
      <c r="A99" s="3" t="s">
        <v>155</v>
      </c>
      <c r="B99" s="79"/>
      <c r="C99" s="79"/>
      <c r="D99" s="79"/>
      <c r="E99" s="79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</row>
    <row r="100" ht="16.5" customHeight="1" outlineLevel="1"/>
    <row r="101" ht="16.5" customHeight="1" outlineLevel="1" spans="1:17">
      <c r="A101" s="63" t="s">
        <v>156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ht="16.5" customHeight="1" outlineLevel="1" spans="1:17">
      <c r="A102" s="1"/>
      <c r="B102" s="1" t="s">
        <v>110</v>
      </c>
      <c r="C102" s="1"/>
      <c r="D102" s="1"/>
      <c r="E102" s="1"/>
      <c r="F102" s="1"/>
      <c r="G102" s="1"/>
      <c r="H102" s="123">
        <f>H40</f>
        <v>0</v>
      </c>
      <c r="I102" s="123">
        <f>I40</f>
        <v>0</v>
      </c>
      <c r="J102" s="123">
        <f>J40</f>
        <v>0</v>
      </c>
      <c r="K102" s="123">
        <f>K40</f>
        <v>0</v>
      </c>
      <c r="L102" s="123">
        <f>L40</f>
        <v>0</v>
      </c>
      <c r="M102" s="123">
        <f>L40-M40</f>
        <v>0</v>
      </c>
      <c r="N102" s="123">
        <f>M40-N40</f>
        <v>0</v>
      </c>
      <c r="O102" s="123">
        <f>N40-O40</f>
        <v>0</v>
      </c>
      <c r="P102" s="123">
        <f>O40-P40</f>
        <v>0</v>
      </c>
      <c r="Q102" s="123">
        <f>P40-Q40</f>
        <v>0</v>
      </c>
    </row>
    <row r="103" ht="16.5" customHeight="1" outlineLevel="1" spans="1:17">
      <c r="A103" s="1"/>
      <c r="B103" s="1" t="s">
        <v>157</v>
      </c>
      <c r="C103" s="1"/>
      <c r="D103" s="1"/>
      <c r="E103" s="1"/>
      <c r="F103" s="1"/>
      <c r="G103" s="1"/>
      <c r="H103" s="123">
        <f>H41</f>
        <v>0</v>
      </c>
      <c r="I103" s="123">
        <f>I41</f>
        <v>0</v>
      </c>
      <c r="J103" s="123">
        <f>J41</f>
        <v>0</v>
      </c>
      <c r="K103" s="123">
        <f>K41</f>
        <v>0</v>
      </c>
      <c r="L103" s="123">
        <f>L41</f>
        <v>0</v>
      </c>
      <c r="M103" s="123">
        <f>L41-M41</f>
        <v>0</v>
      </c>
      <c r="N103" s="123">
        <f>M41-N41</f>
        <v>0</v>
      </c>
      <c r="O103" s="123">
        <f>N41-O41</f>
        <v>0</v>
      </c>
      <c r="P103" s="123">
        <f>O41-P41</f>
        <v>0</v>
      </c>
      <c r="Q103" s="123">
        <f>P41-Q41</f>
        <v>0</v>
      </c>
    </row>
    <row r="104" ht="16.5" customHeight="1" outlineLevel="1" spans="1:17">
      <c r="A104" s="1"/>
      <c r="B104" s="1" t="s">
        <v>122</v>
      </c>
      <c r="C104" s="1"/>
      <c r="D104" s="1"/>
      <c r="E104" s="1"/>
      <c r="F104" s="1"/>
      <c r="G104" s="1"/>
      <c r="H104" s="123">
        <f>'Historical Data'!H69</f>
        <v>145115</v>
      </c>
      <c r="I104" s="123">
        <f>'Historical Data'!I69</f>
        <v>-158543</v>
      </c>
      <c r="J104" s="123">
        <f>'Historical Data'!J69</f>
        <v>93502</v>
      </c>
      <c r="K104" s="123">
        <f>'Historical Data'!K69</f>
        <v>121353</v>
      </c>
      <c r="L104" s="123">
        <f>'Historical Data'!L69</f>
        <v>-8039</v>
      </c>
      <c r="M104" s="123">
        <f>M54-L54</f>
        <v>251610.911395508</v>
      </c>
      <c r="N104" s="123">
        <f>N54-M54</f>
        <v>120244.721906435</v>
      </c>
      <c r="O104" s="123">
        <f>O54-N54</f>
        <v>124218.344546789</v>
      </c>
      <c r="P104" s="123">
        <f>P54-O54</f>
        <v>127540.243843725</v>
      </c>
      <c r="Q104" s="123">
        <f>Q54-P54</f>
        <v>130198.918203029</v>
      </c>
    </row>
    <row r="105" ht="16.5" customHeight="1" outlineLevel="1" spans="1:17">
      <c r="A105" s="1"/>
      <c r="B105" s="1" t="s">
        <v>158</v>
      </c>
      <c r="C105" s="1"/>
      <c r="D105" s="1"/>
      <c r="E105" s="1"/>
      <c r="F105" s="1"/>
      <c r="G105" s="1"/>
      <c r="H105" s="123">
        <f>SUM('Historical Data'!H68,'Historical Data'!H70:H72)</f>
        <v>-387092</v>
      </c>
      <c r="I105" s="123">
        <f>SUM('Historical Data'!I68,'Historical Data'!I70:I72)</f>
        <v>-599544</v>
      </c>
      <c r="J105" s="123">
        <f>SUM('Historical Data'!J68,'Historical Data'!J70:J72)</f>
        <v>-209650</v>
      </c>
      <c r="K105" s="123">
        <f>SUM('Historical Data'!K68,'Historical Data'!K70:K72)</f>
        <v>-154428</v>
      </c>
      <c r="L105" s="123">
        <f>SUM('Historical Data'!L68,'Historical Data'!L70:L72)</f>
        <v>-448181</v>
      </c>
      <c r="M105" s="123"/>
      <c r="N105" s="123"/>
      <c r="O105" s="123"/>
      <c r="P105" s="123"/>
      <c r="Q105" s="123"/>
    </row>
    <row r="106" ht="16.5" customHeight="1" outlineLevel="1" spans="1:17">
      <c r="A106" s="1"/>
      <c r="B106" s="119" t="s">
        <v>139</v>
      </c>
      <c r="C106" s="119"/>
      <c r="D106" s="119"/>
      <c r="E106" s="119"/>
      <c r="F106" s="119"/>
      <c r="G106" s="119"/>
      <c r="H106" s="119">
        <f t="shared" ref="H106:Q106" si="28">SUM(H102:H105)</f>
        <v>-241977</v>
      </c>
      <c r="I106" s="119">
        <f t="shared" si="28"/>
        <v>-758087</v>
      </c>
      <c r="J106" s="119">
        <f t="shared" si="28"/>
        <v>-116148</v>
      </c>
      <c r="K106" s="119">
        <f t="shared" si="28"/>
        <v>-33075</v>
      </c>
      <c r="L106" s="119">
        <f t="shared" si="28"/>
        <v>-456220</v>
      </c>
      <c r="M106" s="119">
        <f t="shared" si="28"/>
        <v>251610.911395508</v>
      </c>
      <c r="N106" s="119">
        <f t="shared" si="28"/>
        <v>120244.721906435</v>
      </c>
      <c r="O106" s="119">
        <f t="shared" si="28"/>
        <v>124218.344546789</v>
      </c>
      <c r="P106" s="119">
        <f t="shared" si="28"/>
        <v>127540.243843725</v>
      </c>
      <c r="Q106" s="119">
        <f t="shared" si="28"/>
        <v>130198.918203029</v>
      </c>
    </row>
    <row r="107" ht="16.5" customHeight="1" outlineLevel="1" spans="1:1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ht="16.5" customHeight="1" outlineLevel="1" spans="1:17">
      <c r="A108" s="76" t="s">
        <v>159</v>
      </c>
      <c r="B108" s="81"/>
    </row>
    <row r="109" ht="16.5" customHeight="1" outlineLevel="1" spans="1:17">
      <c r="A109" s="81"/>
      <c r="B109" s="140" t="s">
        <v>160</v>
      </c>
      <c r="H109" s="123"/>
      <c r="I109" s="123">
        <f t="shared" ref="I109:Q109" si="29">H112</f>
        <v>1323453</v>
      </c>
      <c r="J109" s="123">
        <f t="shared" si="29"/>
        <v>1398257</v>
      </c>
      <c r="K109" s="123">
        <f t="shared" si="29"/>
        <v>1491444</v>
      </c>
      <c r="L109" s="123">
        <f t="shared" si="29"/>
        <v>1593756</v>
      </c>
      <c r="M109" s="123">
        <f t="shared" si="29"/>
        <v>2004350</v>
      </c>
      <c r="N109" s="123">
        <f t="shared" si="29"/>
        <v>1819134.32622779</v>
      </c>
      <c r="O109" s="123">
        <f t="shared" si="29"/>
        <v>1680087.51512551</v>
      </c>
      <c r="P109" s="123">
        <f t="shared" si="29"/>
        <v>1576688.53165533</v>
      </c>
      <c r="Q109" s="123">
        <f t="shared" si="29"/>
        <v>1500495.74425104</v>
      </c>
    </row>
    <row r="110" ht="16.5" customHeight="1" outlineLevel="1" spans="1:17">
      <c r="A110" s="81"/>
      <c r="B110" s="140" t="s">
        <v>161</v>
      </c>
      <c r="H110" s="123"/>
      <c r="I110" s="123">
        <f>I112-I111-I109</f>
        <v>411486</v>
      </c>
      <c r="J110" s="123">
        <f>J112-J111-J109</f>
        <v>450134</v>
      </c>
      <c r="K110" s="123">
        <f>K112-K111-K109</f>
        <v>431226</v>
      </c>
      <c r="L110" s="123">
        <f>L112-L111-L109</f>
        <v>743983</v>
      </c>
      <c r="M110" s="123">
        <f>(M22-L22)/M17</f>
        <v>219784.098442935</v>
      </c>
      <c r="N110" s="123">
        <f>(N22-M22)/N17</f>
        <v>228528.207108614</v>
      </c>
      <c r="O110" s="123">
        <f>(O22-N22)/O17</f>
        <v>236080.179813353</v>
      </c>
      <c r="P110" s="123">
        <f>(P22-O22)/P17</f>
        <v>242393.535430866</v>
      </c>
      <c r="Q110" s="123">
        <f>(Q22-P22)/Q17</f>
        <v>247446.414883572</v>
      </c>
    </row>
    <row r="111" ht="16.5" customHeight="1" outlineLevel="1" spans="1:17">
      <c r="A111" s="81"/>
      <c r="B111" s="140" t="s">
        <v>101</v>
      </c>
      <c r="H111" s="123">
        <f>-'Historical Data'!H62</f>
        <v>-208412</v>
      </c>
      <c r="I111" s="123">
        <f>-'Historical Data'!I62</f>
        <v>-336682</v>
      </c>
      <c r="J111" s="123">
        <f>-'Historical Data'!J62</f>
        <v>-356947</v>
      </c>
      <c r="K111" s="123">
        <f>-'Historical Data'!K62</f>
        <v>-328914</v>
      </c>
      <c r="L111" s="123">
        <f>-'Historical Data'!L62</f>
        <v>-333389</v>
      </c>
      <c r="M111" s="123">
        <f>-M109*M10</f>
        <v>-404999.772215148</v>
      </c>
      <c r="N111" s="123">
        <f>-N109*N10</f>
        <v>-367575.018210896</v>
      </c>
      <c r="O111" s="123">
        <f>-O109*O10</f>
        <v>-339479.16328353</v>
      </c>
      <c r="P111" s="123">
        <f>-P109*P10</f>
        <v>-318586.322835155</v>
      </c>
      <c r="Q111" s="123">
        <f>-Q109*Q10</f>
        <v>-303190.777374944</v>
      </c>
    </row>
    <row r="112" ht="16.5" customHeight="1" outlineLevel="1" spans="1:17">
      <c r="A112" s="81"/>
      <c r="B112" s="141" t="s">
        <v>162</v>
      </c>
      <c r="C112" s="130"/>
      <c r="D112" s="130"/>
      <c r="E112" s="130"/>
      <c r="F112" s="130"/>
      <c r="G112" s="130"/>
      <c r="H112" s="142">
        <f>'Historical Data'!H28</f>
        <v>1323453</v>
      </c>
      <c r="I112" s="142">
        <f>'Historical Data'!I28</f>
        <v>1398257</v>
      </c>
      <c r="J112" s="142">
        <f>'Historical Data'!J28</f>
        <v>1491444</v>
      </c>
      <c r="K112" s="142">
        <f>'Historical Data'!K28</f>
        <v>1593756</v>
      </c>
      <c r="L112" s="142">
        <f>'Historical Data'!L28</f>
        <v>2004350</v>
      </c>
      <c r="M112" s="142">
        <f>SUM(M109:M111)</f>
        <v>1819134.32622779</v>
      </c>
      <c r="N112" s="142">
        <f>SUM(N109:N111)</f>
        <v>1680087.51512551</v>
      </c>
      <c r="O112" s="142">
        <f>SUM(O109:O111)</f>
        <v>1576688.53165533</v>
      </c>
      <c r="P112" s="142">
        <f>SUM(P109:P111)</f>
        <v>1500495.74425104</v>
      </c>
      <c r="Q112" s="142">
        <f>SUM(Q109:Q111)</f>
        <v>1444751.38175967</v>
      </c>
    </row>
    <row r="113" ht="16.5" customHeight="1" outlineLevel="1" spans="1:17">
      <c r="A113" s="81"/>
      <c r="B113" s="81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</row>
    <row r="114" ht="16.5" customHeight="1" outlineLevel="1" spans="1:17">
      <c r="A114" s="76" t="s">
        <v>163</v>
      </c>
      <c r="B114" s="81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</row>
    <row r="115" ht="16.5" customHeight="1" outlineLevel="1" spans="1:17">
      <c r="A115" s="81"/>
      <c r="B115" s="140" t="s">
        <v>160</v>
      </c>
      <c r="H115" s="143"/>
      <c r="I115" s="143">
        <f t="shared" ref="I115:Q115" si="30">H117</f>
        <v>15392895</v>
      </c>
      <c r="J115" s="143">
        <f t="shared" si="30"/>
        <v>14353076</v>
      </c>
      <c r="K115" s="143">
        <f t="shared" si="30"/>
        <v>14543261</v>
      </c>
      <c r="L115" s="143">
        <f t="shared" si="30"/>
        <v>15582804</v>
      </c>
      <c r="M115" s="143">
        <f t="shared" si="30"/>
        <v>14462836</v>
      </c>
      <c r="N115" s="143">
        <f t="shared" si="30"/>
        <v>14461095.5061</v>
      </c>
      <c r="O115" s="143">
        <f t="shared" si="30"/>
        <v>14459355.0122</v>
      </c>
      <c r="P115" s="143">
        <f t="shared" si="30"/>
        <v>14457614.5183</v>
      </c>
      <c r="Q115" s="143">
        <f t="shared" si="30"/>
        <v>14455874.0244</v>
      </c>
    </row>
    <row r="116" ht="16.5" customHeight="1" outlineLevel="1" spans="1:17">
      <c r="A116" s="81"/>
      <c r="B116" s="140" t="s">
        <v>164</v>
      </c>
      <c r="H116" s="143"/>
      <c r="I116" s="143">
        <f>I117-I115</f>
        <v>-1039819</v>
      </c>
      <c r="J116" s="143">
        <f>J117-J115</f>
        <v>190185</v>
      </c>
      <c r="K116" s="143">
        <f>K117-K115</f>
        <v>1039543</v>
      </c>
      <c r="L116" s="143">
        <f>L117-L115</f>
        <v>-1119968</v>
      </c>
      <c r="M116" s="143">
        <f>-AVERAGE('Re-Payment'!H19:Q19)</f>
        <v>-1740.4939</v>
      </c>
      <c r="N116" s="143">
        <f>M116</f>
        <v>-1740.4939</v>
      </c>
      <c r="O116" s="143">
        <f>N116</f>
        <v>-1740.4939</v>
      </c>
      <c r="P116" s="143">
        <f>O116</f>
        <v>-1740.4939</v>
      </c>
      <c r="Q116" s="143">
        <f>P116</f>
        <v>-1740.4939</v>
      </c>
    </row>
    <row r="117" ht="16.5" customHeight="1" outlineLevel="1" spans="1:17">
      <c r="A117" s="81"/>
      <c r="B117" s="141" t="s">
        <v>162</v>
      </c>
      <c r="C117" s="130"/>
      <c r="D117" s="130"/>
      <c r="E117" s="130"/>
      <c r="F117" s="130"/>
      <c r="G117" s="130"/>
      <c r="H117" s="144">
        <f>H58</f>
        <v>15392895</v>
      </c>
      <c r="I117" s="144">
        <f>I58</f>
        <v>14353076</v>
      </c>
      <c r="J117" s="144">
        <f>J58</f>
        <v>14543261</v>
      </c>
      <c r="K117" s="144">
        <f>K58</f>
        <v>15582804</v>
      </c>
      <c r="L117" s="144">
        <f>L58</f>
        <v>14462836</v>
      </c>
      <c r="M117" s="144">
        <f>SUM(M115:M116)</f>
        <v>14461095.5061</v>
      </c>
      <c r="N117" s="144">
        <f>SUM(N115:N116)</f>
        <v>14459355.0122</v>
      </c>
      <c r="O117" s="144">
        <f>SUM(O115:O116)</f>
        <v>14457614.5183</v>
      </c>
      <c r="P117" s="144">
        <f>SUM(P115:P116)</f>
        <v>14455874.0244</v>
      </c>
      <c r="Q117" s="144">
        <f>SUM(Q115:Q116)</f>
        <v>14454133.5305</v>
      </c>
    </row>
    <row r="118" ht="16.5" customHeight="1" outlineLevel="1" spans="1:17">
      <c r="A118" s="81"/>
      <c r="B118" s="140" t="s">
        <v>165</v>
      </c>
      <c r="H118" s="143">
        <f>H29</f>
        <v>-765620</v>
      </c>
      <c r="I118" s="143">
        <f>I29</f>
        <v>-706212</v>
      </c>
      <c r="J118" s="143">
        <f>J29</f>
        <v>-699826</v>
      </c>
      <c r="K118" s="143">
        <f>K29</f>
        <v>-718733</v>
      </c>
      <c r="L118" s="143">
        <f>L29</f>
        <v>-776510</v>
      </c>
      <c r="M118" s="143">
        <f>-M115*M11</f>
        <v>-714102.969599882</v>
      </c>
      <c r="N118" s="143">
        <f>-N115*N11</f>
        <v>-714017.032660366</v>
      </c>
      <c r="O118" s="143">
        <f>-O115*O11</f>
        <v>-713931.095720851</v>
      </c>
      <c r="P118" s="143">
        <f>-P115*P11</f>
        <v>-713845.158781335</v>
      </c>
      <c r="Q118" s="143">
        <f>-Q115*Q11</f>
        <v>-713759.221841819</v>
      </c>
    </row>
    <row r="120" ht="16.5" customHeight="1" spans="1:17">
      <c r="A120" s="3" t="s">
        <v>166</v>
      </c>
      <c r="B120" s="79"/>
      <c r="C120" s="79"/>
      <c r="D120" s="79"/>
      <c r="E120" s="79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</row>
    <row r="121" ht="16.5" customHeight="1" outlineLevel="1" spans="1:17"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</row>
    <row r="122" ht="16.5" customHeight="1" outlineLevel="1" spans="1:17">
      <c r="A122" s="145"/>
      <c r="B122" s="145"/>
      <c r="C122" s="145"/>
      <c r="D122" s="146" t="s">
        <v>167</v>
      </c>
      <c r="E122" s="147"/>
      <c r="F122" s="147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</row>
    <row r="123" ht="17.25" customHeight="1" outlineLevel="1" spans="1:17">
      <c r="A123" s="145"/>
      <c r="B123" s="145"/>
      <c r="C123" s="145"/>
      <c r="D123" s="132" t="s">
        <v>168</v>
      </c>
      <c r="E123" s="133"/>
      <c r="F123" s="148">
        <v>46281</v>
      </c>
    </row>
    <row r="124" ht="16.5" customHeight="1" outlineLevel="1" spans="1:17">
      <c r="A124" s="145"/>
      <c r="B124" s="145"/>
      <c r="C124" s="145"/>
      <c r="D124" s="132" t="s">
        <v>169</v>
      </c>
      <c r="E124" s="149"/>
      <c r="F124" s="148">
        <v>46477</v>
      </c>
    </row>
    <row r="125" ht="16.5" customHeight="1" outlineLevel="1" spans="1:17">
      <c r="A125" s="145"/>
      <c r="B125" s="145"/>
      <c r="C125" s="145"/>
      <c r="D125" s="132" t="s">
        <v>170</v>
      </c>
      <c r="E125" s="149"/>
      <c r="F125" s="150">
        <f>M18</f>
        <v>0.138449402007075</v>
      </c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</row>
    <row r="126" ht="16.5" customHeight="1" outlineLevel="1" spans="1:17">
      <c r="A126" s="145"/>
      <c r="B126" s="145"/>
      <c r="C126" s="145"/>
      <c r="D126" s="132" t="s">
        <v>171</v>
      </c>
      <c r="E126" s="149"/>
      <c r="F126" s="152">
        <f>Comps!N16/Comps!Q16</f>
        <v>24.7474979932996</v>
      </c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</row>
    <row r="127" ht="16.5" customHeight="1" outlineLevel="1" spans="1:17">
      <c r="A127" s="145"/>
      <c r="B127" s="145"/>
      <c r="C127" s="145"/>
      <c r="D127" s="132" t="s">
        <v>172</v>
      </c>
      <c r="E127" s="149"/>
      <c r="F127" s="153">
        <f>WACC!I35</f>
        <v>0.05</v>
      </c>
      <c r="H127" s="151"/>
      <c r="I127" s="151"/>
      <c r="J127" s="151"/>
      <c r="K127" s="151"/>
      <c r="L127" s="151"/>
      <c r="M127" s="151"/>
      <c r="N127" s="151"/>
      <c r="O127" s="151"/>
      <c r="P127" s="154" t="s">
        <v>173</v>
      </c>
      <c r="Q127" s="155"/>
    </row>
    <row r="128" ht="17.25" customHeight="1" outlineLevel="1" spans="1:17">
      <c r="A128" s="145"/>
      <c r="B128" s="145"/>
      <c r="C128" s="145"/>
      <c r="D128" s="132" t="s">
        <v>174</v>
      </c>
      <c r="E128" s="149"/>
      <c r="F128" s="150">
        <f>WACC!I40</f>
        <v>0.127578531379837</v>
      </c>
      <c r="P128" s="156" t="s">
        <v>171</v>
      </c>
      <c r="Q128" s="156">
        <f>(M137+M140)*F126</f>
        <v>412258764.189549</v>
      </c>
    </row>
    <row r="129" ht="16.5" customHeight="1" outlineLevel="1" spans="1:17">
      <c r="A129" s="145"/>
      <c r="B129" s="145"/>
      <c r="C129" s="145"/>
      <c r="D129" s="132" t="s">
        <v>175</v>
      </c>
      <c r="E129" s="149"/>
      <c r="F129" s="149">
        <f>'Comps Data'!J5*1000</f>
        <v>4163940</v>
      </c>
      <c r="H129" s="151"/>
      <c r="I129" s="151"/>
      <c r="J129" s="151"/>
      <c r="K129" s="151"/>
      <c r="L129" s="151"/>
      <c r="M129" s="151"/>
      <c r="N129" s="151"/>
      <c r="O129" s="151"/>
      <c r="P129" s="155" t="s">
        <v>176</v>
      </c>
      <c r="Q129" s="155">
        <f>M143*(1+F127)/(F128-F127)</f>
        <v>189709564.24604</v>
      </c>
    </row>
    <row r="130" ht="17.25" customHeight="1" outlineLevel="1" spans="1:17">
      <c r="A130" s="145"/>
      <c r="B130" s="145"/>
      <c r="C130" s="145"/>
      <c r="D130" s="157"/>
      <c r="E130" s="149"/>
      <c r="F130" s="149"/>
      <c r="P130" s="158" t="s">
        <v>177</v>
      </c>
      <c r="Q130" s="158">
        <f>AVERAGE(Q128:Q129)</f>
        <v>300984164.217794</v>
      </c>
    </row>
    <row r="131" ht="17.25" customHeight="1" outlineLevel="1" spans="1:17">
      <c r="A131" s="145"/>
      <c r="B131" s="145"/>
      <c r="C131" s="159"/>
      <c r="D131" s="133"/>
      <c r="E131" s="149"/>
      <c r="F131" s="149"/>
      <c r="G131" s="1"/>
      <c r="H131" s="1"/>
      <c r="I131" s="1"/>
      <c r="J131" s="1"/>
      <c r="K131" s="1"/>
      <c r="L131" s="1"/>
      <c r="M131" s="1"/>
      <c r="N131" s="1"/>
      <c r="O131" s="1"/>
    </row>
    <row r="132" ht="16.5" customHeight="1" outlineLevel="1" spans="1:17">
      <c r="A132" s="145"/>
      <c r="B132" s="145"/>
      <c r="C132" s="145"/>
      <c r="D132" s="160" t="s">
        <v>178</v>
      </c>
      <c r="E132" s="133"/>
      <c r="F132" s="133"/>
      <c r="G132" s="1"/>
      <c r="H132" s="161" t="s">
        <v>179</v>
      </c>
      <c r="I132" s="162">
        <f>M2</f>
        <v>2026</v>
      </c>
      <c r="J132" s="162">
        <f>N2</f>
        <v>2027</v>
      </c>
      <c r="K132" s="162">
        <f>O2</f>
        <v>2028</v>
      </c>
      <c r="L132" s="162">
        <f>P2</f>
        <v>2029</v>
      </c>
      <c r="M132" s="162">
        <f>Q2</f>
        <v>2030</v>
      </c>
      <c r="N132" s="161" t="s">
        <v>180</v>
      </c>
      <c r="O132" s="1"/>
    </row>
    <row r="133" ht="16.5" customHeight="1" outlineLevel="1" spans="1:17">
      <c r="A133" s="145"/>
      <c r="B133" s="145"/>
      <c r="C133" s="145"/>
      <c r="D133" s="163" t="s">
        <v>181</v>
      </c>
      <c r="E133" s="164"/>
      <c r="F133" s="164"/>
      <c r="G133" s="64"/>
      <c r="H133" s="165">
        <f>F123</f>
        <v>46281</v>
      </c>
      <c r="I133" s="165">
        <f>F124</f>
        <v>46477</v>
      </c>
      <c r="J133" s="165">
        <f>DATE(2028,3,31)</f>
        <v>46843</v>
      </c>
      <c r="K133" s="165">
        <f>DATE(2029,3,31)</f>
        <v>47208</v>
      </c>
      <c r="L133" s="165">
        <f>DATE(2030,3,31)</f>
        <v>47573</v>
      </c>
      <c r="M133" s="165">
        <f>DATE(2031,3,31)</f>
        <v>47938</v>
      </c>
      <c r="N133" s="165">
        <f>DATE(2031,3,31)</f>
        <v>47938</v>
      </c>
      <c r="O133" s="64"/>
    </row>
    <row r="134" ht="16.5" customHeight="1" outlineLevel="1" spans="1:17">
      <c r="A134" s="145"/>
      <c r="B134" s="145"/>
      <c r="C134" s="145"/>
      <c r="D134" s="166" t="s">
        <v>182</v>
      </c>
      <c r="E134" s="133"/>
      <c r="F134" s="133"/>
      <c r="G134" s="1"/>
      <c r="H134" s="1"/>
      <c r="I134" s="1">
        <v>0</v>
      </c>
      <c r="J134" s="1">
        <v>1</v>
      </c>
      <c r="K134" s="1">
        <v>2</v>
      </c>
      <c r="L134" s="1">
        <v>3</v>
      </c>
      <c r="M134" s="1">
        <v>4</v>
      </c>
      <c r="N134" s="1"/>
      <c r="O134" s="1"/>
    </row>
    <row r="135" ht="16.5" customHeight="1" outlineLevel="1" spans="1:17">
      <c r="A135" s="145"/>
      <c r="B135" s="145"/>
      <c r="C135" s="145"/>
      <c r="D135" s="166" t="s">
        <v>183</v>
      </c>
      <c r="E135" s="133"/>
      <c r="F135" s="133"/>
      <c r="G135" s="1"/>
      <c r="H135" s="1"/>
      <c r="I135" s="112">
        <f>YEARFRAC(H133,I133)</f>
        <v>0.541666666666667</v>
      </c>
      <c r="J135" s="112">
        <f>YEARFRAC(I133,J133)</f>
        <v>1</v>
      </c>
      <c r="K135" s="112">
        <f>YEARFRAC(J133,K133)</f>
        <v>1</v>
      </c>
      <c r="L135" s="112">
        <f>YEARFRAC(K133,L133)</f>
        <v>1</v>
      </c>
      <c r="M135" s="112">
        <f>YEARFRAC(L133,M133)</f>
        <v>1</v>
      </c>
      <c r="N135" s="112">
        <f>M135</f>
        <v>1</v>
      </c>
      <c r="O135" s="1"/>
    </row>
    <row r="136" ht="16.5" customHeight="1" outlineLevel="1" spans="1:17">
      <c r="A136" s="145"/>
      <c r="B136" s="145"/>
      <c r="C136" s="145"/>
      <c r="D136" s="157"/>
      <c r="E136" s="133"/>
      <c r="F136" s="133"/>
      <c r="G136" s="1"/>
      <c r="H136" s="1"/>
      <c r="I136" s="167"/>
      <c r="J136" s="167"/>
      <c r="K136" s="167"/>
      <c r="L136" s="167"/>
      <c r="M136" s="167"/>
      <c r="N136" s="167"/>
      <c r="O136" s="167"/>
    </row>
    <row r="137" ht="16.5" customHeight="1" outlineLevel="1" spans="1:17">
      <c r="A137" s="145"/>
      <c r="B137" s="145"/>
      <c r="C137" s="145"/>
      <c r="D137" s="168" t="s">
        <v>102</v>
      </c>
      <c r="E137" s="169"/>
      <c r="F137" s="169"/>
      <c r="G137" s="1"/>
      <c r="I137" s="167">
        <f>M28</f>
        <v>11196869.9715308</v>
      </c>
      <c r="J137" s="167">
        <f>N28</f>
        <v>12445053.1535564</v>
      </c>
      <c r="K137" s="167">
        <f>O28</f>
        <v>13723918.3161954</v>
      </c>
      <c r="L137" s="167">
        <f>P28</f>
        <v>15029029.0640696</v>
      </c>
      <c r="M137" s="167">
        <f>Q28</f>
        <v>16355413.0257719</v>
      </c>
      <c r="N137" s="167"/>
      <c r="O137" s="167"/>
    </row>
    <row r="138" ht="16.5" customHeight="1" outlineLevel="1" spans="1:17">
      <c r="A138" s="145"/>
      <c r="B138" s="145"/>
      <c r="C138" s="145"/>
      <c r="D138" s="157" t="s">
        <v>184</v>
      </c>
      <c r="E138" s="133"/>
      <c r="F138" s="133"/>
      <c r="G138" s="1"/>
      <c r="I138" s="167">
        <f>I137*-$F$125</f>
        <v>-1550199.95190941</v>
      </c>
      <c r="J138" s="167">
        <f>J137*-$F$125</f>
        <v>-1723010.16705614</v>
      </c>
      <c r="K138" s="167">
        <f>K137*-$F$125</f>
        <v>-1900068.28407119</v>
      </c>
      <c r="L138" s="167">
        <f>L137*-$F$125</f>
        <v>-2080760.08666738</v>
      </c>
      <c r="M138" s="167">
        <f>M137*-$F$125</f>
        <v>-2264397.15299683</v>
      </c>
      <c r="N138" s="167"/>
      <c r="O138" s="167"/>
    </row>
    <row r="139" ht="16.5" customHeight="1" outlineLevel="1" spans="1:17">
      <c r="A139" s="145"/>
      <c r="B139" s="145"/>
      <c r="C139" s="145"/>
      <c r="D139" s="170" t="s">
        <v>185</v>
      </c>
      <c r="E139" s="135"/>
      <c r="F139" s="135"/>
      <c r="G139" s="64"/>
      <c r="H139" s="64"/>
      <c r="I139" s="171">
        <f>SUM(I137:I138)</f>
        <v>9646670.01962141</v>
      </c>
      <c r="J139" s="171">
        <f>SUM(J137:J138)</f>
        <v>10722042.9865003</v>
      </c>
      <c r="K139" s="171">
        <f>SUM(K137:K138)</f>
        <v>11823850.0321242</v>
      </c>
      <c r="L139" s="171">
        <f>SUM(L137:L138)</f>
        <v>12948268.9774023</v>
      </c>
      <c r="M139" s="171">
        <f>SUM(M137:M138)</f>
        <v>14091015.872775</v>
      </c>
      <c r="N139" s="172"/>
      <c r="O139" s="172"/>
    </row>
    <row r="140" ht="16.5" customHeight="1" outlineLevel="1" spans="1:17">
      <c r="A140" s="145"/>
      <c r="B140" s="145"/>
      <c r="C140" s="145"/>
      <c r="D140" s="132" t="s">
        <v>136</v>
      </c>
      <c r="E140" s="133"/>
      <c r="F140" s="133"/>
      <c r="G140" s="1"/>
      <c r="H140" s="1"/>
      <c r="I140" s="167">
        <f>-M27</f>
        <v>404999.772215148</v>
      </c>
      <c r="J140" s="167">
        <f>-N27</f>
        <v>367575.018210896</v>
      </c>
      <c r="K140" s="167">
        <f>-O27</f>
        <v>339479.16328353</v>
      </c>
      <c r="L140" s="167">
        <f>-P27</f>
        <v>318586.322835155</v>
      </c>
      <c r="M140" s="167">
        <f>-Q27</f>
        <v>303190.777374944</v>
      </c>
      <c r="N140" s="167"/>
      <c r="O140" s="167"/>
    </row>
    <row r="141" ht="16.5" customHeight="1" outlineLevel="1" spans="1:17">
      <c r="A141" s="145"/>
      <c r="B141" s="145"/>
      <c r="C141" s="145"/>
      <c r="D141" s="132" t="s">
        <v>186</v>
      </c>
      <c r="E141" s="133"/>
      <c r="F141" s="133"/>
      <c r="G141" s="1"/>
      <c r="H141" s="1"/>
      <c r="I141" s="167">
        <f>-M110</f>
        <v>-219784.098442935</v>
      </c>
      <c r="J141" s="167">
        <f>-N110</f>
        <v>-228528.207108614</v>
      </c>
      <c r="K141" s="167">
        <f>-O110</f>
        <v>-236080.179813353</v>
      </c>
      <c r="L141" s="167">
        <f>-P110</f>
        <v>-242393.535430866</v>
      </c>
      <c r="M141" s="167">
        <f>-Q110</f>
        <v>-247446.414883572</v>
      </c>
      <c r="N141" s="167"/>
      <c r="O141" s="167"/>
    </row>
    <row r="142" ht="16.5" customHeight="1" outlineLevel="1" spans="1:17">
      <c r="A142" s="145"/>
      <c r="B142" s="145"/>
      <c r="C142" s="145"/>
      <c r="D142" s="132" t="s">
        <v>187</v>
      </c>
      <c r="E142" s="133"/>
      <c r="F142" s="133"/>
      <c r="G142" s="1"/>
      <c r="H142" s="1"/>
      <c r="I142" s="167">
        <f>-M106</f>
        <v>-251610.911395508</v>
      </c>
      <c r="J142" s="167">
        <f>-N106</f>
        <v>-120244.721906435</v>
      </c>
      <c r="K142" s="167">
        <f>-O106</f>
        <v>-124218.344546789</v>
      </c>
      <c r="L142" s="167">
        <f>-P106</f>
        <v>-127540.243843725</v>
      </c>
      <c r="M142" s="167">
        <f>-Q106</f>
        <v>-130198.918203029</v>
      </c>
      <c r="N142" s="167"/>
      <c r="O142" s="167"/>
    </row>
    <row r="143" ht="16.5" customHeight="1" outlineLevel="1" spans="1:17">
      <c r="A143" s="145"/>
      <c r="B143" s="145"/>
      <c r="C143" s="145"/>
      <c r="D143" s="170" t="s">
        <v>188</v>
      </c>
      <c r="E143" s="135"/>
      <c r="F143" s="135"/>
      <c r="G143" s="64"/>
      <c r="H143" s="64"/>
      <c r="I143" s="171">
        <f>SUM(I139:I142)</f>
        <v>9580274.78199811</v>
      </c>
      <c r="J143" s="171">
        <f>SUM(J139:J142)</f>
        <v>10740845.0756961</v>
      </c>
      <c r="K143" s="171">
        <f>SUM(K139:K142)</f>
        <v>11803030.6710476</v>
      </c>
      <c r="L143" s="171">
        <f>SUM(L139:L142)</f>
        <v>12896921.5209628</v>
      </c>
      <c r="M143" s="171">
        <f>SUM(M139:M142)</f>
        <v>14016561.3170634</v>
      </c>
      <c r="N143" s="171">
        <f>Q130</f>
        <v>300984164.217794</v>
      </c>
      <c r="O143" s="172"/>
    </row>
    <row r="144" ht="16.5" customHeight="1" outlineLevel="1" spans="1:17">
      <c r="A144" s="145"/>
      <c r="B144" s="145"/>
      <c r="C144" s="145"/>
      <c r="D144" s="157"/>
      <c r="E144" s="133"/>
      <c r="F144" s="133"/>
      <c r="I144" s="115"/>
      <c r="J144" s="115"/>
      <c r="K144" s="115"/>
      <c r="L144" s="115"/>
      <c r="M144" s="115"/>
      <c r="N144" s="115"/>
      <c r="O144" s="115"/>
    </row>
    <row r="145" ht="16.5" customHeight="1" outlineLevel="1" spans="1:17">
      <c r="D145" s="63" t="s">
        <v>189</v>
      </c>
      <c r="E145" s="63"/>
      <c r="F145" s="173"/>
      <c r="G145" s="63"/>
      <c r="H145" s="63"/>
      <c r="I145" s="174">
        <f t="shared" ref="I145:N145" si="31">I143*I135</f>
        <v>5189315.50691564</v>
      </c>
      <c r="J145" s="174">
        <f t="shared" si="31"/>
        <v>10740845.0756961</v>
      </c>
      <c r="K145" s="174">
        <f t="shared" si="31"/>
        <v>11803030.6710476</v>
      </c>
      <c r="L145" s="174">
        <f t="shared" si="31"/>
        <v>12896921.5209628</v>
      </c>
      <c r="M145" s="174">
        <f t="shared" si="31"/>
        <v>14016561.3170634</v>
      </c>
      <c r="N145" s="174">
        <f t="shared" si="31"/>
        <v>300984164.217794</v>
      </c>
      <c r="O145" s="174"/>
    </row>
    <row r="146" ht="16.5" customHeight="1" outlineLevel="1" spans="1:17">
      <c r="D146" s="63"/>
      <c r="E146" s="63"/>
      <c r="F146" s="175"/>
      <c r="G146" s="63"/>
      <c r="H146" s="63"/>
      <c r="I146" s="115"/>
      <c r="J146" s="115"/>
      <c r="K146" s="115"/>
      <c r="L146" s="115"/>
      <c r="M146" s="115"/>
      <c r="N146" s="115"/>
      <c r="O146" s="174"/>
    </row>
    <row r="147" ht="16.5" customHeight="1" outlineLevel="1" spans="1:17">
      <c r="A147" s="176"/>
      <c r="B147" s="176"/>
      <c r="C147" s="176"/>
      <c r="D147" s="59"/>
      <c r="E147" s="176"/>
      <c r="F147" s="155"/>
      <c r="G147" s="176"/>
      <c r="H147" s="176"/>
      <c r="I147" s="176"/>
      <c r="J147" s="176"/>
      <c r="K147" s="176"/>
      <c r="L147" s="176"/>
    </row>
    <row r="148" ht="16.5" customHeight="1" outlineLevel="1" spans="1:17">
      <c r="A148" s="176"/>
      <c r="B148" s="176"/>
      <c r="C148" s="176"/>
      <c r="D148" s="177" t="s">
        <v>190</v>
      </c>
      <c r="E148" s="176"/>
      <c r="F148" s="155"/>
      <c r="G148" s="176"/>
      <c r="H148" s="176"/>
      <c r="I148" s="177" t="s">
        <v>191</v>
      </c>
      <c r="J148" s="176"/>
      <c r="K148" s="176"/>
      <c r="L148" s="176"/>
    </row>
    <row r="149" ht="17.25" customHeight="1" outlineLevel="1" spans="1:17">
      <c r="A149" s="176"/>
      <c r="B149" s="176"/>
      <c r="C149" s="176"/>
      <c r="D149" s="178" t="s">
        <v>192</v>
      </c>
      <c r="E149" s="179"/>
      <c r="F149" s="180">
        <f>XNPV(F128,I145:N145,I133:N133)</f>
        <v>227781578.166461</v>
      </c>
      <c r="G149" s="176"/>
      <c r="H149" s="176"/>
      <c r="I149" s="85" t="s">
        <v>193</v>
      </c>
      <c r="J149" s="179"/>
      <c r="K149" s="179"/>
      <c r="L149" s="181">
        <v>77.9</v>
      </c>
    </row>
    <row r="150" ht="16.5" customHeight="1" outlineLevel="1" spans="1:17">
      <c r="A150" s="176"/>
      <c r="B150" s="176"/>
      <c r="C150" s="176"/>
      <c r="D150" s="59" t="s">
        <v>194</v>
      </c>
      <c r="E150" s="176"/>
      <c r="F150" s="182">
        <f>M39</f>
        <v>18792073.6069305</v>
      </c>
      <c r="G150" s="176"/>
      <c r="H150" s="176"/>
      <c r="I150" s="59" t="s">
        <v>195</v>
      </c>
      <c r="J150" s="176"/>
      <c r="K150" s="176"/>
      <c r="L150" s="183">
        <f>F155</f>
        <v>55.5036074648751</v>
      </c>
    </row>
    <row r="151" ht="16.5" customHeight="1" outlineLevel="1" spans="1:17">
      <c r="A151" s="176"/>
      <c r="B151" s="176"/>
      <c r="C151" s="176"/>
      <c r="D151" s="59" t="s">
        <v>196</v>
      </c>
      <c r="E151" s="176"/>
      <c r="F151" s="182">
        <f>-M58-'Historical Data'!L38</f>
        <v>-15459960.5061</v>
      </c>
      <c r="G151" s="176"/>
      <c r="H151" s="176"/>
      <c r="I151" s="59" t="s">
        <v>197</v>
      </c>
      <c r="J151" s="176"/>
      <c r="K151" s="176"/>
      <c r="L151" s="184">
        <f>L150/L149-1</f>
        <v>-0.28750182971919</v>
      </c>
    </row>
    <row r="152" ht="16.5" customHeight="1" outlineLevel="1" spans="1:17">
      <c r="A152" s="176"/>
      <c r="B152" s="176"/>
      <c r="C152" s="176"/>
      <c r="D152" s="140" t="s">
        <v>198</v>
      </c>
      <c r="E152" s="176"/>
      <c r="F152" s="185">
        <v>0</v>
      </c>
      <c r="G152" s="176"/>
      <c r="H152" s="176"/>
      <c r="I152" s="176"/>
      <c r="J152" s="176"/>
      <c r="K152" s="176"/>
      <c r="L152" s="176"/>
    </row>
    <row r="153" ht="16.5" customHeight="1" outlineLevel="1" spans="1:17">
      <c r="A153" s="176"/>
      <c r="B153" s="176"/>
      <c r="C153" s="176"/>
      <c r="D153" s="186" t="s">
        <v>199</v>
      </c>
      <c r="E153" s="179"/>
      <c r="F153" s="180">
        <f>SUM(F149:F152)</f>
        <v>231113691.267292</v>
      </c>
      <c r="G153" s="176"/>
      <c r="H153" s="176"/>
      <c r="I153" s="176"/>
      <c r="J153" s="176"/>
      <c r="K153" s="176"/>
      <c r="L153" s="176"/>
    </row>
    <row r="154" ht="16.5" customHeight="1" outlineLevel="1" spans="1:17">
      <c r="A154" s="176"/>
      <c r="B154" s="176"/>
      <c r="C154" s="176"/>
      <c r="D154" s="76"/>
      <c r="E154" s="176"/>
      <c r="F154" s="187"/>
      <c r="G154" s="176"/>
      <c r="H154" s="176"/>
      <c r="I154" s="176"/>
      <c r="J154" s="176"/>
      <c r="K154" s="176"/>
      <c r="L154" s="176"/>
    </row>
    <row r="155" ht="16.5" customHeight="1" outlineLevel="1" spans="1:17">
      <c r="A155" s="176"/>
      <c r="B155" s="176"/>
      <c r="C155" s="176"/>
      <c r="D155" s="76" t="s">
        <v>200</v>
      </c>
      <c r="E155" s="176"/>
      <c r="F155" s="188">
        <f>F153/F129</f>
        <v>55.5036074648751</v>
      </c>
      <c r="G155" s="176"/>
      <c r="H155" s="176"/>
      <c r="I155" s="176"/>
      <c r="J155" s="176"/>
      <c r="K155" s="176"/>
      <c r="L155" s="176"/>
    </row>
    <row r="156" ht="16.5" customHeight="1" spans="1:17">
      <c r="A156" s="176"/>
      <c r="B156" s="176"/>
      <c r="C156" s="176"/>
      <c r="D156" s="59"/>
      <c r="E156" s="176"/>
      <c r="F156" s="155"/>
      <c r="G156" s="176"/>
      <c r="H156" s="176"/>
      <c r="I156" s="176"/>
      <c r="J156" s="176"/>
      <c r="K156" s="176"/>
      <c r="L156" s="176"/>
      <c r="M156" s="151"/>
      <c r="N156" s="151"/>
      <c r="O156" s="151"/>
      <c r="P156" s="151"/>
      <c r="Q156" s="151"/>
    </row>
    <row r="157" ht="16.5" customHeight="1" spans="1:17">
      <c r="A157" s="3" t="s">
        <v>201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189"/>
      <c r="N157" s="189"/>
      <c r="O157" s="189"/>
      <c r="P157" s="189"/>
      <c r="Q157" s="189"/>
    </row>
    <row r="158" ht="16.5" customHeight="1" outlineLevel="1" spans="1:17">
      <c r="M158" s="151"/>
      <c r="N158" s="151"/>
      <c r="O158" s="151"/>
      <c r="P158" s="151"/>
      <c r="Q158" s="151"/>
    </row>
    <row r="159" ht="16.5" customHeight="1" outlineLevel="1" spans="1:17">
      <c r="B159" s="190"/>
      <c r="C159" s="190"/>
      <c r="D159" s="190"/>
      <c r="E159" s="190"/>
      <c r="F159" s="190"/>
      <c r="I159" s="191" t="s">
        <v>202</v>
      </c>
      <c r="M159" s="151"/>
      <c r="N159" s="151"/>
      <c r="O159" s="151"/>
      <c r="P159" s="151"/>
      <c r="Q159" s="151"/>
    </row>
    <row r="160" ht="16.5" customHeight="1" outlineLevel="1" spans="1:17">
      <c r="B160" s="190"/>
      <c r="C160" s="190"/>
      <c r="D160" s="190"/>
      <c r="E160" s="190"/>
      <c r="F160" s="190"/>
      <c r="I160" s="192" t="s">
        <v>202</v>
      </c>
      <c r="J160" s="192"/>
      <c r="K160" s="192"/>
      <c r="L160" s="192"/>
      <c r="M160" s="193"/>
      <c r="N160" s="193"/>
      <c r="O160" s="193"/>
      <c r="P160" s="193"/>
      <c r="Q160" s="151"/>
    </row>
    <row r="161" ht="16.5" customHeight="1" outlineLevel="1" spans="2:17">
      <c r="B161" s="190"/>
      <c r="C161" s="190"/>
      <c r="D161" s="190"/>
      <c r="E161" s="190"/>
      <c r="F161" s="190"/>
      <c r="M161" s="151"/>
      <c r="N161" s="151"/>
      <c r="O161" s="151"/>
      <c r="P161" s="151"/>
      <c r="Q161" s="151"/>
    </row>
    <row r="162" ht="16.5" customHeight="1" outlineLevel="1" spans="2:17">
      <c r="B162" s="190"/>
      <c r="C162" s="190"/>
      <c r="D162" s="190"/>
      <c r="E162" s="190"/>
      <c r="F162" s="190"/>
      <c r="K162" s="194" t="s">
        <v>203</v>
      </c>
      <c r="L162" s="195"/>
      <c r="M162" s="196"/>
      <c r="N162" s="196"/>
      <c r="O162" s="196"/>
      <c r="P162" s="151"/>
      <c r="Q162" s="151"/>
    </row>
    <row r="163" ht="16.5" customHeight="1" outlineLevel="1" spans="2:17">
      <c r="B163" s="190"/>
      <c r="C163" s="190"/>
      <c r="D163" s="190"/>
      <c r="E163" s="190"/>
      <c r="F163" s="190"/>
      <c r="J163" s="197">
        <f>F155</f>
        <v>55.5036074648751</v>
      </c>
      <c r="K163" s="198">
        <v>15</v>
      </c>
      <c r="L163" s="199">
        <v>20</v>
      </c>
      <c r="M163" s="199">
        <f>F126</f>
        <v>24.7474979932996</v>
      </c>
      <c r="N163" s="199">
        <v>30</v>
      </c>
      <c r="O163" s="199">
        <v>35</v>
      </c>
      <c r="P163" s="151"/>
      <c r="Q163" s="151"/>
    </row>
    <row r="164" ht="16.5" customHeight="1" outlineLevel="1" spans="2:17">
      <c r="B164" s="190"/>
      <c r="C164" s="190"/>
      <c r="D164" s="190"/>
      <c r="E164" s="190"/>
      <c r="F164" s="190"/>
      <c r="I164" s="200" t="s">
        <v>174</v>
      </c>
      <c r="J164" s="150">
        <f>J165-1%</f>
        <v>0.107578531379837</v>
      </c>
      <c r="K164" s="201">
        <f>($I$145+$J$145/(1+$J164)^(($J$133-$I$133)/365)+$K$145/(1+$J164)^(($K$133-$I$133)/365)+$L$145/(1+$J164)^(($L$133-$I$133)/365)+$M$145/(1+$J164)^(($M$133-$I$133)/365)+((($M$137+$M$140)*K$163+$M$143*(1+$F$127)/($J164-$F$127))/2)/(1+$J164)^(($N$133-$I$133)/365)+$F$150+$F$151+$F$152)/$F$129</f>
        <v>51.5230881743611</v>
      </c>
      <c r="L164" s="202">
        <f>($I$145+$J$145/(1+$J164)^(($J$133-$I$133)/365)+$K$145/(1+$J164)^(($K$133-$I$133)/365)+$L$145/(1+$J164)^(($L$133-$I$133)/365)+$M$145/(1+$J164)^(($M$133-$I$133)/365)+((($M$137+$M$140)*L$163+$M$143*(1+$F$127)/($J164-$F$127))/2)/(1+$J164)^(($N$133-$I$133)/365)+$F$150+$F$151+$F$152)/$F$129</f>
        <v>58.1674680593483</v>
      </c>
      <c r="M164" s="203">
        <f>($I$145+$J$145/(1+$J164)^(($J$133-$I$133)/365)+$K$145/(1+$J164)^(($K$133-$I$133)/365)+$L$145/(1+$J164)^(($L$133-$I$133)/365)+$M$145/(1+$J164)^(($M$133-$I$133)/365)+((($M$137+$M$140)*M$163+$M$143*(1+$F$127)/($J164-$F$127))/2)/(1+$J164)^(($N$133-$I$133)/365)+$F$150+$F$151+$F$152)/$F$129</f>
        <v>64.4763040934876</v>
      </c>
      <c r="N164" s="202">
        <f>($I$145+$J$145/(1+$J164)^(($J$133-$I$133)/365)+$K$145/(1+$J164)^(($K$133-$I$133)/365)+$L$145/(1+$J164)^(($L$133-$I$133)/365)+$M$145/(1+$J164)^(($M$133-$I$133)/365)+((($M$137+$M$140)*N$163+$M$143*(1+$F$127)/($J164-$F$127))/2)/(1+$J164)^(($N$133-$I$133)/365)+$F$150+$F$151+$F$152)/$F$129</f>
        <v>71.4562278293226</v>
      </c>
      <c r="O164" s="202">
        <f>($I$145+$J$145/(1+$J164)^(($J$133-$I$133)/365)+$K$145/(1+$J164)^(($K$133-$I$133)/365)+$L$145/(1+$J164)^(($L$133-$I$133)/365)+$M$145/(1+$J164)^(($M$133-$I$133)/365)+((($M$137+$M$140)*O$163+$M$143*(1+$F$127)/($J164-$F$127))/2)/(1+$J164)^(($N$133-$I$133)/365)+$F$150+$F$151+$F$152)/$F$129</f>
        <v>78.1006077143098</v>
      </c>
      <c r="P164" s="151"/>
      <c r="Q164" s="151"/>
    </row>
    <row r="165" ht="16.5" customHeight="1" outlineLevel="1" spans="2:17">
      <c r="B165" s="190"/>
      <c r="C165" s="190"/>
      <c r="D165" s="190"/>
      <c r="E165" s="190"/>
      <c r="F165" s="190"/>
      <c r="I165" s="200"/>
      <c r="J165" s="150">
        <f>J166-1%</f>
        <v>0.117578531379837</v>
      </c>
      <c r="K165" s="204">
        <f>($I$145+$J$145/(1+$J165)^(($J$133-$I$133)/365)+$K$145/(1+$J165)^(($K$133-$I$133)/365)+$L$145/(1+$J165)^(($L$133-$I$133)/365)+$M$145/(1+$J165)^(($M$133-$I$133)/365)+((($M$137+$M$140)*K$163+$M$143*(1+$F$127)/($J165-$F$127))/2)/(1+$J165)^(($N$133-$I$133)/365)+$F$150+$F$151+$F$152)/$F$129</f>
        <v>46.9857458564221</v>
      </c>
      <c r="L165" s="205">
        <f>($I$145+$J$145/(1+$J165)^(($J$133-$I$133)/365)+$K$145/(1+$J165)^(($K$133-$I$133)/365)+$L$145/(1+$J165)^(($L$133-$I$133)/365)+$M$145/(1+$J165)^(($M$133-$I$133)/365)+((($M$137+$M$140)*L$163+$M$143*(1+$F$127)/($J165-$F$127))/2)/(1+$J165)^(($N$133-$I$133)/365)+$F$150+$F$151+$F$152)/$F$129</f>
        <v>53.3953273664523</v>
      </c>
      <c r="M165" s="206">
        <f>($I$145+$J$145/(1+$J165)^(($J$133-$I$133)/365)+$K$145/(1+$J165)^(($K$133-$I$133)/365)+$L$145/(1+$J165)^(($L$133-$I$133)/365)+$M$145/(1+$J165)^(($M$133-$I$133)/365)+((($M$137+$M$140)*M$163+$M$143*(1+$F$127)/($J165-$F$127))/2)/(1+$J165)^(($N$133-$I$133)/365)+$F$150+$F$151+$F$152)/$F$129</f>
        <v>59.481222437804</v>
      </c>
      <c r="N165" s="205">
        <f>($I$145+$J$145/(1+$J165)^(($J$133-$I$133)/365)+$K$145/(1+$J165)^(($K$133-$I$133)/365)+$L$145/(1+$J165)^(($L$133-$I$133)/365)+$M$145/(1+$J165)^(($M$133-$I$133)/365)+((($M$137+$M$140)*N$163+$M$143*(1+$F$127)/($J165-$F$127))/2)/(1+$J165)^(($N$133-$I$133)/365)+$F$150+$F$151+$F$152)/$F$129</f>
        <v>66.2144903865128</v>
      </c>
      <c r="O165" s="202">
        <f>($I$145+$J$145/(1+$J165)^(($J$133-$I$133)/365)+$K$145/(1+$J165)^(($K$133-$I$133)/365)+$L$145/(1+$J165)^(($L$133-$I$133)/365)+$M$145/(1+$J165)^(($M$133-$I$133)/365)+((($M$137+$M$140)*O$163+$M$143*(1+$F$127)/($J165-$F$127))/2)/(1+$J165)^(($N$133-$I$133)/365)+$F$150+$F$151+$F$152)/$F$129</f>
        <v>72.624071896543</v>
      </c>
      <c r="P165" s="151"/>
      <c r="Q165" s="151"/>
    </row>
    <row r="166" ht="16.5" customHeight="1" outlineLevel="1" spans="2:17">
      <c r="B166" s="190"/>
      <c r="C166" s="190"/>
      <c r="D166" s="190"/>
      <c r="E166" s="190"/>
      <c r="F166" s="190"/>
      <c r="I166" s="200"/>
      <c r="J166" s="150">
        <f>F128</f>
        <v>0.127578531379837</v>
      </c>
      <c r="K166" s="204">
        <f>($I$145+$J$145/(1+$J166)^(($J$133-$I$133)/365)+$K$145/(1+$J166)^(($K$133-$I$133)/365)+$L$145/(1+$J166)^(($L$133-$I$133)/365)+$M$145/(1+$J166)^(($M$133-$I$133)/365)+((($M$137+$M$140)*K$163+$M$143*(1+$F$127)/($J166-$F$127))/2)/(1+$J166)^(($N$133-$I$133)/365)+$F$150+$F$151+$F$152)/$F$129</f>
        <v>43.4458308636294</v>
      </c>
      <c r="L166" s="205">
        <f>($I$145+$J$145/(1+$J166)^(($J$133-$I$133)/365)+$K$145/(1+$J166)^(($K$133-$I$133)/365)+$L$145/(1+$J166)^(($L$133-$I$133)/365)+$M$145/(1+$J166)^(($M$133-$I$133)/365)+((($M$137+$M$140)*L$163+$M$143*(1+$F$127)/($J166-$F$127))/2)/(1+$J166)^(($N$133-$I$133)/365)+$F$150+$F$151+$F$152)/$F$129</f>
        <v>49.630893230164</v>
      </c>
      <c r="M166" s="207">
        <f>($I$145+$J$145/(1+$J166)^(($J$133-$I$133)/365)+$K$145/(1+$J166)^(($K$133-$I$133)/365)+$L$145/(1+$J166)^(($L$133-$I$133)/365)+$M$145/(1+$J166)^(($M$133-$I$133)/365)+((($M$137+$M$140)*M$163+$M$143*(1+$F$127)/($J166-$F$127))/2)/(1+$J166)^(($N$133-$I$133)/365)+$F$150+$F$151+$F$152)/$F$129</f>
        <v>55.5036074648751</v>
      </c>
      <c r="N166" s="205">
        <f>($I$145+$J$145/(1+$J166)^(($J$133-$I$133)/365)+$K$145/(1+$J166)^(($K$133-$I$133)/365)+$L$145/(1+$J166)^(($L$133-$I$133)/365)+$M$145/(1+$J166)^(($M$133-$I$133)/365)+((($M$137+$M$140)*N$163+$M$143*(1+$F$127)/($J166-$F$127))/2)/(1+$J166)^(($N$133-$I$133)/365)+$F$150+$F$151+$F$152)/$F$129</f>
        <v>62.0010179632331</v>
      </c>
      <c r="O166" s="202">
        <f>($I$145+$J$145/(1+$J166)^(($J$133-$I$133)/365)+$K$145/(1+$J166)^(($K$133-$I$133)/365)+$L$145/(1+$J166)^(($L$133-$I$133)/365)+$M$145/(1+$J166)^(($M$133-$I$133)/365)+((($M$137+$M$140)*O$163+$M$143*(1+$F$127)/($J166-$F$127))/2)/(1+$J166)^(($N$133-$I$133)/365)+$F$150+$F$151+$F$152)/$F$129</f>
        <v>68.1860803297676</v>
      </c>
      <c r="P166" s="151"/>
      <c r="Q166" s="151"/>
    </row>
    <row r="167" ht="16.5" customHeight="1" outlineLevel="1" spans="2:17">
      <c r="B167" s="190"/>
      <c r="C167" s="190"/>
      <c r="D167" s="190"/>
      <c r="E167" s="190"/>
      <c r="F167" s="190"/>
      <c r="I167" s="200"/>
      <c r="J167" s="150">
        <f>J166+1%</f>
        <v>0.137578531379837</v>
      </c>
      <c r="K167" s="204">
        <f>($I$145+$J$145/(1+$J167)^(($J$133-$I$133)/365)+$K$145/(1+$J167)^(($K$133-$I$133)/365)+$L$145/(1+$J167)^(($L$133-$I$133)/365)+$M$145/(1+$J167)^(($M$133-$I$133)/365)+((($M$137+$M$140)*K$163+$M$143*(1+$F$127)/($J167-$F$127))/2)/(1+$J167)^(($N$133-$I$133)/365)+$F$150+$F$151+$F$152)/$F$129</f>
        <v>40.5716489691421</v>
      </c>
      <c r="L167" s="205">
        <f>($I$145+$J$145/(1+$J167)^(($J$133-$I$133)/365)+$K$145/(1+$J167)^(($K$133-$I$133)/365)+$L$145/(1+$J167)^(($L$133-$I$133)/365)+$M$145/(1+$J167)^(($M$133-$I$133)/365)+((($M$137+$M$140)*L$163+$M$143*(1+$F$127)/($J167-$F$127))/2)/(1+$J167)^(($N$133-$I$133)/365)+$F$150+$F$151+$F$152)/$F$129</f>
        <v>46.5419361502508</v>
      </c>
      <c r="M167" s="206">
        <f>($I$145+$J$145/(1+$J167)^(($J$133-$I$133)/365)+$K$145/(1+$J167)^(($K$133-$I$133)/365)+$L$145/(1+$J167)^(($L$133-$I$133)/365)+$M$145/(1+$J167)^(($M$133-$I$133)/365)+((($M$137+$M$140)*M$163+$M$143*(1+$F$127)/($J167-$F$127))/2)/(1+$J167)^(($N$133-$I$133)/365)+$F$150+$F$151+$F$152)/$F$129</f>
        <v>52.2107214325979</v>
      </c>
      <c r="N167" s="205">
        <f>($I$145+$J$145/(1+$J167)^(($J$133-$I$133)/365)+$K$145/(1+$J167)^(($K$133-$I$133)/365)+$L$145/(1+$J167)^(($L$133-$I$133)/365)+$M$145/(1+$J167)^(($M$133-$I$133)/365)+((($M$137+$M$140)*N$163+$M$143*(1+$F$127)/($J167-$F$127))/2)/(1+$J167)^(($N$133-$I$133)/365)+$F$150+$F$151+$F$152)/$F$129</f>
        <v>58.4825105124681</v>
      </c>
      <c r="O167" s="202">
        <f>($I$145+$J$145/(1+$J167)^(($J$133-$I$133)/365)+$K$145/(1+$J167)^(($K$133-$I$133)/365)+$L$145/(1+$J167)^(($L$133-$I$133)/365)+$M$145/(1+$J167)^(($M$133-$I$133)/365)+((($M$137+$M$140)*O$163+$M$143*(1+$F$127)/($J167-$F$127))/2)/(1+$J167)^(($N$133-$I$133)/365)+$F$150+$F$151+$F$152)/$F$129</f>
        <v>64.4527976935767</v>
      </c>
      <c r="P167" s="208"/>
      <c r="Q167" s="208"/>
    </row>
    <row r="168" ht="16.5" customHeight="1" outlineLevel="1" spans="2:17">
      <c r="B168" s="190"/>
      <c r="C168" s="190"/>
      <c r="D168" s="190"/>
      <c r="E168" s="190"/>
      <c r="F168" s="190"/>
      <c r="I168" s="200"/>
      <c r="J168" s="150">
        <f>J167+1%</f>
        <v>0.147578531379837</v>
      </c>
      <c r="K168" s="204">
        <f>($I$145+$J$145/(1+$J168)^(($J$133-$I$133)/365)+$K$145/(1+$J168)^(($K$133-$I$133)/365)+$L$145/(1+$J168)^(($L$133-$I$133)/365)+$M$145/(1+$J168)^(($M$133-$I$133)/365)+((($M$137+$M$140)*K$163+$M$143*(1+$F$127)/($J168-$F$127))/2)/(1+$J168)^(($N$133-$I$133)/365)+$F$150+$F$151+$F$152)/$F$129</f>
        <v>38.1668589011729</v>
      </c>
      <c r="L168" s="202">
        <f>($I$145+$J$145/(1+$J168)^(($J$133-$I$133)/365)+$K$145/(1+$J168)^(($K$133-$I$133)/365)+$L$145/(1+$J168)^(($L$133-$I$133)/365)+$M$145/(1+$J168)^(($M$133-$I$133)/365)+((($M$137+$M$140)*L$163+$M$143*(1+$F$127)/($J168-$F$127))/2)/(1+$J168)^(($N$133-$I$133)/365)+$F$150+$F$151+$F$152)/$F$129</f>
        <v>43.9316118181822</v>
      </c>
      <c r="M168" s="203">
        <f>($I$145+$J$145/(1+$J168)^(($J$133-$I$133)/365)+$K$145/(1+$J168)^(($K$133-$I$133)/365)+$L$145/(1+$J168)^(($L$133-$I$133)/365)+$M$145/(1+$J168)^(($M$133-$I$133)/365)+((($M$137+$M$140)*M$163+$M$143*(1+$F$127)/($J168-$F$127))/2)/(1+$J168)^(($N$133-$I$133)/365)+$F$150+$F$151+$F$152)/$F$129</f>
        <v>49.4052423992561</v>
      </c>
      <c r="N168" s="202">
        <f>($I$145+$J$145/(1+$J168)^(($J$133-$I$133)/365)+$K$145/(1+$J168)^(($K$133-$I$133)/365)+$L$145/(1+$J168)^(($L$133-$I$133)/365)+$M$145/(1+$J168)^(($M$133-$I$133)/365)+((($M$137+$M$140)*N$163+$M$143*(1+$F$127)/($J168-$F$127))/2)/(1+$J168)^(($N$133-$I$133)/365)+$F$150+$F$151+$F$152)/$F$129</f>
        <v>55.4611176522008</v>
      </c>
      <c r="O168" s="202">
        <f>($I$145+$J$145/(1+$J168)^(($J$133-$I$133)/365)+$K$145/(1+$J168)^(($K$133-$I$133)/365)+$L$145/(1+$J168)^(($L$133-$I$133)/365)+$M$145/(1+$J168)^(($M$133-$I$133)/365)+((($M$137+$M$140)*O$163+$M$143*(1+$F$127)/($J168-$F$127))/2)/(1+$J168)^(($N$133-$I$133)/365)+$F$150+$F$151+$F$152)/$F$129</f>
        <v>61.2258705692101</v>
      </c>
      <c r="P168" s="151"/>
      <c r="Q168" s="151"/>
    </row>
    <row r="169" ht="16.5" customHeight="1" outlineLevel="1" spans="2:17">
      <c r="B169" s="190"/>
      <c r="C169" s="190"/>
      <c r="D169" s="190"/>
      <c r="E169" s="190"/>
      <c r="F169" s="190"/>
    </row>
    <row r="170" ht="16.5" customHeight="1" outlineLevel="1" spans="2:17">
      <c r="B170" s="190"/>
      <c r="C170" s="190"/>
      <c r="D170" s="190"/>
      <c r="E170" s="190"/>
      <c r="F170" s="209"/>
    </row>
    <row r="171" ht="16.5" customHeight="1" outlineLevel="1" spans="2:17">
      <c r="B171" s="190"/>
      <c r="C171" s="190"/>
      <c r="D171" s="190"/>
      <c r="E171" s="190"/>
      <c r="F171" s="209"/>
    </row>
    <row r="172" ht="16.5" customHeight="1" outlineLevel="1" spans="2:17">
      <c r="B172" s="190"/>
      <c r="C172" s="190"/>
      <c r="D172" s="190"/>
      <c r="E172" s="190"/>
      <c r="F172" s="190"/>
      <c r="K172" s="194" t="s">
        <v>204</v>
      </c>
      <c r="L172" s="195"/>
      <c r="M172" s="195"/>
      <c r="N172" s="195"/>
      <c r="O172" s="195"/>
    </row>
    <row r="173" ht="16.5" customHeight="1" outlineLevel="1" spans="2:17">
      <c r="B173" s="190"/>
      <c r="C173" s="190"/>
      <c r="D173" s="190"/>
      <c r="E173" s="190"/>
      <c r="F173" s="209"/>
      <c r="J173" s="197">
        <f>F155</f>
        <v>55.5036074648751</v>
      </c>
      <c r="K173" s="210">
        <f>$F$127-0.02</f>
        <v>0.03</v>
      </c>
      <c r="L173" s="211">
        <f>$F$127-0.01</f>
        <v>0.04</v>
      </c>
      <c r="M173" s="211">
        <f>$F$127</f>
        <v>0.05</v>
      </c>
      <c r="N173" s="211">
        <f>$F$127+0.01</f>
        <v>0.06</v>
      </c>
      <c r="O173" s="211">
        <f>$F$127+0.02</f>
        <v>0.07</v>
      </c>
    </row>
    <row r="174" ht="16.5" customHeight="1" outlineLevel="1" spans="2:17">
      <c r="B174" s="190"/>
      <c r="C174" s="190"/>
      <c r="D174" s="190"/>
      <c r="E174" s="190"/>
      <c r="F174" s="209"/>
      <c r="I174" s="200" t="s">
        <v>174</v>
      </c>
      <c r="J174" s="150">
        <f>J175-1%</f>
        <v>0.107578531379837</v>
      </c>
      <c r="K174" s="201">
        <f>($I$145+$J$145/(1+$J174)^(($J$133-$I$133)/365)+$K$145/(1+$J174)^(($K$133-$I$133)/365)+$L$145/(1+$J174)^(($L$133-$I$133)/365)+$M$145/(1+$J174)^(($M$133-$I$133)/365)+(($Q$128+($M$143*(1+K$173)/($J174-K$173)))/2)/(1+$J174)^(($N$133-$I$133)/365)+$F$150+$F$151+$F$152)/$F$129</f>
        <v>58.9314551431681</v>
      </c>
      <c r="L174" s="202">
        <f>($I$145+$J$145/(1+$J174)^(($J$133-$I$133)/365)+$K$145/(1+$J174)^(($K$133-$I$133)/365)+$L$145/(1+$J174)^(($L$133-$I$133)/365)+$M$145/(1+$J174)^(($M$133-$I$133)/365)+(($Q$128+($M$143*(1+L$173)/($J174-L$173)))/2)/(1+$J174)^(($N$133-$I$133)/365)+$F$150+$F$151+$F$152)/$F$129</f>
        <v>61.2936273653487</v>
      </c>
      <c r="M174" s="203">
        <f>($I$145+$J$145/(1+$J174)^(($J$133-$I$133)/365)+$K$145/(1+$J174)^(($K$133-$I$133)/365)+$L$145/(1+$J174)^(($L$133-$I$133)/365)+$M$145/(1+$J174)^(($M$133-$I$133)/365)+(($Q$128+($M$143*(1+M$173)/($J174-M$173)))/2)/(1+$J174)^(($N$133-$I$133)/365)+$F$150+$F$151+$F$152)/$F$129</f>
        <v>64.4763040934876</v>
      </c>
      <c r="N174" s="202">
        <f>($I$145+$J$145/(1+$J174)^(($J$133-$I$133)/365)+$K$145/(1+$J174)^(($K$133-$I$133)/365)+$L$145/(1+$J174)^(($L$133-$I$133)/365)+$M$145/(1+$J174)^(($M$133-$I$133)/365)+(($Q$128+($M$143*(1+N$173)/($J174-N$173)))/2)/(1+$J174)^(($N$133-$I$133)/365)+$F$150+$F$151+$F$152)/$F$129</f>
        <v>68.9968433557726</v>
      </c>
      <c r="O174" s="202">
        <f>($I$145+$J$145/(1+$J174)^(($J$133-$I$133)/365)+$K$145/(1+$J174)^(($K$133-$I$133)/365)+$L$145/(1+$J174)^(($L$133-$I$133)/365)+$M$145/(1+$J174)^(($M$133-$I$133)/365)+(($Q$128+($M$143*(1+O$173)/($J174-O$173)))/2)/(1+$J174)^(($N$133-$I$133)/365)+$F$150+$F$151+$F$152)/$F$129</f>
        <v>75.9232984941157</v>
      </c>
    </row>
    <row r="175" ht="16.5" customHeight="1" outlineLevel="1" spans="2:17">
      <c r="B175" s="190"/>
      <c r="C175" s="190"/>
      <c r="D175" s="190"/>
      <c r="E175" s="190"/>
      <c r="F175" s="209"/>
      <c r="I175" s="200"/>
      <c r="J175" s="150">
        <f>J176-1%</f>
        <v>0.117578531379837</v>
      </c>
      <c r="K175" s="204">
        <f>($I$145+$J$145/(1+$J175)^(($J$133-$I$133)/365)+$K$145/(1+$J175)^(($K$133-$I$133)/365)+$L$145/(1+$J175)^(($L$133-$I$133)/365)+$M$145/(1+$J175)^(($M$133-$I$133)/365)+(($Q$128+($M$143*(1+K$173)/($J175-K$173)))/2)/(1+$J175)^(($N$133-$I$133)/365)+$F$150+$F$151+$F$152)/$F$129</f>
        <v>55.4077555458923</v>
      </c>
      <c r="L175" s="205">
        <f>($I$145+$J$145/(1+$J175)^(($J$133-$I$133)/365)+$K$145/(1+$J175)^(($K$133-$I$133)/365)+$L$145/(1+$J175)^(($L$133-$I$133)/365)+$M$145/(1+$J175)^(($M$133-$I$133)/365)+(($Q$128+($M$143*(1+L$173)/($J175-L$173)))/2)/(1+$J175)^(($N$133-$I$133)/365)+$F$150+$F$151+$F$152)/$F$129</f>
        <v>57.1819507084172</v>
      </c>
      <c r="M175" s="206">
        <f>($I$145+$J$145/(1+$J175)^(($J$133-$I$133)/365)+$K$145/(1+$J175)^(($K$133-$I$133)/365)+$L$145/(1+$J175)^(($L$133-$I$133)/365)+$M$145/(1+$J175)^(($M$133-$I$133)/365)+(($Q$128+($M$143*(1+M$173)/($J175-M$173)))/2)/(1+$J175)^(($N$133-$I$133)/365)+$F$150+$F$151+$F$152)/$F$129</f>
        <v>59.481222437804</v>
      </c>
      <c r="N175" s="205">
        <f>($I$145+$J$145/(1+$J175)^(($J$133-$I$133)/365)+$K$145/(1+$J175)^(($K$133-$I$133)/365)+$L$145/(1+$J175)^(($L$133-$I$133)/365)+$M$145/(1+$J175)^(($M$133-$I$133)/365)+(($Q$128+($M$143*(1+N$173)/($J175-N$173)))/2)/(1+$J175)^(($N$133-$I$133)/365)+$F$150+$F$151+$F$152)/$F$129</f>
        <v>62.5791500808747</v>
      </c>
      <c r="O175" s="202">
        <f>($I$145+$J$145/(1+$J175)^(($J$133-$I$133)/365)+$K$145/(1+$J175)^(($K$133-$I$133)/365)+$L$145/(1+$J175)^(($L$133-$I$133)/365)+$M$145/(1+$J175)^(($M$133-$I$133)/365)+(($Q$128+($M$143*(1+O$173)/($J175-O$173)))/2)/(1+$J175)^(($N$133-$I$133)/365)+$F$150+$F$151+$F$152)/$F$129</f>
        <v>66.9793153312136</v>
      </c>
    </row>
    <row r="176" ht="16.5" customHeight="1" outlineLevel="1" spans="2:17">
      <c r="B176" s="190"/>
      <c r="C176" s="190"/>
      <c r="D176" s="190"/>
      <c r="E176" s="190"/>
      <c r="F176" s="209"/>
      <c r="I176" s="200"/>
      <c r="J176" s="150">
        <f>F128</f>
        <v>0.127578531379837</v>
      </c>
      <c r="K176" s="204">
        <f>($I$145+$J$145/(1+$J176)^(($J$133-$I$133)/365)+$K$145/(1+$J176)^(($K$133-$I$133)/365)+$L$145/(1+$J176)^(($L$133-$I$133)/365)+$M$145/(1+$J176)^(($M$133-$I$133)/365)+(($Q$128+($M$143*(1+K$173)/($J176-K$173)))/2)/(1+$J176)^(($N$133-$I$133)/365)+$F$150+$F$151+$F$152)/$F$129</f>
        <v>52.4029204991542</v>
      </c>
      <c r="L176" s="205">
        <f>($I$145+$J$145/(1+$J176)^(($J$133-$I$133)/365)+$K$145/(1+$J176)^(($K$133-$I$133)/365)+$L$145/(1+$J176)^(($L$133-$I$133)/365)+$M$145/(1+$J176)^(($M$133-$I$133)/365)+(($Q$128+($M$143*(1+L$173)/($J176-L$173)))/2)/(1+$J176)^(($N$133-$I$133)/365)+$F$150+$F$151+$F$152)/$F$129</f>
        <v>53.7762407483027</v>
      </c>
      <c r="M176" s="207">
        <f>($I$145+$J$145/(1+$J176)^(($J$133-$I$133)/365)+$K$145/(1+$J176)^(($K$133-$I$133)/365)+$L$145/(1+$J176)^(($L$133-$I$133)/365)+$M$145/(1+$J176)^(($M$133-$I$133)/365)+(($Q$128+($M$143*(1+M$173)/($J176-M$173)))/2)/(1+$J176)^(($N$133-$I$133)/365)+$F$150+$F$151+$F$152)/$F$129</f>
        <v>55.5036074648751</v>
      </c>
      <c r="N176" s="205">
        <f>($I$145+$J$145/(1+$J176)^(($J$133-$I$133)/365)+$K$145/(1+$J176)^(($K$133-$I$133)/365)+$L$145/(1+$J176)^(($L$133-$I$133)/365)+$M$145/(1+$J176)^(($M$133-$I$133)/365)+(($Q$128+($M$143*(1+N$173)/($J176-N$173)))/2)/(1+$J176)^(($N$133-$I$133)/365)+$F$150+$F$151+$F$152)/$F$129</f>
        <v>57.7421917771255</v>
      </c>
      <c r="O176" s="202">
        <f>($I$145+$J$145/(1+$J176)^(($J$133-$I$133)/365)+$K$145/(1+$J176)^(($K$133-$I$133)/365)+$L$145/(1+$J176)^(($L$133-$I$133)/365)+$M$145/(1+$J176)^(($M$133-$I$133)/365)+(($Q$128+($M$143*(1+O$173)/($J176-O$173)))/2)/(1+$J176)^(($N$133-$I$133)/365)+$F$150+$F$151+$F$152)/$F$129</f>
        <v>60.758352126348</v>
      </c>
    </row>
    <row r="177" ht="16.5" customHeight="1" outlineLevel="1" spans="1:15">
      <c r="B177" s="190"/>
      <c r="C177" s="190"/>
      <c r="D177" s="190"/>
      <c r="E177" s="190"/>
      <c r="F177" s="209"/>
      <c r="I177" s="200"/>
      <c r="J177" s="150">
        <f>J176+1%</f>
        <v>0.137578531379837</v>
      </c>
      <c r="K177" s="204">
        <f>($I$145+$J$145/(1+$J177)^(($J$133-$I$133)/365)+$K$145/(1+$J177)^(($K$133-$I$133)/365)+$L$145/(1+$J177)^(($L$133-$I$133)/365)+$M$145/(1+$J177)^(($M$133-$I$133)/365)+(($Q$128+($M$143*(1+K$173)/($J177-K$173)))/2)/(1+$J177)^(($N$133-$I$133)/365)+$F$150+$F$151+$F$152)/$F$129</f>
        <v>49.7845794491107</v>
      </c>
      <c r="L177" s="205">
        <f>($I$145+$J$145/(1+$J177)^(($J$133-$I$133)/365)+$K$145/(1+$J177)^(($K$133-$I$133)/365)+$L$145/(1+$J177)^(($L$133-$I$133)/365)+$M$145/(1+$J177)^(($M$133-$I$133)/365)+(($Q$128+($M$143*(1+L$173)/($J177-L$173)))/2)/(1+$J177)^(($N$133-$I$133)/365)+$F$150+$F$151+$F$152)/$F$129</f>
        <v>50.8733330347005</v>
      </c>
      <c r="M177" s="206">
        <f>($I$145+$J$145/(1+$J177)^(($J$133-$I$133)/365)+$K$145/(1+$J177)^(($K$133-$I$133)/365)+$L$145/(1+$J177)^(($L$133-$I$133)/365)+$M$145/(1+$J177)^(($M$133-$I$133)/365)+(($Q$128+($M$143*(1+M$173)/($J177-M$173)))/2)/(1+$J177)^(($N$133-$I$133)/365)+$F$150+$F$151+$F$152)/$F$129</f>
        <v>52.2107214325979</v>
      </c>
      <c r="N177" s="205">
        <f>($I$145+$J$145/(1+$J177)^(($J$133-$I$133)/365)+$K$145/(1+$J177)^(($K$133-$I$133)/365)+$L$145/(1+$J177)^(($L$133-$I$133)/365)+$M$145/(1+$J177)^(($M$133-$I$133)/365)+(($Q$128+($M$143*(1+N$173)/($J177-N$173)))/2)/(1+$J177)^(($N$133-$I$133)/365)+$F$150+$F$151+$F$152)/$F$129</f>
        <v>53.8928929487394</v>
      </c>
      <c r="O177" s="202">
        <f>($I$145+$J$145/(1+$J177)^(($J$133-$I$133)/365)+$K$145/(1+$J177)^(($K$133-$I$133)/365)+$L$145/(1+$J177)^(($L$133-$I$133)/365)+$M$145/(1+$J177)^(($M$133-$I$133)/365)+(($Q$128+($M$143*(1+O$173)/($J177-O$173)))/2)/(1+$J177)^(($N$133-$I$133)/365)+$F$150+$F$151+$F$152)/$F$129</f>
        <v>56.0729064516169</v>
      </c>
    </row>
    <row r="178" ht="16.5" customHeight="1" outlineLevel="1" spans="1:15">
      <c r="B178" s="190"/>
      <c r="C178" s="190"/>
      <c r="D178" s="190"/>
      <c r="E178" s="190"/>
      <c r="F178" s="209"/>
      <c r="I178" s="200"/>
      <c r="J178" s="150">
        <f>J177+1%</f>
        <v>0.147578531379837</v>
      </c>
      <c r="K178" s="204">
        <f>($I$145+$J$145/(1+$J178)^(($J$133-$I$133)/365)+$K$145/(1+$J178)^(($K$133-$I$133)/365)+$L$145/(1+$J178)^(($L$133-$I$133)/365)+$M$145/(1+$J178)^(($M$133-$I$133)/365)+(($Q$128+($M$143*(1+K$173)/($J178-K$173)))/2)/(1+$J178)^(($N$133-$I$133)/365)+$F$150+$F$151+$F$152)/$F$129</f>
        <v>47.4646082150191</v>
      </c>
      <c r="L178" s="202">
        <f>($I$145+$J$145/(1+$J178)^(($J$133-$I$133)/365)+$K$145/(1+$J178)^(($K$133-$I$133)/365)+$L$145/(1+$J178)^(($L$133-$I$133)/365)+$M$145/(1+$J178)^(($M$133-$I$133)/365)+(($Q$128+($M$143*(1+L$173)/($J178-L$173)))/2)/(1+$J178)^(($N$133-$I$133)/365)+$F$150+$F$151+$F$152)/$F$129</f>
        <v>48.3447291425615</v>
      </c>
      <c r="M178" s="203">
        <f>($I$145+$J$145/(1+$J178)^(($J$133-$I$133)/365)+$K$145/(1+$J178)^(($K$133-$I$133)/365)+$L$145/(1+$J178)^(($L$133-$I$133)/365)+$M$145/(1+$J178)^(($M$133-$I$133)/365)+(($Q$128+($M$143*(1+M$173)/($J178-M$173)))/2)/(1+$J178)^(($N$133-$I$133)/365)+$F$150+$F$151+$F$152)/$F$129</f>
        <v>49.4052423992561</v>
      </c>
      <c r="N178" s="202">
        <f>($I$145+$J$145/(1+$J178)^(($J$133-$I$133)/365)+$K$145/(1+$J178)^(($K$133-$I$133)/365)+$L$145/(1+$J178)^(($L$133-$I$133)/365)+$M$145/(1+$J178)^(($M$133-$I$133)/365)+(($Q$128+($M$143*(1+N$173)/($J178-N$173)))/2)/(1+$J178)^(($N$133-$I$133)/365)+$F$150+$F$151+$F$152)/$F$129</f>
        <v>50.7079413240557</v>
      </c>
      <c r="O178" s="202">
        <f>($I$145+$J$145/(1+$J178)^(($J$133-$I$133)/365)+$K$145/(1+$J178)^(($K$133-$I$133)/365)+$L$145/(1+$J178)^(($L$133-$I$133)/365)+$M$145/(1+$J178)^(($M$133-$I$133)/365)+(($Q$128+($M$143*(1+O$173)/($J178-O$173)))/2)/(1+$J178)^(($N$133-$I$133)/365)+$F$150+$F$151+$F$152)/$F$129</f>
        <v>52.3464803070853</v>
      </c>
    </row>
    <row r="179" ht="16.5" customHeight="1" outlineLevel="1" spans="1:15">
      <c r="B179" s="190"/>
      <c r="C179" s="190"/>
      <c r="D179" s="190"/>
      <c r="E179" s="190"/>
      <c r="F179" s="212"/>
    </row>
    <row r="180" ht="16.5" customHeight="1" outlineLevel="1" spans="1:15">
      <c r="B180" s="190"/>
      <c r="C180" s="190"/>
      <c r="D180" s="190"/>
      <c r="E180" s="190"/>
      <c r="F180" s="213"/>
      <c r="I180" s="214"/>
    </row>
    <row r="181" ht="16.5" customHeight="1" outlineLevel="1" spans="1:15">
      <c r="B181" s="190"/>
      <c r="C181" s="190"/>
      <c r="D181" s="190"/>
      <c r="E181" s="190"/>
      <c r="F181" s="213"/>
    </row>
    <row r="182" ht="16.5" customHeight="1" outlineLevel="1" spans="1:15">
      <c r="B182" s="190"/>
      <c r="C182" s="190"/>
      <c r="D182" s="190"/>
      <c r="E182" s="190"/>
      <c r="F182" s="215"/>
    </row>
    <row r="183" outlineLevel="1"/>
    <row r="188" ht="16.5" customHeight="1" spans="1:15">
      <c r="A188" s="216"/>
    </row>
    <row r="191" ht="16.5" customHeight="1"/>
    <row r="192" ht="16.5" customHeight="1" spans="1:15">
      <c r="J192" s="113"/>
      <c r="K192" s="113"/>
      <c r="L192" s="113"/>
      <c r="M192" s="113"/>
      <c r="N192" s="113"/>
      <c r="O192" s="113"/>
    </row>
    <row r="193" ht="16.5" customHeight="1" spans="1:15">
      <c r="J193" s="113"/>
      <c r="K193" s="217"/>
      <c r="L193" s="217"/>
      <c r="M193" s="217"/>
      <c r="N193" s="217"/>
      <c r="O193" s="217"/>
    </row>
    <row r="194" ht="16.5" customHeight="1" spans="1:15">
      <c r="J194" s="113"/>
      <c r="K194" s="217"/>
      <c r="L194" s="217"/>
      <c r="M194" s="217"/>
      <c r="N194" s="217"/>
      <c r="O194" s="217"/>
    </row>
    <row r="195" ht="16.5" customHeight="1" spans="1:15">
      <c r="J195" s="113"/>
      <c r="K195" s="217"/>
      <c r="L195" s="217"/>
      <c r="M195" s="217"/>
      <c r="N195" s="217"/>
      <c r="O195" s="217"/>
    </row>
    <row r="196" ht="16.5" customHeight="1" spans="1:15">
      <c r="J196" s="113"/>
      <c r="K196" s="217"/>
      <c r="L196" s="217"/>
      <c r="M196" s="217"/>
      <c r="N196" s="217"/>
      <c r="O196" s="217"/>
    </row>
    <row r="197" ht="16.5" customHeight="1" spans="1:15">
      <c r="J197" s="113"/>
      <c r="K197" s="217"/>
      <c r="L197" s="217"/>
      <c r="M197" s="217"/>
      <c r="N197" s="217"/>
      <c r="O197" s="217"/>
    </row>
    <row r="200" ht="16.5" customHeight="1" spans="1:15">
      <c r="A200" s="216"/>
    </row>
    <row r="202" ht="16.5" customHeight="1" spans="1:15">
      <c r="F202" s="218"/>
    </row>
    <row r="203" ht="16.5" customHeight="1" spans="1:15">
      <c r="F203" s="151"/>
    </row>
    <row r="205" ht="16.5" customHeight="1" spans="1:15">
      <c r="F205" s="151"/>
    </row>
    <row r="206" ht="16.5" customHeight="1" spans="1:15">
      <c r="F206" s="151"/>
    </row>
    <row r="207" ht="16.5" customHeight="1" spans="1:15">
      <c r="F207" s="151"/>
    </row>
    <row r="208" ht="16.5" customHeight="1" spans="1:15">
      <c r="F208" s="151"/>
    </row>
    <row r="209" ht="16.5" customHeight="1" spans="1:15">
      <c r="F209" s="151"/>
    </row>
    <row r="210" ht="16.5" customHeight="1" spans="1:15">
      <c r="F210" s="151"/>
    </row>
    <row r="211" ht="16.5" customHeight="1" spans="1:15">
      <c r="F211" s="151"/>
    </row>
    <row r="212" ht="16.5" customHeight="1" spans="1:15">
      <c r="F212" s="151"/>
    </row>
    <row r="213" ht="16.5" customHeight="1" spans="1:15">
      <c r="F213" s="219"/>
    </row>
    <row r="214" ht="16.5" customHeight="1" spans="1:15">
      <c r="F214" s="217"/>
    </row>
    <row r="215" ht="16.5" customHeight="1" spans="1:15">
      <c r="F215" s="113"/>
    </row>
    <row r="217" ht="16.5" customHeight="1" spans="1:15">
      <c r="F217" s="217"/>
    </row>
    <row r="220" ht="16.5" customHeight="1" spans="1:15">
      <c r="A220" s="216"/>
    </row>
    <row r="224" ht="16.5" customHeight="1" spans="1:15">
      <c r="K224" s="220"/>
      <c r="L224" s="220"/>
      <c r="M224" s="220"/>
      <c r="N224" s="220"/>
      <c r="O224" s="220"/>
    </row>
    <row r="225" ht="16.5" customHeight="1" spans="10:15">
      <c r="J225" s="113"/>
      <c r="K225" s="217"/>
      <c r="L225" s="217"/>
      <c r="M225" s="217"/>
      <c r="N225" s="217"/>
      <c r="O225" s="217"/>
    </row>
    <row r="226" ht="16.5" customHeight="1" spans="10:15">
      <c r="J226" s="113"/>
      <c r="K226" s="217"/>
      <c r="L226" s="217"/>
      <c r="M226" s="217"/>
      <c r="N226" s="217"/>
      <c r="O226" s="217"/>
    </row>
    <row r="227" ht="16.5" customHeight="1" spans="10:15">
      <c r="J227" s="113"/>
      <c r="K227" s="217"/>
      <c r="L227" s="217"/>
      <c r="M227" s="217"/>
      <c r="N227" s="217"/>
      <c r="O227" s="217"/>
    </row>
    <row r="228" ht="16.5" customHeight="1" spans="10:15">
      <c r="J228" s="113"/>
      <c r="K228" s="217"/>
      <c r="L228" s="217"/>
      <c r="M228" s="217"/>
      <c r="N228" s="217"/>
      <c r="O228" s="217"/>
    </row>
    <row r="229" ht="16.5" customHeight="1" spans="10:15">
      <c r="J229" s="113"/>
      <c r="K229" s="217"/>
      <c r="L229" s="217"/>
      <c r="M229" s="217"/>
      <c r="N229" s="217"/>
      <c r="O229" s="217"/>
    </row>
  </sheetData>
  <mergeCells count="4">
    <mergeCell ref="H1:L1"/>
    <mergeCell ref="M1:Q1"/>
    <mergeCell ref="I164:I168"/>
    <mergeCell ref="I174:I178"/>
  </mergeCells>
  <dataValidations count="1">
    <dataValidation type="list" allowBlank="1" showInputMessage="1" showErrorMessage="1" sqref="E6">
      <formula1>Scenario!$D$6:$D$8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ignoredErrors>
    <ignoredError sqref="A1:R3 A6:D6 F6:R6 A47:R54 A55:G58 M55:R58 A59:R109 D46:R46 A46:B46 A18:R45 M17:R17 A17:G17 A7:R16 A110:H110 M110:R110 A114:R115 K113:R113 A113:H113 M112:R112 A112:G112 A111:R111 A116:L116 R116 A117:R159 A160:H160 J160:R160 A161:R229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showGridLines="0" zoomScale="85" zoomScaleNormal="85" workbookViewId="0">
      <selection activeCell="M23" sqref="M23"/>
    </sheetView>
  </sheetViews>
  <sheetFormatPr defaultColWidth="9.14285714285714" defaultRowHeight="16.8"/>
  <cols>
    <col min="1" max="3" width="1.23214285714286" customWidth="1"/>
    <col min="4" max="4" width="40.6428571428571" customWidth="1"/>
    <col min="7" max="7" width="2.64285714285714" customWidth="1"/>
    <col min="8" max="12" width="9.71428571428571"/>
    <col min="16" max="17" width="9.71428571428571"/>
  </cols>
  <sheetData>
    <row r="1" ht="34.4" spans="1:18">
      <c r="A1" s="78" t="s">
        <v>0</v>
      </c>
      <c r="B1" s="3"/>
      <c r="C1" s="3"/>
      <c r="D1" s="3"/>
      <c r="E1" s="3"/>
      <c r="F1" s="3"/>
      <c r="G1" s="79"/>
      <c r="H1" s="79"/>
      <c r="I1" s="79"/>
      <c r="J1" s="79"/>
      <c r="K1" s="79"/>
      <c r="L1" s="79"/>
      <c r="M1" s="79"/>
      <c r="N1" s="92"/>
      <c r="O1" s="92"/>
      <c r="P1" s="92"/>
      <c r="Q1" s="92"/>
    </row>
    <row r="2" ht="17.6" spans="1:18">
      <c r="A2" s="23" t="s">
        <v>205</v>
      </c>
      <c r="B2" s="3"/>
      <c r="C2" s="3"/>
      <c r="D2" s="3"/>
      <c r="E2" s="3"/>
      <c r="F2" s="3"/>
      <c r="G2" s="79"/>
      <c r="H2" s="79"/>
      <c r="I2" s="79"/>
      <c r="J2" s="79"/>
      <c r="K2" s="79"/>
      <c r="L2" s="79"/>
      <c r="M2" s="79"/>
      <c r="N2" s="92"/>
      <c r="O2" s="92"/>
      <c r="P2" s="92"/>
      <c r="Q2" s="92"/>
    </row>
    <row r="3" spans="1:18"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</row>
    <row r="4" spans="1:18">
      <c r="D4" s="94" t="s">
        <v>206</v>
      </c>
      <c r="E4" s="95"/>
      <c r="F4" s="95"/>
      <c r="G4" s="95"/>
      <c r="H4" s="94">
        <v>2026</v>
      </c>
      <c r="I4" s="94">
        <f>H4+1</f>
        <v>2027</v>
      </c>
      <c r="J4" s="94">
        <f t="shared" ref="J4:Q4" si="0">I4+1</f>
        <v>2028</v>
      </c>
      <c r="K4" s="94">
        <f t="shared" si="0"/>
        <v>2029</v>
      </c>
      <c r="L4" s="94">
        <f t="shared" si="0"/>
        <v>2030</v>
      </c>
      <c r="M4" s="94">
        <f t="shared" si="0"/>
        <v>2031</v>
      </c>
      <c r="N4" s="94">
        <f t="shared" si="0"/>
        <v>2032</v>
      </c>
      <c r="O4" s="94">
        <f t="shared" si="0"/>
        <v>2033</v>
      </c>
      <c r="P4" s="94">
        <f t="shared" si="0"/>
        <v>2034</v>
      </c>
      <c r="Q4" s="94">
        <f t="shared" si="0"/>
        <v>2035</v>
      </c>
      <c r="R4" s="93"/>
    </row>
    <row r="5" spans="1:18">
      <c r="D5" s="96" t="s">
        <v>207</v>
      </c>
      <c r="E5" s="97"/>
      <c r="F5" s="97"/>
      <c r="G5" s="97"/>
      <c r="H5" s="98">
        <v>1000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3"/>
    </row>
    <row r="6" spans="1:18">
      <c r="D6" s="96" t="s">
        <v>208</v>
      </c>
      <c r="E6" s="97"/>
      <c r="F6" s="97"/>
      <c r="G6" s="97"/>
      <c r="H6" s="98">
        <v>0</v>
      </c>
      <c r="I6" s="98">
        <v>1526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3"/>
    </row>
    <row r="7" spans="1:18">
      <c r="D7" s="96" t="s">
        <v>209</v>
      </c>
      <c r="E7" s="97"/>
      <c r="F7" s="97"/>
      <c r="G7" s="97"/>
      <c r="H7" s="98">
        <v>0</v>
      </c>
      <c r="I7" s="98">
        <v>0</v>
      </c>
      <c r="J7" s="98">
        <v>1600</v>
      </c>
      <c r="K7" s="98">
        <v>0</v>
      </c>
      <c r="L7" s="98">
        <v>0</v>
      </c>
      <c r="M7" s="98">
        <v>0</v>
      </c>
      <c r="N7" s="98">
        <v>0</v>
      </c>
      <c r="O7" s="98">
        <v>0</v>
      </c>
      <c r="P7" s="98">
        <v>0</v>
      </c>
      <c r="Q7" s="98">
        <v>0</v>
      </c>
      <c r="R7" s="93"/>
    </row>
    <row r="8" spans="1:18">
      <c r="D8" s="96" t="s">
        <v>210</v>
      </c>
      <c r="E8" s="97"/>
      <c r="F8" s="97"/>
      <c r="G8" s="97"/>
      <c r="H8" s="98">
        <v>0</v>
      </c>
      <c r="I8" s="98">
        <v>0</v>
      </c>
      <c r="J8" s="98">
        <v>1900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3"/>
    </row>
    <row r="9" spans="1:18">
      <c r="D9" s="96" t="s">
        <v>211</v>
      </c>
      <c r="E9" s="97"/>
      <c r="F9" s="97"/>
      <c r="G9" s="97"/>
      <c r="H9" s="98">
        <v>0</v>
      </c>
      <c r="I9" s="98">
        <v>0</v>
      </c>
      <c r="J9" s="98">
        <v>0</v>
      </c>
      <c r="K9" s="98">
        <v>1292</v>
      </c>
      <c r="L9" s="98">
        <v>0</v>
      </c>
      <c r="M9" s="98">
        <v>0</v>
      </c>
      <c r="N9" s="98">
        <v>0</v>
      </c>
      <c r="O9" s="98">
        <v>0</v>
      </c>
      <c r="P9" s="98">
        <v>0</v>
      </c>
      <c r="Q9" s="98">
        <v>0</v>
      </c>
      <c r="R9" s="93"/>
    </row>
    <row r="10" spans="1:18">
      <c r="D10" s="96" t="s">
        <v>212</v>
      </c>
      <c r="E10" s="97"/>
      <c r="F10" s="97"/>
      <c r="G10" s="97"/>
      <c r="H10" s="98">
        <v>0</v>
      </c>
      <c r="I10" s="98">
        <v>0</v>
      </c>
      <c r="J10" s="98">
        <v>0</v>
      </c>
      <c r="K10" s="98">
        <v>800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3"/>
    </row>
    <row r="11" spans="1:18">
      <c r="D11" s="96" t="s">
        <v>213</v>
      </c>
      <c r="E11" s="97"/>
      <c r="F11" s="97"/>
      <c r="G11" s="97"/>
      <c r="H11" s="98">
        <v>0</v>
      </c>
      <c r="I11" s="98">
        <v>0</v>
      </c>
      <c r="J11" s="98">
        <v>0</v>
      </c>
      <c r="K11" s="98">
        <v>1409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3"/>
    </row>
    <row r="12" spans="1:18">
      <c r="D12" s="96" t="s">
        <v>214</v>
      </c>
      <c r="E12" s="97"/>
      <c r="F12" s="97"/>
      <c r="G12" s="97"/>
      <c r="H12" s="98">
        <v>0</v>
      </c>
      <c r="I12" s="98">
        <v>0</v>
      </c>
      <c r="J12" s="98">
        <v>0</v>
      </c>
      <c r="K12" s="98">
        <v>900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3"/>
    </row>
    <row r="13" spans="1:18">
      <c r="D13" s="96" t="s">
        <v>215</v>
      </c>
      <c r="E13" s="97"/>
      <c r="F13" s="97"/>
      <c r="G13" s="97"/>
      <c r="H13" s="98">
        <v>0</v>
      </c>
      <c r="I13" s="98">
        <v>0</v>
      </c>
      <c r="J13" s="98">
        <v>0</v>
      </c>
      <c r="K13" s="98">
        <v>0</v>
      </c>
      <c r="L13" s="98">
        <v>1292</v>
      </c>
      <c r="M13" s="98">
        <v>0</v>
      </c>
      <c r="N13" s="98">
        <v>0</v>
      </c>
      <c r="O13" s="98">
        <v>0</v>
      </c>
      <c r="P13" s="98">
        <v>0</v>
      </c>
      <c r="Q13" s="98">
        <v>0</v>
      </c>
      <c r="R13" s="93"/>
    </row>
    <row r="14" spans="1:18">
      <c r="D14" s="96" t="s">
        <v>216</v>
      </c>
      <c r="E14" s="97"/>
      <c r="F14" s="97"/>
      <c r="G14" s="97"/>
      <c r="H14" s="98">
        <v>0</v>
      </c>
      <c r="I14" s="98">
        <v>0</v>
      </c>
      <c r="J14" s="98">
        <v>0</v>
      </c>
      <c r="K14" s="98">
        <v>0</v>
      </c>
      <c r="L14" s="98">
        <v>1000</v>
      </c>
      <c r="M14" s="98">
        <v>0</v>
      </c>
      <c r="N14" s="98">
        <v>0</v>
      </c>
      <c r="O14" s="98">
        <v>0</v>
      </c>
      <c r="P14" s="98">
        <v>0</v>
      </c>
      <c r="Q14" s="98">
        <v>0</v>
      </c>
      <c r="R14" s="93"/>
    </row>
    <row r="15" spans="1:18">
      <c r="D15" s="96" t="s">
        <v>217</v>
      </c>
      <c r="E15" s="97"/>
      <c r="F15" s="97"/>
      <c r="G15" s="97"/>
      <c r="H15" s="98">
        <v>0</v>
      </c>
      <c r="I15" s="98">
        <v>0</v>
      </c>
      <c r="J15" s="98">
        <v>0</v>
      </c>
      <c r="K15" s="98">
        <v>0</v>
      </c>
      <c r="L15" s="98">
        <v>0</v>
      </c>
      <c r="M15" s="98">
        <v>0</v>
      </c>
      <c r="N15" s="98">
        <v>0</v>
      </c>
      <c r="O15" s="98">
        <v>0</v>
      </c>
      <c r="P15" s="98">
        <v>1000</v>
      </c>
      <c r="Q15" s="98">
        <v>0</v>
      </c>
      <c r="R15" s="93"/>
    </row>
    <row r="16" spans="1:18">
      <c r="D16" s="96" t="s">
        <v>218</v>
      </c>
      <c r="E16" s="97"/>
      <c r="F16" s="97"/>
      <c r="G16" s="97"/>
      <c r="H16" s="98">
        <v>0</v>
      </c>
      <c r="I16" s="98">
        <v>0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98">
        <v>0</v>
      </c>
      <c r="Q16" s="98">
        <v>800</v>
      </c>
      <c r="R16" s="93"/>
    </row>
    <row r="17" spans="4:18">
      <c r="D17" s="94" t="s">
        <v>219</v>
      </c>
      <c r="E17" s="95"/>
      <c r="F17" s="95"/>
      <c r="G17" s="95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3"/>
    </row>
    <row r="18" spans="4:18">
      <c r="D18" s="96" t="s">
        <v>220</v>
      </c>
      <c r="E18" s="97"/>
      <c r="F18" s="97"/>
      <c r="G18" s="97"/>
      <c r="H18" s="98">
        <v>555.684</v>
      </c>
      <c r="I18" s="98">
        <v>481.542</v>
      </c>
      <c r="J18" s="98">
        <v>422.982</v>
      </c>
      <c r="K18" s="98">
        <v>351.107</v>
      </c>
      <c r="L18" s="98">
        <v>292.154</v>
      </c>
      <c r="M18" s="98">
        <v>0</v>
      </c>
      <c r="N18" s="98">
        <v>0</v>
      </c>
      <c r="O18" s="98">
        <v>0</v>
      </c>
      <c r="P18" s="98">
        <v>0</v>
      </c>
      <c r="Q18" s="98">
        <v>782.47</v>
      </c>
      <c r="R18" s="93"/>
    </row>
    <row r="19" spans="4:18">
      <c r="D19" s="94" t="s">
        <v>221</v>
      </c>
      <c r="E19" s="95"/>
      <c r="F19" s="95"/>
      <c r="G19" s="95"/>
      <c r="H19" s="99">
        <f t="shared" ref="H19:Q19" si="1">H5+H6+H7+H8+H9+H10+H11+H12+H13+H14+H15+H16+H18</f>
        <v>1555.684</v>
      </c>
      <c r="I19" s="99">
        <f t="shared" si="1"/>
        <v>2007.542</v>
      </c>
      <c r="J19" s="99">
        <f t="shared" si="1"/>
        <v>3922.982</v>
      </c>
      <c r="K19" s="99">
        <f t="shared" si="1"/>
        <v>4752.107</v>
      </c>
      <c r="L19" s="99">
        <f t="shared" si="1"/>
        <v>2584.154</v>
      </c>
      <c r="M19" s="99">
        <f t="shared" si="1"/>
        <v>0</v>
      </c>
      <c r="N19" s="99">
        <f t="shared" si="1"/>
        <v>0</v>
      </c>
      <c r="O19" s="99">
        <f t="shared" si="1"/>
        <v>0</v>
      </c>
      <c r="P19" s="99">
        <f t="shared" si="1"/>
        <v>1000</v>
      </c>
      <c r="Q19" s="99">
        <f t="shared" si="1"/>
        <v>1582.47</v>
      </c>
      <c r="R19" s="93"/>
    </row>
    <row r="20" spans="4:18"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</row>
    <row r="21" spans="4:18"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</row>
    <row r="22" spans="4:18"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</row>
    <row r="23" spans="4:18"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</row>
    <row r="24" spans="4:18"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</row>
    <row r="25" spans="4:18"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</row>
    <row r="26" spans="4:18"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</row>
    <row r="27" spans="4:18"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</row>
    <row r="28" spans="4:18"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</row>
    <row r="29" spans="4:18"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</row>
    <row r="30" spans="4:18"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</row>
    <row r="31" spans="4:18"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showGridLines="0" zoomScale="119" zoomScaleNormal="119" workbookViewId="0">
      <selection activeCell="A1" sqref="A1:M2"/>
    </sheetView>
  </sheetViews>
  <sheetFormatPr defaultColWidth="9.16071428571429" defaultRowHeight="16.8"/>
  <cols>
    <col min="1" max="3" width="1.24107142857143" style="77" customWidth="1"/>
    <col min="4" max="4" width="40.6428571428571" style="77" customWidth="1"/>
    <col min="7" max="7" width="2.64285714285714" style="77" customWidth="1"/>
    <col min="8" max="17" width="12.6428571428571" style="77" customWidth="1"/>
  </cols>
  <sheetData>
    <row r="1" ht="33.75" customHeight="1" spans="1:13">
      <c r="A1" s="78" t="s">
        <v>0</v>
      </c>
      <c r="B1" s="3"/>
      <c r="C1" s="3"/>
      <c r="D1" s="3"/>
      <c r="E1" s="3"/>
      <c r="F1" s="3"/>
      <c r="G1" s="79"/>
      <c r="H1" s="79"/>
      <c r="I1" s="79"/>
      <c r="J1" s="79"/>
      <c r="K1" s="79"/>
      <c r="L1" s="79"/>
      <c r="M1" s="79"/>
    </row>
    <row r="2" ht="17.25" customHeight="1" spans="1:13">
      <c r="A2" s="23" t="s">
        <v>222</v>
      </c>
      <c r="B2" s="3"/>
      <c r="C2" s="3"/>
      <c r="D2" s="3"/>
      <c r="E2" s="3"/>
      <c r="F2" s="3"/>
      <c r="G2" s="79"/>
      <c r="H2" s="79"/>
      <c r="I2" s="79"/>
      <c r="J2" s="79"/>
      <c r="K2" s="79"/>
      <c r="L2" s="79"/>
      <c r="M2" s="79"/>
    </row>
    <row r="4" ht="16.5" customHeight="1" spans="1:13"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ht="16.5" customHeight="1" spans="1:13">
      <c r="B5" s="80"/>
      <c r="C5" s="81"/>
      <c r="D5" s="80" t="s">
        <v>223</v>
      </c>
      <c r="E5" s="80" t="s">
        <v>224</v>
      </c>
      <c r="F5" s="81"/>
      <c r="G5" s="59"/>
      <c r="H5" s="82">
        <f>Model!M2</f>
        <v>2026</v>
      </c>
      <c r="I5" s="82">
        <f>Model!N2</f>
        <v>2027</v>
      </c>
      <c r="J5" s="82">
        <f>Model!O2</f>
        <v>2028</v>
      </c>
      <c r="K5" s="82">
        <f>Model!P2</f>
        <v>2029</v>
      </c>
      <c r="L5" s="82">
        <f>Model!Q2</f>
        <v>2030</v>
      </c>
    </row>
    <row r="6" ht="16.5" customHeight="1" spans="1:13">
      <c r="B6" s="81"/>
      <c r="C6" s="81"/>
      <c r="D6" s="83" t="s">
        <v>82</v>
      </c>
      <c r="E6" s="84">
        <f>AVERAGE(Model!I7:L7)</f>
        <v>0.111562962540523</v>
      </c>
      <c r="F6" s="83"/>
      <c r="G6" s="85"/>
      <c r="H6" s="86">
        <f>E6</f>
        <v>0.111562962540523</v>
      </c>
      <c r="I6" s="86">
        <f>H6*(1-$E$8)</f>
        <v>0.104358905483663</v>
      </c>
      <c r="J6" s="86">
        <f>I6*(1-$E$8)</f>
        <v>0.0976200425817142</v>
      </c>
      <c r="K6" s="86">
        <f>J6*(1-$E$8)</f>
        <v>0.0913163344277078</v>
      </c>
      <c r="L6" s="86">
        <f>K6*(1-$E$8)</f>
        <v>0.0854196813767314</v>
      </c>
    </row>
    <row r="7" ht="16.5" customHeight="1" spans="1:13">
      <c r="B7" s="81"/>
      <c r="C7" s="81"/>
      <c r="D7" s="81" t="s">
        <v>225</v>
      </c>
      <c r="E7" s="87">
        <f>MAX(Model!I7:L7)</f>
        <v>0.158510689196775</v>
      </c>
      <c r="F7" s="81"/>
      <c r="G7" s="59"/>
      <c r="H7" s="88">
        <f>E7</f>
        <v>0.158510689196775</v>
      </c>
      <c r="I7" s="88">
        <f>H7*(1-$E$8)</f>
        <v>0.148275033714957</v>
      </c>
      <c r="J7" s="88">
        <f>I7*(1-$E$8)</f>
        <v>0.138700334561531</v>
      </c>
      <c r="K7" s="88">
        <f>J7*(1-$E$8)</f>
        <v>0.129743911199934</v>
      </c>
      <c r="L7" s="88">
        <f>K7*(1-$E$8)</f>
        <v>0.121365839142866</v>
      </c>
    </row>
    <row r="8" ht="16.5" customHeight="1" spans="1:13">
      <c r="B8" s="81"/>
      <c r="C8" s="81"/>
      <c r="D8" s="81" t="s">
        <v>226</v>
      </c>
      <c r="E8" s="89">
        <f>MIN(Model!I7:L7)</f>
        <v>0.064573913176997</v>
      </c>
      <c r="F8" s="81"/>
      <c r="G8" s="59"/>
      <c r="H8" s="88">
        <f>E8</f>
        <v>0.064573913176997</v>
      </c>
      <c r="I8" s="88">
        <f>H8*(1-$E$8)</f>
        <v>0.0604041229140066</v>
      </c>
      <c r="J8" s="88">
        <f>I8*(1-$E$8)</f>
        <v>0.0565035923254249</v>
      </c>
      <c r="K8" s="88">
        <f>J8*(1-$E$8)</f>
        <v>0.0528549342604145</v>
      </c>
      <c r="L8" s="88">
        <f>K8*(1-$E$8)</f>
        <v>0.0494418843245066</v>
      </c>
    </row>
    <row r="9" ht="16.5" customHeight="1" spans="1:13">
      <c r="B9" s="80"/>
      <c r="C9" s="81"/>
      <c r="D9" s="81" t="s">
        <v>227</v>
      </c>
      <c r="E9" s="90">
        <f>10%</f>
        <v>0.1</v>
      </c>
      <c r="F9" s="81"/>
      <c r="G9" s="59"/>
      <c r="H9" s="81"/>
      <c r="I9" s="81"/>
      <c r="J9" s="81"/>
      <c r="K9" s="81"/>
      <c r="L9" s="81"/>
    </row>
    <row r="10" ht="16.5" customHeight="1" spans="1:13">
      <c r="B10" s="81"/>
      <c r="C10" s="81"/>
      <c r="D10" s="81"/>
      <c r="E10" s="81"/>
      <c r="F10" s="81"/>
      <c r="G10" s="59"/>
      <c r="H10" s="91"/>
      <c r="I10" s="91"/>
      <c r="J10" s="91"/>
      <c r="K10" s="91"/>
      <c r="L10" s="91"/>
    </row>
    <row r="11" ht="16.5" customHeight="1" spans="1:13">
      <c r="B11" s="81"/>
      <c r="C11" s="81"/>
      <c r="D11" s="81"/>
      <c r="E11" s="81"/>
      <c r="F11" s="81"/>
      <c r="G11" s="59"/>
      <c r="H11" s="91"/>
      <c r="I11" s="91"/>
      <c r="J11" s="91"/>
      <c r="K11" s="91"/>
      <c r="L11" s="91"/>
    </row>
    <row r="12" ht="16.5" customHeight="1" spans="1:13">
      <c r="B12" s="81"/>
      <c r="C12" s="81"/>
      <c r="D12" s="81"/>
      <c r="E12" s="81"/>
      <c r="F12" s="81"/>
      <c r="G12" s="59"/>
      <c r="H12" s="81"/>
      <c r="I12" s="81"/>
      <c r="J12" s="81"/>
      <c r="K12" s="81"/>
      <c r="L12" s="91"/>
    </row>
    <row r="13" ht="16.5" customHeight="1" spans="1:13">
      <c r="B13" s="81"/>
      <c r="C13" s="81"/>
      <c r="D13" s="81"/>
      <c r="E13" s="81"/>
      <c r="F13" s="81"/>
      <c r="G13" s="59"/>
      <c r="H13" s="91"/>
      <c r="I13" s="91"/>
      <c r="J13" s="91"/>
      <c r="K13" s="91"/>
      <c r="L13" s="91"/>
    </row>
    <row r="14" ht="16.5" customHeight="1" spans="1:13">
      <c r="B14" s="81"/>
      <c r="C14" s="81"/>
      <c r="D14" s="81"/>
      <c r="E14" s="81"/>
      <c r="F14" s="81"/>
      <c r="G14" s="59"/>
      <c r="H14" s="91"/>
      <c r="I14" s="91"/>
      <c r="J14" s="91"/>
      <c r="K14" s="91"/>
      <c r="L14" s="91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showGridLines="0" zoomScale="74" zoomScaleNormal="74" workbookViewId="0">
      <selection activeCell="N30" sqref="N30"/>
    </sheetView>
  </sheetViews>
  <sheetFormatPr defaultColWidth="8.67857142857143" defaultRowHeight="16.8"/>
  <cols>
    <col min="1" max="3" width="1.24107142857143" style="1" customWidth="1"/>
    <col min="4" max="4" width="40.6428571428571" style="1" customWidth="1"/>
    <col min="5" max="6" width="8.67857142857143" style="1"/>
    <col min="7" max="7" width="2.64285714285714" style="1" customWidth="1"/>
    <col min="8" max="14" width="12.6428571428571" style="1" customWidth="1"/>
    <col min="15" max="16384" width="8.67857142857143" style="1"/>
  </cols>
  <sheetData>
    <row r="1" ht="33.75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15" customHeight="1" spans="1:14">
      <c r="A2" s="3" t="s">
        <v>228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5" customHeight="1" spans="1:14">
      <c r="A3" s="3" t="s">
        <v>229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ht="15" customHeight="1" spans="1:14">
      <c r="A5" s="45" t="s">
        <v>230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ht="15" customHeight="1" spans="1:14">
      <c r="D7" s="63"/>
      <c r="E7" s="63"/>
      <c r="F7" s="63"/>
      <c r="G7" s="63"/>
      <c r="H7" s="63" t="s">
        <v>128</v>
      </c>
      <c r="I7" s="63" t="s">
        <v>139</v>
      </c>
      <c r="J7" s="63" t="s">
        <v>231</v>
      </c>
      <c r="K7" s="63" t="s">
        <v>231</v>
      </c>
      <c r="L7" s="63" t="s">
        <v>232</v>
      </c>
      <c r="M7" s="63" t="s">
        <v>233</v>
      </c>
      <c r="N7" s="63" t="s">
        <v>234</v>
      </c>
    </row>
    <row r="8" ht="15" customHeight="1" spans="1:14">
      <c r="D8" s="63" t="s">
        <v>235</v>
      </c>
      <c r="E8" s="63"/>
      <c r="F8" s="63"/>
      <c r="G8" s="63"/>
      <c r="H8" s="63" t="s">
        <v>236</v>
      </c>
      <c r="I8" s="63" t="s">
        <v>237</v>
      </c>
      <c r="J8" s="63" t="s">
        <v>128</v>
      </c>
      <c r="K8" s="63" t="s">
        <v>238</v>
      </c>
      <c r="L8" s="63" t="s">
        <v>239</v>
      </c>
      <c r="M8" s="63" t="s">
        <v>240</v>
      </c>
      <c r="N8" s="63" t="s">
        <v>240</v>
      </c>
    </row>
    <row r="9" ht="15" customHeight="1" spans="1:14">
      <c r="D9" s="64" t="s">
        <v>241</v>
      </c>
      <c r="E9" s="64"/>
      <c r="F9" s="64"/>
      <c r="G9" s="64"/>
      <c r="H9" s="65">
        <f>Comps!K8</f>
        <v>194698.3</v>
      </c>
      <c r="I9" s="65">
        <f>Comps!L8</f>
        <v>42030</v>
      </c>
      <c r="J9" s="66">
        <f>I9/H9</f>
        <v>0.215872454972642</v>
      </c>
      <c r="K9" s="66">
        <f>I9/(H9+I9)</f>
        <v>0.17754531249538</v>
      </c>
      <c r="L9" s="67">
        <v>0.21</v>
      </c>
      <c r="M9" s="68">
        <v>1.44</v>
      </c>
      <c r="N9" s="69">
        <f>M9/(1+J9*(1+K9))</f>
        <v>1.1481426105764</v>
      </c>
    </row>
    <row r="10" ht="15" customHeight="1" spans="1:14">
      <c r="D10" s="1" t="s">
        <v>242</v>
      </c>
      <c r="H10" s="48">
        <f>Comps!K9</f>
        <v>127688.4</v>
      </c>
      <c r="I10" s="48">
        <f>Comps!L9</f>
        <v>99090</v>
      </c>
      <c r="J10" s="70">
        <f>I10/H10</f>
        <v>0.776029772477375</v>
      </c>
      <c r="K10" s="70">
        <f>I10/(H10+I10)</f>
        <v>0.436946375845319</v>
      </c>
      <c r="L10" s="70">
        <f>L9</f>
        <v>0.21</v>
      </c>
      <c r="M10" s="71">
        <v>1</v>
      </c>
      <c r="N10" s="72">
        <f>M10/(1+J10*(1+K10))</f>
        <v>0.472787940902969</v>
      </c>
    </row>
    <row r="11" ht="15" customHeight="1" spans="1:14">
      <c r="D11" s="1" t="s">
        <v>243</v>
      </c>
      <c r="H11" s="48">
        <f>Comps!K10</f>
        <v>17307.2274</v>
      </c>
      <c r="I11" s="48">
        <f>Comps!L10</f>
        <v>14520</v>
      </c>
      <c r="J11" s="70">
        <f>I11/H11</f>
        <v>0.838955868806577</v>
      </c>
      <c r="K11" s="70">
        <f>I11/(H11+I11)</f>
        <v>0.456213160433824</v>
      </c>
      <c r="L11" s="70">
        <f>L10</f>
        <v>0.21</v>
      </c>
      <c r="M11" s="71">
        <v>1.26</v>
      </c>
      <c r="N11" s="72">
        <f>M11/(1+J11*(1+K11))</f>
        <v>0.567133639523547</v>
      </c>
    </row>
    <row r="12" ht="15" customHeight="1" spans="1:14">
      <c r="D12" s="1" t="s">
        <v>244</v>
      </c>
      <c r="H12" s="48">
        <f>Comps!K11</f>
        <v>32762.772</v>
      </c>
      <c r="I12" s="48">
        <f>Comps!L11</f>
        <v>6600</v>
      </c>
      <c r="J12" s="70">
        <f>I12/H12</f>
        <v>0.201448155852014</v>
      </c>
      <c r="K12" s="70">
        <f>I12/(H12+I12)</f>
        <v>0.167671118284048</v>
      </c>
      <c r="L12" s="70">
        <f>L11</f>
        <v>0.21</v>
      </c>
      <c r="M12" s="71">
        <v>0.5</v>
      </c>
      <c r="N12" s="72">
        <f>M12/(1+J12*(1+K12))</f>
        <v>0.404784490037517</v>
      </c>
    </row>
    <row r="13" ht="15" customHeight="1" spans="1:14">
      <c r="D13" s="3" t="s">
        <v>177</v>
      </c>
      <c r="E13" s="3"/>
      <c r="F13" s="3"/>
      <c r="G13" s="3"/>
      <c r="H13" s="73"/>
      <c r="I13" s="73"/>
      <c r="J13" s="74">
        <f>AVERAGE(J9:J12)</f>
        <v>0.508076563027152</v>
      </c>
      <c r="K13" s="74">
        <f>AVERAGE(K9:K12)</f>
        <v>0.309593991764643</v>
      </c>
      <c r="L13" s="74">
        <f>AVERAGE(L9:L12)</f>
        <v>0.21</v>
      </c>
      <c r="M13" s="75">
        <f>AVERAGE(M9:M12)</f>
        <v>1.05</v>
      </c>
      <c r="N13" s="75">
        <f>AVERAGE(N9:N12)</f>
        <v>0.648212170260107</v>
      </c>
    </row>
    <row r="14" ht="15" customHeight="1" spans="1:14">
      <c r="D14" s="3" t="s">
        <v>245</v>
      </c>
      <c r="E14" s="3"/>
      <c r="F14" s="3"/>
      <c r="G14" s="3"/>
      <c r="H14" s="73"/>
      <c r="I14" s="73"/>
      <c r="J14" s="74">
        <f>MEDIAN(J9:J12)</f>
        <v>0.495951113725008</v>
      </c>
      <c r="K14" s="74">
        <f>MEDIAN(K9:K12)</f>
        <v>0.307245844170349</v>
      </c>
      <c r="L14" s="74">
        <f>MEDIAN(L9:L12)</f>
        <v>0.21</v>
      </c>
      <c r="M14" s="75">
        <f>MEDIAN(M9:M12)</f>
        <v>1.13</v>
      </c>
      <c r="N14" s="75">
        <f>MEDIAN(N9:N12)</f>
        <v>0.519960790213258</v>
      </c>
    </row>
    <row r="16" ht="15" customHeight="1" spans="1:14">
      <c r="D16" s="1" t="s">
        <v>246</v>
      </c>
      <c r="H16" s="48">
        <f>Comps!K16</f>
        <v>324370.926</v>
      </c>
      <c r="I16" s="48">
        <f>Comps!L16</f>
        <v>14462.836</v>
      </c>
    </row>
    <row r="18" ht="15" customHeight="1" spans="1:9">
      <c r="A18" s="45" t="s">
        <v>247</v>
      </c>
      <c r="B18" s="3"/>
      <c r="C18" s="3"/>
      <c r="D18" s="3"/>
      <c r="E18" s="3"/>
      <c r="F18" s="3"/>
      <c r="G18" s="3"/>
      <c r="H18" s="3"/>
      <c r="I18" s="3"/>
    </row>
    <row r="20" ht="15" customHeight="1" spans="1:9">
      <c r="C20" s="45" t="s">
        <v>248</v>
      </c>
      <c r="D20" s="3"/>
      <c r="E20" s="3"/>
      <c r="F20" s="3"/>
      <c r="G20" s="3"/>
      <c r="H20" s="3"/>
      <c r="I20" s="3"/>
    </row>
    <row r="21" ht="15" customHeight="1" spans="1:9">
      <c r="D21" s="1" t="s">
        <v>249</v>
      </c>
      <c r="I21" s="70">
        <f>Comps!L16/(Comps!K16+Comps!L16)</f>
        <v>0.0426841643956366</v>
      </c>
    </row>
    <row r="22" ht="15" customHeight="1" spans="1:9">
      <c r="D22" s="1" t="s">
        <v>250</v>
      </c>
      <c r="I22" s="70">
        <f>1-I21</f>
        <v>0.957315835604363</v>
      </c>
    </row>
    <row r="24" ht="15" customHeight="1" spans="1:9">
      <c r="C24" s="45" t="s">
        <v>251</v>
      </c>
      <c r="D24" s="3"/>
      <c r="E24" s="3"/>
      <c r="F24" s="3"/>
      <c r="G24" s="3"/>
      <c r="H24" s="3"/>
      <c r="I24" s="3"/>
    </row>
    <row r="25" ht="15" customHeight="1" spans="1:9">
      <c r="D25" s="1" t="s">
        <v>252</v>
      </c>
      <c r="I25" s="48">
        <f>H16</f>
        <v>324370.926</v>
      </c>
    </row>
    <row r="26" ht="15" customHeight="1" spans="1:9">
      <c r="D26" s="1" t="s">
        <v>253</v>
      </c>
      <c r="I26" s="48">
        <f>I16</f>
        <v>14462.836</v>
      </c>
    </row>
    <row r="27" ht="15" customHeight="1" spans="1:9">
      <c r="C27" s="64"/>
      <c r="D27" s="64" t="s">
        <v>254</v>
      </c>
      <c r="E27" s="64"/>
      <c r="F27" s="64"/>
      <c r="G27" s="64"/>
      <c r="H27" s="64"/>
      <c r="I27" s="66">
        <f>I26/I25</f>
        <v>0.044587337645668</v>
      </c>
    </row>
    <row r="29" ht="15" customHeight="1" spans="1:9">
      <c r="C29" s="45" t="s">
        <v>255</v>
      </c>
      <c r="D29" s="3"/>
      <c r="E29" s="3"/>
      <c r="F29" s="3"/>
      <c r="G29" s="3"/>
      <c r="H29" s="3"/>
      <c r="I29" s="3"/>
    </row>
    <row r="30" ht="15" customHeight="1" spans="1:9">
      <c r="D30" s="1" t="s">
        <v>256</v>
      </c>
      <c r="I30" s="70">
        <f>-'Historical Data'!L13/('Historical Data'!L38+'Historical Data'!L42)</f>
        <v>0.0536900231738782</v>
      </c>
    </row>
    <row r="31" ht="15" customHeight="1" spans="1:9">
      <c r="D31" s="1" t="s">
        <v>170</v>
      </c>
      <c r="I31" s="70">
        <f>Model!M18</f>
        <v>0.138449402007075</v>
      </c>
    </row>
    <row r="32" ht="15" customHeight="1" spans="1:9">
      <c r="C32" s="64"/>
      <c r="D32" s="64" t="s">
        <v>257</v>
      </c>
      <c r="E32" s="64"/>
      <c r="F32" s="64"/>
      <c r="G32" s="64"/>
      <c r="H32" s="64"/>
      <c r="I32" s="66">
        <f>I30*(1-I31)</f>
        <v>0.0462566715717088</v>
      </c>
    </row>
    <row r="34" ht="15" customHeight="1" spans="3:9">
      <c r="C34" s="45" t="s">
        <v>258</v>
      </c>
      <c r="D34" s="3"/>
      <c r="E34" s="3"/>
      <c r="F34" s="3"/>
      <c r="G34" s="3"/>
      <c r="H34" s="3"/>
      <c r="I34" s="3"/>
    </row>
    <row r="35" ht="15" customHeight="1" spans="3:9">
      <c r="D35" s="1" t="s">
        <v>259</v>
      </c>
      <c r="I35" s="70">
        <v>0.05</v>
      </c>
    </row>
    <row r="36" ht="15" customHeight="1" spans="3:9">
      <c r="D36" s="1" t="s">
        <v>260</v>
      </c>
      <c r="I36" s="70">
        <f>'Market Data'!J9</f>
        <v>0.173533659018743</v>
      </c>
    </row>
    <row r="37" ht="15" customHeight="1" spans="3:9">
      <c r="D37" s="1" t="s">
        <v>261</v>
      </c>
      <c r="I37" s="72">
        <f>N14*(1+I27)*(1-I31)</f>
        <v>0.467946432180657</v>
      </c>
    </row>
    <row r="38" ht="15" customHeight="1" spans="3:9">
      <c r="D38" s="64" t="s">
        <v>258</v>
      </c>
      <c r="E38" s="64"/>
      <c r="F38" s="64"/>
      <c r="G38" s="64"/>
      <c r="H38" s="64"/>
      <c r="I38" s="66">
        <f>I35+I37*I36</f>
        <v>0.131204456601075</v>
      </c>
    </row>
    <row r="40" ht="15" customHeight="1" spans="3:9">
      <c r="D40" s="76" t="s">
        <v>262</v>
      </c>
      <c r="I40" s="70">
        <f>(I21*I32)+(I38*I22)</f>
        <v>0.127578531379837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18"/>
  <sheetViews>
    <sheetView showGridLines="0" workbookViewId="0">
      <selection activeCell="M12" sqref="M12"/>
    </sheetView>
  </sheetViews>
  <sheetFormatPr defaultColWidth="8.67857142857143" defaultRowHeight="16.8"/>
  <cols>
    <col min="1" max="3" width="1.24107142857143" style="1" customWidth="1"/>
    <col min="4" max="4" width="8.02678571428571" style="1" customWidth="1"/>
    <col min="5" max="5" width="11.4285714285714" style="1" customWidth="1"/>
    <col min="6" max="6" width="14.2142857142857" style="1" customWidth="1"/>
    <col min="7" max="7" width="2.64285714285714" style="1" customWidth="1"/>
    <col min="8" max="19" width="12.6428571428571" style="1" customWidth="1"/>
    <col min="20" max="16384" width="8.67857142857143" style="1"/>
  </cols>
  <sheetData>
    <row r="1" ht="33.75" customHeight="1" spans="1:1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5" customHeight="1" spans="1:13">
      <c r="A2" s="3" t="s">
        <v>263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ht="15" customHeight="1" spans="1:13">
      <c r="B4" s="54"/>
    </row>
    <row r="5" ht="15" customHeight="1" spans="1:13">
      <c r="B5" s="55"/>
      <c r="E5" s="3"/>
      <c r="F5" s="23" t="s">
        <v>264</v>
      </c>
    </row>
    <row r="6" ht="15" customHeight="1" spans="1:13">
      <c r="B6" s="56"/>
      <c r="E6" s="3" t="s">
        <v>265</v>
      </c>
      <c r="F6" s="3" t="s">
        <v>266</v>
      </c>
    </row>
    <row r="7" ht="15" customHeight="1" spans="1:13">
      <c r="B7" s="57"/>
      <c r="E7" s="58">
        <v>46280</v>
      </c>
      <c r="F7" s="59">
        <v>25981.57</v>
      </c>
      <c r="I7" s="1" t="s">
        <v>267</v>
      </c>
      <c r="J7" s="60">
        <v>10</v>
      </c>
    </row>
    <row r="8" ht="15" customHeight="1" spans="1:13">
      <c r="B8" s="57"/>
      <c r="E8" s="58">
        <v>46279</v>
      </c>
      <c r="F8" s="59">
        <v>26186.41</v>
      </c>
    </row>
    <row r="9" ht="15" customHeight="1" spans="1:13">
      <c r="B9" s="61"/>
      <c r="E9" s="58">
        <v>46276</v>
      </c>
      <c r="F9" s="59">
        <v>26333.04</v>
      </c>
      <c r="I9" s="1" t="s">
        <v>268</v>
      </c>
      <c r="J9" s="62">
        <f>_xlfn.RRI(J7,F2518,F7)</f>
        <v>0.173533659018743</v>
      </c>
    </row>
    <row r="10" ht="16.5" customHeight="1" spans="1:13">
      <c r="E10" s="58">
        <v>46275</v>
      </c>
      <c r="F10" s="59">
        <v>26081.72</v>
      </c>
    </row>
    <row r="11" ht="16.5" customHeight="1" spans="1:13">
      <c r="E11" s="58">
        <v>46274</v>
      </c>
      <c r="F11" s="59">
        <v>26253.34</v>
      </c>
    </row>
    <row r="12" ht="16.5" customHeight="1" spans="1:13">
      <c r="E12" s="58">
        <v>46273</v>
      </c>
      <c r="F12" s="59">
        <v>26421.41</v>
      </c>
    </row>
    <row r="13" ht="16.5" customHeight="1" spans="1:13">
      <c r="E13" s="58">
        <v>46269</v>
      </c>
      <c r="F13" s="59">
        <v>26506.99</v>
      </c>
    </row>
    <row r="14" ht="16.5" customHeight="1" spans="1:13">
      <c r="E14" s="58">
        <v>46268</v>
      </c>
      <c r="F14" s="59">
        <v>26584.06</v>
      </c>
    </row>
    <row r="15" ht="16.5" customHeight="1" spans="1:13">
      <c r="E15" s="58">
        <v>46267</v>
      </c>
      <c r="F15" s="59">
        <v>26217.83</v>
      </c>
    </row>
    <row r="16" ht="16.5" customHeight="1" spans="1:13">
      <c r="E16" s="58">
        <v>46266</v>
      </c>
      <c r="F16" s="59">
        <v>26099.77</v>
      </c>
    </row>
    <row r="17" ht="16.5" customHeight="1" spans="5:6">
      <c r="E17" s="58">
        <v>46265</v>
      </c>
      <c r="F17" s="59">
        <v>26370.89</v>
      </c>
    </row>
    <row r="18" ht="16.5" customHeight="1" spans="5:6">
      <c r="E18" s="58">
        <v>46262</v>
      </c>
      <c r="F18" s="59">
        <v>26402.42</v>
      </c>
    </row>
    <row r="19" ht="16.5" customHeight="1" spans="5:6">
      <c r="E19" s="58">
        <v>46261</v>
      </c>
      <c r="F19" s="59">
        <v>26541.35</v>
      </c>
    </row>
    <row r="20" ht="16.5" customHeight="1" spans="5:6">
      <c r="E20" s="58">
        <v>46260</v>
      </c>
      <c r="F20" s="59">
        <v>26130.2</v>
      </c>
    </row>
    <row r="21" ht="16.5" customHeight="1" spans="5:6">
      <c r="E21" s="58">
        <v>46259</v>
      </c>
      <c r="F21" s="59">
        <v>26151.3</v>
      </c>
    </row>
    <row r="22" ht="16.5" customHeight="1" spans="5:6">
      <c r="E22" s="58">
        <v>46258</v>
      </c>
      <c r="F22" s="59">
        <v>25980.19</v>
      </c>
    </row>
    <row r="23" ht="16.5" customHeight="1" spans="5:6">
      <c r="E23" s="58">
        <v>46255</v>
      </c>
      <c r="F23" s="59">
        <v>26180.45</v>
      </c>
    </row>
    <row r="24" ht="16.5" customHeight="1" spans="5:6">
      <c r="E24" s="58">
        <v>46254</v>
      </c>
      <c r="F24" s="59">
        <v>26067.17</v>
      </c>
    </row>
    <row r="25" ht="16.5" customHeight="1" spans="5:6">
      <c r="E25" s="58">
        <v>46253</v>
      </c>
      <c r="F25" s="59">
        <v>26331.09</v>
      </c>
    </row>
    <row r="26" ht="16.5" customHeight="1" spans="5:6">
      <c r="E26" s="58">
        <v>46252</v>
      </c>
      <c r="F26" s="59">
        <v>26289.71</v>
      </c>
    </row>
    <row r="27" ht="16.5" customHeight="1" spans="5:6">
      <c r="E27" s="58">
        <v>46251</v>
      </c>
      <c r="F27" s="59">
        <v>26644.91</v>
      </c>
    </row>
    <row r="28" ht="16.5" customHeight="1" spans="5:6">
      <c r="E28" s="58">
        <v>46248</v>
      </c>
      <c r="F28" s="59">
        <v>26729.16</v>
      </c>
    </row>
    <row r="29" ht="16.5" customHeight="1" spans="5:6">
      <c r="E29" s="58">
        <v>46247</v>
      </c>
      <c r="F29" s="59">
        <v>26803.03</v>
      </c>
    </row>
    <row r="30" ht="16.5" customHeight="1" spans="5:6">
      <c r="E30" s="58">
        <v>46246</v>
      </c>
      <c r="F30" s="59">
        <v>26588.49</v>
      </c>
    </row>
    <row r="31" ht="16.5" customHeight="1" spans="5:6">
      <c r="E31" s="58">
        <v>46245</v>
      </c>
      <c r="F31" s="59">
        <v>26445.45</v>
      </c>
    </row>
    <row r="32" ht="16.5" customHeight="1" spans="5:6">
      <c r="E32" s="58">
        <v>46244</v>
      </c>
      <c r="F32" s="59">
        <v>26605.36</v>
      </c>
    </row>
    <row r="33" ht="16.5" customHeight="1" spans="5:6">
      <c r="E33" s="58">
        <v>46241</v>
      </c>
      <c r="F33" s="59">
        <v>26690.62</v>
      </c>
    </row>
    <row r="34" ht="16.5" customHeight="1" spans="5:6">
      <c r="E34" s="58">
        <v>46240</v>
      </c>
      <c r="F34" s="59">
        <v>26348.35</v>
      </c>
    </row>
    <row r="35" ht="16.5" customHeight="1" spans="5:6">
      <c r="E35" s="58">
        <v>46239</v>
      </c>
      <c r="F35" s="59">
        <v>26363.44</v>
      </c>
    </row>
    <row r="36" ht="16.5" customHeight="1" spans="5:6">
      <c r="E36" s="58">
        <v>46238</v>
      </c>
      <c r="F36" s="59">
        <v>26584.99</v>
      </c>
    </row>
    <row r="37" ht="16.5" customHeight="1" spans="5:6">
      <c r="E37" s="58">
        <v>46237</v>
      </c>
      <c r="F37" s="59">
        <v>25913.9</v>
      </c>
    </row>
    <row r="38" ht="16.5" customHeight="1" spans="5:6">
      <c r="E38" s="58">
        <v>46234</v>
      </c>
      <c r="F38" s="59">
        <v>25373.85</v>
      </c>
    </row>
    <row r="39" ht="16.5" customHeight="1" spans="5:6">
      <c r="E39" s="58">
        <v>46233</v>
      </c>
      <c r="F39" s="59">
        <v>25122.18</v>
      </c>
    </row>
    <row r="40" ht="16.5" customHeight="1" spans="5:6">
      <c r="E40" s="58">
        <v>46232</v>
      </c>
      <c r="F40" s="59">
        <v>24442.94</v>
      </c>
    </row>
    <row r="41" ht="16.5" customHeight="1" spans="5:6">
      <c r="E41" s="58">
        <v>46231</v>
      </c>
      <c r="F41" s="59">
        <v>24876.91</v>
      </c>
    </row>
    <row r="42" ht="16.5" customHeight="1" spans="5:6">
      <c r="E42" s="58">
        <v>46230</v>
      </c>
      <c r="F42" s="59">
        <v>24932.08</v>
      </c>
    </row>
    <row r="43" ht="16.5" customHeight="1" spans="5:6">
      <c r="E43" s="58">
        <v>46227</v>
      </c>
      <c r="F43" s="59">
        <v>24975.82</v>
      </c>
    </row>
    <row r="44" ht="16.5" customHeight="1" spans="5:6">
      <c r="E44" s="58">
        <v>46226</v>
      </c>
      <c r="F44" s="59">
        <v>25137.69</v>
      </c>
    </row>
    <row r="45" ht="16.5" customHeight="1" spans="5:6">
      <c r="E45" s="58">
        <v>46225</v>
      </c>
      <c r="F45" s="59">
        <v>25690.9</v>
      </c>
    </row>
    <row r="46" ht="16.5" customHeight="1" spans="5:6">
      <c r="E46" s="58">
        <v>46224</v>
      </c>
      <c r="F46" s="59">
        <v>25837.21</v>
      </c>
    </row>
    <row r="47" ht="16.5" customHeight="1" spans="5:6">
      <c r="E47" s="58">
        <v>46223</v>
      </c>
      <c r="F47" s="59">
        <v>25508.07</v>
      </c>
    </row>
    <row r="48" ht="16.5" customHeight="1" spans="5:6">
      <c r="E48" s="58">
        <v>46220</v>
      </c>
      <c r="F48" s="59">
        <v>25520.24</v>
      </c>
    </row>
    <row r="49" ht="16.5" customHeight="1" spans="5:6">
      <c r="E49" s="58">
        <v>46219</v>
      </c>
      <c r="F49" s="59">
        <v>25881.95</v>
      </c>
    </row>
    <row r="50" ht="16.5" customHeight="1" spans="5:6">
      <c r="E50" s="58">
        <v>46218</v>
      </c>
      <c r="F50" s="59">
        <v>26269.23</v>
      </c>
    </row>
    <row r="51" ht="16.5" customHeight="1" spans="5:6">
      <c r="E51" s="58">
        <v>46217</v>
      </c>
      <c r="F51" s="59">
        <v>26107.01</v>
      </c>
    </row>
    <row r="52" ht="16.5" customHeight="1" spans="5:6">
      <c r="E52" s="58">
        <v>46216</v>
      </c>
      <c r="F52" s="59">
        <v>25873.18</v>
      </c>
    </row>
    <row r="53" ht="16.5" customHeight="1" spans="5:6">
      <c r="E53" s="58">
        <v>46213</v>
      </c>
      <c r="F53" s="59">
        <v>26281.61</v>
      </c>
    </row>
    <row r="54" ht="16.5" customHeight="1" spans="5:6">
      <c r="E54" s="58">
        <v>46212</v>
      </c>
      <c r="F54" s="59">
        <v>26206.89</v>
      </c>
    </row>
    <row r="55" ht="16.5" customHeight="1" spans="5:6">
      <c r="E55" s="58">
        <v>46211</v>
      </c>
      <c r="F55" s="59">
        <v>25870.65</v>
      </c>
    </row>
    <row r="56" ht="16.5" customHeight="1" spans="5:6">
      <c r="E56" s="58">
        <v>46210</v>
      </c>
      <c r="F56" s="59">
        <v>25818.69</v>
      </c>
    </row>
    <row r="57" ht="16.5" customHeight="1" spans="5:6">
      <c r="E57" s="58">
        <v>46209</v>
      </c>
      <c r="F57" s="59">
        <v>26121.16</v>
      </c>
    </row>
    <row r="58" ht="16.5" customHeight="1" spans="5:6">
      <c r="E58" s="58">
        <v>46205</v>
      </c>
      <c r="F58" s="59">
        <v>25832.67</v>
      </c>
    </row>
    <row r="59" ht="16.5" customHeight="1" spans="5:6">
      <c r="E59" s="58">
        <v>46204</v>
      </c>
      <c r="F59" s="59">
        <v>26040.03</v>
      </c>
    </row>
    <row r="60" ht="16.5" customHeight="1" spans="5:6">
      <c r="E60" s="58">
        <v>46203</v>
      </c>
      <c r="F60" s="59">
        <v>26213.72</v>
      </c>
    </row>
    <row r="61" ht="16.5" customHeight="1" spans="5:6">
      <c r="E61" s="58">
        <v>46202</v>
      </c>
      <c r="F61" s="59">
        <v>25820.14</v>
      </c>
    </row>
    <row r="62" ht="16.5" customHeight="1" spans="5:6">
      <c r="E62" s="58">
        <v>46199</v>
      </c>
      <c r="F62" s="59">
        <v>25297.62</v>
      </c>
    </row>
    <row r="63" ht="16.5" customHeight="1" spans="5:6">
      <c r="E63" s="58">
        <v>46198</v>
      </c>
      <c r="F63" s="59">
        <v>25358.6</v>
      </c>
    </row>
    <row r="64" ht="16.5" customHeight="1" spans="5:6">
      <c r="E64" s="58">
        <v>46197</v>
      </c>
      <c r="F64" s="59">
        <v>25476.64</v>
      </c>
    </row>
    <row r="65" ht="16.5" customHeight="1" spans="5:6">
      <c r="E65" s="58">
        <v>46196</v>
      </c>
      <c r="F65" s="59">
        <v>25587.04</v>
      </c>
    </row>
    <row r="66" ht="16.5" customHeight="1" spans="5:6">
      <c r="E66" s="58">
        <v>46195</v>
      </c>
      <c r="F66" s="59">
        <v>26166.6</v>
      </c>
    </row>
    <row r="67" ht="16.5" customHeight="1" spans="5:6">
      <c r="E67" s="58">
        <v>46191</v>
      </c>
      <c r="F67" s="59">
        <v>26517.93</v>
      </c>
    </row>
    <row r="68" ht="16.5" customHeight="1" spans="5:6">
      <c r="E68" s="58">
        <v>46190</v>
      </c>
      <c r="F68" s="59">
        <v>26021.66</v>
      </c>
    </row>
    <row r="69" ht="16.5" customHeight="1" spans="5:6">
      <c r="E69" s="58">
        <v>46189</v>
      </c>
      <c r="F69" s="59">
        <v>26376.34</v>
      </c>
    </row>
    <row r="70" ht="16.5" customHeight="1" spans="5:6">
      <c r="E70" s="58">
        <v>46188</v>
      </c>
      <c r="F70" s="59">
        <v>26683.94</v>
      </c>
    </row>
    <row r="71" ht="16.5" customHeight="1" spans="5:6">
      <c r="E71" s="58">
        <v>46185</v>
      </c>
      <c r="F71" s="59">
        <v>25888.84</v>
      </c>
    </row>
    <row r="72" ht="16.5" customHeight="1" spans="5:6">
      <c r="E72" s="58">
        <v>46184</v>
      </c>
      <c r="F72" s="59">
        <v>25809.66</v>
      </c>
    </row>
    <row r="73" ht="16.5" customHeight="1" spans="5:6">
      <c r="E73" s="58">
        <v>46183</v>
      </c>
      <c r="F73" s="59">
        <v>25169.5</v>
      </c>
    </row>
    <row r="74" ht="16.5" customHeight="1" spans="5:6">
      <c r="E74" s="58">
        <v>46182</v>
      </c>
      <c r="F74" s="59">
        <v>25678.82</v>
      </c>
    </row>
    <row r="75" ht="16.5" customHeight="1" spans="5:6">
      <c r="E75" s="58">
        <v>46181</v>
      </c>
      <c r="F75" s="59">
        <v>25929.66</v>
      </c>
    </row>
    <row r="76" ht="16.5" customHeight="1" spans="5:6">
      <c r="E76" s="58">
        <v>46178</v>
      </c>
      <c r="F76" s="59">
        <v>25709.43</v>
      </c>
    </row>
    <row r="77" ht="16.5" customHeight="1" spans="5:6">
      <c r="E77" s="58">
        <v>46177</v>
      </c>
      <c r="F77" s="59">
        <v>26830.96</v>
      </c>
    </row>
    <row r="78" ht="16.5" customHeight="1" spans="5:6">
      <c r="E78" s="58">
        <v>46176</v>
      </c>
      <c r="F78" s="59">
        <v>26853.98</v>
      </c>
    </row>
    <row r="79" ht="16.5" customHeight="1" spans="5:6">
      <c r="E79" s="58">
        <v>46175</v>
      </c>
      <c r="F79" s="59">
        <v>27093.9</v>
      </c>
    </row>
    <row r="80" ht="16.5" customHeight="1" spans="5:6">
      <c r="E80" s="58">
        <v>46174</v>
      </c>
      <c r="F80" s="59">
        <v>27086.81</v>
      </c>
    </row>
    <row r="81" ht="16.5" customHeight="1" spans="5:6">
      <c r="E81" s="58">
        <v>46171</v>
      </c>
      <c r="F81" s="59">
        <v>26972.62</v>
      </c>
    </row>
    <row r="82" ht="16.5" customHeight="1" spans="5:6">
      <c r="E82" s="58">
        <v>46170</v>
      </c>
      <c r="F82" s="59">
        <v>26917.47</v>
      </c>
    </row>
    <row r="83" ht="16.5" customHeight="1" spans="5:6">
      <c r="E83" s="58">
        <v>46169</v>
      </c>
      <c r="F83" s="59">
        <v>26674.73</v>
      </c>
    </row>
    <row r="84" ht="16.5" customHeight="1" spans="5:6">
      <c r="E84" s="58">
        <v>46168</v>
      </c>
      <c r="F84" s="59">
        <v>26656.18</v>
      </c>
    </row>
    <row r="85" ht="16.5" customHeight="1" spans="5:6">
      <c r="E85" s="58">
        <v>46164</v>
      </c>
      <c r="F85" s="59">
        <v>26343.97</v>
      </c>
    </row>
    <row r="86" ht="16.5" customHeight="1" spans="5:6">
      <c r="E86" s="58">
        <v>46163</v>
      </c>
      <c r="F86" s="59">
        <v>26293.1</v>
      </c>
    </row>
    <row r="87" ht="16.5" customHeight="1" spans="5:6">
      <c r="E87" s="58">
        <v>46162</v>
      </c>
      <c r="F87" s="59">
        <v>26270.36</v>
      </c>
    </row>
    <row r="88" ht="16.5" customHeight="1" spans="5:6">
      <c r="E88" s="58">
        <v>46161</v>
      </c>
      <c r="F88" s="59">
        <v>25870.71</v>
      </c>
    </row>
    <row r="89" ht="16.5" customHeight="1" spans="5:6">
      <c r="E89" s="58">
        <v>46160</v>
      </c>
      <c r="F89" s="59">
        <v>26090.73</v>
      </c>
    </row>
    <row r="90" ht="16.5" customHeight="1" spans="5:6">
      <c r="E90" s="58">
        <v>46157</v>
      </c>
      <c r="F90" s="59">
        <v>26225.14</v>
      </c>
    </row>
    <row r="91" ht="16.5" customHeight="1" spans="5:6">
      <c r="E91" s="58">
        <v>46156</v>
      </c>
      <c r="F91" s="59">
        <v>26635.22</v>
      </c>
    </row>
    <row r="92" ht="16.5" customHeight="1" spans="5:6">
      <c r="E92" s="58">
        <v>46155</v>
      </c>
      <c r="F92" s="59">
        <v>26402.34</v>
      </c>
    </row>
    <row r="93" ht="16.5" customHeight="1" spans="5:6">
      <c r="E93" s="58">
        <v>46154</v>
      </c>
      <c r="F93" s="59">
        <v>26088.2</v>
      </c>
    </row>
    <row r="94" ht="16.5" customHeight="1" spans="5:6">
      <c r="E94" s="58">
        <v>46153</v>
      </c>
      <c r="F94" s="59">
        <v>26274.13</v>
      </c>
    </row>
    <row r="95" ht="16.5" customHeight="1" spans="5:6">
      <c r="E95" s="58">
        <v>46150</v>
      </c>
      <c r="F95" s="59">
        <v>26247.08</v>
      </c>
    </row>
    <row r="96" ht="16.5" customHeight="1" spans="5:6">
      <c r="E96" s="58">
        <v>46149</v>
      </c>
      <c r="F96" s="59">
        <v>25806.2</v>
      </c>
    </row>
    <row r="97" ht="16.5" customHeight="1" spans="5:6">
      <c r="E97" s="58">
        <v>46148</v>
      </c>
      <c r="F97" s="59">
        <v>25838.94</v>
      </c>
    </row>
    <row r="98" ht="16.5" customHeight="1" spans="5:6">
      <c r="E98" s="58">
        <v>46147</v>
      </c>
      <c r="F98" s="59">
        <v>25326.13</v>
      </c>
    </row>
    <row r="99" ht="16.5" customHeight="1" spans="5:6">
      <c r="E99" s="58">
        <v>46146</v>
      </c>
      <c r="F99" s="59">
        <v>25067.8</v>
      </c>
    </row>
    <row r="100" ht="16.5" customHeight="1" spans="5:6">
      <c r="E100" s="58">
        <v>46143</v>
      </c>
      <c r="F100" s="59">
        <v>25114.44</v>
      </c>
    </row>
    <row r="101" ht="16.5" customHeight="1" spans="5:6">
      <c r="E101" s="58">
        <v>46142</v>
      </c>
      <c r="F101" s="59">
        <v>24892.31</v>
      </c>
    </row>
    <row r="102" ht="16.5" customHeight="1" spans="5:6">
      <c r="E102" s="58">
        <v>46141</v>
      </c>
      <c r="F102" s="59">
        <v>24673.24</v>
      </c>
    </row>
    <row r="103" ht="16.5" customHeight="1" spans="5:6">
      <c r="E103" s="58">
        <v>46140</v>
      </c>
      <c r="F103" s="59">
        <v>24663.8</v>
      </c>
    </row>
    <row r="104" ht="16.5" customHeight="1" spans="5:6">
      <c r="E104" s="58">
        <v>46139</v>
      </c>
      <c r="F104" s="59">
        <v>24887.1</v>
      </c>
    </row>
    <row r="105" ht="16.5" customHeight="1" spans="5:6">
      <c r="E105" s="58">
        <v>46136</v>
      </c>
      <c r="F105" s="59">
        <v>24836.6</v>
      </c>
    </row>
    <row r="106" ht="16.5" customHeight="1" spans="5:6">
      <c r="E106" s="58">
        <v>46135</v>
      </c>
      <c r="F106" s="59">
        <v>24438.5</v>
      </c>
    </row>
    <row r="107" ht="16.5" customHeight="1" spans="5:6">
      <c r="E107" s="58">
        <v>46134</v>
      </c>
      <c r="F107" s="59">
        <v>24657.57</v>
      </c>
    </row>
    <row r="108" ht="16.5" customHeight="1" spans="5:6">
      <c r="E108" s="58">
        <v>46133</v>
      </c>
      <c r="F108" s="59">
        <v>24259.96</v>
      </c>
    </row>
    <row r="109" ht="16.5" customHeight="1" spans="5:6">
      <c r="E109" s="58">
        <v>46132</v>
      </c>
      <c r="F109" s="59">
        <v>24404.39</v>
      </c>
    </row>
    <row r="110" ht="16.5" customHeight="1" spans="5:6">
      <c r="E110" s="58">
        <v>46129</v>
      </c>
      <c r="F110" s="59">
        <v>24468.48</v>
      </c>
    </row>
    <row r="111" ht="16.5" customHeight="1" spans="5:6">
      <c r="E111" s="58">
        <v>46128</v>
      </c>
      <c r="F111" s="59">
        <v>24102.7</v>
      </c>
    </row>
    <row r="112" ht="16.5" customHeight="1" spans="5:6">
      <c r="E112" s="58">
        <v>46127</v>
      </c>
      <c r="F112" s="59">
        <v>24016.02</v>
      </c>
    </row>
    <row r="113" ht="16.5" customHeight="1" spans="5:6">
      <c r="E113" s="58">
        <v>46126</v>
      </c>
      <c r="F113" s="59">
        <v>23639.08</v>
      </c>
    </row>
    <row r="114" ht="16.5" customHeight="1" spans="5:6">
      <c r="E114" s="58">
        <v>46125</v>
      </c>
      <c r="F114" s="59">
        <v>23183.74</v>
      </c>
    </row>
    <row r="115" ht="16.5" customHeight="1" spans="5:6">
      <c r="E115" s="58">
        <v>46122</v>
      </c>
      <c r="F115" s="59">
        <v>22902.89</v>
      </c>
    </row>
    <row r="116" ht="16.5" customHeight="1" spans="5:6">
      <c r="E116" s="58">
        <v>46121</v>
      </c>
      <c r="F116" s="59">
        <v>22822.42</v>
      </c>
    </row>
    <row r="117" ht="16.5" customHeight="1" spans="5:6">
      <c r="E117" s="58">
        <v>46120</v>
      </c>
      <c r="F117" s="59">
        <v>22634.99</v>
      </c>
    </row>
    <row r="118" ht="16.5" customHeight="1" spans="5:6">
      <c r="E118" s="58">
        <v>46119</v>
      </c>
      <c r="F118" s="59">
        <v>22017.85</v>
      </c>
    </row>
    <row r="119" ht="16.5" customHeight="1" spans="5:6">
      <c r="E119" s="58">
        <v>46118</v>
      </c>
      <c r="F119" s="59">
        <v>21996.34</v>
      </c>
    </row>
    <row r="120" ht="16.5" customHeight="1" spans="5:6">
      <c r="E120" s="58">
        <v>46114</v>
      </c>
      <c r="F120" s="59">
        <v>21879.18</v>
      </c>
    </row>
    <row r="121" ht="16.5" customHeight="1" spans="5:6">
      <c r="E121" s="58">
        <v>46113</v>
      </c>
      <c r="F121" s="59">
        <v>21840.95</v>
      </c>
    </row>
    <row r="122" ht="16.5" customHeight="1" spans="5:6">
      <c r="E122" s="58">
        <v>46112</v>
      </c>
      <c r="F122" s="59">
        <v>21590.63</v>
      </c>
    </row>
    <row r="123" ht="16.5" customHeight="1" spans="5:6">
      <c r="E123" s="58">
        <v>46111</v>
      </c>
      <c r="F123" s="59">
        <v>20794.64</v>
      </c>
    </row>
    <row r="124" ht="16.5" customHeight="1" spans="5:6">
      <c r="E124" s="58">
        <v>46108</v>
      </c>
      <c r="F124" s="59">
        <v>20948.36</v>
      </c>
    </row>
    <row r="125" ht="16.5" customHeight="1" spans="5:6">
      <c r="E125" s="58">
        <v>46107</v>
      </c>
      <c r="F125" s="59">
        <v>21408.08</v>
      </c>
    </row>
    <row r="126" ht="16.5" customHeight="1" spans="5:6">
      <c r="E126" s="58">
        <v>46106</v>
      </c>
      <c r="F126" s="59">
        <v>21929.83</v>
      </c>
    </row>
    <row r="127" ht="16.5" customHeight="1" spans="5:6">
      <c r="E127" s="58">
        <v>46105</v>
      </c>
      <c r="F127" s="59">
        <v>21761.89</v>
      </c>
    </row>
    <row r="128" ht="16.5" customHeight="1" spans="5:6">
      <c r="E128" s="58">
        <v>46104</v>
      </c>
      <c r="F128" s="59">
        <v>21946.76</v>
      </c>
    </row>
    <row r="129" ht="16.5" customHeight="1" spans="5:6">
      <c r="E129" s="58">
        <v>46101</v>
      </c>
      <c r="F129" s="59">
        <v>21647.61</v>
      </c>
    </row>
    <row r="130" ht="16.5" customHeight="1" spans="5:6">
      <c r="E130" s="58">
        <v>46100</v>
      </c>
      <c r="F130" s="59">
        <v>22090.69</v>
      </c>
    </row>
    <row r="131" ht="16.5" customHeight="1" spans="5:6">
      <c r="E131" s="58">
        <v>46099</v>
      </c>
      <c r="F131" s="59">
        <v>22152.42</v>
      </c>
    </row>
    <row r="132" ht="16.5" customHeight="1" spans="5:6">
      <c r="E132" s="58">
        <v>46098</v>
      </c>
      <c r="F132" s="59">
        <v>22479.53</v>
      </c>
    </row>
    <row r="133" ht="16.5" customHeight="1" spans="5:6">
      <c r="E133" s="58">
        <v>46097</v>
      </c>
      <c r="F133" s="59">
        <v>22374.18</v>
      </c>
    </row>
    <row r="134" ht="16.5" customHeight="1" spans="5:6">
      <c r="E134" s="58">
        <v>46094</v>
      </c>
      <c r="F134" s="59">
        <v>22105.36</v>
      </c>
    </row>
    <row r="135" ht="16.5" customHeight="1" spans="5:6">
      <c r="E135" s="58">
        <v>46093</v>
      </c>
      <c r="F135" s="59">
        <v>22311.98</v>
      </c>
    </row>
    <row r="136" ht="16.5" customHeight="1" spans="5:6">
      <c r="E136" s="58">
        <v>46092</v>
      </c>
      <c r="F136" s="59">
        <v>22716.13</v>
      </c>
    </row>
    <row r="137" ht="16.5" customHeight="1" spans="5:6">
      <c r="E137" s="58">
        <v>46091</v>
      </c>
      <c r="F137" s="59">
        <v>22697.1</v>
      </c>
    </row>
    <row r="138" ht="16.5" customHeight="1" spans="5:6">
      <c r="E138" s="58">
        <v>46090</v>
      </c>
      <c r="F138" s="59">
        <v>22695.95</v>
      </c>
    </row>
    <row r="139" ht="16.5" customHeight="1" spans="5:6">
      <c r="E139" s="58">
        <v>46087</v>
      </c>
      <c r="F139" s="59">
        <v>22387.68</v>
      </c>
    </row>
    <row r="140" ht="16.5" customHeight="1" spans="5:6">
      <c r="E140" s="58">
        <v>46086</v>
      </c>
      <c r="F140" s="59">
        <v>22748.99</v>
      </c>
    </row>
    <row r="141" ht="16.5" customHeight="1" spans="5:6">
      <c r="E141" s="58">
        <v>46085</v>
      </c>
      <c r="F141" s="59">
        <v>22807.48</v>
      </c>
    </row>
    <row r="142" ht="16.5" customHeight="1" spans="5:6">
      <c r="E142" s="58">
        <v>46084</v>
      </c>
      <c r="F142" s="59">
        <v>22516.69</v>
      </c>
    </row>
    <row r="143" ht="16.5" customHeight="1" spans="5:6">
      <c r="E143" s="58">
        <v>46083</v>
      </c>
      <c r="F143" s="59">
        <v>22748.86</v>
      </c>
    </row>
    <row r="144" ht="16.5" customHeight="1" spans="5:6">
      <c r="E144" s="58">
        <v>46080</v>
      </c>
      <c r="F144" s="59">
        <v>22668.21</v>
      </c>
    </row>
    <row r="145" ht="16.5" customHeight="1" spans="5:6">
      <c r="E145" s="58">
        <v>46079</v>
      </c>
      <c r="F145" s="59">
        <v>22878.38</v>
      </c>
    </row>
    <row r="146" ht="16.5" customHeight="1" spans="5:6">
      <c r="E146" s="58">
        <v>46078</v>
      </c>
      <c r="F146" s="59">
        <v>23152.08</v>
      </c>
    </row>
    <row r="147" ht="16.5" customHeight="1" spans="5:6">
      <c r="E147" s="58">
        <v>46077</v>
      </c>
      <c r="F147" s="59">
        <v>22863.68</v>
      </c>
    </row>
    <row r="148" ht="16.5" customHeight="1" spans="5:6">
      <c r="E148" s="58">
        <v>46076</v>
      </c>
      <c r="F148" s="59">
        <v>22627.27</v>
      </c>
    </row>
    <row r="149" ht="16.5" customHeight="1" spans="5:6">
      <c r="E149" s="58">
        <v>46073</v>
      </c>
      <c r="F149" s="59">
        <v>22886.07</v>
      </c>
    </row>
    <row r="150" ht="16.5" customHeight="1" spans="5:6">
      <c r="E150" s="58">
        <v>46072</v>
      </c>
      <c r="F150" s="59">
        <v>22682.73</v>
      </c>
    </row>
    <row r="151" ht="16.5" customHeight="1" spans="5:6">
      <c r="E151" s="58">
        <v>46071</v>
      </c>
      <c r="F151" s="59">
        <v>22753.63</v>
      </c>
    </row>
    <row r="152" ht="16.5" customHeight="1" spans="5:6">
      <c r="E152" s="58">
        <v>46070</v>
      </c>
      <c r="F152" s="59">
        <v>22578.38</v>
      </c>
    </row>
    <row r="153" ht="16.5" customHeight="1" spans="5:6">
      <c r="E153" s="58">
        <v>46066</v>
      </c>
      <c r="F153" s="59">
        <v>22546.67</v>
      </c>
    </row>
    <row r="154" ht="16.5" customHeight="1" spans="5:6">
      <c r="E154" s="58">
        <v>46065</v>
      </c>
      <c r="F154" s="59">
        <v>22597.15</v>
      </c>
    </row>
    <row r="155" ht="16.5" customHeight="1" spans="5:6">
      <c r="E155" s="58">
        <v>46064</v>
      </c>
      <c r="F155" s="59">
        <v>23066.47</v>
      </c>
    </row>
    <row r="156" ht="16.5" customHeight="1" spans="5:6">
      <c r="E156" s="58">
        <v>46063</v>
      </c>
      <c r="F156" s="59">
        <v>23102.47</v>
      </c>
    </row>
    <row r="157" ht="16.5" customHeight="1" spans="5:6">
      <c r="E157" s="58">
        <v>46062</v>
      </c>
      <c r="F157" s="59">
        <v>23238.67</v>
      </c>
    </row>
    <row r="158" ht="16.5" customHeight="1" spans="5:6">
      <c r="E158" s="58">
        <v>46059</v>
      </c>
      <c r="F158" s="59">
        <v>23031.21</v>
      </c>
    </row>
    <row r="159" ht="16.5" customHeight="1" spans="5:6">
      <c r="E159" s="58">
        <v>46058</v>
      </c>
      <c r="F159" s="59">
        <v>22540.59</v>
      </c>
    </row>
    <row r="160" ht="16.5" customHeight="1" spans="5:6">
      <c r="E160" s="58">
        <v>46057</v>
      </c>
      <c r="F160" s="59">
        <v>22904.58</v>
      </c>
    </row>
    <row r="161" ht="16.5" customHeight="1" spans="5:6">
      <c r="E161" s="58">
        <v>46056</v>
      </c>
      <c r="F161" s="59">
        <v>23255.19</v>
      </c>
    </row>
    <row r="162" ht="16.5" customHeight="1" spans="5:6">
      <c r="E162" s="58">
        <v>46055</v>
      </c>
      <c r="F162" s="59">
        <v>23592.11</v>
      </c>
    </row>
    <row r="163" ht="16.5" customHeight="1" spans="5:6">
      <c r="E163" s="58">
        <v>46052</v>
      </c>
      <c r="F163" s="59">
        <v>23461.82</v>
      </c>
    </row>
    <row r="164" ht="16.5" customHeight="1" spans="5:6">
      <c r="E164" s="58">
        <v>46051</v>
      </c>
      <c r="F164" s="59">
        <v>23685.12</v>
      </c>
    </row>
    <row r="165" ht="16.5" customHeight="1" spans="5:6">
      <c r="E165" s="58">
        <v>46050</v>
      </c>
      <c r="F165" s="59">
        <v>23857.45</v>
      </c>
    </row>
    <row r="166" ht="16.5" customHeight="1" spans="5:6">
      <c r="E166" s="58">
        <v>46049</v>
      </c>
      <c r="F166" s="59">
        <v>23817.1</v>
      </c>
    </row>
    <row r="167" ht="16.5" customHeight="1" spans="5:6">
      <c r="E167" s="58">
        <v>46048</v>
      </c>
      <c r="F167" s="59">
        <v>23601.36</v>
      </c>
    </row>
    <row r="168" ht="16.5" customHeight="1" spans="5:6">
      <c r="E168" s="58">
        <v>46045</v>
      </c>
      <c r="F168" s="59">
        <v>23501.24</v>
      </c>
    </row>
    <row r="169" ht="16.5" customHeight="1" spans="5:6">
      <c r="E169" s="58">
        <v>46044</v>
      </c>
      <c r="F169" s="59">
        <v>23436.02</v>
      </c>
    </row>
    <row r="170" ht="16.5" customHeight="1" spans="5:6">
      <c r="E170" s="58">
        <v>46043</v>
      </c>
      <c r="F170" s="59">
        <v>23224.82</v>
      </c>
    </row>
    <row r="171" ht="16.5" customHeight="1" spans="5:6">
      <c r="E171" s="58">
        <v>46042</v>
      </c>
      <c r="F171" s="59">
        <v>22954.32</v>
      </c>
    </row>
    <row r="172" ht="16.5" customHeight="1" spans="5:6">
      <c r="E172" s="58">
        <v>46038</v>
      </c>
      <c r="F172" s="59">
        <v>23515.39</v>
      </c>
    </row>
    <row r="173" ht="16.5" customHeight="1" spans="5:6">
      <c r="E173" s="58">
        <v>46037</v>
      </c>
      <c r="F173" s="59">
        <v>23530.02</v>
      </c>
    </row>
    <row r="174" ht="16.5" customHeight="1" spans="5:6">
      <c r="E174" s="58">
        <v>46036</v>
      </c>
      <c r="F174" s="59">
        <v>23471.75</v>
      </c>
    </row>
    <row r="175" ht="16.5" customHeight="1" spans="5:6">
      <c r="E175" s="58">
        <v>46035</v>
      </c>
      <c r="F175" s="59">
        <v>23709.87</v>
      </c>
    </row>
    <row r="176" ht="16.5" customHeight="1" spans="5:6">
      <c r="E176" s="58">
        <v>46034</v>
      </c>
      <c r="F176" s="59">
        <v>23733.9</v>
      </c>
    </row>
    <row r="177" ht="16.5" customHeight="1" spans="5:6">
      <c r="E177" s="58">
        <v>46031</v>
      </c>
      <c r="F177" s="59">
        <v>23671.35</v>
      </c>
    </row>
    <row r="178" ht="16.5" customHeight="1" spans="5:6">
      <c r="E178" s="58">
        <v>46030</v>
      </c>
      <c r="F178" s="59">
        <v>23480.02</v>
      </c>
    </row>
    <row r="179" ht="16.5" customHeight="1" spans="5:6">
      <c r="E179" s="58">
        <v>46029</v>
      </c>
      <c r="F179" s="59">
        <v>23584.27</v>
      </c>
    </row>
    <row r="180" ht="16.5" customHeight="1" spans="5:6">
      <c r="E180" s="58">
        <v>46028</v>
      </c>
      <c r="F180" s="59">
        <v>23547.17</v>
      </c>
    </row>
    <row r="181" ht="16.5" customHeight="1" spans="5:6">
      <c r="E181" s="58">
        <v>46027</v>
      </c>
      <c r="F181" s="59">
        <v>23395.82</v>
      </c>
    </row>
    <row r="182" ht="16.5" customHeight="1" spans="5:6">
      <c r="E182" s="58">
        <v>46024</v>
      </c>
      <c r="F182" s="59">
        <v>23235.63</v>
      </c>
    </row>
    <row r="183" ht="16.5" customHeight="1" spans="5:6">
      <c r="E183" s="58">
        <v>46022</v>
      </c>
      <c r="F183" s="59">
        <v>23241.99</v>
      </c>
    </row>
    <row r="184" ht="16.5" customHeight="1" spans="5:6">
      <c r="E184" s="58">
        <v>46021</v>
      </c>
      <c r="F184" s="59">
        <v>23419.08</v>
      </c>
    </row>
    <row r="185" ht="16.5" customHeight="1" spans="5:6">
      <c r="E185" s="58">
        <v>46020</v>
      </c>
      <c r="F185" s="59">
        <v>23474.35</v>
      </c>
    </row>
    <row r="186" ht="16.5" customHeight="1" spans="5:6">
      <c r="E186" s="58">
        <v>46017</v>
      </c>
      <c r="F186" s="59">
        <v>23593.1</v>
      </c>
    </row>
    <row r="187" ht="16.5" customHeight="1" spans="5:6">
      <c r="E187" s="58">
        <v>46015</v>
      </c>
      <c r="F187" s="59">
        <v>23613.31</v>
      </c>
    </row>
    <row r="188" ht="16.5" customHeight="1" spans="5:6">
      <c r="E188" s="58">
        <v>46014</v>
      </c>
      <c r="F188" s="59">
        <v>23561.84</v>
      </c>
    </row>
    <row r="189" ht="16.5" customHeight="1" spans="5:6">
      <c r="E189" s="58">
        <v>46013</v>
      </c>
      <c r="F189" s="59">
        <v>23428.83</v>
      </c>
    </row>
    <row r="190" ht="16.5" customHeight="1" spans="5:6">
      <c r="E190" s="58">
        <v>46010</v>
      </c>
      <c r="F190" s="59">
        <v>23307.62</v>
      </c>
    </row>
    <row r="191" ht="16.5" customHeight="1" spans="5:6">
      <c r="E191" s="58">
        <v>46009</v>
      </c>
      <c r="F191" s="59">
        <v>23006.36</v>
      </c>
    </row>
    <row r="192" ht="16.5" customHeight="1" spans="5:6">
      <c r="E192" s="58">
        <v>46008</v>
      </c>
      <c r="F192" s="59">
        <v>22693.32</v>
      </c>
    </row>
    <row r="193" ht="16.5" customHeight="1" spans="5:6">
      <c r="E193" s="58">
        <v>46007</v>
      </c>
      <c r="F193" s="59">
        <v>23111.46</v>
      </c>
    </row>
    <row r="194" ht="16.5" customHeight="1" spans="5:6">
      <c r="E194" s="58">
        <v>46006</v>
      </c>
      <c r="F194" s="59">
        <v>23057.41</v>
      </c>
    </row>
    <row r="195" ht="16.5" customHeight="1" spans="5:6">
      <c r="E195" s="58">
        <v>46003</v>
      </c>
      <c r="F195" s="59">
        <v>23195.17</v>
      </c>
    </row>
    <row r="196" ht="16.5" customHeight="1" spans="5:6">
      <c r="E196" s="58">
        <v>46002</v>
      </c>
      <c r="F196" s="59">
        <v>23593.86</v>
      </c>
    </row>
    <row r="197" ht="16.5" customHeight="1" spans="5:6">
      <c r="E197" s="58">
        <v>46001</v>
      </c>
      <c r="F197" s="59">
        <v>23654.16</v>
      </c>
    </row>
    <row r="198" ht="16.5" customHeight="1" spans="5:6">
      <c r="E198" s="58">
        <v>46000</v>
      </c>
      <c r="F198" s="59">
        <v>23576.49</v>
      </c>
    </row>
    <row r="199" ht="16.5" customHeight="1" spans="5:6">
      <c r="E199" s="58">
        <v>45999</v>
      </c>
      <c r="F199" s="59">
        <v>23545.9</v>
      </c>
    </row>
    <row r="200" ht="16.5" customHeight="1" spans="5:6">
      <c r="E200" s="58">
        <v>45996</v>
      </c>
      <c r="F200" s="59">
        <v>23578.13</v>
      </c>
    </row>
    <row r="201" ht="16.5" customHeight="1" spans="5:6">
      <c r="E201" s="58">
        <v>45995</v>
      </c>
      <c r="F201" s="59">
        <v>23505.14</v>
      </c>
    </row>
    <row r="202" ht="16.5" customHeight="1" spans="5:6">
      <c r="E202" s="58">
        <v>45994</v>
      </c>
      <c r="F202" s="59">
        <v>23454.09</v>
      </c>
    </row>
    <row r="203" ht="16.5" customHeight="1" spans="5:6">
      <c r="E203" s="58">
        <v>45993</v>
      </c>
      <c r="F203" s="59">
        <v>23413.67</v>
      </c>
    </row>
    <row r="204" ht="16.5" customHeight="1" spans="5:6">
      <c r="E204" s="58">
        <v>45992</v>
      </c>
      <c r="F204" s="59">
        <v>23275.92</v>
      </c>
    </row>
    <row r="205" ht="16.5" customHeight="1" spans="5:6">
      <c r="E205" s="58">
        <v>45989</v>
      </c>
      <c r="F205" s="59">
        <v>23365.69</v>
      </c>
    </row>
    <row r="206" ht="16.5" customHeight="1" spans="5:6">
      <c r="E206" s="58">
        <v>45987</v>
      </c>
      <c r="F206" s="59">
        <v>23214.69</v>
      </c>
    </row>
    <row r="207" ht="16.5" customHeight="1" spans="5:6">
      <c r="E207" s="58">
        <v>45986</v>
      </c>
      <c r="F207" s="59">
        <v>23025.59</v>
      </c>
    </row>
    <row r="208" ht="16.5" customHeight="1" spans="5:6">
      <c r="E208" s="58">
        <v>45985</v>
      </c>
      <c r="F208" s="59">
        <v>22872.01</v>
      </c>
    </row>
    <row r="209" ht="16.5" customHeight="1" spans="5:6">
      <c r="E209" s="58">
        <v>45982</v>
      </c>
      <c r="F209" s="59">
        <v>22273.08</v>
      </c>
    </row>
    <row r="210" ht="16.5" customHeight="1" spans="5:6">
      <c r="E210" s="58">
        <v>45981</v>
      </c>
      <c r="F210" s="59">
        <v>22078.05</v>
      </c>
    </row>
    <row r="211" ht="16.5" customHeight="1" spans="5:6">
      <c r="E211" s="58">
        <v>45980</v>
      </c>
      <c r="F211" s="59">
        <v>22564.23</v>
      </c>
    </row>
    <row r="212" ht="16.5" customHeight="1" spans="5:6">
      <c r="E212" s="58">
        <v>45979</v>
      </c>
      <c r="F212" s="59">
        <v>22432.85</v>
      </c>
    </row>
    <row r="213" ht="16.5" customHeight="1" spans="5:6">
      <c r="E213" s="58">
        <v>45978</v>
      </c>
      <c r="F213" s="59">
        <v>22708.07</v>
      </c>
    </row>
    <row r="214" ht="16.5" customHeight="1" spans="5:6">
      <c r="E214" s="58">
        <v>45975</v>
      </c>
      <c r="F214" s="59">
        <v>22900.59</v>
      </c>
    </row>
    <row r="215" ht="16.5" customHeight="1" spans="5:6">
      <c r="E215" s="58">
        <v>45974</v>
      </c>
      <c r="F215" s="59">
        <v>22870.35</v>
      </c>
    </row>
    <row r="216" ht="16.5" customHeight="1" spans="5:6">
      <c r="E216" s="58">
        <v>45973</v>
      </c>
      <c r="F216" s="59">
        <v>23406.46</v>
      </c>
    </row>
    <row r="217" ht="16.5" customHeight="1" spans="5:6">
      <c r="E217" s="58">
        <v>45972</v>
      </c>
      <c r="F217" s="59">
        <v>23468.3</v>
      </c>
    </row>
    <row r="218" ht="16.5" customHeight="1" spans="5:6">
      <c r="E218" s="58">
        <v>45971</v>
      </c>
      <c r="F218" s="59">
        <v>23527.17</v>
      </c>
    </row>
    <row r="219" ht="16.5" customHeight="1" spans="5:6">
      <c r="E219" s="58">
        <v>45968</v>
      </c>
      <c r="F219" s="59">
        <v>23004.54</v>
      </c>
    </row>
    <row r="220" ht="16.5" customHeight="1" spans="5:6">
      <c r="E220" s="58">
        <v>45967</v>
      </c>
      <c r="F220" s="59">
        <v>23053.99</v>
      </c>
    </row>
    <row r="221" ht="16.5" customHeight="1" spans="5:6">
      <c r="E221" s="58">
        <v>45966</v>
      </c>
      <c r="F221" s="59">
        <v>23499.8</v>
      </c>
    </row>
    <row r="222" ht="16.5" customHeight="1" spans="5:6">
      <c r="E222" s="58">
        <v>45965</v>
      </c>
      <c r="F222" s="59">
        <v>23348.64</v>
      </c>
    </row>
    <row r="223" ht="16.5" customHeight="1" spans="5:6">
      <c r="E223" s="58">
        <v>45964</v>
      </c>
      <c r="F223" s="59">
        <v>23834.72</v>
      </c>
    </row>
    <row r="224" ht="16.5" customHeight="1" spans="5:6">
      <c r="E224" s="58">
        <v>45961</v>
      </c>
      <c r="F224" s="59">
        <v>23724.96</v>
      </c>
    </row>
    <row r="225" ht="16.5" customHeight="1" spans="5:6">
      <c r="E225" s="58">
        <v>45960</v>
      </c>
      <c r="F225" s="59">
        <v>23581.14</v>
      </c>
    </row>
    <row r="226" ht="16.5" customHeight="1" spans="5:6">
      <c r="E226" s="58">
        <v>45959</v>
      </c>
      <c r="F226" s="59">
        <v>23958.47</v>
      </c>
    </row>
    <row r="227" ht="16.5" customHeight="1" spans="5:6">
      <c r="E227" s="58">
        <v>45958</v>
      </c>
      <c r="F227" s="59">
        <v>23827.49</v>
      </c>
    </row>
    <row r="228" ht="16.5" customHeight="1" spans="5:6">
      <c r="E228" s="58">
        <v>45957</v>
      </c>
      <c r="F228" s="59">
        <v>23637.46</v>
      </c>
    </row>
    <row r="229" ht="16.5" customHeight="1" spans="5:6">
      <c r="E229" s="58">
        <v>45954</v>
      </c>
      <c r="F229" s="59">
        <v>23204.87</v>
      </c>
    </row>
    <row r="230" ht="16.5" customHeight="1" spans="5:6">
      <c r="E230" s="58">
        <v>45953</v>
      </c>
      <c r="F230" s="59">
        <v>22941.8</v>
      </c>
    </row>
    <row r="231" ht="16.5" customHeight="1" spans="5:6">
      <c r="E231" s="58">
        <v>45952</v>
      </c>
      <c r="F231" s="59">
        <v>22740.4</v>
      </c>
    </row>
    <row r="232" ht="16.5" customHeight="1" spans="5:6">
      <c r="E232" s="58">
        <v>45951</v>
      </c>
      <c r="F232" s="59">
        <v>22953.67</v>
      </c>
    </row>
    <row r="233" ht="16.5" customHeight="1" spans="5:6">
      <c r="E233" s="58">
        <v>45950</v>
      </c>
      <c r="F233" s="59">
        <v>22990.54</v>
      </c>
    </row>
    <row r="234" ht="16.5" customHeight="1" spans="5:6">
      <c r="E234" s="58">
        <v>45947</v>
      </c>
      <c r="F234" s="59">
        <v>22679.97</v>
      </c>
    </row>
    <row r="235" ht="16.5" customHeight="1" spans="5:6">
      <c r="E235" s="58">
        <v>45946</v>
      </c>
      <c r="F235" s="59">
        <v>22562.54</v>
      </c>
    </row>
    <row r="236" ht="16.5" customHeight="1" spans="5:6">
      <c r="E236" s="58">
        <v>45945</v>
      </c>
      <c r="F236" s="59">
        <v>22670.08</v>
      </c>
    </row>
    <row r="237" ht="16.5" customHeight="1" spans="5:6">
      <c r="E237" s="58">
        <v>45944</v>
      </c>
      <c r="F237" s="59">
        <v>22521.7</v>
      </c>
    </row>
    <row r="238" ht="16.5" customHeight="1" spans="5:6">
      <c r="E238" s="58">
        <v>45943</v>
      </c>
      <c r="F238" s="59">
        <v>22694.61</v>
      </c>
    </row>
    <row r="239" ht="16.5" customHeight="1" spans="5:6">
      <c r="E239" s="58">
        <v>45940</v>
      </c>
      <c r="F239" s="59">
        <v>22204.43</v>
      </c>
    </row>
    <row r="240" ht="16.5" customHeight="1" spans="5:6">
      <c r="E240" s="58">
        <v>45939</v>
      </c>
      <c r="F240" s="59">
        <v>23024.63</v>
      </c>
    </row>
    <row r="241" ht="16.5" customHeight="1" spans="5:6">
      <c r="E241" s="58">
        <v>45938</v>
      </c>
      <c r="F241" s="59">
        <v>23043.38</v>
      </c>
    </row>
    <row r="242" ht="16.5" customHeight="1" spans="5:6">
      <c r="E242" s="58">
        <v>45937</v>
      </c>
      <c r="F242" s="59">
        <v>22788.36</v>
      </c>
    </row>
    <row r="243" ht="16.5" customHeight="1" spans="5:6">
      <c r="E243" s="58">
        <v>45936</v>
      </c>
      <c r="F243" s="59">
        <v>22941.67</v>
      </c>
    </row>
    <row r="244" ht="16.5" customHeight="1" spans="5:6">
      <c r="E244" s="58">
        <v>45933</v>
      </c>
      <c r="F244" s="59">
        <v>22780.51</v>
      </c>
    </row>
    <row r="245" ht="16.5" customHeight="1" spans="5:6">
      <c r="E245" s="58">
        <v>45932</v>
      </c>
      <c r="F245" s="59">
        <v>22844.05</v>
      </c>
    </row>
    <row r="246" ht="16.5" customHeight="1" spans="5:6">
      <c r="E246" s="58">
        <v>45931</v>
      </c>
      <c r="F246" s="59">
        <v>22755.16</v>
      </c>
    </row>
    <row r="247" ht="16.5" customHeight="1" spans="5:6">
      <c r="E247" s="58">
        <v>45930</v>
      </c>
      <c r="F247" s="59">
        <v>22660.01</v>
      </c>
    </row>
    <row r="248" ht="16.5" customHeight="1" spans="5:6">
      <c r="E248" s="58">
        <v>45929</v>
      </c>
      <c r="F248" s="59">
        <v>22591.15</v>
      </c>
    </row>
    <row r="249" ht="16.5" customHeight="1" spans="5:6">
      <c r="E249" s="58">
        <v>45926</v>
      </c>
      <c r="F249" s="59">
        <v>22484.07</v>
      </c>
    </row>
    <row r="250" ht="16.5" customHeight="1" spans="5:6">
      <c r="E250" s="58">
        <v>45925</v>
      </c>
      <c r="F250" s="59">
        <v>22384.7</v>
      </c>
    </row>
    <row r="251" ht="16.5" customHeight="1" spans="5:6">
      <c r="E251" s="58">
        <v>45924</v>
      </c>
      <c r="F251" s="59">
        <v>22497.85</v>
      </c>
    </row>
    <row r="252" ht="16.5" customHeight="1" spans="5:6">
      <c r="E252" s="58">
        <v>45923</v>
      </c>
      <c r="F252" s="59">
        <v>22573.47</v>
      </c>
    </row>
    <row r="253" ht="16.5" customHeight="1" spans="5:6">
      <c r="E253" s="58">
        <v>45922</v>
      </c>
      <c r="F253" s="59">
        <v>22788.98</v>
      </c>
    </row>
    <row r="254" ht="16.5" customHeight="1" spans="5:6">
      <c r="E254" s="58">
        <v>45919</v>
      </c>
      <c r="F254" s="59">
        <v>22631.48</v>
      </c>
    </row>
    <row r="255" ht="16.5" customHeight="1" spans="5:6">
      <c r="E255" s="58">
        <v>45918</v>
      </c>
      <c r="F255" s="59">
        <v>22470.73</v>
      </c>
    </row>
    <row r="256" ht="16.5" customHeight="1" spans="5:6">
      <c r="E256" s="58">
        <v>45917</v>
      </c>
      <c r="F256" s="59">
        <v>22261.33</v>
      </c>
    </row>
    <row r="257" ht="16.5" customHeight="1" spans="5:6">
      <c r="E257" s="58">
        <v>45916</v>
      </c>
      <c r="F257" s="59">
        <v>22333.96</v>
      </c>
    </row>
    <row r="258" ht="16.5" customHeight="1" spans="5:6">
      <c r="E258" s="58">
        <v>45915</v>
      </c>
      <c r="F258" s="59">
        <v>22348.75</v>
      </c>
    </row>
    <row r="259" ht="16.5" customHeight="1" spans="5:6">
      <c r="E259" s="58">
        <v>45912</v>
      </c>
      <c r="F259" s="59">
        <v>22141.1</v>
      </c>
    </row>
    <row r="260" ht="16.5" customHeight="1" spans="5:6">
      <c r="E260" s="58">
        <v>45911</v>
      </c>
      <c r="F260" s="59">
        <v>22043.07</v>
      </c>
    </row>
    <row r="261" ht="16.5" customHeight="1" spans="5:6">
      <c r="E261" s="58">
        <v>45910</v>
      </c>
      <c r="F261" s="59">
        <v>21886.06</v>
      </c>
    </row>
    <row r="262" ht="16.5" customHeight="1" spans="5:6">
      <c r="E262" s="58">
        <v>45909</v>
      </c>
      <c r="F262" s="59">
        <v>21879.49</v>
      </c>
    </row>
    <row r="263" ht="16.5" customHeight="1" spans="5:6">
      <c r="E263" s="58">
        <v>45908</v>
      </c>
      <c r="F263" s="59">
        <v>21798.7</v>
      </c>
    </row>
    <row r="264" ht="16.5" customHeight="1" spans="5:6">
      <c r="E264" s="58">
        <v>45905</v>
      </c>
      <c r="F264" s="59">
        <v>21700.39</v>
      </c>
    </row>
    <row r="265" ht="16.5" customHeight="1" spans="5:6">
      <c r="E265" s="58">
        <v>45904</v>
      </c>
      <c r="F265" s="59">
        <v>21707.69</v>
      </c>
    </row>
    <row r="266" ht="16.5" customHeight="1" spans="5:6">
      <c r="E266" s="58">
        <v>45903</v>
      </c>
      <c r="F266" s="59">
        <v>21497.73</v>
      </c>
    </row>
    <row r="267" ht="16.5" customHeight="1" spans="5:6">
      <c r="E267" s="58">
        <v>45902</v>
      </c>
      <c r="F267" s="59">
        <v>21279.63</v>
      </c>
    </row>
    <row r="268" ht="16.5" customHeight="1" spans="5:6">
      <c r="E268" s="58">
        <v>45898</v>
      </c>
      <c r="F268" s="59">
        <v>21455.55</v>
      </c>
    </row>
    <row r="269" ht="16.5" customHeight="1" spans="5:6">
      <c r="E269" s="58">
        <v>45897</v>
      </c>
      <c r="F269" s="59">
        <v>21705.16</v>
      </c>
    </row>
    <row r="270" ht="16.5" customHeight="1" spans="5:6">
      <c r="E270" s="58">
        <v>45896</v>
      </c>
      <c r="F270" s="59">
        <v>21590.14</v>
      </c>
    </row>
    <row r="271" ht="16.5" customHeight="1" spans="5:6">
      <c r="E271" s="58">
        <v>45895</v>
      </c>
      <c r="F271" s="59">
        <v>21544.27</v>
      </c>
    </row>
    <row r="272" ht="16.5" customHeight="1" spans="5:6">
      <c r="E272" s="58">
        <v>45894</v>
      </c>
      <c r="F272" s="59">
        <v>21449.29</v>
      </c>
    </row>
    <row r="273" ht="16.5" customHeight="1" spans="5:6">
      <c r="E273" s="58">
        <v>45891</v>
      </c>
      <c r="F273" s="59">
        <v>21496.53</v>
      </c>
    </row>
    <row r="274" ht="16.5" customHeight="1" spans="5:6">
      <c r="E274" s="58">
        <v>45890</v>
      </c>
      <c r="F274" s="59">
        <v>21100.31</v>
      </c>
    </row>
    <row r="275" ht="16.5" customHeight="1" spans="5:6">
      <c r="E275" s="58">
        <v>45889</v>
      </c>
      <c r="F275" s="59">
        <v>21172.86</v>
      </c>
    </row>
    <row r="276" ht="16.5" customHeight="1" spans="5:6">
      <c r="E276" s="58">
        <v>45888</v>
      </c>
      <c r="F276" s="59">
        <v>21314.95</v>
      </c>
    </row>
    <row r="277" ht="16.5" customHeight="1" spans="5:6">
      <c r="E277" s="58">
        <v>45887</v>
      </c>
      <c r="F277" s="59">
        <v>21629.77</v>
      </c>
    </row>
    <row r="278" ht="16.5" customHeight="1" spans="5:6">
      <c r="E278" s="58">
        <v>45884</v>
      </c>
      <c r="F278" s="59">
        <v>21622.98</v>
      </c>
    </row>
    <row r="279" ht="16.5" customHeight="1" spans="5:6">
      <c r="E279" s="58">
        <v>45883</v>
      </c>
      <c r="F279" s="59">
        <v>21710.67</v>
      </c>
    </row>
    <row r="280" ht="16.5" customHeight="1" spans="5:6">
      <c r="E280" s="58">
        <v>45882</v>
      </c>
      <c r="F280" s="59">
        <v>21713.14</v>
      </c>
    </row>
    <row r="281" ht="16.5" customHeight="1" spans="5:6">
      <c r="E281" s="58">
        <v>45881</v>
      </c>
      <c r="F281" s="59">
        <v>21681.9</v>
      </c>
    </row>
    <row r="282" ht="16.5" customHeight="1" spans="5:6">
      <c r="E282" s="58">
        <v>45880</v>
      </c>
      <c r="F282" s="59">
        <v>21385.4</v>
      </c>
    </row>
    <row r="283" ht="16.5" customHeight="1" spans="5:6">
      <c r="E283" s="58">
        <v>45877</v>
      </c>
      <c r="F283" s="59">
        <v>21450.02</v>
      </c>
    </row>
    <row r="284" ht="16.5" customHeight="1" spans="5:6">
      <c r="E284" s="58">
        <v>45876</v>
      </c>
      <c r="F284" s="59">
        <v>21242.7</v>
      </c>
    </row>
    <row r="285" ht="16.5" customHeight="1" spans="5:6">
      <c r="E285" s="58">
        <v>45875</v>
      </c>
      <c r="F285" s="59">
        <v>21169.42</v>
      </c>
    </row>
    <row r="286" ht="16.5" customHeight="1" spans="5:6">
      <c r="E286" s="58">
        <v>45874</v>
      </c>
      <c r="F286" s="59">
        <v>20916.55</v>
      </c>
    </row>
    <row r="287" ht="16.5" customHeight="1" spans="5:6">
      <c r="E287" s="58">
        <v>45873</v>
      </c>
      <c r="F287" s="59">
        <v>21053.58</v>
      </c>
    </row>
    <row r="288" ht="16.5" customHeight="1" spans="5:6">
      <c r="E288" s="58">
        <v>45870</v>
      </c>
      <c r="F288" s="59">
        <v>20650.13</v>
      </c>
    </row>
    <row r="289" ht="16.5" customHeight="1" spans="5:6">
      <c r="E289" s="58">
        <v>45869</v>
      </c>
      <c r="F289" s="59">
        <v>21122.45</v>
      </c>
    </row>
    <row r="290" ht="16.5" customHeight="1" spans="5:6">
      <c r="E290" s="58">
        <v>45868</v>
      </c>
      <c r="F290" s="59">
        <v>21129.67</v>
      </c>
    </row>
    <row r="291" ht="16.5" customHeight="1" spans="5:6">
      <c r="E291" s="58">
        <v>45867</v>
      </c>
      <c r="F291" s="59">
        <v>21098.29</v>
      </c>
    </row>
    <row r="292" ht="16.5" customHeight="1" spans="5:6">
      <c r="E292" s="58">
        <v>45866</v>
      </c>
      <c r="F292" s="59">
        <v>21178.58</v>
      </c>
    </row>
    <row r="293" ht="16.5" customHeight="1" spans="5:6">
      <c r="E293" s="58">
        <v>45863</v>
      </c>
      <c r="F293" s="59">
        <v>21108.32</v>
      </c>
    </row>
    <row r="294" ht="16.5" customHeight="1" spans="5:6">
      <c r="E294" s="58">
        <v>45862</v>
      </c>
      <c r="F294" s="59">
        <v>21057.96</v>
      </c>
    </row>
    <row r="295" ht="16.5" customHeight="1" spans="5:6">
      <c r="E295" s="58">
        <v>45861</v>
      </c>
      <c r="F295" s="59">
        <v>21020.02</v>
      </c>
    </row>
    <row r="296" ht="16.5" customHeight="1" spans="5:6">
      <c r="E296" s="58">
        <v>45860</v>
      </c>
      <c r="F296" s="59">
        <v>20892.68</v>
      </c>
    </row>
    <row r="297" ht="16.5" customHeight="1" spans="5:6">
      <c r="E297" s="58">
        <v>45859</v>
      </c>
      <c r="F297" s="59">
        <v>20974.17</v>
      </c>
    </row>
    <row r="298" ht="16.5" customHeight="1" spans="5:6">
      <c r="E298" s="58">
        <v>45856</v>
      </c>
      <c r="F298" s="59">
        <v>20895.66</v>
      </c>
    </row>
    <row r="299" ht="16.5" customHeight="1" spans="5:6">
      <c r="E299" s="58">
        <v>45855</v>
      </c>
      <c r="F299" s="59">
        <v>20885.65</v>
      </c>
    </row>
    <row r="300" ht="16.5" customHeight="1" spans="5:6">
      <c r="E300" s="58">
        <v>45854</v>
      </c>
      <c r="F300" s="59">
        <v>20730.49</v>
      </c>
    </row>
    <row r="301" ht="16.5" customHeight="1" spans="5:6">
      <c r="E301" s="58">
        <v>45853</v>
      </c>
      <c r="F301" s="59">
        <v>20677.8</v>
      </c>
    </row>
    <row r="302" ht="16.5" customHeight="1" spans="5:6">
      <c r="E302" s="58">
        <v>45852</v>
      </c>
      <c r="F302" s="59">
        <v>20640.33</v>
      </c>
    </row>
    <row r="303" ht="16.5" customHeight="1" spans="5:6">
      <c r="E303" s="58">
        <v>45849</v>
      </c>
      <c r="F303" s="59">
        <v>20585.53</v>
      </c>
    </row>
    <row r="304" ht="16.5" customHeight="1" spans="5:6">
      <c r="E304" s="58">
        <v>45848</v>
      </c>
      <c r="F304" s="59">
        <v>20630.66</v>
      </c>
    </row>
    <row r="305" ht="16.5" customHeight="1" spans="5:6">
      <c r="E305" s="58">
        <v>45847</v>
      </c>
      <c r="F305" s="59">
        <v>20611.34</v>
      </c>
    </row>
    <row r="306" ht="16.5" customHeight="1" spans="5:6">
      <c r="E306" s="58">
        <v>45846</v>
      </c>
      <c r="F306" s="59">
        <v>20418.46</v>
      </c>
    </row>
    <row r="307" ht="16.5" customHeight="1" spans="5:6">
      <c r="E307" s="58">
        <v>45845</v>
      </c>
      <c r="F307" s="59">
        <v>20412.52</v>
      </c>
    </row>
    <row r="308" ht="16.5" customHeight="1" spans="5:6">
      <c r="E308" s="58">
        <v>45841</v>
      </c>
      <c r="F308" s="59">
        <v>20601.1</v>
      </c>
    </row>
    <row r="309" ht="16.5" customHeight="1" spans="5:6">
      <c r="E309" s="58">
        <v>45840</v>
      </c>
      <c r="F309" s="59">
        <v>20393.13</v>
      </c>
    </row>
    <row r="310" ht="16.5" customHeight="1" spans="5:6">
      <c r="E310" s="58">
        <v>45839</v>
      </c>
      <c r="F310" s="59">
        <v>20202.89</v>
      </c>
    </row>
    <row r="311" ht="16.5" customHeight="1" spans="5:6">
      <c r="E311" s="58">
        <v>45838</v>
      </c>
      <c r="F311" s="59">
        <v>20369.73</v>
      </c>
    </row>
    <row r="312" ht="16.5" customHeight="1" spans="5:6">
      <c r="E312" s="58">
        <v>45835</v>
      </c>
      <c r="F312" s="59">
        <v>20273.46</v>
      </c>
    </row>
    <row r="313" ht="16.5" customHeight="1" spans="5:6">
      <c r="E313" s="58">
        <v>45834</v>
      </c>
      <c r="F313" s="59">
        <v>20167.91</v>
      </c>
    </row>
    <row r="314" ht="16.5" customHeight="1" spans="5:6">
      <c r="E314" s="58">
        <v>45833</v>
      </c>
      <c r="F314" s="59">
        <v>19973.55</v>
      </c>
    </row>
    <row r="315" ht="16.5" customHeight="1" spans="5:6">
      <c r="E315" s="58">
        <v>45832</v>
      </c>
      <c r="F315" s="59">
        <v>19912.53</v>
      </c>
    </row>
    <row r="316" ht="16.5" customHeight="1" spans="5:6">
      <c r="E316" s="58">
        <v>45831</v>
      </c>
      <c r="F316" s="59">
        <v>19630.97</v>
      </c>
    </row>
    <row r="317" ht="16.5" customHeight="1" spans="5:6">
      <c r="E317" s="58">
        <v>45828</v>
      </c>
      <c r="F317" s="59">
        <v>19447.41</v>
      </c>
    </row>
    <row r="318" ht="16.5" customHeight="1" spans="5:6">
      <c r="E318" s="58">
        <v>45826</v>
      </c>
      <c r="F318" s="59">
        <v>19546.27</v>
      </c>
    </row>
    <row r="319" ht="16.5" customHeight="1" spans="5:6">
      <c r="E319" s="58">
        <v>45825</v>
      </c>
      <c r="F319" s="59">
        <v>19521.09</v>
      </c>
    </row>
    <row r="320" ht="16.5" customHeight="1" spans="5:6">
      <c r="E320" s="58">
        <v>45824</v>
      </c>
      <c r="F320" s="59">
        <v>19701.21</v>
      </c>
    </row>
    <row r="321" ht="16.5" customHeight="1" spans="5:6">
      <c r="E321" s="58">
        <v>45821</v>
      </c>
      <c r="F321" s="59">
        <v>19406.83</v>
      </c>
    </row>
    <row r="322" ht="16.5" customHeight="1" spans="5:6">
      <c r="E322" s="58">
        <v>45820</v>
      </c>
      <c r="F322" s="59">
        <v>19662.48</v>
      </c>
    </row>
    <row r="323" ht="16.5" customHeight="1" spans="5:6">
      <c r="E323" s="58">
        <v>45819</v>
      </c>
      <c r="F323" s="59">
        <v>19615.88</v>
      </c>
    </row>
    <row r="324" ht="16.5" customHeight="1" spans="5:6">
      <c r="E324" s="58">
        <v>45818</v>
      </c>
      <c r="F324" s="59">
        <v>19714.99</v>
      </c>
    </row>
    <row r="325" ht="16.5" customHeight="1" spans="5:6">
      <c r="E325" s="58">
        <v>45817</v>
      </c>
      <c r="F325" s="59">
        <v>19591.24</v>
      </c>
    </row>
    <row r="326" ht="16.5" customHeight="1" spans="5:6">
      <c r="E326" s="58">
        <v>45814</v>
      </c>
      <c r="F326" s="59">
        <v>19529.95</v>
      </c>
    </row>
    <row r="327" ht="16.5" customHeight="1" spans="5:6">
      <c r="E327" s="58">
        <v>45813</v>
      </c>
      <c r="F327" s="59">
        <v>19298.45</v>
      </c>
    </row>
    <row r="328" ht="16.5" customHeight="1" spans="5:6">
      <c r="E328" s="58">
        <v>45812</v>
      </c>
      <c r="F328" s="59">
        <v>19460.49</v>
      </c>
    </row>
    <row r="329" ht="16.5" customHeight="1" spans="5:6">
      <c r="E329" s="58">
        <v>45811</v>
      </c>
      <c r="F329" s="59">
        <v>19398.96</v>
      </c>
    </row>
    <row r="330" ht="16.5" customHeight="1" spans="5:6">
      <c r="E330" s="58">
        <v>45810</v>
      </c>
      <c r="F330" s="59">
        <v>19242.61</v>
      </c>
    </row>
    <row r="331" ht="16.5" customHeight="1" spans="5:6">
      <c r="E331" s="58">
        <v>45807</v>
      </c>
      <c r="F331" s="59">
        <v>19113.77</v>
      </c>
    </row>
    <row r="332" ht="16.5" customHeight="1" spans="5:6">
      <c r="E332" s="58">
        <v>45806</v>
      </c>
      <c r="F332" s="59">
        <v>19175.87</v>
      </c>
    </row>
    <row r="333" ht="16.5" customHeight="1" spans="5:6">
      <c r="E333" s="58">
        <v>45805</v>
      </c>
      <c r="F333" s="59">
        <v>19100.94</v>
      </c>
    </row>
    <row r="334" ht="16.5" customHeight="1" spans="5:6">
      <c r="E334" s="58">
        <v>45804</v>
      </c>
      <c r="F334" s="59">
        <v>19199.16</v>
      </c>
    </row>
    <row r="335" ht="16.5" customHeight="1" spans="5:6">
      <c r="E335" s="58">
        <v>45800</v>
      </c>
      <c r="F335" s="59">
        <v>18737.21</v>
      </c>
    </row>
    <row r="336" ht="16.5" customHeight="1" spans="5:6">
      <c r="E336" s="58">
        <v>45799</v>
      </c>
      <c r="F336" s="59">
        <v>18925.73</v>
      </c>
    </row>
    <row r="337" ht="16.5" customHeight="1" spans="5:6">
      <c r="E337" s="58">
        <v>45798</v>
      </c>
      <c r="F337" s="59">
        <v>18872.64</v>
      </c>
    </row>
    <row r="338" ht="16.5" customHeight="1" spans="5:6">
      <c r="E338" s="58">
        <v>45797</v>
      </c>
      <c r="F338" s="59">
        <v>19142.71</v>
      </c>
    </row>
    <row r="339" ht="16.5" customHeight="1" spans="5:6">
      <c r="E339" s="58">
        <v>45796</v>
      </c>
      <c r="F339" s="59">
        <v>19215.46</v>
      </c>
    </row>
    <row r="340" ht="16.5" customHeight="1" spans="5:6">
      <c r="E340" s="58">
        <v>45793</v>
      </c>
      <c r="F340" s="59">
        <v>19211.1</v>
      </c>
    </row>
    <row r="341" ht="16.5" customHeight="1" spans="5:6">
      <c r="E341" s="58">
        <v>45792</v>
      </c>
      <c r="F341" s="59">
        <v>19112.32</v>
      </c>
    </row>
    <row r="342" ht="16.5" customHeight="1" spans="5:6">
      <c r="E342" s="58">
        <v>45791</v>
      </c>
      <c r="F342" s="59">
        <v>19146.81</v>
      </c>
    </row>
    <row r="343" ht="16.5" customHeight="1" spans="5:6">
      <c r="E343" s="58">
        <v>45790</v>
      </c>
      <c r="F343" s="59">
        <v>19010.08</v>
      </c>
    </row>
    <row r="344" ht="16.5" customHeight="1" spans="5:6">
      <c r="E344" s="58">
        <v>45789</v>
      </c>
      <c r="F344" s="59">
        <v>18708.34</v>
      </c>
    </row>
    <row r="345" ht="16.5" customHeight="1" spans="5:6">
      <c r="E345" s="58">
        <v>45786</v>
      </c>
      <c r="F345" s="59">
        <v>17928.92</v>
      </c>
    </row>
    <row r="346" ht="16.5" customHeight="1" spans="5:6">
      <c r="E346" s="58">
        <v>45785</v>
      </c>
      <c r="F346" s="59">
        <v>17928.14</v>
      </c>
    </row>
    <row r="347" ht="16.5" customHeight="1" spans="5:6">
      <c r="E347" s="58">
        <v>45784</v>
      </c>
      <c r="F347" s="59">
        <v>17738.16</v>
      </c>
    </row>
    <row r="348" ht="16.5" customHeight="1" spans="5:6">
      <c r="E348" s="58">
        <v>45783</v>
      </c>
      <c r="F348" s="59">
        <v>17689.66</v>
      </c>
    </row>
    <row r="349" ht="16.5" customHeight="1" spans="5:6">
      <c r="E349" s="58">
        <v>45782</v>
      </c>
      <c r="F349" s="59">
        <v>17844.24</v>
      </c>
    </row>
    <row r="350" ht="16.5" customHeight="1" spans="5:6">
      <c r="E350" s="58">
        <v>45779</v>
      </c>
      <c r="F350" s="59">
        <v>17977.73</v>
      </c>
    </row>
    <row r="351" ht="16.5" customHeight="1" spans="5:6">
      <c r="E351" s="58">
        <v>45778</v>
      </c>
      <c r="F351" s="59">
        <v>17710.74</v>
      </c>
    </row>
    <row r="352" ht="16.5" customHeight="1" spans="5:6">
      <c r="E352" s="58">
        <v>45777</v>
      </c>
      <c r="F352" s="59">
        <v>17446.34</v>
      </c>
    </row>
    <row r="353" ht="16.5" customHeight="1" spans="5:6">
      <c r="E353" s="58">
        <v>45776</v>
      </c>
      <c r="F353" s="59">
        <v>17461.32</v>
      </c>
    </row>
    <row r="354" ht="16.5" customHeight="1" spans="5:6">
      <c r="E354" s="58">
        <v>45775</v>
      </c>
      <c r="F354" s="59">
        <v>17366.13</v>
      </c>
    </row>
    <row r="355" ht="16.5" customHeight="1" spans="5:6">
      <c r="E355" s="58">
        <v>45772</v>
      </c>
      <c r="F355" s="59">
        <v>17382.94</v>
      </c>
    </row>
    <row r="356" ht="16.5" customHeight="1" spans="5:6">
      <c r="E356" s="58">
        <v>45771</v>
      </c>
      <c r="F356" s="59">
        <v>17166.04</v>
      </c>
    </row>
    <row r="357" ht="16.5" customHeight="1" spans="5:6">
      <c r="E357" s="58">
        <v>45770</v>
      </c>
      <c r="F357" s="59">
        <v>16708.05</v>
      </c>
    </row>
    <row r="358" ht="16.5" customHeight="1" spans="5:6">
      <c r="E358" s="58">
        <v>45769</v>
      </c>
      <c r="F358" s="59">
        <v>16300.42</v>
      </c>
    </row>
    <row r="359" ht="16.5" customHeight="1" spans="5:6">
      <c r="E359" s="58">
        <v>45768</v>
      </c>
      <c r="F359" s="59">
        <v>15870.9</v>
      </c>
    </row>
    <row r="360" ht="16.5" customHeight="1" spans="5:6">
      <c r="E360" s="58">
        <v>45764</v>
      </c>
      <c r="F360" s="59">
        <v>16286.45</v>
      </c>
    </row>
    <row r="361" ht="16.5" customHeight="1" spans="5:6">
      <c r="E361" s="58">
        <v>45763</v>
      </c>
      <c r="F361" s="59">
        <v>16307.16</v>
      </c>
    </row>
    <row r="362" ht="16.5" customHeight="1" spans="5:6">
      <c r="E362" s="58">
        <v>45762</v>
      </c>
      <c r="F362" s="59">
        <v>16823.17</v>
      </c>
    </row>
    <row r="363" ht="16.5" customHeight="1" spans="5:6">
      <c r="E363" s="58">
        <v>45761</v>
      </c>
      <c r="F363" s="59">
        <v>16831.48</v>
      </c>
    </row>
    <row r="364" ht="16.5" customHeight="1" spans="5:6">
      <c r="E364" s="58">
        <v>45758</v>
      </c>
      <c r="F364" s="59">
        <v>16724.46</v>
      </c>
    </row>
    <row r="365" ht="16.5" customHeight="1" spans="5:6">
      <c r="E365" s="58">
        <v>45757</v>
      </c>
      <c r="F365" s="59">
        <v>16387.31</v>
      </c>
    </row>
    <row r="366" ht="16.5" customHeight="1" spans="5:6">
      <c r="E366" s="58">
        <v>45756</v>
      </c>
      <c r="F366" s="59">
        <v>17124.97</v>
      </c>
    </row>
    <row r="367" ht="16.5" customHeight="1" spans="5:6">
      <c r="E367" s="58">
        <v>45755</v>
      </c>
      <c r="F367" s="59">
        <v>15267.91</v>
      </c>
    </row>
    <row r="368" ht="16.5" customHeight="1" spans="5:6">
      <c r="E368" s="58">
        <v>45754</v>
      </c>
      <c r="F368" s="59">
        <v>15603.26</v>
      </c>
    </row>
    <row r="369" ht="16.5" customHeight="1" spans="5:6">
      <c r="E369" s="58">
        <v>45751</v>
      </c>
      <c r="F369" s="59">
        <v>15587.79</v>
      </c>
    </row>
    <row r="370" ht="16.5" customHeight="1" spans="5:6">
      <c r="E370" s="58">
        <v>45750</v>
      </c>
      <c r="F370" s="59">
        <v>16550.61</v>
      </c>
    </row>
    <row r="371" ht="16.5" customHeight="1" spans="5:6">
      <c r="E371" s="58">
        <v>45749</v>
      </c>
      <c r="F371" s="59">
        <v>17601.05</v>
      </c>
    </row>
    <row r="372" ht="16.5" customHeight="1" spans="5:6">
      <c r="E372" s="58">
        <v>45748</v>
      </c>
      <c r="F372" s="59">
        <v>17449.89</v>
      </c>
    </row>
    <row r="373" ht="16.5" customHeight="1" spans="5:6">
      <c r="E373" s="58">
        <v>45747</v>
      </c>
      <c r="F373" s="59">
        <v>17299.29</v>
      </c>
    </row>
    <row r="374" ht="16.5" customHeight="1" spans="5:6">
      <c r="E374" s="58">
        <v>45744</v>
      </c>
      <c r="F374" s="59">
        <v>17322.99</v>
      </c>
    </row>
    <row r="375" ht="16.5" customHeight="1" spans="5:6">
      <c r="E375" s="58">
        <v>45743</v>
      </c>
      <c r="F375" s="59">
        <v>17804.03</v>
      </c>
    </row>
    <row r="376" ht="16.5" customHeight="1" spans="5:6">
      <c r="E376" s="58">
        <v>45742</v>
      </c>
      <c r="F376" s="59">
        <v>17899.01</v>
      </c>
    </row>
    <row r="377" ht="16.5" customHeight="1" spans="5:6">
      <c r="E377" s="58">
        <v>45741</v>
      </c>
      <c r="F377" s="59">
        <v>18271.86</v>
      </c>
    </row>
    <row r="378" ht="16.5" customHeight="1" spans="5:6">
      <c r="E378" s="58">
        <v>45740</v>
      </c>
      <c r="F378" s="59">
        <v>18188.59</v>
      </c>
    </row>
    <row r="379" ht="16.5" customHeight="1" spans="5:6">
      <c r="E379" s="58">
        <v>45737</v>
      </c>
      <c r="F379" s="59">
        <v>17784.05</v>
      </c>
    </row>
    <row r="380" ht="16.5" customHeight="1" spans="5:6">
      <c r="E380" s="58">
        <v>45736</v>
      </c>
      <c r="F380" s="59">
        <v>17691.63</v>
      </c>
    </row>
    <row r="381" ht="16.5" customHeight="1" spans="5:6">
      <c r="E381" s="58">
        <v>45735</v>
      </c>
      <c r="F381" s="59">
        <v>17750.79</v>
      </c>
    </row>
    <row r="382" ht="16.5" customHeight="1" spans="5:6">
      <c r="E382" s="58">
        <v>45734</v>
      </c>
      <c r="F382" s="59">
        <v>17504.12</v>
      </c>
    </row>
    <row r="383" ht="16.5" customHeight="1" spans="5:6">
      <c r="E383" s="58">
        <v>45733</v>
      </c>
      <c r="F383" s="59">
        <v>17808.66</v>
      </c>
    </row>
    <row r="384" ht="16.5" customHeight="1" spans="5:6">
      <c r="E384" s="58">
        <v>45730</v>
      </c>
      <c r="F384" s="59">
        <v>17754.09</v>
      </c>
    </row>
    <row r="385" ht="16.5" customHeight="1" spans="5:6">
      <c r="E385" s="58">
        <v>45729</v>
      </c>
      <c r="F385" s="59">
        <v>17303.01</v>
      </c>
    </row>
    <row r="386" ht="16.5" customHeight="1" spans="5:6">
      <c r="E386" s="58">
        <v>45728</v>
      </c>
      <c r="F386" s="59">
        <v>17648.45</v>
      </c>
    </row>
    <row r="387" ht="16.5" customHeight="1" spans="5:6">
      <c r="E387" s="58">
        <v>45727</v>
      </c>
      <c r="F387" s="59">
        <v>17436.1</v>
      </c>
    </row>
    <row r="388" ht="16.5" customHeight="1" spans="5:6">
      <c r="E388" s="58">
        <v>45726</v>
      </c>
      <c r="F388" s="59">
        <v>17468.32</v>
      </c>
    </row>
    <row r="389" ht="16.5" customHeight="1" spans="5:6">
      <c r="E389" s="58">
        <v>45723</v>
      </c>
      <c r="F389" s="59">
        <v>18196.22</v>
      </c>
    </row>
    <row r="390" ht="16.5" customHeight="1" spans="5:6">
      <c r="E390" s="58">
        <v>45722</v>
      </c>
      <c r="F390" s="59">
        <v>18069.26</v>
      </c>
    </row>
    <row r="391" ht="16.5" customHeight="1" spans="5:6">
      <c r="E391" s="58">
        <v>45721</v>
      </c>
      <c r="F391" s="59">
        <v>18552.73</v>
      </c>
    </row>
    <row r="392" ht="16.5" customHeight="1" spans="5:6">
      <c r="E392" s="58">
        <v>45720</v>
      </c>
      <c r="F392" s="59">
        <v>18285.16</v>
      </c>
    </row>
    <row r="393" ht="16.5" customHeight="1" spans="5:6">
      <c r="E393" s="58">
        <v>45719</v>
      </c>
      <c r="F393" s="59">
        <v>18350.19</v>
      </c>
    </row>
    <row r="394" ht="16.5" customHeight="1" spans="5:6">
      <c r="E394" s="58">
        <v>45716</v>
      </c>
      <c r="F394" s="59">
        <v>18847.28</v>
      </c>
    </row>
    <row r="395" ht="16.5" customHeight="1" spans="5:6">
      <c r="E395" s="58">
        <v>45715</v>
      </c>
      <c r="F395" s="59">
        <v>18544.42</v>
      </c>
    </row>
    <row r="396" ht="16.5" customHeight="1" spans="5:6">
      <c r="E396" s="58">
        <v>45714</v>
      </c>
      <c r="F396" s="59">
        <v>19075.26</v>
      </c>
    </row>
    <row r="397" ht="16.5" customHeight="1" spans="5:6">
      <c r="E397" s="58">
        <v>45713</v>
      </c>
      <c r="F397" s="59">
        <v>19026.39</v>
      </c>
    </row>
    <row r="398" ht="16.5" customHeight="1" spans="5:6">
      <c r="E398" s="58">
        <v>45712</v>
      </c>
      <c r="F398" s="59">
        <v>19286.92</v>
      </c>
    </row>
    <row r="399" ht="16.5" customHeight="1" spans="5:6">
      <c r="E399" s="58">
        <v>45709</v>
      </c>
      <c r="F399" s="59">
        <v>19524.01</v>
      </c>
    </row>
    <row r="400" ht="16.5" customHeight="1" spans="5:6">
      <c r="E400" s="58">
        <v>45708</v>
      </c>
      <c r="F400" s="59">
        <v>19962.36</v>
      </c>
    </row>
    <row r="401" ht="16.5" customHeight="1" spans="5:6">
      <c r="E401" s="58">
        <v>45707</v>
      </c>
      <c r="F401" s="59">
        <v>20056.25</v>
      </c>
    </row>
    <row r="402" ht="16.5" customHeight="1" spans="5:6">
      <c r="E402" s="58">
        <v>45706</v>
      </c>
      <c r="F402" s="59">
        <v>20041.26</v>
      </c>
    </row>
    <row r="403" ht="16.5" customHeight="1" spans="5:6">
      <c r="E403" s="58">
        <v>45702</v>
      </c>
      <c r="F403" s="59">
        <v>20026.77</v>
      </c>
    </row>
    <row r="404" ht="16.5" customHeight="1" spans="5:6">
      <c r="E404" s="58">
        <v>45701</v>
      </c>
      <c r="F404" s="59">
        <v>19945.64</v>
      </c>
    </row>
    <row r="405" ht="16.5" customHeight="1" spans="5:6">
      <c r="E405" s="58">
        <v>45700</v>
      </c>
      <c r="F405" s="59">
        <v>19649.95</v>
      </c>
    </row>
    <row r="406" ht="16.5" customHeight="1" spans="5:6">
      <c r="E406" s="58">
        <v>45699</v>
      </c>
      <c r="F406" s="59">
        <v>19643.86</v>
      </c>
    </row>
    <row r="407" ht="16.5" customHeight="1" spans="5:6">
      <c r="E407" s="58">
        <v>45698</v>
      </c>
      <c r="F407" s="59">
        <v>19714.27</v>
      </c>
    </row>
    <row r="408" ht="16.5" customHeight="1" spans="5:6">
      <c r="E408" s="58">
        <v>45695</v>
      </c>
      <c r="F408" s="59">
        <v>19523.4</v>
      </c>
    </row>
    <row r="409" ht="16.5" customHeight="1" spans="5:6">
      <c r="E409" s="58">
        <v>45694</v>
      </c>
      <c r="F409" s="59">
        <v>19791.99</v>
      </c>
    </row>
    <row r="410" ht="16.5" customHeight="1" spans="5:6">
      <c r="E410" s="58">
        <v>45693</v>
      </c>
      <c r="F410" s="59">
        <v>19692.33</v>
      </c>
    </row>
    <row r="411" ht="16.5" customHeight="1" spans="5:6">
      <c r="E411" s="58">
        <v>45692</v>
      </c>
      <c r="F411" s="59">
        <v>19654.01</v>
      </c>
    </row>
    <row r="412" ht="16.5" customHeight="1" spans="5:6">
      <c r="E412" s="58">
        <v>45691</v>
      </c>
      <c r="F412" s="59">
        <v>19391.96</v>
      </c>
    </row>
    <row r="413" ht="16.5" customHeight="1" spans="5:6">
      <c r="E413" s="58">
        <v>45688</v>
      </c>
      <c r="F413" s="59">
        <v>19627.44</v>
      </c>
    </row>
    <row r="414" ht="16.5" customHeight="1" spans="5:6">
      <c r="E414" s="58">
        <v>45687</v>
      </c>
      <c r="F414" s="59">
        <v>19681.75</v>
      </c>
    </row>
    <row r="415" ht="16.5" customHeight="1" spans="5:6">
      <c r="E415" s="58">
        <v>45686</v>
      </c>
      <c r="F415" s="59">
        <v>19632.32</v>
      </c>
    </row>
    <row r="416" ht="16.5" customHeight="1" spans="5:6">
      <c r="E416" s="58">
        <v>45685</v>
      </c>
      <c r="F416" s="59">
        <v>19733.59</v>
      </c>
    </row>
    <row r="417" ht="16.5" customHeight="1" spans="5:6">
      <c r="E417" s="58">
        <v>45684</v>
      </c>
      <c r="F417" s="59">
        <v>19341.83</v>
      </c>
    </row>
    <row r="418" ht="16.5" customHeight="1" spans="5:6">
      <c r="E418" s="58">
        <v>45681</v>
      </c>
      <c r="F418" s="59">
        <v>19954.3</v>
      </c>
    </row>
    <row r="419" ht="16.5" customHeight="1" spans="5:6">
      <c r="E419" s="58">
        <v>45680</v>
      </c>
      <c r="F419" s="59">
        <v>20053.68</v>
      </c>
    </row>
    <row r="420" ht="16.5" customHeight="1" spans="5:6">
      <c r="E420" s="58">
        <v>45679</v>
      </c>
      <c r="F420" s="59">
        <v>20009.34</v>
      </c>
    </row>
    <row r="421" ht="16.5" customHeight="1" spans="5:6">
      <c r="E421" s="58">
        <v>45678</v>
      </c>
      <c r="F421" s="59">
        <v>19756.78</v>
      </c>
    </row>
    <row r="422" ht="16.5" customHeight="1" spans="5:6">
      <c r="E422" s="58">
        <v>45674</v>
      </c>
      <c r="F422" s="59">
        <v>19630.2</v>
      </c>
    </row>
    <row r="423" ht="16.5" customHeight="1" spans="5:6">
      <c r="E423" s="58">
        <v>45673</v>
      </c>
      <c r="F423" s="59">
        <v>19338.29</v>
      </c>
    </row>
    <row r="424" ht="16.5" customHeight="1" spans="5:6">
      <c r="E424" s="58">
        <v>45672</v>
      </c>
      <c r="F424" s="59">
        <v>19511.23</v>
      </c>
    </row>
    <row r="425" ht="16.5" customHeight="1" spans="5:6">
      <c r="E425" s="58">
        <v>45671</v>
      </c>
      <c r="F425" s="59">
        <v>19044.39</v>
      </c>
    </row>
    <row r="426" ht="16.5" customHeight="1" spans="5:6">
      <c r="E426" s="58">
        <v>45670</v>
      </c>
      <c r="F426" s="59">
        <v>19088.1</v>
      </c>
    </row>
    <row r="427" ht="16.5" customHeight="1" spans="5:6">
      <c r="E427" s="58">
        <v>45667</v>
      </c>
      <c r="F427" s="59">
        <v>19161.63</v>
      </c>
    </row>
    <row r="428" ht="16.5" customHeight="1" spans="5:6">
      <c r="E428" s="58">
        <v>45665</v>
      </c>
      <c r="F428" s="59">
        <v>19478.88</v>
      </c>
    </row>
    <row r="429" ht="16.5" customHeight="1" spans="5:6">
      <c r="E429" s="58">
        <v>45664</v>
      </c>
      <c r="F429" s="59">
        <v>19489.68</v>
      </c>
    </row>
    <row r="430" ht="16.5" customHeight="1" spans="5:6">
      <c r="E430" s="58">
        <v>45663</v>
      </c>
      <c r="F430" s="59">
        <v>19864.98</v>
      </c>
    </row>
    <row r="431" ht="16.5" customHeight="1" spans="5:6">
      <c r="E431" s="58">
        <v>45660</v>
      </c>
      <c r="F431" s="59">
        <v>19621.68</v>
      </c>
    </row>
    <row r="432" ht="16.5" customHeight="1" spans="5:6">
      <c r="E432" s="58">
        <v>45659</v>
      </c>
      <c r="F432" s="59">
        <v>19280.79</v>
      </c>
    </row>
    <row r="433" ht="16.5" customHeight="1" spans="5:6">
      <c r="E433" s="58">
        <v>45657</v>
      </c>
      <c r="F433" s="59">
        <v>19310.79</v>
      </c>
    </row>
    <row r="434" ht="16.5" customHeight="1" spans="5:6">
      <c r="E434" s="58">
        <v>45656</v>
      </c>
      <c r="F434" s="59">
        <v>19486.78</v>
      </c>
    </row>
    <row r="435" ht="16.5" customHeight="1" spans="5:6">
      <c r="E435" s="58">
        <v>45653</v>
      </c>
      <c r="F435" s="59">
        <v>19722.03</v>
      </c>
    </row>
    <row r="436" ht="16.5" customHeight="1" spans="5:6">
      <c r="E436" s="58">
        <v>45652</v>
      </c>
      <c r="F436" s="59">
        <v>20020.36</v>
      </c>
    </row>
    <row r="437" ht="16.5" customHeight="1" spans="5:6">
      <c r="E437" s="58">
        <v>45650</v>
      </c>
      <c r="F437" s="59">
        <v>20031.13</v>
      </c>
    </row>
    <row r="438" ht="16.5" customHeight="1" spans="5:6">
      <c r="E438" s="58">
        <v>45649</v>
      </c>
      <c r="F438" s="59">
        <v>19764.89</v>
      </c>
    </row>
    <row r="439" ht="16.5" customHeight="1" spans="5:6">
      <c r="E439" s="58">
        <v>45646</v>
      </c>
      <c r="F439" s="59">
        <v>19572.6</v>
      </c>
    </row>
    <row r="440" ht="16.5" customHeight="1" spans="5:6">
      <c r="E440" s="58">
        <v>45645</v>
      </c>
      <c r="F440" s="59">
        <v>19372.77</v>
      </c>
    </row>
    <row r="441" ht="16.5" customHeight="1" spans="5:6">
      <c r="E441" s="58">
        <v>45644</v>
      </c>
      <c r="F441" s="59">
        <v>19392.69</v>
      </c>
    </row>
    <row r="442" ht="16.5" customHeight="1" spans="5:6">
      <c r="E442" s="58">
        <v>45643</v>
      </c>
      <c r="F442" s="59">
        <v>20109.06</v>
      </c>
    </row>
    <row r="443" ht="16.5" customHeight="1" spans="5:6">
      <c r="E443" s="58">
        <v>45642</v>
      </c>
      <c r="F443" s="59">
        <v>20173.89</v>
      </c>
    </row>
    <row r="444" ht="16.5" customHeight="1" spans="5:6">
      <c r="E444" s="58">
        <v>45639</v>
      </c>
      <c r="F444" s="59">
        <v>19926.72</v>
      </c>
    </row>
    <row r="445" ht="16.5" customHeight="1" spans="5:6">
      <c r="E445" s="58">
        <v>45638</v>
      </c>
      <c r="F445" s="59">
        <v>19902.84</v>
      </c>
    </row>
    <row r="446" ht="16.5" customHeight="1" spans="5:6">
      <c r="E446" s="58">
        <v>45637</v>
      </c>
      <c r="F446" s="59">
        <v>20034.89</v>
      </c>
    </row>
    <row r="447" ht="16.5" customHeight="1" spans="5:6">
      <c r="E447" s="58">
        <v>45636</v>
      </c>
      <c r="F447" s="59">
        <v>19687.24</v>
      </c>
    </row>
    <row r="448" ht="16.5" customHeight="1" spans="5:6">
      <c r="E448" s="58">
        <v>45635</v>
      </c>
      <c r="F448" s="59">
        <v>19736.69</v>
      </c>
    </row>
    <row r="449" ht="16.5" customHeight="1" spans="5:6">
      <c r="E449" s="58">
        <v>45632</v>
      </c>
      <c r="F449" s="59">
        <v>19859.77</v>
      </c>
    </row>
    <row r="450" ht="16.5" customHeight="1" spans="5:6">
      <c r="E450" s="58">
        <v>45631</v>
      </c>
      <c r="F450" s="59">
        <v>19700.72</v>
      </c>
    </row>
    <row r="451" ht="16.5" customHeight="1" spans="5:6">
      <c r="E451" s="58">
        <v>45630</v>
      </c>
      <c r="F451" s="59">
        <v>19735.12</v>
      </c>
    </row>
    <row r="452" ht="16.5" customHeight="1" spans="5:6">
      <c r="E452" s="58">
        <v>45629</v>
      </c>
      <c r="F452" s="59">
        <v>19480.91</v>
      </c>
    </row>
    <row r="453" ht="16.5" customHeight="1" spans="5:6">
      <c r="E453" s="58">
        <v>45628</v>
      </c>
      <c r="F453" s="59">
        <v>19403.95</v>
      </c>
    </row>
    <row r="454" ht="16.5" customHeight="1" spans="5:6">
      <c r="E454" s="58">
        <v>45625</v>
      </c>
      <c r="F454" s="59">
        <v>19218.17</v>
      </c>
    </row>
    <row r="455" ht="16.5" customHeight="1" spans="5:6">
      <c r="E455" s="58">
        <v>45623</v>
      </c>
      <c r="F455" s="59">
        <v>19060.48</v>
      </c>
    </row>
    <row r="456" ht="16.5" customHeight="1" spans="5:6">
      <c r="E456" s="58">
        <v>45622</v>
      </c>
      <c r="F456" s="59">
        <v>19175.58</v>
      </c>
    </row>
    <row r="457" ht="16.5" customHeight="1" spans="5:6">
      <c r="E457" s="58">
        <v>45621</v>
      </c>
      <c r="F457" s="59">
        <v>19054.83</v>
      </c>
    </row>
    <row r="458" ht="16.5" customHeight="1" spans="5:6">
      <c r="E458" s="58">
        <v>45618</v>
      </c>
      <c r="F458" s="59">
        <v>19003.65</v>
      </c>
    </row>
    <row r="459" ht="16.5" customHeight="1" spans="5:6">
      <c r="E459" s="58">
        <v>45617</v>
      </c>
      <c r="F459" s="59">
        <v>18972.42</v>
      </c>
    </row>
    <row r="460" ht="16.5" customHeight="1" spans="5:6">
      <c r="E460" s="58">
        <v>45616</v>
      </c>
      <c r="F460" s="59">
        <v>18966.14</v>
      </c>
    </row>
    <row r="461" ht="16.5" customHeight="1" spans="5:6">
      <c r="E461" s="58">
        <v>45615</v>
      </c>
      <c r="F461" s="59">
        <v>18987.47</v>
      </c>
    </row>
    <row r="462" ht="16.5" customHeight="1" spans="5:6">
      <c r="E462" s="58">
        <v>45614</v>
      </c>
      <c r="F462" s="59">
        <v>18791.81</v>
      </c>
    </row>
    <row r="463" ht="16.5" customHeight="1" spans="5:6">
      <c r="E463" s="58">
        <v>45611</v>
      </c>
      <c r="F463" s="59">
        <v>18680.12</v>
      </c>
    </row>
    <row r="464" ht="16.5" customHeight="1" spans="5:6">
      <c r="E464" s="58">
        <v>45610</v>
      </c>
      <c r="F464" s="59">
        <v>19107.65</v>
      </c>
    </row>
    <row r="465" ht="16.5" customHeight="1" spans="5:6">
      <c r="E465" s="58">
        <v>45609</v>
      </c>
      <c r="F465" s="59">
        <v>19230.73</v>
      </c>
    </row>
    <row r="466" ht="16.5" customHeight="1" spans="5:6">
      <c r="E466" s="58">
        <v>45608</v>
      </c>
      <c r="F466" s="59">
        <v>19281.4</v>
      </c>
    </row>
    <row r="467" ht="16.5" customHeight="1" spans="5:6">
      <c r="E467" s="58">
        <v>45607</v>
      </c>
      <c r="F467" s="59">
        <v>19298.76</v>
      </c>
    </row>
    <row r="468" ht="16.5" customHeight="1" spans="5:6">
      <c r="E468" s="58">
        <v>45604</v>
      </c>
      <c r="F468" s="59">
        <v>19286.78</v>
      </c>
    </row>
    <row r="469" ht="16.5" customHeight="1" spans="5:6">
      <c r="E469" s="58">
        <v>45603</v>
      </c>
      <c r="F469" s="59">
        <v>19269.46</v>
      </c>
    </row>
    <row r="470" ht="16.5" customHeight="1" spans="5:6">
      <c r="E470" s="58">
        <v>45602</v>
      </c>
      <c r="F470" s="59">
        <v>18983.47</v>
      </c>
    </row>
    <row r="471" ht="16.5" customHeight="1" spans="5:6">
      <c r="E471" s="58">
        <v>45601</v>
      </c>
      <c r="F471" s="59">
        <v>18439.17</v>
      </c>
    </row>
    <row r="472" ht="16.5" customHeight="1" spans="5:6">
      <c r="E472" s="58">
        <v>45600</v>
      </c>
      <c r="F472" s="59">
        <v>18179.98</v>
      </c>
    </row>
    <row r="473" ht="16.5" customHeight="1" spans="5:6">
      <c r="E473" s="58">
        <v>45597</v>
      </c>
      <c r="F473" s="59">
        <v>18239.92</v>
      </c>
    </row>
    <row r="474" ht="16.5" customHeight="1" spans="5:6">
      <c r="E474" s="58">
        <v>45596</v>
      </c>
      <c r="F474" s="59">
        <v>18095.15</v>
      </c>
    </row>
    <row r="475" ht="16.5" customHeight="1" spans="5:6">
      <c r="E475" s="58">
        <v>45595</v>
      </c>
      <c r="F475" s="59">
        <v>18607.93</v>
      </c>
    </row>
    <row r="476" ht="16.5" customHeight="1" spans="5:6">
      <c r="E476" s="58">
        <v>45594</v>
      </c>
      <c r="F476" s="59">
        <v>18712.75</v>
      </c>
    </row>
    <row r="477" ht="16.5" customHeight="1" spans="5:6">
      <c r="E477" s="58">
        <v>45593</v>
      </c>
      <c r="F477" s="59">
        <v>18567.19</v>
      </c>
    </row>
    <row r="478" ht="16.5" customHeight="1" spans="5:6">
      <c r="E478" s="58">
        <v>45590</v>
      </c>
      <c r="F478" s="59">
        <v>18518.61</v>
      </c>
    </row>
    <row r="479" ht="16.5" customHeight="1" spans="5:6">
      <c r="E479" s="58">
        <v>45589</v>
      </c>
      <c r="F479" s="59">
        <v>18415.49</v>
      </c>
    </row>
    <row r="480" ht="16.5" customHeight="1" spans="5:6">
      <c r="E480" s="58">
        <v>45588</v>
      </c>
      <c r="F480" s="59">
        <v>18276.65</v>
      </c>
    </row>
    <row r="481" ht="16.5" customHeight="1" spans="5:6">
      <c r="E481" s="58">
        <v>45587</v>
      </c>
      <c r="F481" s="59">
        <v>18573.13</v>
      </c>
    </row>
    <row r="482" ht="16.5" customHeight="1" spans="5:6">
      <c r="E482" s="58">
        <v>45586</v>
      </c>
      <c r="F482" s="59">
        <v>18540</v>
      </c>
    </row>
    <row r="483" ht="16.5" customHeight="1" spans="5:6">
      <c r="E483" s="58">
        <v>45583</v>
      </c>
      <c r="F483" s="59">
        <v>18489.55</v>
      </c>
    </row>
    <row r="484" ht="16.5" customHeight="1" spans="5:6">
      <c r="E484" s="58">
        <v>45582</v>
      </c>
      <c r="F484" s="59">
        <v>18373.61</v>
      </c>
    </row>
    <row r="485" ht="16.5" customHeight="1" spans="5:6">
      <c r="E485" s="58">
        <v>45581</v>
      </c>
      <c r="F485" s="59">
        <v>18367.08</v>
      </c>
    </row>
    <row r="486" ht="16.5" customHeight="1" spans="5:6">
      <c r="E486" s="58">
        <v>45580</v>
      </c>
      <c r="F486" s="59">
        <v>18315.59</v>
      </c>
    </row>
    <row r="487" ht="16.5" customHeight="1" spans="5:6">
      <c r="E487" s="58">
        <v>45579</v>
      </c>
      <c r="F487" s="59">
        <v>18502.69</v>
      </c>
    </row>
    <row r="488" ht="16.5" customHeight="1" spans="5:6">
      <c r="E488" s="58">
        <v>45576</v>
      </c>
      <c r="F488" s="59">
        <v>18342.94</v>
      </c>
    </row>
    <row r="489" ht="16.5" customHeight="1" spans="5:6">
      <c r="E489" s="58">
        <v>45575</v>
      </c>
      <c r="F489" s="59">
        <v>18282.05</v>
      </c>
    </row>
    <row r="490" ht="16.5" customHeight="1" spans="5:6">
      <c r="E490" s="58">
        <v>45574</v>
      </c>
      <c r="F490" s="59">
        <v>18291.62</v>
      </c>
    </row>
    <row r="491" ht="16.5" customHeight="1" spans="5:6">
      <c r="E491" s="58">
        <v>45573</v>
      </c>
      <c r="F491" s="59">
        <v>18182.92</v>
      </c>
    </row>
    <row r="492" ht="16.5" customHeight="1" spans="5:6">
      <c r="E492" s="58">
        <v>45572</v>
      </c>
      <c r="F492" s="59">
        <v>17923.9</v>
      </c>
    </row>
    <row r="493" ht="16.5" customHeight="1" spans="5:6">
      <c r="E493" s="58">
        <v>45569</v>
      </c>
      <c r="F493" s="59">
        <v>18137.85</v>
      </c>
    </row>
    <row r="494" ht="16.5" customHeight="1" spans="5:6">
      <c r="E494" s="58">
        <v>45568</v>
      </c>
      <c r="F494" s="59">
        <v>17918.48</v>
      </c>
    </row>
    <row r="495" ht="16.5" customHeight="1" spans="5:6">
      <c r="E495" s="58">
        <v>45567</v>
      </c>
      <c r="F495" s="59">
        <v>17925.12</v>
      </c>
    </row>
    <row r="496" ht="16.5" customHeight="1" spans="5:6">
      <c r="E496" s="58">
        <v>45566</v>
      </c>
      <c r="F496" s="59">
        <v>17910.36</v>
      </c>
    </row>
    <row r="497" ht="16.5" customHeight="1" spans="5:6">
      <c r="E497" s="58">
        <v>45565</v>
      </c>
      <c r="F497" s="59">
        <v>18189.17</v>
      </c>
    </row>
    <row r="498" ht="16.5" customHeight="1" spans="5:6">
      <c r="E498" s="58">
        <v>45562</v>
      </c>
      <c r="F498" s="59">
        <v>18119.59</v>
      </c>
    </row>
    <row r="499" ht="16.5" customHeight="1" spans="5:6">
      <c r="E499" s="58">
        <v>45561</v>
      </c>
      <c r="F499" s="59">
        <v>18190.29</v>
      </c>
    </row>
    <row r="500" ht="16.5" customHeight="1" spans="5:6">
      <c r="E500" s="58">
        <v>45560</v>
      </c>
      <c r="F500" s="59">
        <v>18082.21</v>
      </c>
    </row>
    <row r="501" ht="16.5" customHeight="1" spans="5:6">
      <c r="E501" s="58">
        <v>45559</v>
      </c>
      <c r="F501" s="59">
        <v>18074.52</v>
      </c>
    </row>
    <row r="502" ht="16.5" customHeight="1" spans="5:6">
      <c r="E502" s="58">
        <v>45558</v>
      </c>
      <c r="F502" s="59">
        <v>17974.27</v>
      </c>
    </row>
    <row r="503" ht="16.5" customHeight="1" spans="5:6">
      <c r="E503" s="58">
        <v>45555</v>
      </c>
      <c r="F503" s="59">
        <v>17948.32</v>
      </c>
    </row>
    <row r="504" ht="16.5" customHeight="1" spans="5:6">
      <c r="E504" s="58">
        <v>45554</v>
      </c>
      <c r="F504" s="59">
        <v>18013.98</v>
      </c>
    </row>
    <row r="505" ht="16.5" customHeight="1" spans="5:6">
      <c r="E505" s="58">
        <v>45553</v>
      </c>
      <c r="F505" s="59">
        <v>17573.3</v>
      </c>
    </row>
    <row r="506" ht="16.5" customHeight="1" spans="5:6">
      <c r="E506" s="58">
        <v>45552</v>
      </c>
      <c r="F506" s="59">
        <v>17628.06</v>
      </c>
    </row>
    <row r="507" ht="16.5" customHeight="1" spans="5:6">
      <c r="E507" s="58">
        <v>45551</v>
      </c>
      <c r="F507" s="59">
        <v>17592.13</v>
      </c>
    </row>
    <row r="508" ht="16.5" customHeight="1" spans="5:6">
      <c r="E508" s="58">
        <v>45548</v>
      </c>
      <c r="F508" s="59">
        <v>17683.98</v>
      </c>
    </row>
    <row r="509" ht="16.5" customHeight="1" spans="5:6">
      <c r="E509" s="58">
        <v>45547</v>
      </c>
      <c r="F509" s="59">
        <v>17569.68</v>
      </c>
    </row>
    <row r="510" ht="16.5" customHeight="1" spans="5:6">
      <c r="E510" s="58">
        <v>45546</v>
      </c>
      <c r="F510" s="59">
        <v>17395.53</v>
      </c>
    </row>
    <row r="511" ht="16.5" customHeight="1" spans="5:6">
      <c r="E511" s="58">
        <v>45545</v>
      </c>
      <c r="F511" s="59">
        <v>17025.88</v>
      </c>
    </row>
    <row r="512" ht="16.5" customHeight="1" spans="5:6">
      <c r="E512" s="58">
        <v>45544</v>
      </c>
      <c r="F512" s="59">
        <v>16884.6</v>
      </c>
    </row>
    <row r="513" ht="16.5" customHeight="1" spans="5:6">
      <c r="E513" s="58">
        <v>45541</v>
      </c>
      <c r="F513" s="59">
        <v>16690.83</v>
      </c>
    </row>
    <row r="514" ht="16.5" customHeight="1" spans="5:6">
      <c r="E514" s="58">
        <v>45540</v>
      </c>
      <c r="F514" s="59">
        <v>17127.66</v>
      </c>
    </row>
    <row r="515" ht="16.5" customHeight="1" spans="5:6">
      <c r="E515" s="58">
        <v>45539</v>
      </c>
      <c r="F515" s="59">
        <v>17084.3</v>
      </c>
    </row>
    <row r="516" ht="16.5" customHeight="1" spans="5:6">
      <c r="E516" s="58">
        <v>45538</v>
      </c>
      <c r="F516" s="59">
        <v>17136.3</v>
      </c>
    </row>
    <row r="517" ht="16.5" customHeight="1" spans="5:6">
      <c r="E517" s="58">
        <v>45534</v>
      </c>
      <c r="F517" s="59">
        <v>17713.62</v>
      </c>
    </row>
    <row r="518" ht="16.5" customHeight="1" spans="5:6">
      <c r="E518" s="58">
        <v>45533</v>
      </c>
      <c r="F518" s="59">
        <v>17516.43</v>
      </c>
    </row>
    <row r="519" ht="16.5" customHeight="1" spans="5:6">
      <c r="E519" s="58">
        <v>45532</v>
      </c>
      <c r="F519" s="59">
        <v>17556.03</v>
      </c>
    </row>
    <row r="520" ht="16.5" customHeight="1" spans="5:6">
      <c r="E520" s="58">
        <v>45531</v>
      </c>
      <c r="F520" s="59">
        <v>17754.82</v>
      </c>
    </row>
    <row r="521" ht="16.5" customHeight="1" spans="5:6">
      <c r="E521" s="58">
        <v>45530</v>
      </c>
      <c r="F521" s="59">
        <v>17725.76</v>
      </c>
    </row>
    <row r="522" ht="16.5" customHeight="1" spans="5:6">
      <c r="E522" s="58">
        <v>45527</v>
      </c>
      <c r="F522" s="59">
        <v>17877.79</v>
      </c>
    </row>
    <row r="523" ht="16.5" customHeight="1" spans="5:6">
      <c r="E523" s="58">
        <v>45526</v>
      </c>
      <c r="F523" s="59">
        <v>17619.35</v>
      </c>
    </row>
    <row r="524" ht="16.5" customHeight="1" spans="5:6">
      <c r="E524" s="58">
        <v>45525</v>
      </c>
      <c r="F524" s="59">
        <v>17918.99</v>
      </c>
    </row>
    <row r="525" ht="16.5" customHeight="1" spans="5:6">
      <c r="E525" s="58">
        <v>45524</v>
      </c>
      <c r="F525" s="59">
        <v>17816.94</v>
      </c>
    </row>
    <row r="526" ht="16.5" customHeight="1" spans="5:6">
      <c r="E526" s="58">
        <v>45523</v>
      </c>
      <c r="F526" s="59">
        <v>17876.77</v>
      </c>
    </row>
    <row r="527" ht="16.5" customHeight="1" spans="5:6">
      <c r="E527" s="58">
        <v>45520</v>
      </c>
      <c r="F527" s="59">
        <v>17631.72</v>
      </c>
    </row>
    <row r="528" ht="16.5" customHeight="1" spans="5:6">
      <c r="E528" s="58">
        <v>45519</v>
      </c>
      <c r="F528" s="59">
        <v>17594.5</v>
      </c>
    </row>
    <row r="529" ht="16.5" customHeight="1" spans="5:6">
      <c r="E529" s="58">
        <v>45518</v>
      </c>
      <c r="F529" s="59">
        <v>17192.6</v>
      </c>
    </row>
    <row r="530" ht="16.5" customHeight="1" spans="5:6">
      <c r="E530" s="58">
        <v>45517</v>
      </c>
      <c r="F530" s="59">
        <v>17187.61</v>
      </c>
    </row>
    <row r="531" ht="16.5" customHeight="1" spans="5:6">
      <c r="E531" s="58">
        <v>45516</v>
      </c>
      <c r="F531" s="59">
        <v>16780.61</v>
      </c>
    </row>
    <row r="532" ht="16.5" customHeight="1" spans="5:6">
      <c r="E532" s="58">
        <v>45513</v>
      </c>
      <c r="F532" s="59">
        <v>16745.3</v>
      </c>
    </row>
    <row r="533" ht="16.5" customHeight="1" spans="5:6">
      <c r="E533" s="58">
        <v>45512</v>
      </c>
      <c r="F533" s="59">
        <v>16660.02</v>
      </c>
    </row>
    <row r="534" ht="16.5" customHeight="1" spans="5:6">
      <c r="E534" s="58">
        <v>45511</v>
      </c>
      <c r="F534" s="59">
        <v>16195.81</v>
      </c>
    </row>
    <row r="535" ht="16.5" customHeight="1" spans="5:6">
      <c r="E535" s="58">
        <v>45510</v>
      </c>
      <c r="F535" s="59">
        <v>16366.85</v>
      </c>
    </row>
    <row r="536" ht="16.5" customHeight="1" spans="5:6">
      <c r="E536" s="58">
        <v>45509</v>
      </c>
      <c r="F536" s="59">
        <v>16200.08</v>
      </c>
    </row>
    <row r="537" ht="16.5" customHeight="1" spans="5:6">
      <c r="E537" s="58">
        <v>45506</v>
      </c>
      <c r="F537" s="59">
        <v>16776.16</v>
      </c>
    </row>
    <row r="538" ht="16.5" customHeight="1" spans="5:6">
      <c r="E538" s="58">
        <v>45505</v>
      </c>
      <c r="F538" s="59">
        <v>17194.15</v>
      </c>
    </row>
    <row r="539" ht="16.5" customHeight="1" spans="5:6">
      <c r="E539" s="58">
        <v>45504</v>
      </c>
      <c r="F539" s="59">
        <v>17599.4</v>
      </c>
    </row>
    <row r="540" ht="16.5" customHeight="1" spans="5:6">
      <c r="E540" s="58">
        <v>45503</v>
      </c>
      <c r="F540" s="59">
        <v>17147.42</v>
      </c>
    </row>
    <row r="541" ht="16.5" customHeight="1" spans="5:6">
      <c r="E541" s="58">
        <v>45502</v>
      </c>
      <c r="F541" s="59">
        <v>17370.2</v>
      </c>
    </row>
    <row r="542" ht="16.5" customHeight="1" spans="5:6">
      <c r="E542" s="58">
        <v>45499</v>
      </c>
      <c r="F542" s="59">
        <v>17357.88</v>
      </c>
    </row>
    <row r="543" ht="16.5" customHeight="1" spans="5:6">
      <c r="E543" s="58">
        <v>45498</v>
      </c>
      <c r="F543" s="59">
        <v>17181.72</v>
      </c>
    </row>
    <row r="544" ht="16.5" customHeight="1" spans="5:6">
      <c r="E544" s="58">
        <v>45497</v>
      </c>
      <c r="F544" s="59">
        <v>17342.41</v>
      </c>
    </row>
    <row r="545" ht="16.5" customHeight="1" spans="5:6">
      <c r="E545" s="58">
        <v>45496</v>
      </c>
      <c r="F545" s="59">
        <v>17997.35</v>
      </c>
    </row>
    <row r="546" ht="16.5" customHeight="1" spans="5:6">
      <c r="E546" s="58">
        <v>45495</v>
      </c>
      <c r="F546" s="59">
        <v>18007.57</v>
      </c>
    </row>
    <row r="547" ht="16.5" customHeight="1" spans="5:6">
      <c r="E547" s="58">
        <v>45492</v>
      </c>
      <c r="F547" s="59">
        <v>17726.94</v>
      </c>
    </row>
    <row r="548" ht="16.5" customHeight="1" spans="5:6">
      <c r="E548" s="58">
        <v>45491</v>
      </c>
      <c r="F548" s="59">
        <v>17871.22</v>
      </c>
    </row>
    <row r="549" ht="16.5" customHeight="1" spans="5:6">
      <c r="E549" s="58">
        <v>45490</v>
      </c>
      <c r="F549" s="59">
        <v>17996.92</v>
      </c>
    </row>
    <row r="550" ht="16.5" customHeight="1" spans="5:6">
      <c r="E550" s="58">
        <v>45489</v>
      </c>
      <c r="F550" s="59">
        <v>18509.34</v>
      </c>
    </row>
    <row r="551" ht="16.5" customHeight="1" spans="5:6">
      <c r="E551" s="58">
        <v>45488</v>
      </c>
      <c r="F551" s="59">
        <v>18472.57</v>
      </c>
    </row>
    <row r="552" ht="16.5" customHeight="1" spans="5:6">
      <c r="E552" s="58">
        <v>45485</v>
      </c>
      <c r="F552" s="59">
        <v>18398.45</v>
      </c>
    </row>
    <row r="553" ht="16.5" customHeight="1" spans="5:6">
      <c r="E553" s="58">
        <v>45484</v>
      </c>
      <c r="F553" s="59">
        <v>18283.41</v>
      </c>
    </row>
    <row r="554" ht="16.5" customHeight="1" spans="5:6">
      <c r="E554" s="58">
        <v>45483</v>
      </c>
      <c r="F554" s="59">
        <v>18647.45</v>
      </c>
    </row>
    <row r="555" ht="16.5" customHeight="1" spans="5:6">
      <c r="E555" s="58">
        <v>45482</v>
      </c>
      <c r="F555" s="59">
        <v>18429.29</v>
      </c>
    </row>
    <row r="556" ht="16.5" customHeight="1" spans="5:6">
      <c r="E556" s="58">
        <v>45481</v>
      </c>
      <c r="F556" s="59">
        <v>18403.74</v>
      </c>
    </row>
    <row r="557" ht="16.5" customHeight="1" spans="5:6">
      <c r="E557" s="58">
        <v>45478</v>
      </c>
      <c r="F557" s="59">
        <v>18352.76</v>
      </c>
    </row>
    <row r="558" ht="16.5" customHeight="1" spans="5:6">
      <c r="E558" s="58">
        <v>45476</v>
      </c>
      <c r="F558" s="59">
        <v>18188.3</v>
      </c>
    </row>
    <row r="559" ht="16.5" customHeight="1" spans="5:6">
      <c r="E559" s="58">
        <v>45475</v>
      </c>
      <c r="F559" s="59">
        <v>18028.76</v>
      </c>
    </row>
    <row r="560" ht="16.5" customHeight="1" spans="5:6">
      <c r="E560" s="58">
        <v>45474</v>
      </c>
      <c r="F560" s="59">
        <v>17879.3</v>
      </c>
    </row>
    <row r="561" ht="16.5" customHeight="1" spans="5:6">
      <c r="E561" s="58">
        <v>45471</v>
      </c>
      <c r="F561" s="59">
        <v>17732.6</v>
      </c>
    </row>
    <row r="562" ht="16.5" customHeight="1" spans="5:6">
      <c r="E562" s="58">
        <v>45470</v>
      </c>
      <c r="F562" s="59">
        <v>17858.68</v>
      </c>
    </row>
    <row r="563" ht="16.5" customHeight="1" spans="5:6">
      <c r="E563" s="58">
        <v>45469</v>
      </c>
      <c r="F563" s="59">
        <v>17805.16</v>
      </c>
    </row>
    <row r="564" ht="16.5" customHeight="1" spans="5:6">
      <c r="E564" s="58">
        <v>45468</v>
      </c>
      <c r="F564" s="59">
        <v>17717.65</v>
      </c>
    </row>
    <row r="565" ht="16.5" customHeight="1" spans="5:6">
      <c r="E565" s="58">
        <v>45467</v>
      </c>
      <c r="F565" s="59">
        <v>17496.82</v>
      </c>
    </row>
    <row r="566" ht="16.5" customHeight="1" spans="5:6">
      <c r="E566" s="58">
        <v>45464</v>
      </c>
      <c r="F566" s="59">
        <v>17689.36</v>
      </c>
    </row>
    <row r="567" ht="16.5" customHeight="1" spans="5:6">
      <c r="E567" s="58">
        <v>45463</v>
      </c>
      <c r="F567" s="59">
        <v>17721.59</v>
      </c>
    </row>
    <row r="568" ht="16.5" customHeight="1" spans="5:6">
      <c r="E568" s="58">
        <v>45461</v>
      </c>
      <c r="F568" s="59">
        <v>17862.23</v>
      </c>
    </row>
    <row r="569" ht="16.5" customHeight="1" spans="5:6">
      <c r="E569" s="58">
        <v>45460</v>
      </c>
      <c r="F569" s="59">
        <v>17857.02</v>
      </c>
    </row>
    <row r="570" ht="16.5" customHeight="1" spans="5:6">
      <c r="E570" s="58">
        <v>45457</v>
      </c>
      <c r="F570" s="59">
        <v>17688.88</v>
      </c>
    </row>
    <row r="571" ht="16.5" customHeight="1" spans="5:6">
      <c r="E571" s="58">
        <v>45456</v>
      </c>
      <c r="F571" s="59">
        <v>17667.56</v>
      </c>
    </row>
    <row r="572" ht="16.5" customHeight="1" spans="5:6">
      <c r="E572" s="58">
        <v>45455</v>
      </c>
      <c r="F572" s="59">
        <v>17608.44</v>
      </c>
    </row>
    <row r="573" ht="16.5" customHeight="1" spans="5:6">
      <c r="E573" s="58">
        <v>45454</v>
      </c>
      <c r="F573" s="59">
        <v>17343.55</v>
      </c>
    </row>
    <row r="574" ht="16.5" customHeight="1" spans="5:6">
      <c r="E574" s="58">
        <v>45453</v>
      </c>
      <c r="F574" s="59">
        <v>17192.53</v>
      </c>
    </row>
    <row r="575" ht="16.5" customHeight="1" spans="5:6">
      <c r="E575" s="58">
        <v>45450</v>
      </c>
      <c r="F575" s="59">
        <v>17133.13</v>
      </c>
    </row>
    <row r="576" ht="16.5" customHeight="1" spans="5:6">
      <c r="E576" s="58">
        <v>45449</v>
      </c>
      <c r="F576" s="59">
        <v>17173.12</v>
      </c>
    </row>
    <row r="577" ht="16.5" customHeight="1" spans="5:6">
      <c r="E577" s="58">
        <v>45448</v>
      </c>
      <c r="F577" s="59">
        <v>17187.9</v>
      </c>
    </row>
    <row r="578" ht="16.5" customHeight="1" spans="5:6">
      <c r="E578" s="58">
        <v>45447</v>
      </c>
      <c r="F578" s="59">
        <v>16857.05</v>
      </c>
    </row>
    <row r="579" ht="16.5" customHeight="1" spans="5:6">
      <c r="E579" s="58">
        <v>45446</v>
      </c>
      <c r="F579" s="59">
        <v>16828.67</v>
      </c>
    </row>
    <row r="580" ht="16.5" customHeight="1" spans="5:6">
      <c r="E580" s="58">
        <v>45443</v>
      </c>
      <c r="F580" s="59">
        <v>16735.02</v>
      </c>
    </row>
    <row r="581" ht="16.5" customHeight="1" spans="5:6">
      <c r="E581" s="58">
        <v>45442</v>
      </c>
      <c r="F581" s="59">
        <v>16737.08</v>
      </c>
    </row>
    <row r="582" ht="16.5" customHeight="1" spans="5:6">
      <c r="E582" s="58">
        <v>45441</v>
      </c>
      <c r="F582" s="59">
        <v>16920.58</v>
      </c>
    </row>
    <row r="583" ht="16.5" customHeight="1" spans="5:6">
      <c r="E583" s="58">
        <v>45440</v>
      </c>
      <c r="F583" s="59">
        <v>17019.88</v>
      </c>
    </row>
    <row r="584" ht="16.5" customHeight="1" spans="5:6">
      <c r="E584" s="58">
        <v>45436</v>
      </c>
      <c r="F584" s="59">
        <v>16920.79</v>
      </c>
    </row>
    <row r="585" ht="16.5" customHeight="1" spans="5:6">
      <c r="E585" s="58">
        <v>45435</v>
      </c>
      <c r="F585" s="59">
        <v>16736.03</v>
      </c>
    </row>
    <row r="586" ht="16.5" customHeight="1" spans="5:6">
      <c r="E586" s="58">
        <v>45434</v>
      </c>
      <c r="F586" s="59">
        <v>16801.54</v>
      </c>
    </row>
    <row r="587" ht="16.5" customHeight="1" spans="5:6">
      <c r="E587" s="58">
        <v>45433</v>
      </c>
      <c r="F587" s="59">
        <v>16832.62</v>
      </c>
    </row>
    <row r="588" ht="16.5" customHeight="1" spans="5:6">
      <c r="E588" s="58">
        <v>45432</v>
      </c>
      <c r="F588" s="59">
        <v>16794.87</v>
      </c>
    </row>
    <row r="589" ht="16.5" customHeight="1" spans="5:6">
      <c r="E589" s="58">
        <v>45429</v>
      </c>
      <c r="F589" s="59">
        <v>16685.97</v>
      </c>
    </row>
    <row r="590" ht="16.5" customHeight="1" spans="5:6">
      <c r="E590" s="58">
        <v>45428</v>
      </c>
      <c r="F590" s="59">
        <v>16698.32</v>
      </c>
    </row>
    <row r="591" ht="16.5" customHeight="1" spans="5:6">
      <c r="E591" s="58">
        <v>45427</v>
      </c>
      <c r="F591" s="59">
        <v>16742.39</v>
      </c>
    </row>
    <row r="592" ht="16.5" customHeight="1" spans="5:6">
      <c r="E592" s="58">
        <v>45426</v>
      </c>
      <c r="F592" s="59">
        <v>16511.18</v>
      </c>
    </row>
    <row r="593" ht="16.5" customHeight="1" spans="5:6">
      <c r="E593" s="58">
        <v>45425</v>
      </c>
      <c r="F593" s="59">
        <v>16388.24</v>
      </c>
    </row>
    <row r="594" ht="16.5" customHeight="1" spans="5:6">
      <c r="E594" s="58">
        <v>45422</v>
      </c>
      <c r="F594" s="59">
        <v>16340.87</v>
      </c>
    </row>
    <row r="595" ht="16.5" customHeight="1" spans="5:6">
      <c r="E595" s="58">
        <v>45421</v>
      </c>
      <c r="F595" s="59">
        <v>16346.26</v>
      </c>
    </row>
    <row r="596" ht="16.5" customHeight="1" spans="5:6">
      <c r="E596" s="58">
        <v>45420</v>
      </c>
      <c r="F596" s="59">
        <v>16302.76</v>
      </c>
    </row>
    <row r="597" ht="16.5" customHeight="1" spans="5:6">
      <c r="E597" s="58">
        <v>45419</v>
      </c>
      <c r="F597" s="59">
        <v>16332.56</v>
      </c>
    </row>
    <row r="598" ht="16.5" customHeight="1" spans="5:6">
      <c r="E598" s="58">
        <v>45418</v>
      </c>
      <c r="F598" s="59">
        <v>16349.25</v>
      </c>
    </row>
    <row r="599" ht="16.5" customHeight="1" spans="5:6">
      <c r="E599" s="58">
        <v>45415</v>
      </c>
      <c r="F599" s="59">
        <v>16156.33</v>
      </c>
    </row>
    <row r="600" ht="16.5" customHeight="1" spans="5:6">
      <c r="E600" s="58">
        <v>45414</v>
      </c>
      <c r="F600" s="59">
        <v>15840.96</v>
      </c>
    </row>
    <row r="601" ht="16.5" customHeight="1" spans="5:6">
      <c r="E601" s="58">
        <v>45413</v>
      </c>
      <c r="F601" s="59">
        <v>15605.48</v>
      </c>
    </row>
    <row r="602" ht="16.5" customHeight="1" spans="5:6">
      <c r="E602" s="58">
        <v>45412</v>
      </c>
      <c r="F602" s="59">
        <v>15657.82</v>
      </c>
    </row>
    <row r="603" ht="16.5" customHeight="1" spans="5:6">
      <c r="E603" s="58">
        <v>45411</v>
      </c>
      <c r="F603" s="59">
        <v>15983.08</v>
      </c>
    </row>
    <row r="604" ht="16.5" customHeight="1" spans="5:6">
      <c r="E604" s="58">
        <v>45408</v>
      </c>
      <c r="F604" s="59">
        <v>15927.9</v>
      </c>
    </row>
    <row r="605" ht="16.5" customHeight="1" spans="5:6">
      <c r="E605" s="58">
        <v>45407</v>
      </c>
      <c r="F605" s="59">
        <v>15611.76</v>
      </c>
    </row>
    <row r="606" ht="16.5" customHeight="1" spans="5:6">
      <c r="E606" s="58">
        <v>45406</v>
      </c>
      <c r="F606" s="59">
        <v>15712.75</v>
      </c>
    </row>
    <row r="607" ht="16.5" customHeight="1" spans="5:6">
      <c r="E607" s="58">
        <v>45405</v>
      </c>
      <c r="F607" s="59">
        <v>15696.64</v>
      </c>
    </row>
    <row r="608" ht="16.5" customHeight="1" spans="5:6">
      <c r="E608" s="58">
        <v>45404</v>
      </c>
      <c r="F608" s="59">
        <v>15451.31</v>
      </c>
    </row>
    <row r="609" ht="16.5" customHeight="1" spans="5:6">
      <c r="E609" s="58">
        <v>45401</v>
      </c>
      <c r="F609" s="59">
        <v>15282.01</v>
      </c>
    </row>
    <row r="610" ht="16.5" customHeight="1" spans="5:6">
      <c r="E610" s="58">
        <v>45400</v>
      </c>
      <c r="F610" s="59">
        <v>15601.5</v>
      </c>
    </row>
    <row r="611" ht="16.5" customHeight="1" spans="5:6">
      <c r="E611" s="58">
        <v>45399</v>
      </c>
      <c r="F611" s="59">
        <v>15683.37</v>
      </c>
    </row>
    <row r="612" ht="16.5" customHeight="1" spans="5:6">
      <c r="E612" s="58">
        <v>45398</v>
      </c>
      <c r="F612" s="59">
        <v>15865.25</v>
      </c>
    </row>
    <row r="613" ht="16.5" customHeight="1" spans="5:6">
      <c r="E613" s="58">
        <v>45397</v>
      </c>
      <c r="F613" s="59">
        <v>15885.02</v>
      </c>
    </row>
    <row r="614" ht="16.5" customHeight="1" spans="5:6">
      <c r="E614" s="58">
        <v>45394</v>
      </c>
      <c r="F614" s="59">
        <v>16175.09</v>
      </c>
    </row>
    <row r="615" ht="16.5" customHeight="1" spans="5:6">
      <c r="E615" s="58">
        <v>45393</v>
      </c>
      <c r="F615" s="59">
        <v>16442.2</v>
      </c>
    </row>
    <row r="616" ht="16.5" customHeight="1" spans="5:6">
      <c r="E616" s="58">
        <v>45392</v>
      </c>
      <c r="F616" s="59">
        <v>16170.36</v>
      </c>
    </row>
    <row r="617" ht="16.5" customHeight="1" spans="5:6">
      <c r="E617" s="58">
        <v>45391</v>
      </c>
      <c r="F617" s="59">
        <v>16306.64</v>
      </c>
    </row>
    <row r="618" ht="16.5" customHeight="1" spans="5:6">
      <c r="E618" s="58">
        <v>45390</v>
      </c>
      <c r="F618" s="59">
        <v>16253.96</v>
      </c>
    </row>
    <row r="619" ht="16.5" customHeight="1" spans="5:6">
      <c r="E619" s="58">
        <v>45387</v>
      </c>
      <c r="F619" s="59">
        <v>16248.52</v>
      </c>
    </row>
    <row r="620" ht="16.5" customHeight="1" spans="5:6">
      <c r="E620" s="58">
        <v>45386</v>
      </c>
      <c r="F620" s="59">
        <v>16049.08</v>
      </c>
    </row>
    <row r="621" ht="16.5" customHeight="1" spans="5:6">
      <c r="E621" s="58">
        <v>45385</v>
      </c>
      <c r="F621" s="59">
        <v>16277.46</v>
      </c>
    </row>
    <row r="622" ht="16.5" customHeight="1" spans="5:6">
      <c r="E622" s="58">
        <v>45384</v>
      </c>
      <c r="F622" s="59">
        <v>16240.45</v>
      </c>
    </row>
    <row r="623" ht="16.5" customHeight="1" spans="5:6">
      <c r="E623" s="58">
        <v>45383</v>
      </c>
      <c r="F623" s="59">
        <v>16396.83</v>
      </c>
    </row>
    <row r="624" ht="16.5" customHeight="1" spans="5:6">
      <c r="E624" s="58">
        <v>45379</v>
      </c>
      <c r="F624" s="59">
        <v>16379.46</v>
      </c>
    </row>
    <row r="625" ht="16.5" customHeight="1" spans="5:6">
      <c r="E625" s="58">
        <v>45378</v>
      </c>
      <c r="F625" s="59">
        <v>16399.52</v>
      </c>
    </row>
    <row r="626" ht="16.5" customHeight="1" spans="5:6">
      <c r="E626" s="58">
        <v>45377</v>
      </c>
      <c r="F626" s="59">
        <v>16315.7</v>
      </c>
    </row>
    <row r="627" ht="16.5" customHeight="1" spans="5:6">
      <c r="E627" s="58">
        <v>45376</v>
      </c>
      <c r="F627" s="59">
        <v>16384.47</v>
      </c>
    </row>
    <row r="628" ht="16.5" customHeight="1" spans="5:6">
      <c r="E628" s="58">
        <v>45373</v>
      </c>
      <c r="F628" s="59">
        <v>16428.82</v>
      </c>
    </row>
    <row r="629" ht="16.5" customHeight="1" spans="5:6">
      <c r="E629" s="58">
        <v>45372</v>
      </c>
      <c r="F629" s="59">
        <v>16401.84</v>
      </c>
    </row>
    <row r="630" ht="16.5" customHeight="1" spans="5:6">
      <c r="E630" s="58">
        <v>45371</v>
      </c>
      <c r="F630" s="59">
        <v>16369.41</v>
      </c>
    </row>
    <row r="631" ht="16.5" customHeight="1" spans="5:6">
      <c r="E631" s="58">
        <v>45370</v>
      </c>
      <c r="F631" s="59">
        <v>16166.79</v>
      </c>
    </row>
    <row r="632" ht="16.5" customHeight="1" spans="5:6">
      <c r="E632" s="58">
        <v>45369</v>
      </c>
      <c r="F632" s="59">
        <v>16103.45</v>
      </c>
    </row>
    <row r="633" ht="16.5" customHeight="1" spans="5:6">
      <c r="E633" s="58">
        <v>45366</v>
      </c>
      <c r="F633" s="59">
        <v>15973.17</v>
      </c>
    </row>
    <row r="634" ht="16.5" customHeight="1" spans="5:6">
      <c r="E634" s="58">
        <v>45365</v>
      </c>
      <c r="F634" s="59">
        <v>16128.53</v>
      </c>
    </row>
    <row r="635" ht="16.5" customHeight="1" spans="5:6">
      <c r="E635" s="58">
        <v>45364</v>
      </c>
      <c r="F635" s="59">
        <v>16177.77</v>
      </c>
    </row>
    <row r="636" ht="16.5" customHeight="1" spans="5:6">
      <c r="E636" s="58">
        <v>45363</v>
      </c>
      <c r="F636" s="59">
        <v>16265.64</v>
      </c>
    </row>
    <row r="637" ht="16.5" customHeight="1" spans="5:6">
      <c r="E637" s="58">
        <v>45362</v>
      </c>
      <c r="F637" s="59">
        <v>16019.27</v>
      </c>
    </row>
    <row r="638" ht="16.5" customHeight="1" spans="5:6">
      <c r="E638" s="58">
        <v>45359</v>
      </c>
      <c r="F638" s="59">
        <v>16085.11</v>
      </c>
    </row>
    <row r="639" ht="16.5" customHeight="1" spans="5:6">
      <c r="E639" s="58">
        <v>45358</v>
      </c>
      <c r="F639" s="59">
        <v>16273.38</v>
      </c>
    </row>
    <row r="640" ht="16.5" customHeight="1" spans="5:6">
      <c r="E640" s="58">
        <v>45357</v>
      </c>
      <c r="F640" s="59">
        <v>16031.54</v>
      </c>
    </row>
    <row r="641" ht="16.5" customHeight="1" spans="5:6">
      <c r="E641" s="58">
        <v>45356</v>
      </c>
      <c r="F641" s="59">
        <v>15939.59</v>
      </c>
    </row>
    <row r="642" ht="16.5" customHeight="1" spans="5:6">
      <c r="E642" s="58">
        <v>45355</v>
      </c>
      <c r="F642" s="59">
        <v>16207.51</v>
      </c>
    </row>
    <row r="643" ht="16.5" customHeight="1" spans="5:6">
      <c r="E643" s="58">
        <v>45352</v>
      </c>
      <c r="F643" s="59">
        <v>16274.94</v>
      </c>
    </row>
    <row r="644" ht="16.5" customHeight="1" spans="5:6">
      <c r="E644" s="58">
        <v>45351</v>
      </c>
      <c r="F644" s="59">
        <v>16091.92</v>
      </c>
    </row>
    <row r="645" ht="16.5" customHeight="1" spans="5:6">
      <c r="E645" s="58">
        <v>45350</v>
      </c>
      <c r="F645" s="59">
        <v>15947.74</v>
      </c>
    </row>
    <row r="646" ht="16.5" customHeight="1" spans="5:6">
      <c r="E646" s="58">
        <v>45349</v>
      </c>
      <c r="F646" s="59">
        <v>16035.3</v>
      </c>
    </row>
    <row r="647" ht="16.5" customHeight="1" spans="5:6">
      <c r="E647" s="58">
        <v>45348</v>
      </c>
      <c r="F647" s="59">
        <v>15976.25</v>
      </c>
    </row>
    <row r="648" ht="16.5" customHeight="1" spans="5:6">
      <c r="E648" s="58">
        <v>45345</v>
      </c>
      <c r="F648" s="59">
        <v>15996.82</v>
      </c>
    </row>
    <row r="649" ht="16.5" customHeight="1" spans="5:6">
      <c r="E649" s="58">
        <v>45344</v>
      </c>
      <c r="F649" s="59">
        <v>16041.62</v>
      </c>
    </row>
    <row r="650" ht="16.5" customHeight="1" spans="5:6">
      <c r="E650" s="58">
        <v>45343</v>
      </c>
      <c r="F650" s="59">
        <v>15580.87</v>
      </c>
    </row>
    <row r="651" ht="16.5" customHeight="1" spans="5:6">
      <c r="E651" s="58">
        <v>45342</v>
      </c>
      <c r="F651" s="59">
        <v>15630.78</v>
      </c>
    </row>
    <row r="652" ht="16.5" customHeight="1" spans="5:6">
      <c r="E652" s="58">
        <v>45338</v>
      </c>
      <c r="F652" s="59">
        <v>15775.65</v>
      </c>
    </row>
    <row r="653" ht="16.5" customHeight="1" spans="5:6">
      <c r="E653" s="58">
        <v>45337</v>
      </c>
      <c r="F653" s="59">
        <v>15906.17</v>
      </c>
    </row>
    <row r="654" ht="16.5" customHeight="1" spans="5:6">
      <c r="E654" s="58">
        <v>45336</v>
      </c>
      <c r="F654" s="59">
        <v>15859.15</v>
      </c>
    </row>
    <row r="655" ht="16.5" customHeight="1" spans="5:6">
      <c r="E655" s="58">
        <v>45335</v>
      </c>
      <c r="F655" s="59">
        <v>15655.6</v>
      </c>
    </row>
    <row r="656" ht="16.5" customHeight="1" spans="5:6">
      <c r="E656" s="58">
        <v>45334</v>
      </c>
      <c r="F656" s="59">
        <v>15942.55</v>
      </c>
    </row>
    <row r="657" ht="16.5" customHeight="1" spans="5:6">
      <c r="E657" s="58">
        <v>45331</v>
      </c>
      <c r="F657" s="59">
        <v>15990.66</v>
      </c>
    </row>
    <row r="658" ht="16.5" customHeight="1" spans="5:6">
      <c r="E658" s="58">
        <v>45330</v>
      </c>
      <c r="F658" s="59">
        <v>15793.71</v>
      </c>
    </row>
    <row r="659" ht="16.5" customHeight="1" spans="5:6">
      <c r="E659" s="58">
        <v>45329</v>
      </c>
      <c r="F659" s="59">
        <v>15756.64</v>
      </c>
    </row>
    <row r="660" ht="16.5" customHeight="1" spans="5:6">
      <c r="E660" s="58">
        <v>45328</v>
      </c>
      <c r="F660" s="59">
        <v>15609</v>
      </c>
    </row>
    <row r="661" ht="16.5" customHeight="1" spans="5:6">
      <c r="E661" s="58">
        <v>45327</v>
      </c>
      <c r="F661" s="59">
        <v>15597.68</v>
      </c>
    </row>
    <row r="662" ht="16.5" customHeight="1" spans="5:6">
      <c r="E662" s="58">
        <v>45324</v>
      </c>
      <c r="F662" s="59">
        <v>15628.95</v>
      </c>
    </row>
    <row r="663" ht="16.5" customHeight="1" spans="5:6">
      <c r="E663" s="58">
        <v>45323</v>
      </c>
      <c r="F663" s="59">
        <v>15361.64</v>
      </c>
    </row>
    <row r="664" ht="16.5" customHeight="1" spans="5:6">
      <c r="E664" s="58">
        <v>45322</v>
      </c>
      <c r="F664" s="59">
        <v>15164.01</v>
      </c>
    </row>
    <row r="665" ht="16.5" customHeight="1" spans="5:6">
      <c r="E665" s="58">
        <v>45321</v>
      </c>
      <c r="F665" s="59">
        <v>15509.9</v>
      </c>
    </row>
    <row r="666" ht="16.5" customHeight="1" spans="5:6">
      <c r="E666" s="58">
        <v>45320</v>
      </c>
      <c r="F666" s="59">
        <v>15628.04</v>
      </c>
    </row>
    <row r="667" ht="16.5" customHeight="1" spans="5:6">
      <c r="E667" s="58">
        <v>45317</v>
      </c>
      <c r="F667" s="59">
        <v>15455.36</v>
      </c>
    </row>
    <row r="668" ht="16.5" customHeight="1" spans="5:6">
      <c r="E668" s="58">
        <v>45316</v>
      </c>
      <c r="F668" s="59">
        <v>15510.5</v>
      </c>
    </row>
    <row r="669" ht="16.5" customHeight="1" spans="5:6">
      <c r="E669" s="58">
        <v>45315</v>
      </c>
      <c r="F669" s="59">
        <v>15481.92</v>
      </c>
    </row>
    <row r="670" ht="16.5" customHeight="1" spans="5:6">
      <c r="E670" s="58">
        <v>45314</v>
      </c>
      <c r="F670" s="59">
        <v>15425.94</v>
      </c>
    </row>
    <row r="671" ht="16.5" customHeight="1" spans="5:6">
      <c r="E671" s="58">
        <v>45313</v>
      </c>
      <c r="F671" s="59">
        <v>15360.29</v>
      </c>
    </row>
    <row r="672" ht="16.5" customHeight="1" spans="5:6">
      <c r="E672" s="58">
        <v>45310</v>
      </c>
      <c r="F672" s="59">
        <v>15310.97</v>
      </c>
    </row>
    <row r="673" ht="16.5" customHeight="1" spans="5:6">
      <c r="E673" s="58">
        <v>45309</v>
      </c>
      <c r="F673" s="59">
        <v>15055.65</v>
      </c>
    </row>
    <row r="674" ht="16.5" customHeight="1" spans="5:6">
      <c r="E674" s="58">
        <v>45308</v>
      </c>
      <c r="F674" s="59">
        <v>14855.62</v>
      </c>
    </row>
    <row r="675" ht="16.5" customHeight="1" spans="5:6">
      <c r="E675" s="58">
        <v>45307</v>
      </c>
      <c r="F675" s="59">
        <v>14944.35</v>
      </c>
    </row>
    <row r="676" ht="16.5" customHeight="1" spans="5:6">
      <c r="E676" s="58">
        <v>45303</v>
      </c>
      <c r="F676" s="59">
        <v>14972.76</v>
      </c>
    </row>
    <row r="677" ht="16.5" customHeight="1" spans="5:6">
      <c r="E677" s="58">
        <v>45302</v>
      </c>
      <c r="F677" s="59">
        <v>14970.18</v>
      </c>
    </row>
    <row r="678" ht="16.5" customHeight="1" spans="5:6">
      <c r="E678" s="58">
        <v>45301</v>
      </c>
      <c r="F678" s="59">
        <v>14969.65</v>
      </c>
    </row>
    <row r="679" ht="16.5" customHeight="1" spans="5:6">
      <c r="E679" s="58">
        <v>45300</v>
      </c>
      <c r="F679" s="59">
        <v>14857.71</v>
      </c>
    </row>
    <row r="680" ht="16.5" customHeight="1" spans="5:6">
      <c r="E680" s="58">
        <v>45299</v>
      </c>
      <c r="F680" s="59">
        <v>14843.77</v>
      </c>
    </row>
    <row r="681" ht="16.5" customHeight="1" spans="5:6">
      <c r="E681" s="58">
        <v>45296</v>
      </c>
      <c r="F681" s="59">
        <v>14524.07</v>
      </c>
    </row>
    <row r="682" ht="16.5" customHeight="1" spans="5:6">
      <c r="E682" s="58">
        <v>45295</v>
      </c>
      <c r="F682" s="59">
        <v>14510.3</v>
      </c>
    </row>
    <row r="683" ht="16.5" customHeight="1" spans="5:6">
      <c r="E683" s="58">
        <v>45294</v>
      </c>
      <c r="F683" s="59">
        <v>14592.21</v>
      </c>
    </row>
    <row r="684" ht="16.5" customHeight="1" spans="5:6">
      <c r="E684" s="58">
        <v>45293</v>
      </c>
      <c r="F684" s="59">
        <v>14765.94</v>
      </c>
    </row>
    <row r="685" ht="16.5" customHeight="1" spans="5:6">
      <c r="E685" s="58">
        <v>45289</v>
      </c>
      <c r="F685" s="59">
        <v>15011.35</v>
      </c>
    </row>
    <row r="686" ht="16.5" customHeight="1" spans="5:6">
      <c r="E686" s="58">
        <v>45288</v>
      </c>
      <c r="F686" s="59">
        <v>15095.14</v>
      </c>
    </row>
    <row r="687" ht="16.5" customHeight="1" spans="5:6">
      <c r="E687" s="58">
        <v>45287</v>
      </c>
      <c r="F687" s="59">
        <v>15099.18</v>
      </c>
    </row>
    <row r="688" ht="16.5" customHeight="1" spans="5:6">
      <c r="E688" s="58">
        <v>45286</v>
      </c>
      <c r="F688" s="59">
        <v>15074.57</v>
      </c>
    </row>
    <row r="689" ht="16.5" customHeight="1" spans="5:6">
      <c r="E689" s="58">
        <v>45282</v>
      </c>
      <c r="F689" s="59">
        <v>14992.97</v>
      </c>
    </row>
    <row r="690" ht="16.5" customHeight="1" spans="5:6">
      <c r="E690" s="58">
        <v>45281</v>
      </c>
      <c r="F690" s="59">
        <v>14963.87</v>
      </c>
    </row>
    <row r="691" ht="16.5" customHeight="1" spans="5:6">
      <c r="E691" s="58">
        <v>45280</v>
      </c>
      <c r="F691" s="59">
        <v>14777.94</v>
      </c>
    </row>
    <row r="692" ht="16.5" customHeight="1" spans="5:6">
      <c r="E692" s="58">
        <v>45279</v>
      </c>
      <c r="F692" s="59">
        <v>15003.22</v>
      </c>
    </row>
    <row r="693" ht="16.5" customHeight="1" spans="5:6">
      <c r="E693" s="58">
        <v>45278</v>
      </c>
      <c r="F693" s="59">
        <v>14905.19</v>
      </c>
    </row>
    <row r="694" ht="16.5" customHeight="1" spans="5:6">
      <c r="E694" s="58">
        <v>45275</v>
      </c>
      <c r="F694" s="59">
        <v>14813.92</v>
      </c>
    </row>
    <row r="695" ht="16.5" customHeight="1" spans="5:6">
      <c r="E695" s="58">
        <v>45274</v>
      </c>
      <c r="F695" s="59">
        <v>14761.56</v>
      </c>
    </row>
    <row r="696" ht="16.5" customHeight="1" spans="5:6">
      <c r="E696" s="58">
        <v>45273</v>
      </c>
      <c r="F696" s="59">
        <v>14733.96</v>
      </c>
    </row>
    <row r="697" ht="16.5" customHeight="1" spans="5:6">
      <c r="E697" s="58">
        <v>45272</v>
      </c>
      <c r="F697" s="59">
        <v>14533.4</v>
      </c>
    </row>
    <row r="698" ht="16.5" customHeight="1" spans="5:6">
      <c r="E698" s="58">
        <v>45271</v>
      </c>
      <c r="F698" s="59">
        <v>14432.49</v>
      </c>
    </row>
    <row r="699" ht="16.5" customHeight="1" spans="5:6">
      <c r="E699" s="58">
        <v>45268</v>
      </c>
      <c r="F699" s="59">
        <v>14403.97</v>
      </c>
    </row>
    <row r="700" ht="16.5" customHeight="1" spans="5:6">
      <c r="E700" s="58">
        <v>45267</v>
      </c>
      <c r="F700" s="59">
        <v>14339.99</v>
      </c>
    </row>
    <row r="701" ht="16.5" customHeight="1" spans="5:6">
      <c r="E701" s="58">
        <v>45266</v>
      </c>
      <c r="F701" s="59">
        <v>14146.71</v>
      </c>
    </row>
    <row r="702" ht="16.5" customHeight="1" spans="5:6">
      <c r="E702" s="58">
        <v>45265</v>
      </c>
      <c r="F702" s="59">
        <v>14229.91</v>
      </c>
    </row>
    <row r="703" ht="16.5" customHeight="1" spans="5:6">
      <c r="E703" s="58">
        <v>45264</v>
      </c>
      <c r="F703" s="59">
        <v>14185.49</v>
      </c>
    </row>
    <row r="704" ht="16.5" customHeight="1" spans="5:6">
      <c r="E704" s="58">
        <v>45261</v>
      </c>
      <c r="F704" s="59">
        <v>14305.03</v>
      </c>
    </row>
    <row r="705" ht="16.5" customHeight="1" spans="5:6">
      <c r="E705" s="58">
        <v>45260</v>
      </c>
      <c r="F705" s="59">
        <v>14226.22</v>
      </c>
    </row>
    <row r="706" ht="16.5" customHeight="1" spans="5:6">
      <c r="E706" s="58">
        <v>45259</v>
      </c>
      <c r="F706" s="59">
        <v>14258.49</v>
      </c>
    </row>
    <row r="707" ht="16.5" customHeight="1" spans="5:6">
      <c r="E707" s="58">
        <v>45258</v>
      </c>
      <c r="F707" s="59">
        <v>14281.76</v>
      </c>
    </row>
    <row r="708" ht="16.5" customHeight="1" spans="5:6">
      <c r="E708" s="58">
        <v>45257</v>
      </c>
      <c r="F708" s="59">
        <v>14241.02</v>
      </c>
    </row>
    <row r="709" ht="16.5" customHeight="1" spans="5:6">
      <c r="E709" s="58">
        <v>45254</v>
      </c>
      <c r="F709" s="59">
        <v>14250.85</v>
      </c>
    </row>
    <row r="710" ht="16.5" customHeight="1" spans="5:6">
      <c r="E710" s="58">
        <v>45252</v>
      </c>
      <c r="F710" s="59">
        <v>14265.86</v>
      </c>
    </row>
    <row r="711" ht="16.5" customHeight="1" spans="5:6">
      <c r="E711" s="58">
        <v>45251</v>
      </c>
      <c r="F711" s="59">
        <v>14199.98</v>
      </c>
    </row>
    <row r="712" ht="16.5" customHeight="1" spans="5:6">
      <c r="E712" s="58">
        <v>45250</v>
      </c>
      <c r="F712" s="59">
        <v>14284.53</v>
      </c>
    </row>
    <row r="713" ht="16.5" customHeight="1" spans="5:6">
      <c r="E713" s="58">
        <v>45247</v>
      </c>
      <c r="F713" s="59">
        <v>14125.48</v>
      </c>
    </row>
    <row r="714" ht="16.5" customHeight="1" spans="5:6">
      <c r="E714" s="58">
        <v>45246</v>
      </c>
      <c r="F714" s="59">
        <v>14113.67</v>
      </c>
    </row>
    <row r="715" ht="16.5" customHeight="1" spans="5:6">
      <c r="E715" s="58">
        <v>45245</v>
      </c>
      <c r="F715" s="59">
        <v>14103.84</v>
      </c>
    </row>
    <row r="716" ht="16.5" customHeight="1" spans="5:6">
      <c r="E716" s="58">
        <v>45244</v>
      </c>
      <c r="F716" s="59">
        <v>14094.38</v>
      </c>
    </row>
    <row r="717" ht="16.5" customHeight="1" spans="5:6">
      <c r="E717" s="58">
        <v>45243</v>
      </c>
      <c r="F717" s="59">
        <v>13767.74</v>
      </c>
    </row>
    <row r="718" ht="16.5" customHeight="1" spans="5:6">
      <c r="E718" s="58">
        <v>45240</v>
      </c>
      <c r="F718" s="59">
        <v>13798.11</v>
      </c>
    </row>
    <row r="719" ht="16.5" customHeight="1" spans="5:6">
      <c r="E719" s="58">
        <v>45239</v>
      </c>
      <c r="F719" s="59">
        <v>13521.45</v>
      </c>
    </row>
    <row r="720" ht="16.5" customHeight="1" spans="5:6">
      <c r="E720" s="58">
        <v>45238</v>
      </c>
      <c r="F720" s="59">
        <v>13650.41</v>
      </c>
    </row>
    <row r="721" ht="16.5" customHeight="1" spans="5:6">
      <c r="E721" s="58">
        <v>45237</v>
      </c>
      <c r="F721" s="59">
        <v>13639.86</v>
      </c>
    </row>
    <row r="722" ht="16.5" customHeight="1" spans="5:6">
      <c r="E722" s="58">
        <v>45236</v>
      </c>
      <c r="F722" s="59">
        <v>13518.78</v>
      </c>
    </row>
    <row r="723" ht="16.5" customHeight="1" spans="5:6">
      <c r="E723" s="58">
        <v>45233</v>
      </c>
      <c r="F723" s="59">
        <v>13478.28</v>
      </c>
    </row>
    <row r="724" ht="16.5" customHeight="1" spans="5:6">
      <c r="E724" s="58">
        <v>45232</v>
      </c>
      <c r="F724" s="59">
        <v>13294.19</v>
      </c>
    </row>
    <row r="725" ht="16.5" customHeight="1" spans="5:6">
      <c r="E725" s="58">
        <v>45231</v>
      </c>
      <c r="F725" s="59">
        <v>13061.47</v>
      </c>
    </row>
    <row r="726" ht="16.5" customHeight="1" spans="5:6">
      <c r="E726" s="58">
        <v>45230</v>
      </c>
      <c r="F726" s="59">
        <v>12851.24</v>
      </c>
    </row>
    <row r="727" ht="16.5" customHeight="1" spans="5:6">
      <c r="E727" s="58">
        <v>45229</v>
      </c>
      <c r="F727" s="59">
        <v>12789.48</v>
      </c>
    </row>
    <row r="728" ht="16.5" customHeight="1" spans="5:6">
      <c r="E728" s="58">
        <v>45226</v>
      </c>
      <c r="F728" s="59">
        <v>12643.01</v>
      </c>
    </row>
    <row r="729" ht="16.5" customHeight="1" spans="5:6">
      <c r="E729" s="58">
        <v>45225</v>
      </c>
      <c r="F729" s="59">
        <v>12595.61</v>
      </c>
    </row>
    <row r="730" ht="16.5" customHeight="1" spans="5:6">
      <c r="E730" s="58">
        <v>45224</v>
      </c>
      <c r="F730" s="59">
        <v>12821.22</v>
      </c>
    </row>
    <row r="731" ht="16.5" customHeight="1" spans="5:6">
      <c r="E731" s="58">
        <v>45223</v>
      </c>
      <c r="F731" s="59">
        <v>13139.87</v>
      </c>
    </row>
    <row r="732" ht="16.5" customHeight="1" spans="5:6">
      <c r="E732" s="58">
        <v>45222</v>
      </c>
      <c r="F732" s="59">
        <v>13018.33</v>
      </c>
    </row>
    <row r="733" ht="16.5" customHeight="1" spans="5:6">
      <c r="E733" s="58">
        <v>45219</v>
      </c>
      <c r="F733" s="59">
        <v>12983.81</v>
      </c>
    </row>
    <row r="734" ht="16.5" customHeight="1" spans="5:6">
      <c r="E734" s="58">
        <v>45218</v>
      </c>
      <c r="F734" s="59">
        <v>13186.18</v>
      </c>
    </row>
    <row r="735" ht="16.5" customHeight="1" spans="5:6">
      <c r="E735" s="58">
        <v>45217</v>
      </c>
      <c r="F735" s="59">
        <v>13314.3</v>
      </c>
    </row>
    <row r="736" ht="16.5" customHeight="1" spans="5:6">
      <c r="E736" s="58">
        <v>45216</v>
      </c>
      <c r="F736" s="59">
        <v>13533.75</v>
      </c>
    </row>
    <row r="737" ht="16.5" customHeight="1" spans="5:6">
      <c r="E737" s="58">
        <v>45215</v>
      </c>
      <c r="F737" s="59">
        <v>13567.98</v>
      </c>
    </row>
    <row r="738" ht="16.5" customHeight="1" spans="5:6">
      <c r="E738" s="58">
        <v>45212</v>
      </c>
      <c r="F738" s="59">
        <v>13407.23</v>
      </c>
    </row>
    <row r="739" ht="16.5" customHeight="1" spans="5:6">
      <c r="E739" s="58">
        <v>45211</v>
      </c>
      <c r="F739" s="59">
        <v>13574.22</v>
      </c>
    </row>
    <row r="740" ht="16.5" customHeight="1" spans="5:6">
      <c r="E740" s="58">
        <v>45210</v>
      </c>
      <c r="F740" s="59">
        <v>13659.68</v>
      </c>
    </row>
    <row r="741" ht="16.5" customHeight="1" spans="5:6">
      <c r="E741" s="58">
        <v>45209</v>
      </c>
      <c r="F741" s="59">
        <v>13562.84</v>
      </c>
    </row>
    <row r="742" ht="16.5" customHeight="1" spans="5:6">
      <c r="E742" s="58">
        <v>45208</v>
      </c>
      <c r="F742" s="59">
        <v>13484.24</v>
      </c>
    </row>
    <row r="743" ht="16.5" customHeight="1" spans="5:6">
      <c r="E743" s="58">
        <v>45205</v>
      </c>
      <c r="F743" s="59">
        <v>13431.34</v>
      </c>
    </row>
    <row r="744" ht="16.5" customHeight="1" spans="5:6">
      <c r="E744" s="58">
        <v>45204</v>
      </c>
      <c r="F744" s="59">
        <v>13219.83</v>
      </c>
    </row>
    <row r="745" ht="16.5" customHeight="1" spans="5:6">
      <c r="E745" s="58">
        <v>45203</v>
      </c>
      <c r="F745" s="59">
        <v>13236.01</v>
      </c>
    </row>
    <row r="746" ht="16.5" customHeight="1" spans="5:6">
      <c r="E746" s="58">
        <v>45202</v>
      </c>
      <c r="F746" s="59">
        <v>13059.47</v>
      </c>
    </row>
    <row r="747" ht="16.5" customHeight="1" spans="5:6">
      <c r="E747" s="58">
        <v>45201</v>
      </c>
      <c r="F747" s="59">
        <v>13307.77</v>
      </c>
    </row>
    <row r="748" ht="16.5" customHeight="1" spans="5:6">
      <c r="E748" s="58">
        <v>45198</v>
      </c>
      <c r="F748" s="59">
        <v>13219.32</v>
      </c>
    </row>
    <row r="749" ht="16.5" customHeight="1" spans="5:6">
      <c r="E749" s="58">
        <v>45197</v>
      </c>
      <c r="F749" s="59">
        <v>13201.28</v>
      </c>
    </row>
    <row r="750" ht="16.5" customHeight="1" spans="5:6">
      <c r="E750" s="58">
        <v>45196</v>
      </c>
      <c r="F750" s="59">
        <v>13092.85</v>
      </c>
    </row>
    <row r="751" ht="16.5" customHeight="1" spans="5:6">
      <c r="E751" s="58">
        <v>45195</v>
      </c>
      <c r="F751" s="59">
        <v>13063.61</v>
      </c>
    </row>
    <row r="752" ht="16.5" customHeight="1" spans="5:6">
      <c r="E752" s="58">
        <v>45194</v>
      </c>
      <c r="F752" s="59">
        <v>13271.32</v>
      </c>
    </row>
    <row r="753" ht="16.5" customHeight="1" spans="5:6">
      <c r="E753" s="58">
        <v>45191</v>
      </c>
      <c r="F753" s="59">
        <v>13211.81</v>
      </c>
    </row>
    <row r="754" ht="16.5" customHeight="1" spans="5:6">
      <c r="E754" s="58">
        <v>45190</v>
      </c>
      <c r="F754" s="59">
        <v>13223.98</v>
      </c>
    </row>
    <row r="755" ht="16.5" customHeight="1" spans="5:6">
      <c r="E755" s="58">
        <v>45189</v>
      </c>
      <c r="F755" s="59">
        <v>13469.13</v>
      </c>
    </row>
    <row r="756" ht="16.5" customHeight="1" spans="5:6">
      <c r="E756" s="58">
        <v>45188</v>
      </c>
      <c r="F756" s="59">
        <v>13678.19</v>
      </c>
    </row>
    <row r="757" ht="16.5" customHeight="1" spans="5:6">
      <c r="E757" s="58">
        <v>45187</v>
      </c>
      <c r="F757" s="59">
        <v>13710.24</v>
      </c>
    </row>
    <row r="758" ht="16.5" customHeight="1" spans="5:6">
      <c r="E758" s="58">
        <v>45184</v>
      </c>
      <c r="F758" s="59">
        <v>13708.33</v>
      </c>
    </row>
    <row r="759" ht="16.5" customHeight="1" spans="5:6">
      <c r="E759" s="58">
        <v>45183</v>
      </c>
      <c r="F759" s="59">
        <v>13926.05</v>
      </c>
    </row>
    <row r="760" ht="16.5" customHeight="1" spans="5:6">
      <c r="E760" s="58">
        <v>45182</v>
      </c>
      <c r="F760" s="59">
        <v>13813.59</v>
      </c>
    </row>
    <row r="761" ht="16.5" customHeight="1" spans="5:6">
      <c r="E761" s="58">
        <v>45181</v>
      </c>
      <c r="F761" s="59">
        <v>13773.61</v>
      </c>
    </row>
    <row r="762" ht="16.5" customHeight="1" spans="5:6">
      <c r="E762" s="58">
        <v>45180</v>
      </c>
      <c r="F762" s="59">
        <v>13917.89</v>
      </c>
    </row>
    <row r="763" ht="16.5" customHeight="1" spans="5:6">
      <c r="E763" s="58">
        <v>45177</v>
      </c>
      <c r="F763" s="59">
        <v>13761.53</v>
      </c>
    </row>
    <row r="764" ht="16.5" customHeight="1" spans="5:6">
      <c r="E764" s="58">
        <v>45176</v>
      </c>
      <c r="F764" s="59">
        <v>13748.83</v>
      </c>
    </row>
    <row r="765" ht="16.5" customHeight="1" spans="5:6">
      <c r="E765" s="58">
        <v>45175</v>
      </c>
      <c r="F765" s="59">
        <v>13872.47</v>
      </c>
    </row>
    <row r="766" ht="16.5" customHeight="1" spans="5:6">
      <c r="E766" s="58">
        <v>45174</v>
      </c>
      <c r="F766" s="59">
        <v>14020.95</v>
      </c>
    </row>
    <row r="767" ht="16.5" customHeight="1" spans="5:6">
      <c r="E767" s="58">
        <v>45170</v>
      </c>
      <c r="F767" s="59">
        <v>14031.81</v>
      </c>
    </row>
    <row r="768" ht="16.5" customHeight="1" spans="5:6">
      <c r="E768" s="58">
        <v>45169</v>
      </c>
      <c r="F768" s="59">
        <v>14034.97</v>
      </c>
    </row>
    <row r="769" ht="16.5" customHeight="1" spans="5:6">
      <c r="E769" s="58">
        <v>45168</v>
      </c>
      <c r="F769" s="59">
        <v>14019.31</v>
      </c>
    </row>
    <row r="770" ht="16.5" customHeight="1" spans="5:6">
      <c r="E770" s="58">
        <v>45167</v>
      </c>
      <c r="F770" s="59">
        <v>13943.76</v>
      </c>
    </row>
    <row r="771" ht="16.5" customHeight="1" spans="5:6">
      <c r="E771" s="58">
        <v>45166</v>
      </c>
      <c r="F771" s="59">
        <v>13705.13</v>
      </c>
    </row>
    <row r="772" ht="16.5" customHeight="1" spans="5:6">
      <c r="E772" s="58">
        <v>45163</v>
      </c>
      <c r="F772" s="59">
        <v>13590.65</v>
      </c>
    </row>
    <row r="773" ht="16.5" customHeight="1" spans="5:6">
      <c r="E773" s="58">
        <v>45162</v>
      </c>
      <c r="F773" s="59">
        <v>13463.97</v>
      </c>
    </row>
    <row r="774" ht="16.5" customHeight="1" spans="5:6">
      <c r="E774" s="58">
        <v>45161</v>
      </c>
      <c r="F774" s="59">
        <v>13721.03</v>
      </c>
    </row>
    <row r="775" ht="16.5" customHeight="1" spans="5:6">
      <c r="E775" s="58">
        <v>45160</v>
      </c>
      <c r="F775" s="59">
        <v>13505.87</v>
      </c>
    </row>
    <row r="776" ht="16.5" customHeight="1" spans="5:6">
      <c r="E776" s="58">
        <v>45159</v>
      </c>
      <c r="F776" s="59">
        <v>13497.59</v>
      </c>
    </row>
    <row r="777" ht="16.5" customHeight="1" spans="5:6">
      <c r="E777" s="58">
        <v>45156</v>
      </c>
      <c r="F777" s="59">
        <v>13290.78</v>
      </c>
    </row>
    <row r="778" ht="16.5" customHeight="1" spans="5:6">
      <c r="E778" s="58">
        <v>45155</v>
      </c>
      <c r="F778" s="59">
        <v>13316.93</v>
      </c>
    </row>
    <row r="779" ht="16.5" customHeight="1" spans="5:6">
      <c r="E779" s="58">
        <v>45154</v>
      </c>
      <c r="F779" s="59">
        <v>13474.63</v>
      </c>
    </row>
    <row r="780" ht="16.5" customHeight="1" spans="5:6">
      <c r="E780" s="58">
        <v>45153</v>
      </c>
      <c r="F780" s="59">
        <v>13631.05</v>
      </c>
    </row>
    <row r="781" ht="16.5" customHeight="1" spans="5:6">
      <c r="E781" s="58">
        <v>45152</v>
      </c>
      <c r="F781" s="59">
        <v>13788.33</v>
      </c>
    </row>
    <row r="782" ht="16.5" customHeight="1" spans="5:6">
      <c r="E782" s="58">
        <v>45149</v>
      </c>
      <c r="F782" s="59">
        <v>13644.85</v>
      </c>
    </row>
    <row r="783" ht="16.5" customHeight="1" spans="5:6">
      <c r="E783" s="58">
        <v>45148</v>
      </c>
      <c r="F783" s="59">
        <v>13737.99</v>
      </c>
    </row>
    <row r="784" ht="16.5" customHeight="1" spans="5:6">
      <c r="E784" s="58">
        <v>45147</v>
      </c>
      <c r="F784" s="59">
        <v>13722.02</v>
      </c>
    </row>
    <row r="785" ht="16.5" customHeight="1" spans="5:6">
      <c r="E785" s="58">
        <v>45146</v>
      </c>
      <c r="F785" s="59">
        <v>13884.32</v>
      </c>
    </row>
    <row r="786" ht="16.5" customHeight="1" spans="5:6">
      <c r="E786" s="58">
        <v>45145</v>
      </c>
      <c r="F786" s="59">
        <v>13994.4</v>
      </c>
    </row>
    <row r="787" ht="16.5" customHeight="1" spans="5:6">
      <c r="E787" s="58">
        <v>45142</v>
      </c>
      <c r="F787" s="59">
        <v>13909.24</v>
      </c>
    </row>
    <row r="788" ht="16.5" customHeight="1" spans="5:6">
      <c r="E788" s="58">
        <v>45141</v>
      </c>
      <c r="F788" s="59">
        <v>13959.72</v>
      </c>
    </row>
    <row r="789" ht="16.5" customHeight="1" spans="5:6">
      <c r="E789" s="58">
        <v>45140</v>
      </c>
      <c r="F789" s="59">
        <v>13973.45</v>
      </c>
    </row>
    <row r="790" ht="16.5" customHeight="1" spans="5:6">
      <c r="E790" s="58">
        <v>45139</v>
      </c>
      <c r="F790" s="59">
        <v>14283.91</v>
      </c>
    </row>
    <row r="791" ht="16.5" customHeight="1" spans="5:6">
      <c r="E791" s="58">
        <v>45138</v>
      </c>
      <c r="F791" s="59">
        <v>14346.02</v>
      </c>
    </row>
    <row r="792" ht="16.5" customHeight="1" spans="5:6">
      <c r="E792" s="58">
        <v>45135</v>
      </c>
      <c r="F792" s="59">
        <v>14316.66</v>
      </c>
    </row>
    <row r="793" ht="16.5" customHeight="1" spans="5:6">
      <c r="E793" s="58">
        <v>45134</v>
      </c>
      <c r="F793" s="59">
        <v>14050.11</v>
      </c>
    </row>
    <row r="794" ht="16.5" customHeight="1" spans="5:6">
      <c r="E794" s="58">
        <v>45133</v>
      </c>
      <c r="F794" s="59">
        <v>14127.28</v>
      </c>
    </row>
    <row r="795" ht="16.5" customHeight="1" spans="5:6">
      <c r="E795" s="58">
        <v>45132</v>
      </c>
      <c r="F795" s="59">
        <v>14144.56</v>
      </c>
    </row>
    <row r="796" ht="16.5" customHeight="1" spans="5:6">
      <c r="E796" s="58">
        <v>45131</v>
      </c>
      <c r="F796" s="59">
        <v>14058.87</v>
      </c>
    </row>
    <row r="797" ht="16.5" customHeight="1" spans="5:6">
      <c r="E797" s="58">
        <v>45128</v>
      </c>
      <c r="F797" s="59">
        <v>14032.81</v>
      </c>
    </row>
    <row r="798" ht="16.5" customHeight="1" spans="5:6">
      <c r="E798" s="58">
        <v>45127</v>
      </c>
      <c r="F798" s="59">
        <v>14063.31</v>
      </c>
    </row>
    <row r="799" ht="16.5" customHeight="1" spans="5:6">
      <c r="E799" s="58">
        <v>45126</v>
      </c>
      <c r="F799" s="59">
        <v>14358.02</v>
      </c>
    </row>
    <row r="800" ht="16.5" customHeight="1" spans="5:6">
      <c r="E800" s="58">
        <v>45125</v>
      </c>
      <c r="F800" s="59">
        <v>14353.64</v>
      </c>
    </row>
    <row r="801" ht="16.5" customHeight="1" spans="5:6">
      <c r="E801" s="58">
        <v>45124</v>
      </c>
      <c r="F801" s="59">
        <v>14244.95</v>
      </c>
    </row>
    <row r="802" ht="16.5" customHeight="1" spans="5:6">
      <c r="E802" s="58">
        <v>45121</v>
      </c>
      <c r="F802" s="59">
        <v>14113.7</v>
      </c>
    </row>
    <row r="803" ht="16.5" customHeight="1" spans="5:6">
      <c r="E803" s="58">
        <v>45120</v>
      </c>
      <c r="F803" s="59">
        <v>14138.57</v>
      </c>
    </row>
    <row r="804" ht="16.5" customHeight="1" spans="5:6">
      <c r="E804" s="58">
        <v>45119</v>
      </c>
      <c r="F804" s="59">
        <v>13918.96</v>
      </c>
    </row>
    <row r="805" ht="16.5" customHeight="1" spans="5:6">
      <c r="E805" s="58">
        <v>45118</v>
      </c>
      <c r="F805" s="59">
        <v>13760.7</v>
      </c>
    </row>
    <row r="806" ht="16.5" customHeight="1" spans="5:6">
      <c r="E806" s="58">
        <v>45117</v>
      </c>
      <c r="F806" s="59">
        <v>13685.48</v>
      </c>
    </row>
    <row r="807" ht="16.5" customHeight="1" spans="5:6">
      <c r="E807" s="58">
        <v>45114</v>
      </c>
      <c r="F807" s="59">
        <v>13660.72</v>
      </c>
    </row>
    <row r="808" ht="16.5" customHeight="1" spans="5:6">
      <c r="E808" s="58">
        <v>45113</v>
      </c>
      <c r="F808" s="59">
        <v>13679.04</v>
      </c>
    </row>
    <row r="809" ht="16.5" customHeight="1" spans="5:6">
      <c r="E809" s="58">
        <v>45112</v>
      </c>
      <c r="F809" s="59">
        <v>13791.65</v>
      </c>
    </row>
    <row r="810" ht="16.5" customHeight="1" spans="5:6">
      <c r="E810" s="58">
        <v>45110</v>
      </c>
      <c r="F810" s="59">
        <v>13816.77</v>
      </c>
    </row>
    <row r="811" ht="16.5" customHeight="1" spans="5:6">
      <c r="E811" s="58">
        <v>45107</v>
      </c>
      <c r="F811" s="59">
        <v>13787.92</v>
      </c>
    </row>
    <row r="812" ht="16.5" customHeight="1" spans="5:6">
      <c r="E812" s="58">
        <v>45106</v>
      </c>
      <c r="F812" s="59">
        <v>13591.33</v>
      </c>
    </row>
    <row r="813" ht="16.5" customHeight="1" spans="5:6">
      <c r="E813" s="58">
        <v>45105</v>
      </c>
      <c r="F813" s="59">
        <v>13591.75</v>
      </c>
    </row>
    <row r="814" ht="16.5" customHeight="1" spans="5:6">
      <c r="E814" s="58">
        <v>45104</v>
      </c>
      <c r="F814" s="59">
        <v>13555.67</v>
      </c>
    </row>
    <row r="815" ht="16.5" customHeight="1" spans="5:6">
      <c r="E815" s="58">
        <v>45103</v>
      </c>
      <c r="F815" s="59">
        <v>13335.78</v>
      </c>
    </row>
    <row r="816" ht="16.5" customHeight="1" spans="5:6">
      <c r="E816" s="58">
        <v>45100</v>
      </c>
      <c r="F816" s="59">
        <v>13492.52</v>
      </c>
    </row>
    <row r="817" ht="16.5" customHeight="1" spans="5:6">
      <c r="E817" s="58">
        <v>45099</v>
      </c>
      <c r="F817" s="59">
        <v>13630.61</v>
      </c>
    </row>
    <row r="818" ht="16.5" customHeight="1" spans="5:6">
      <c r="E818" s="58">
        <v>45098</v>
      </c>
      <c r="F818" s="59">
        <v>13502.2</v>
      </c>
    </row>
    <row r="819" ht="16.5" customHeight="1" spans="5:6">
      <c r="E819" s="58">
        <v>45097</v>
      </c>
      <c r="F819" s="59">
        <v>13667.29</v>
      </c>
    </row>
    <row r="820" ht="16.5" customHeight="1" spans="5:6">
      <c r="E820" s="58">
        <v>45093</v>
      </c>
      <c r="F820" s="59">
        <v>13689.57</v>
      </c>
    </row>
    <row r="821" ht="16.5" customHeight="1" spans="5:6">
      <c r="E821" s="58">
        <v>45092</v>
      </c>
      <c r="F821" s="59">
        <v>13782.82</v>
      </c>
    </row>
    <row r="822" ht="16.5" customHeight="1" spans="5:6">
      <c r="E822" s="58">
        <v>45091</v>
      </c>
      <c r="F822" s="59">
        <v>13626.48</v>
      </c>
    </row>
    <row r="823" ht="16.5" customHeight="1" spans="5:6">
      <c r="E823" s="58">
        <v>45090</v>
      </c>
      <c r="F823" s="59">
        <v>13573.32</v>
      </c>
    </row>
    <row r="824" ht="16.5" customHeight="1" spans="5:6">
      <c r="E824" s="58">
        <v>45089</v>
      </c>
      <c r="F824" s="59">
        <v>13461.92</v>
      </c>
    </row>
    <row r="825" ht="16.5" customHeight="1" spans="5:6">
      <c r="E825" s="58">
        <v>45086</v>
      </c>
      <c r="F825" s="59">
        <v>13259.14</v>
      </c>
    </row>
    <row r="826" ht="16.5" customHeight="1" spans="5:6">
      <c r="E826" s="58">
        <v>45085</v>
      </c>
      <c r="F826" s="59">
        <v>13238.52</v>
      </c>
    </row>
    <row r="827" ht="16.5" customHeight="1" spans="5:6">
      <c r="E827" s="58">
        <v>45084</v>
      </c>
      <c r="F827" s="59">
        <v>13104.89</v>
      </c>
    </row>
    <row r="828" ht="16.5" customHeight="1" spans="5:6">
      <c r="E828" s="58">
        <v>45083</v>
      </c>
      <c r="F828" s="59">
        <v>13276.42</v>
      </c>
    </row>
    <row r="829" ht="16.5" customHeight="1" spans="5:6">
      <c r="E829" s="58">
        <v>45082</v>
      </c>
      <c r="F829" s="59">
        <v>13229.43</v>
      </c>
    </row>
    <row r="830" ht="16.5" customHeight="1" spans="5:6">
      <c r="E830" s="58">
        <v>45079</v>
      </c>
      <c r="F830" s="59">
        <v>13240.77</v>
      </c>
    </row>
    <row r="831" ht="16.5" customHeight="1" spans="5:6">
      <c r="E831" s="58">
        <v>45078</v>
      </c>
      <c r="F831" s="59">
        <v>13100.98</v>
      </c>
    </row>
    <row r="832" ht="16.5" customHeight="1" spans="5:6">
      <c r="E832" s="58">
        <v>45077</v>
      </c>
      <c r="F832" s="59">
        <v>12935.29</v>
      </c>
    </row>
    <row r="833" ht="16.5" customHeight="1" spans="5:6">
      <c r="E833" s="58">
        <v>45076</v>
      </c>
      <c r="F833" s="59">
        <v>13017.43</v>
      </c>
    </row>
    <row r="834" ht="16.5" customHeight="1" spans="5:6">
      <c r="E834" s="58">
        <v>45072</v>
      </c>
      <c r="F834" s="59">
        <v>12975.69</v>
      </c>
    </row>
    <row r="835" ht="16.5" customHeight="1" spans="5:6">
      <c r="E835" s="58">
        <v>45071</v>
      </c>
      <c r="F835" s="59">
        <v>12698.09</v>
      </c>
    </row>
    <row r="836" ht="16.5" customHeight="1" spans="5:6">
      <c r="E836" s="58">
        <v>45070</v>
      </c>
      <c r="F836" s="59">
        <v>12484.16</v>
      </c>
    </row>
    <row r="837" ht="16.5" customHeight="1" spans="5:6">
      <c r="E837" s="58">
        <v>45069</v>
      </c>
      <c r="F837" s="59">
        <v>12560.25</v>
      </c>
    </row>
    <row r="838" ht="16.5" customHeight="1" spans="5:6">
      <c r="E838" s="58">
        <v>45068</v>
      </c>
      <c r="F838" s="59">
        <v>12720.78</v>
      </c>
    </row>
    <row r="839" ht="16.5" customHeight="1" spans="5:6">
      <c r="E839" s="58">
        <v>45065</v>
      </c>
      <c r="F839" s="59">
        <v>12657.9</v>
      </c>
    </row>
    <row r="840" ht="16.5" customHeight="1" spans="5:6">
      <c r="E840" s="58">
        <v>45064</v>
      </c>
      <c r="F840" s="59">
        <v>12688.84</v>
      </c>
    </row>
    <row r="841" ht="16.5" customHeight="1" spans="5:6">
      <c r="E841" s="58">
        <v>45063</v>
      </c>
      <c r="F841" s="59">
        <v>12500.57</v>
      </c>
    </row>
    <row r="842" ht="16.5" customHeight="1" spans="5:6">
      <c r="E842" s="58">
        <v>45062</v>
      </c>
      <c r="F842" s="59">
        <v>12343.05</v>
      </c>
    </row>
    <row r="843" ht="16.5" customHeight="1" spans="5:6">
      <c r="E843" s="58">
        <v>45061</v>
      </c>
      <c r="F843" s="59">
        <v>12365.21</v>
      </c>
    </row>
    <row r="844" ht="16.5" customHeight="1" spans="5:6">
      <c r="E844" s="58">
        <v>45058</v>
      </c>
      <c r="F844" s="59">
        <v>12284.74</v>
      </c>
    </row>
    <row r="845" ht="16.5" customHeight="1" spans="5:6">
      <c r="E845" s="58">
        <v>45057</v>
      </c>
      <c r="F845" s="59">
        <v>12328.51</v>
      </c>
    </row>
    <row r="846" ht="16.5" customHeight="1" spans="5:6">
      <c r="E846" s="58">
        <v>45056</v>
      </c>
      <c r="F846" s="59">
        <v>12306.44</v>
      </c>
    </row>
    <row r="847" ht="16.5" customHeight="1" spans="5:6">
      <c r="E847" s="58">
        <v>45055</v>
      </c>
      <c r="F847" s="59">
        <v>12179.55</v>
      </c>
    </row>
    <row r="848" ht="16.5" customHeight="1" spans="5:6">
      <c r="E848" s="58">
        <v>45054</v>
      </c>
      <c r="F848" s="59">
        <v>12256.92</v>
      </c>
    </row>
    <row r="849" ht="16.5" customHeight="1" spans="5:6">
      <c r="E849" s="58">
        <v>45051</v>
      </c>
      <c r="F849" s="59">
        <v>12235.41</v>
      </c>
    </row>
    <row r="850" ht="16.5" customHeight="1" spans="5:6">
      <c r="E850" s="58">
        <v>45050</v>
      </c>
      <c r="F850" s="59">
        <v>11966.4</v>
      </c>
    </row>
    <row r="851" ht="16.5" customHeight="1" spans="5:6">
      <c r="E851" s="58">
        <v>45049</v>
      </c>
      <c r="F851" s="59">
        <v>12025.33</v>
      </c>
    </row>
    <row r="852" ht="16.5" customHeight="1" spans="5:6">
      <c r="E852" s="58">
        <v>45048</v>
      </c>
      <c r="F852" s="59">
        <v>12080.51</v>
      </c>
    </row>
    <row r="853" ht="16.5" customHeight="1" spans="5:6">
      <c r="E853" s="58">
        <v>45047</v>
      </c>
      <c r="F853" s="59">
        <v>12212.6</v>
      </c>
    </row>
    <row r="854" ht="16.5" customHeight="1" spans="5:6">
      <c r="E854" s="58">
        <v>45044</v>
      </c>
      <c r="F854" s="59">
        <v>12226.58</v>
      </c>
    </row>
    <row r="855" ht="16.5" customHeight="1" spans="5:6">
      <c r="E855" s="58">
        <v>45043</v>
      </c>
      <c r="F855" s="59">
        <v>12142.24</v>
      </c>
    </row>
    <row r="856" ht="16.5" customHeight="1" spans="5:6">
      <c r="E856" s="58">
        <v>45042</v>
      </c>
      <c r="F856" s="59">
        <v>11854.35</v>
      </c>
    </row>
    <row r="857" ht="16.5" customHeight="1" spans="5:6">
      <c r="E857" s="58">
        <v>45041</v>
      </c>
      <c r="F857" s="59">
        <v>11799.16</v>
      </c>
    </row>
    <row r="858" ht="16.5" customHeight="1" spans="5:6">
      <c r="E858" s="58">
        <v>45040</v>
      </c>
      <c r="F858" s="59">
        <v>12037.2</v>
      </c>
    </row>
    <row r="859" ht="16.5" customHeight="1" spans="5:6">
      <c r="E859" s="58">
        <v>45037</v>
      </c>
      <c r="F859" s="59">
        <v>12072.46</v>
      </c>
    </row>
    <row r="860" ht="16.5" customHeight="1" spans="5:6">
      <c r="E860" s="58">
        <v>45036</v>
      </c>
      <c r="F860" s="59">
        <v>12059.56</v>
      </c>
    </row>
    <row r="861" ht="16.5" customHeight="1" spans="5:6">
      <c r="E861" s="58">
        <v>45035</v>
      </c>
      <c r="F861" s="59">
        <v>12157.23</v>
      </c>
    </row>
    <row r="862" ht="16.5" customHeight="1" spans="5:6">
      <c r="E862" s="58">
        <v>45034</v>
      </c>
      <c r="F862" s="59">
        <v>12153.41</v>
      </c>
    </row>
    <row r="863" ht="16.5" customHeight="1" spans="5:6">
      <c r="E863" s="58">
        <v>45033</v>
      </c>
      <c r="F863" s="59">
        <v>12157.72</v>
      </c>
    </row>
    <row r="864" ht="16.5" customHeight="1" spans="5:6">
      <c r="E864" s="58">
        <v>45030</v>
      </c>
      <c r="F864" s="59">
        <v>12123.47</v>
      </c>
    </row>
    <row r="865" ht="16.5" customHeight="1" spans="5:6">
      <c r="E865" s="58">
        <v>45029</v>
      </c>
      <c r="F865" s="59">
        <v>12166.27</v>
      </c>
    </row>
    <row r="866" ht="16.5" customHeight="1" spans="5:6">
      <c r="E866" s="58">
        <v>45028</v>
      </c>
      <c r="F866" s="59">
        <v>11929.34</v>
      </c>
    </row>
    <row r="867" ht="16.5" customHeight="1" spans="5:6">
      <c r="E867" s="58">
        <v>45027</v>
      </c>
      <c r="F867" s="59">
        <v>12031.88</v>
      </c>
    </row>
    <row r="868" ht="16.5" customHeight="1" spans="5:6">
      <c r="E868" s="58">
        <v>45026</v>
      </c>
      <c r="F868" s="59">
        <v>12084.35</v>
      </c>
    </row>
    <row r="869" ht="16.5" customHeight="1" spans="5:6">
      <c r="E869" s="58">
        <v>45022</v>
      </c>
      <c r="F869" s="59">
        <v>12087.96</v>
      </c>
    </row>
    <row r="870" ht="16.5" customHeight="1" spans="5:6">
      <c r="E870" s="58">
        <v>45021</v>
      </c>
      <c r="F870" s="59">
        <v>11996.86</v>
      </c>
    </row>
    <row r="871" ht="16.5" customHeight="1" spans="5:6">
      <c r="E871" s="58">
        <v>45020</v>
      </c>
      <c r="F871" s="59">
        <v>12126.33</v>
      </c>
    </row>
    <row r="872" ht="16.5" customHeight="1" spans="5:6">
      <c r="E872" s="58">
        <v>45019</v>
      </c>
      <c r="F872" s="59">
        <v>12189.45</v>
      </c>
    </row>
    <row r="873" ht="16.5" customHeight="1" spans="5:6">
      <c r="E873" s="58">
        <v>45016</v>
      </c>
      <c r="F873" s="59">
        <v>12221.91</v>
      </c>
    </row>
    <row r="874" ht="16.5" customHeight="1" spans="5:6">
      <c r="E874" s="58">
        <v>45015</v>
      </c>
      <c r="F874" s="59">
        <v>12013.47</v>
      </c>
    </row>
    <row r="875" ht="16.5" customHeight="1" spans="5:6">
      <c r="E875" s="58">
        <v>45014</v>
      </c>
      <c r="F875" s="59">
        <v>11926.24</v>
      </c>
    </row>
    <row r="876" ht="16.5" customHeight="1" spans="5:6">
      <c r="E876" s="58">
        <v>45013</v>
      </c>
      <c r="F876" s="59">
        <v>11716.08</v>
      </c>
    </row>
    <row r="877" ht="16.5" customHeight="1" spans="5:6">
      <c r="E877" s="58">
        <v>45012</v>
      </c>
      <c r="F877" s="59">
        <v>11768.84</v>
      </c>
    </row>
    <row r="878" ht="16.5" customHeight="1" spans="5:6">
      <c r="E878" s="58">
        <v>45009</v>
      </c>
      <c r="F878" s="59">
        <v>11823.96</v>
      </c>
    </row>
    <row r="879" ht="16.5" customHeight="1" spans="5:6">
      <c r="E879" s="58">
        <v>45008</v>
      </c>
      <c r="F879" s="59">
        <v>11787.4</v>
      </c>
    </row>
    <row r="880" ht="16.5" customHeight="1" spans="5:6">
      <c r="E880" s="58">
        <v>45007</v>
      </c>
      <c r="F880" s="59">
        <v>11669.96</v>
      </c>
    </row>
    <row r="881" ht="16.5" customHeight="1" spans="5:6">
      <c r="E881" s="58">
        <v>45006</v>
      </c>
      <c r="F881" s="59">
        <v>11860.11</v>
      </c>
    </row>
    <row r="882" ht="16.5" customHeight="1" spans="5:6">
      <c r="E882" s="58">
        <v>45005</v>
      </c>
      <c r="F882" s="59">
        <v>11675.54</v>
      </c>
    </row>
    <row r="883" ht="16.5" customHeight="1" spans="5:6">
      <c r="E883" s="58">
        <v>45002</v>
      </c>
      <c r="F883" s="59">
        <v>11630.51</v>
      </c>
    </row>
    <row r="884" ht="16.5" customHeight="1" spans="5:6">
      <c r="E884" s="58">
        <v>45001</v>
      </c>
      <c r="F884" s="59">
        <v>11717.28</v>
      </c>
    </row>
    <row r="885" ht="16.5" customHeight="1" spans="5:6">
      <c r="E885" s="58">
        <v>45000</v>
      </c>
      <c r="F885" s="59">
        <v>11434.05</v>
      </c>
    </row>
    <row r="886" ht="16.5" customHeight="1" spans="5:6">
      <c r="E886" s="58">
        <v>44999</v>
      </c>
      <c r="F886" s="59">
        <v>11428.15</v>
      </c>
    </row>
    <row r="887" ht="16.5" customHeight="1" spans="5:6">
      <c r="E887" s="58">
        <v>44998</v>
      </c>
      <c r="F887" s="59">
        <v>11188.84</v>
      </c>
    </row>
    <row r="888" ht="16.5" customHeight="1" spans="5:6">
      <c r="E888" s="58">
        <v>44995</v>
      </c>
      <c r="F888" s="59">
        <v>11138.89</v>
      </c>
    </row>
    <row r="889" ht="16.5" customHeight="1" spans="5:6">
      <c r="E889" s="58">
        <v>44994</v>
      </c>
      <c r="F889" s="59">
        <v>11338.35</v>
      </c>
    </row>
    <row r="890" ht="16.5" customHeight="1" spans="5:6">
      <c r="E890" s="58">
        <v>44993</v>
      </c>
      <c r="F890" s="59">
        <v>11576</v>
      </c>
    </row>
    <row r="891" ht="16.5" customHeight="1" spans="5:6">
      <c r="E891" s="58">
        <v>44992</v>
      </c>
      <c r="F891" s="59">
        <v>11530.33</v>
      </c>
    </row>
    <row r="892" ht="16.5" customHeight="1" spans="5:6">
      <c r="E892" s="58">
        <v>44991</v>
      </c>
      <c r="F892" s="59">
        <v>11675.74</v>
      </c>
    </row>
    <row r="893" ht="16.5" customHeight="1" spans="5:6">
      <c r="E893" s="58">
        <v>44988</v>
      </c>
      <c r="F893" s="59">
        <v>11689.01</v>
      </c>
    </row>
    <row r="894" ht="16.5" customHeight="1" spans="5:6">
      <c r="E894" s="58">
        <v>44987</v>
      </c>
      <c r="F894" s="59">
        <v>11462.98</v>
      </c>
    </row>
    <row r="895" ht="16.5" customHeight="1" spans="5:6">
      <c r="E895" s="58">
        <v>44986</v>
      </c>
      <c r="F895" s="59">
        <v>11379.48</v>
      </c>
    </row>
    <row r="896" ht="16.5" customHeight="1" spans="5:6">
      <c r="E896" s="58">
        <v>44985</v>
      </c>
      <c r="F896" s="59">
        <v>11455.54</v>
      </c>
    </row>
    <row r="897" ht="16.5" customHeight="1" spans="5:6">
      <c r="E897" s="58">
        <v>44984</v>
      </c>
      <c r="F897" s="59">
        <v>11466.98</v>
      </c>
    </row>
    <row r="898" ht="16.5" customHeight="1" spans="5:6">
      <c r="E898" s="58">
        <v>44981</v>
      </c>
      <c r="F898" s="59">
        <v>11394.94</v>
      </c>
    </row>
    <row r="899" ht="16.5" customHeight="1" spans="5:6">
      <c r="E899" s="58">
        <v>44980</v>
      </c>
      <c r="F899" s="59">
        <v>11590.4</v>
      </c>
    </row>
    <row r="900" ht="16.5" customHeight="1" spans="5:6">
      <c r="E900" s="58">
        <v>44979</v>
      </c>
      <c r="F900" s="59">
        <v>11507.07</v>
      </c>
    </row>
    <row r="901" ht="16.5" customHeight="1" spans="5:6">
      <c r="E901" s="58">
        <v>44978</v>
      </c>
      <c r="F901" s="59">
        <v>11492.3</v>
      </c>
    </row>
    <row r="902" ht="16.5" customHeight="1" spans="5:6">
      <c r="E902" s="58">
        <v>44974</v>
      </c>
      <c r="F902" s="59">
        <v>11787.27</v>
      </c>
    </row>
    <row r="903" ht="16.5" customHeight="1" spans="5:6">
      <c r="E903" s="58">
        <v>44973</v>
      </c>
      <c r="F903" s="59">
        <v>11855.83</v>
      </c>
    </row>
    <row r="904" ht="16.5" customHeight="1" spans="5:6">
      <c r="E904" s="58">
        <v>44972</v>
      </c>
      <c r="F904" s="59">
        <v>12070.59</v>
      </c>
    </row>
    <row r="905" ht="16.5" customHeight="1" spans="5:6">
      <c r="E905" s="58">
        <v>44971</v>
      </c>
      <c r="F905" s="59">
        <v>11960.15</v>
      </c>
    </row>
    <row r="906" ht="16.5" customHeight="1" spans="5:6">
      <c r="E906" s="58">
        <v>44970</v>
      </c>
      <c r="F906" s="59">
        <v>11891.79</v>
      </c>
    </row>
    <row r="907" ht="16.5" customHeight="1" spans="5:6">
      <c r="E907" s="58">
        <v>44967</v>
      </c>
      <c r="F907" s="59">
        <v>11718.12</v>
      </c>
    </row>
    <row r="908" ht="16.5" customHeight="1" spans="5:6">
      <c r="E908" s="58">
        <v>44966</v>
      </c>
      <c r="F908" s="59">
        <v>11789.58</v>
      </c>
    </row>
    <row r="909" ht="16.5" customHeight="1" spans="5:6">
      <c r="E909" s="58">
        <v>44965</v>
      </c>
      <c r="F909" s="59">
        <v>11910.52</v>
      </c>
    </row>
    <row r="910" ht="16.5" customHeight="1" spans="5:6">
      <c r="E910" s="58">
        <v>44964</v>
      </c>
      <c r="F910" s="59">
        <v>12113.79</v>
      </c>
    </row>
    <row r="911" ht="16.5" customHeight="1" spans="5:6">
      <c r="E911" s="58">
        <v>44963</v>
      </c>
      <c r="F911" s="59">
        <v>11887.45</v>
      </c>
    </row>
    <row r="912" ht="16.5" customHeight="1" spans="5:6">
      <c r="E912" s="58">
        <v>44960</v>
      </c>
      <c r="F912" s="59">
        <v>12006.95</v>
      </c>
    </row>
    <row r="913" ht="16.5" customHeight="1" spans="5:6">
      <c r="E913" s="58">
        <v>44959</v>
      </c>
      <c r="F913" s="59">
        <v>12200.82</v>
      </c>
    </row>
    <row r="914" ht="16.5" customHeight="1" spans="5:6">
      <c r="E914" s="58">
        <v>44958</v>
      </c>
      <c r="F914" s="59">
        <v>11816.32</v>
      </c>
    </row>
    <row r="915" ht="16.5" customHeight="1" spans="5:6">
      <c r="E915" s="58">
        <v>44957</v>
      </c>
      <c r="F915" s="59">
        <v>11584.55</v>
      </c>
    </row>
    <row r="916" ht="16.5" customHeight="1" spans="5:6">
      <c r="E916" s="58">
        <v>44956</v>
      </c>
      <c r="F916" s="59">
        <v>11393.81</v>
      </c>
    </row>
    <row r="917" ht="16.5" customHeight="1" spans="5:6">
      <c r="E917" s="58">
        <v>44953</v>
      </c>
      <c r="F917" s="59">
        <v>11621.71</v>
      </c>
    </row>
    <row r="918" ht="16.5" customHeight="1" spans="5:6">
      <c r="E918" s="58">
        <v>44952</v>
      </c>
      <c r="F918" s="59">
        <v>11512.41</v>
      </c>
    </row>
    <row r="919" ht="16.5" customHeight="1" spans="5:6">
      <c r="E919" s="58">
        <v>44951</v>
      </c>
      <c r="F919" s="59">
        <v>11313.36</v>
      </c>
    </row>
    <row r="920" ht="16.5" customHeight="1" spans="5:6">
      <c r="E920" s="58">
        <v>44950</v>
      </c>
      <c r="F920" s="59">
        <v>11334.27</v>
      </c>
    </row>
    <row r="921" ht="16.5" customHeight="1" spans="5:6">
      <c r="E921" s="58">
        <v>44949</v>
      </c>
      <c r="F921" s="59">
        <v>11364.41</v>
      </c>
    </row>
    <row r="922" ht="16.5" customHeight="1" spans="5:6">
      <c r="E922" s="58">
        <v>44946</v>
      </c>
      <c r="F922" s="59">
        <v>11140.43</v>
      </c>
    </row>
    <row r="923" ht="16.5" customHeight="1" spans="5:6">
      <c r="E923" s="58">
        <v>44945</v>
      </c>
      <c r="F923" s="59">
        <v>10852.27</v>
      </c>
    </row>
    <row r="924" ht="16.5" customHeight="1" spans="5:6">
      <c r="E924" s="58">
        <v>44944</v>
      </c>
      <c r="F924" s="59">
        <v>10957.01</v>
      </c>
    </row>
    <row r="925" ht="16.5" customHeight="1" spans="5:6">
      <c r="E925" s="58">
        <v>44943</v>
      </c>
      <c r="F925" s="59">
        <v>11095.11</v>
      </c>
    </row>
    <row r="926" ht="16.5" customHeight="1" spans="5:6">
      <c r="E926" s="58">
        <v>44939</v>
      </c>
      <c r="F926" s="59">
        <v>11079.16</v>
      </c>
    </row>
    <row r="927" ht="16.5" customHeight="1" spans="5:6">
      <c r="E927" s="58">
        <v>44938</v>
      </c>
      <c r="F927" s="59">
        <v>11001.1</v>
      </c>
    </row>
    <row r="928" ht="16.5" customHeight="1" spans="5:6">
      <c r="E928" s="58">
        <v>44937</v>
      </c>
      <c r="F928" s="59">
        <v>10931.67</v>
      </c>
    </row>
    <row r="929" ht="16.5" customHeight="1" spans="5:6">
      <c r="E929" s="58">
        <v>44936</v>
      </c>
      <c r="F929" s="59">
        <v>10742.63</v>
      </c>
    </row>
    <row r="930" ht="16.5" customHeight="1" spans="5:6">
      <c r="E930" s="58">
        <v>44935</v>
      </c>
      <c r="F930" s="59">
        <v>10635.65</v>
      </c>
    </row>
    <row r="931" ht="16.5" customHeight="1" spans="5:6">
      <c r="E931" s="58">
        <v>44932</v>
      </c>
      <c r="F931" s="59">
        <v>10569.29</v>
      </c>
    </row>
    <row r="932" ht="16.5" customHeight="1" spans="5:6">
      <c r="E932" s="58">
        <v>44931</v>
      </c>
      <c r="F932" s="59">
        <v>10305.24</v>
      </c>
    </row>
    <row r="933" ht="16.5" customHeight="1" spans="5:6">
      <c r="E933" s="58">
        <v>44930</v>
      </c>
      <c r="F933" s="59">
        <v>10458.76</v>
      </c>
    </row>
    <row r="934" ht="16.5" customHeight="1" spans="5:6">
      <c r="E934" s="58">
        <v>44929</v>
      </c>
      <c r="F934" s="59">
        <v>10386.98</v>
      </c>
    </row>
    <row r="935" ht="16.5" customHeight="1" spans="5:6">
      <c r="E935" s="58">
        <v>44925</v>
      </c>
      <c r="F935" s="59">
        <v>10466.48</v>
      </c>
    </row>
    <row r="936" ht="16.5" customHeight="1" spans="5:6">
      <c r="E936" s="58">
        <v>44924</v>
      </c>
      <c r="F936" s="59">
        <v>10478.09</v>
      </c>
    </row>
    <row r="937" ht="16.5" customHeight="1" spans="5:6">
      <c r="E937" s="58">
        <v>44923</v>
      </c>
      <c r="F937" s="59">
        <v>10213.29</v>
      </c>
    </row>
    <row r="938" ht="16.5" customHeight="1" spans="5:6">
      <c r="E938" s="58">
        <v>44922</v>
      </c>
      <c r="F938" s="59">
        <v>10353.23</v>
      </c>
    </row>
    <row r="939" ht="16.5" customHeight="1" spans="5:6">
      <c r="E939" s="58">
        <v>44918</v>
      </c>
      <c r="F939" s="59">
        <v>10497.86</v>
      </c>
    </row>
    <row r="940" ht="16.5" customHeight="1" spans="5:6">
      <c r="E940" s="58">
        <v>44917</v>
      </c>
      <c r="F940" s="59">
        <v>10476.12</v>
      </c>
    </row>
    <row r="941" ht="16.5" customHeight="1" spans="5:6">
      <c r="E941" s="58">
        <v>44916</v>
      </c>
      <c r="F941" s="59">
        <v>10709.37</v>
      </c>
    </row>
    <row r="942" ht="16.5" customHeight="1" spans="5:6">
      <c r="E942" s="58">
        <v>44915</v>
      </c>
      <c r="F942" s="59">
        <v>10547.11</v>
      </c>
    </row>
    <row r="943" ht="16.5" customHeight="1" spans="5:6">
      <c r="E943" s="58">
        <v>44914</v>
      </c>
      <c r="F943" s="59">
        <v>10546.03</v>
      </c>
    </row>
    <row r="944" ht="16.5" customHeight="1" spans="5:6">
      <c r="E944" s="58">
        <v>44911</v>
      </c>
      <c r="F944" s="59">
        <v>10705.41</v>
      </c>
    </row>
    <row r="945" ht="16.5" customHeight="1" spans="5:6">
      <c r="E945" s="58">
        <v>44910</v>
      </c>
      <c r="F945" s="59">
        <v>10810.53</v>
      </c>
    </row>
    <row r="946" ht="16.5" customHeight="1" spans="5:6">
      <c r="E946" s="58">
        <v>44909</v>
      </c>
      <c r="F946" s="59">
        <v>11170.89</v>
      </c>
    </row>
    <row r="947" ht="16.5" customHeight="1" spans="5:6">
      <c r="E947" s="58">
        <v>44908</v>
      </c>
      <c r="F947" s="59">
        <v>11256.81</v>
      </c>
    </row>
    <row r="948" ht="16.5" customHeight="1" spans="5:6">
      <c r="E948" s="58">
        <v>44907</v>
      </c>
      <c r="F948" s="59">
        <v>11143.74</v>
      </c>
    </row>
    <row r="949" ht="16.5" customHeight="1" spans="5:6">
      <c r="E949" s="58">
        <v>44904</v>
      </c>
      <c r="F949" s="59">
        <v>11004.62</v>
      </c>
    </row>
    <row r="950" ht="16.5" customHeight="1" spans="5:6">
      <c r="E950" s="58">
        <v>44903</v>
      </c>
      <c r="F950" s="59">
        <v>11082</v>
      </c>
    </row>
    <row r="951" ht="16.5" customHeight="1" spans="5:6">
      <c r="E951" s="58">
        <v>44902</v>
      </c>
      <c r="F951" s="59">
        <v>10958.55</v>
      </c>
    </row>
    <row r="952" ht="16.5" customHeight="1" spans="5:6">
      <c r="E952" s="58">
        <v>44901</v>
      </c>
      <c r="F952" s="59">
        <v>11014.89</v>
      </c>
    </row>
    <row r="953" ht="16.5" customHeight="1" spans="5:6">
      <c r="E953" s="58">
        <v>44900</v>
      </c>
      <c r="F953" s="59">
        <v>11239.94</v>
      </c>
    </row>
    <row r="954" ht="16.5" customHeight="1" spans="5:6">
      <c r="E954" s="58">
        <v>44897</v>
      </c>
      <c r="F954" s="59">
        <v>11461.5</v>
      </c>
    </row>
    <row r="955" ht="16.5" customHeight="1" spans="5:6">
      <c r="E955" s="58">
        <v>44896</v>
      </c>
      <c r="F955" s="59">
        <v>11482.45</v>
      </c>
    </row>
    <row r="956" ht="16.5" customHeight="1" spans="5:6">
      <c r="E956" s="58">
        <v>44895</v>
      </c>
      <c r="F956" s="59">
        <v>11468</v>
      </c>
    </row>
    <row r="957" ht="16.5" customHeight="1" spans="5:6">
      <c r="E957" s="58">
        <v>44894</v>
      </c>
      <c r="F957" s="59">
        <v>10983.78</v>
      </c>
    </row>
    <row r="958" ht="16.5" customHeight="1" spans="5:6">
      <c r="E958" s="58">
        <v>44893</v>
      </c>
      <c r="F958" s="59">
        <v>11049.5</v>
      </c>
    </row>
    <row r="959" ht="16.5" customHeight="1" spans="5:6">
      <c r="E959" s="58">
        <v>44890</v>
      </c>
      <c r="F959" s="59">
        <v>11226.36</v>
      </c>
    </row>
    <row r="960" ht="16.5" customHeight="1" spans="5:6">
      <c r="E960" s="58">
        <v>44888</v>
      </c>
      <c r="F960" s="59">
        <v>11285.32</v>
      </c>
    </row>
    <row r="961" ht="16.5" customHeight="1" spans="5:6">
      <c r="E961" s="58">
        <v>44887</v>
      </c>
      <c r="F961" s="59">
        <v>11174.41</v>
      </c>
    </row>
    <row r="962" ht="16.5" customHeight="1" spans="5:6">
      <c r="E962" s="58">
        <v>44886</v>
      </c>
      <c r="F962" s="59">
        <v>11024.51</v>
      </c>
    </row>
    <row r="963" ht="16.5" customHeight="1" spans="5:6">
      <c r="E963" s="58">
        <v>44883</v>
      </c>
      <c r="F963" s="59">
        <v>11146.06</v>
      </c>
    </row>
    <row r="964" ht="16.5" customHeight="1" spans="5:6">
      <c r="E964" s="58">
        <v>44882</v>
      </c>
      <c r="F964" s="59">
        <v>11144.96</v>
      </c>
    </row>
    <row r="965" ht="16.5" customHeight="1" spans="5:6">
      <c r="E965" s="58">
        <v>44881</v>
      </c>
      <c r="F965" s="59">
        <v>11183.66</v>
      </c>
    </row>
    <row r="966" ht="16.5" customHeight="1" spans="5:6">
      <c r="E966" s="58">
        <v>44880</v>
      </c>
      <c r="F966" s="59">
        <v>11358.41</v>
      </c>
    </row>
    <row r="967" ht="16.5" customHeight="1" spans="5:6">
      <c r="E967" s="58">
        <v>44879</v>
      </c>
      <c r="F967" s="59">
        <v>11196.22</v>
      </c>
    </row>
    <row r="968" ht="16.5" customHeight="1" spans="5:6">
      <c r="E968" s="58">
        <v>44876</v>
      </c>
      <c r="F968" s="59">
        <v>11323.33</v>
      </c>
    </row>
    <row r="969" ht="16.5" customHeight="1" spans="5:6">
      <c r="E969" s="58">
        <v>44875</v>
      </c>
      <c r="F969" s="59">
        <v>11114.15</v>
      </c>
    </row>
    <row r="970" ht="16.5" customHeight="1" spans="5:6">
      <c r="E970" s="58">
        <v>44874</v>
      </c>
      <c r="F970" s="59">
        <v>10353.17</v>
      </c>
    </row>
    <row r="971" ht="16.5" customHeight="1" spans="5:6">
      <c r="E971" s="58">
        <v>44873</v>
      </c>
      <c r="F971" s="59">
        <v>10616.2</v>
      </c>
    </row>
    <row r="972" ht="16.5" customHeight="1" spans="5:6">
      <c r="E972" s="58">
        <v>44872</v>
      </c>
      <c r="F972" s="59">
        <v>10564.52</v>
      </c>
    </row>
    <row r="973" ht="16.5" customHeight="1" spans="5:6">
      <c r="E973" s="58">
        <v>44869</v>
      </c>
      <c r="F973" s="59">
        <v>10475.25</v>
      </c>
    </row>
    <row r="974" ht="16.5" customHeight="1" spans="5:6">
      <c r="E974" s="58">
        <v>44868</v>
      </c>
      <c r="F974" s="59">
        <v>10342.94</v>
      </c>
    </row>
    <row r="975" ht="16.5" customHeight="1" spans="5:6">
      <c r="E975" s="58">
        <v>44867</v>
      </c>
      <c r="F975" s="59">
        <v>10524.8</v>
      </c>
    </row>
    <row r="976" ht="16.5" customHeight="1" spans="5:6">
      <c r="E976" s="58">
        <v>44866</v>
      </c>
      <c r="F976" s="59">
        <v>10890.85</v>
      </c>
    </row>
    <row r="977" ht="16.5" customHeight="1" spans="5:6">
      <c r="E977" s="58">
        <v>44865</v>
      </c>
      <c r="F977" s="59">
        <v>10988.15</v>
      </c>
    </row>
    <row r="978" ht="16.5" customHeight="1" spans="5:6">
      <c r="E978" s="58">
        <v>44862</v>
      </c>
      <c r="F978" s="59">
        <v>11102.45</v>
      </c>
    </row>
    <row r="979" ht="16.5" customHeight="1" spans="5:6">
      <c r="E979" s="58">
        <v>44861</v>
      </c>
      <c r="F979" s="59">
        <v>10792.67</v>
      </c>
    </row>
    <row r="980" ht="16.5" customHeight="1" spans="5:6">
      <c r="E980" s="58">
        <v>44860</v>
      </c>
      <c r="F980" s="59">
        <v>10970.99</v>
      </c>
    </row>
    <row r="981" ht="16.5" customHeight="1" spans="5:6">
      <c r="E981" s="58">
        <v>44859</v>
      </c>
      <c r="F981" s="59">
        <v>11199.12</v>
      </c>
    </row>
    <row r="982" ht="16.5" customHeight="1" spans="5:6">
      <c r="E982" s="58">
        <v>44858</v>
      </c>
      <c r="F982" s="59">
        <v>10952.61</v>
      </c>
    </row>
    <row r="983" ht="16.5" customHeight="1" spans="5:6">
      <c r="E983" s="58">
        <v>44855</v>
      </c>
      <c r="F983" s="59">
        <v>10859.72</v>
      </c>
    </row>
    <row r="984" ht="16.5" customHeight="1" spans="5:6">
      <c r="E984" s="58">
        <v>44854</v>
      </c>
      <c r="F984" s="59">
        <v>10614.84</v>
      </c>
    </row>
    <row r="985" ht="16.5" customHeight="1" spans="5:6">
      <c r="E985" s="58">
        <v>44853</v>
      </c>
      <c r="F985" s="59">
        <v>10680.51</v>
      </c>
    </row>
    <row r="986" ht="16.5" customHeight="1" spans="5:6">
      <c r="E986" s="58">
        <v>44852</v>
      </c>
      <c r="F986" s="59">
        <v>10772.4</v>
      </c>
    </row>
    <row r="987" ht="16.5" customHeight="1" spans="5:6">
      <c r="E987" s="58">
        <v>44851</v>
      </c>
      <c r="F987" s="59">
        <v>10675.8</v>
      </c>
    </row>
    <row r="988" ht="16.5" customHeight="1" spans="5:6">
      <c r="E988" s="58">
        <v>44848</v>
      </c>
      <c r="F988" s="59">
        <v>10321.39</v>
      </c>
    </row>
    <row r="989" ht="16.5" customHeight="1" spans="5:6">
      <c r="E989" s="58">
        <v>44847</v>
      </c>
      <c r="F989" s="59">
        <v>10649.15</v>
      </c>
    </row>
    <row r="990" ht="16.5" customHeight="1" spans="5:6">
      <c r="E990" s="58">
        <v>44846</v>
      </c>
      <c r="F990" s="59">
        <v>10417.1</v>
      </c>
    </row>
    <row r="991" ht="16.5" customHeight="1" spans="5:6">
      <c r="E991" s="58">
        <v>44845</v>
      </c>
      <c r="F991" s="59">
        <v>10426.19</v>
      </c>
    </row>
    <row r="992" ht="16.5" customHeight="1" spans="5:6">
      <c r="E992" s="58">
        <v>44844</v>
      </c>
      <c r="F992" s="59">
        <v>10542.1</v>
      </c>
    </row>
    <row r="993" ht="16.5" customHeight="1" spans="5:6">
      <c r="E993" s="58">
        <v>44841</v>
      </c>
      <c r="F993" s="59">
        <v>10652.4</v>
      </c>
    </row>
    <row r="994" ht="16.5" customHeight="1" spans="5:6">
      <c r="E994" s="58">
        <v>44840</v>
      </c>
      <c r="F994" s="59">
        <v>11073.31</v>
      </c>
    </row>
    <row r="995" ht="16.5" customHeight="1" spans="5:6">
      <c r="E995" s="58">
        <v>44839</v>
      </c>
      <c r="F995" s="59">
        <v>11148.64</v>
      </c>
    </row>
    <row r="996" ht="16.5" customHeight="1" spans="5:6">
      <c r="E996" s="58">
        <v>44838</v>
      </c>
      <c r="F996" s="59">
        <v>11176.41</v>
      </c>
    </row>
    <row r="997" ht="16.5" customHeight="1" spans="5:6">
      <c r="E997" s="58">
        <v>44837</v>
      </c>
      <c r="F997" s="59">
        <v>10815.43</v>
      </c>
    </row>
    <row r="998" ht="16.5" customHeight="1" spans="5:6">
      <c r="E998" s="58">
        <v>44834</v>
      </c>
      <c r="F998" s="59">
        <v>10575.62</v>
      </c>
    </row>
    <row r="999" ht="16.5" customHeight="1" spans="5:6">
      <c r="E999" s="58">
        <v>44833</v>
      </c>
      <c r="F999" s="59">
        <v>10737.51</v>
      </c>
    </row>
    <row r="1000" ht="16.5" customHeight="1" spans="5:6">
      <c r="E1000" s="58">
        <v>44832</v>
      </c>
      <c r="F1000" s="59">
        <v>11051.64</v>
      </c>
    </row>
    <row r="1001" ht="16.5" customHeight="1" spans="5:6">
      <c r="E1001" s="58">
        <v>44831</v>
      </c>
      <c r="F1001" s="59">
        <v>10829.5</v>
      </c>
    </row>
    <row r="1002" ht="16.5" customHeight="1" spans="5:6">
      <c r="E1002" s="58">
        <v>44830</v>
      </c>
      <c r="F1002" s="59">
        <v>10802.92</v>
      </c>
    </row>
    <row r="1003" ht="16.5" customHeight="1" spans="5:6">
      <c r="E1003" s="58">
        <v>44827</v>
      </c>
      <c r="F1003" s="59">
        <v>10867.93</v>
      </c>
    </row>
    <row r="1004" ht="16.5" customHeight="1" spans="5:6">
      <c r="E1004" s="58">
        <v>44826</v>
      </c>
      <c r="F1004" s="59">
        <v>11066.81</v>
      </c>
    </row>
    <row r="1005" ht="16.5" customHeight="1" spans="5:6">
      <c r="E1005" s="58">
        <v>44825</v>
      </c>
      <c r="F1005" s="59">
        <v>11220.19</v>
      </c>
    </row>
    <row r="1006" ht="16.5" customHeight="1" spans="5:6">
      <c r="E1006" s="58">
        <v>44824</v>
      </c>
      <c r="F1006" s="59">
        <v>11425.05</v>
      </c>
    </row>
    <row r="1007" ht="16.5" customHeight="1" spans="5:6">
      <c r="E1007" s="58">
        <v>44823</v>
      </c>
      <c r="F1007" s="59">
        <v>11535.02</v>
      </c>
    </row>
    <row r="1008" ht="16.5" customHeight="1" spans="5:6">
      <c r="E1008" s="58">
        <v>44820</v>
      </c>
      <c r="F1008" s="59">
        <v>11448.4</v>
      </c>
    </row>
    <row r="1009" ht="16.5" customHeight="1" spans="5:6">
      <c r="E1009" s="58">
        <v>44819</v>
      </c>
      <c r="F1009" s="59">
        <v>11552.36</v>
      </c>
    </row>
    <row r="1010" ht="16.5" customHeight="1" spans="5:6">
      <c r="E1010" s="58">
        <v>44818</v>
      </c>
      <c r="F1010" s="59">
        <v>11719.68</v>
      </c>
    </row>
    <row r="1011" ht="16.5" customHeight="1" spans="5:6">
      <c r="E1011" s="58">
        <v>44817</v>
      </c>
      <c r="F1011" s="59">
        <v>11633.57</v>
      </c>
    </row>
    <row r="1012" ht="16.5" customHeight="1" spans="5:6">
      <c r="E1012" s="58">
        <v>44816</v>
      </c>
      <c r="F1012" s="59">
        <v>12266.41</v>
      </c>
    </row>
    <row r="1013" ht="16.5" customHeight="1" spans="5:6">
      <c r="E1013" s="58">
        <v>44813</v>
      </c>
      <c r="F1013" s="59">
        <v>12112.31</v>
      </c>
    </row>
    <row r="1014" ht="16.5" customHeight="1" spans="5:6">
      <c r="E1014" s="58">
        <v>44812</v>
      </c>
      <c r="F1014" s="59">
        <v>11862.13</v>
      </c>
    </row>
    <row r="1015" ht="16.5" customHeight="1" spans="5:6">
      <c r="E1015" s="58">
        <v>44811</v>
      </c>
      <c r="F1015" s="59">
        <v>11791.9</v>
      </c>
    </row>
    <row r="1016" ht="16.5" customHeight="1" spans="5:6">
      <c r="E1016" s="58">
        <v>44810</v>
      </c>
      <c r="F1016" s="59">
        <v>11544.91</v>
      </c>
    </row>
    <row r="1017" ht="16.5" customHeight="1" spans="5:6">
      <c r="E1017" s="58">
        <v>44806</v>
      </c>
      <c r="F1017" s="59">
        <v>11630.86</v>
      </c>
    </row>
    <row r="1018" ht="16.5" customHeight="1" spans="5:6">
      <c r="E1018" s="58">
        <v>44805</v>
      </c>
      <c r="F1018" s="59">
        <v>11785.13</v>
      </c>
    </row>
    <row r="1019" ht="16.5" customHeight="1" spans="5:6">
      <c r="E1019" s="58">
        <v>44804</v>
      </c>
      <c r="F1019" s="59">
        <v>11816.2</v>
      </c>
    </row>
    <row r="1020" ht="16.5" customHeight="1" spans="5:6">
      <c r="E1020" s="58">
        <v>44803</v>
      </c>
      <c r="F1020" s="59">
        <v>11883.14</v>
      </c>
    </row>
    <row r="1021" ht="16.5" customHeight="1" spans="5:6">
      <c r="E1021" s="58">
        <v>44802</v>
      </c>
      <c r="F1021" s="59">
        <v>12017.67</v>
      </c>
    </row>
    <row r="1022" ht="16.5" customHeight="1" spans="5:6">
      <c r="E1022" s="58">
        <v>44799</v>
      </c>
      <c r="F1022" s="59">
        <v>12141.71</v>
      </c>
    </row>
    <row r="1023" ht="16.5" customHeight="1" spans="5:6">
      <c r="E1023" s="58">
        <v>44798</v>
      </c>
      <c r="F1023" s="59">
        <v>12639.27</v>
      </c>
    </row>
    <row r="1024" ht="16.5" customHeight="1" spans="5:6">
      <c r="E1024" s="58">
        <v>44797</v>
      </c>
      <c r="F1024" s="59">
        <v>12431.53</v>
      </c>
    </row>
    <row r="1025" ht="16.5" customHeight="1" spans="5:6">
      <c r="E1025" s="58">
        <v>44796</v>
      </c>
      <c r="F1025" s="59">
        <v>12381.3</v>
      </c>
    </row>
    <row r="1026" ht="16.5" customHeight="1" spans="5:6">
      <c r="E1026" s="58">
        <v>44795</v>
      </c>
      <c r="F1026" s="59">
        <v>12381.57</v>
      </c>
    </row>
    <row r="1027" ht="16.5" customHeight="1" spans="5:6">
      <c r="E1027" s="58">
        <v>44792</v>
      </c>
      <c r="F1027" s="59">
        <v>12705.22</v>
      </c>
    </row>
    <row r="1028" ht="16.5" customHeight="1" spans="5:6">
      <c r="E1028" s="58">
        <v>44791</v>
      </c>
      <c r="F1028" s="59">
        <v>12965.34</v>
      </c>
    </row>
    <row r="1029" ht="16.5" customHeight="1" spans="5:6">
      <c r="E1029" s="58">
        <v>44790</v>
      </c>
      <c r="F1029" s="59">
        <v>12938.12</v>
      </c>
    </row>
    <row r="1030" ht="16.5" customHeight="1" spans="5:6">
      <c r="E1030" s="58">
        <v>44789</v>
      </c>
      <c r="F1030" s="59">
        <v>13102.55</v>
      </c>
    </row>
    <row r="1031" ht="16.5" customHeight="1" spans="5:6">
      <c r="E1031" s="58">
        <v>44788</v>
      </c>
      <c r="F1031" s="59">
        <v>13128.05</v>
      </c>
    </row>
    <row r="1032" ht="16.5" customHeight="1" spans="5:6">
      <c r="E1032" s="58">
        <v>44785</v>
      </c>
      <c r="F1032" s="59">
        <v>13047.19</v>
      </c>
    </row>
    <row r="1033" ht="16.5" customHeight="1" spans="5:6">
      <c r="E1033" s="58">
        <v>44784</v>
      </c>
      <c r="F1033" s="59">
        <v>12779.91</v>
      </c>
    </row>
    <row r="1034" ht="16.5" customHeight="1" spans="5:6">
      <c r="E1034" s="58">
        <v>44783</v>
      </c>
      <c r="F1034" s="59">
        <v>12854.8</v>
      </c>
    </row>
    <row r="1035" ht="16.5" customHeight="1" spans="5:6">
      <c r="E1035" s="58">
        <v>44782</v>
      </c>
      <c r="F1035" s="59">
        <v>12493.93</v>
      </c>
    </row>
    <row r="1036" ht="16.5" customHeight="1" spans="5:6">
      <c r="E1036" s="58">
        <v>44781</v>
      </c>
      <c r="F1036" s="59">
        <v>12644.46</v>
      </c>
    </row>
    <row r="1037" ht="16.5" customHeight="1" spans="5:6">
      <c r="E1037" s="58">
        <v>44778</v>
      </c>
      <c r="F1037" s="59">
        <v>12657.55</v>
      </c>
    </row>
    <row r="1038" ht="16.5" customHeight="1" spans="5:6">
      <c r="E1038" s="58">
        <v>44777</v>
      </c>
      <c r="F1038" s="59">
        <v>12720.58</v>
      </c>
    </row>
    <row r="1039" ht="16.5" customHeight="1" spans="5:6">
      <c r="E1039" s="58">
        <v>44776</v>
      </c>
      <c r="F1039" s="59">
        <v>12668.16</v>
      </c>
    </row>
    <row r="1040" ht="16.5" customHeight="1" spans="5:6">
      <c r="E1040" s="58">
        <v>44775</v>
      </c>
      <c r="F1040" s="59">
        <v>12348.76</v>
      </c>
    </row>
    <row r="1041" ht="16.5" customHeight="1" spans="5:6">
      <c r="E1041" s="58">
        <v>44774</v>
      </c>
      <c r="F1041" s="59">
        <v>12368.98</v>
      </c>
    </row>
    <row r="1042" ht="16.5" customHeight="1" spans="5:6">
      <c r="E1042" s="58">
        <v>44771</v>
      </c>
      <c r="F1042" s="59">
        <v>12390.69</v>
      </c>
    </row>
    <row r="1043" ht="16.5" customHeight="1" spans="5:6">
      <c r="E1043" s="58">
        <v>44770</v>
      </c>
      <c r="F1043" s="59">
        <v>12162.59</v>
      </c>
    </row>
    <row r="1044" ht="16.5" customHeight="1" spans="5:6">
      <c r="E1044" s="58">
        <v>44769</v>
      </c>
      <c r="F1044" s="59">
        <v>12032.42</v>
      </c>
    </row>
    <row r="1045" ht="16.5" customHeight="1" spans="5:6">
      <c r="E1045" s="58">
        <v>44768</v>
      </c>
      <c r="F1045" s="59">
        <v>11562.57</v>
      </c>
    </row>
    <row r="1046" ht="16.5" customHeight="1" spans="5:6">
      <c r="E1046" s="58">
        <v>44767</v>
      </c>
      <c r="F1046" s="59">
        <v>11782.67</v>
      </c>
    </row>
    <row r="1047" ht="16.5" customHeight="1" spans="5:6">
      <c r="E1047" s="58">
        <v>44764</v>
      </c>
      <c r="F1047" s="59">
        <v>11834.11</v>
      </c>
    </row>
    <row r="1048" ht="16.5" customHeight="1" spans="5:6">
      <c r="E1048" s="58">
        <v>44763</v>
      </c>
      <c r="F1048" s="59">
        <v>12059.61</v>
      </c>
    </row>
    <row r="1049" ht="16.5" customHeight="1" spans="5:6">
      <c r="E1049" s="58">
        <v>44762</v>
      </c>
      <c r="F1049" s="59">
        <v>11897.65</v>
      </c>
    </row>
    <row r="1050" ht="16.5" customHeight="1" spans="5:6">
      <c r="E1050" s="58">
        <v>44761</v>
      </c>
      <c r="F1050" s="59">
        <v>11713.15</v>
      </c>
    </row>
    <row r="1051" ht="16.5" customHeight="1" spans="5:6">
      <c r="E1051" s="58">
        <v>44760</v>
      </c>
      <c r="F1051" s="59">
        <v>11360.05</v>
      </c>
    </row>
    <row r="1052" ht="16.5" customHeight="1" spans="5:6">
      <c r="E1052" s="58">
        <v>44757</v>
      </c>
      <c r="F1052" s="59">
        <v>11452.42</v>
      </c>
    </row>
    <row r="1053" ht="16.5" customHeight="1" spans="5:6">
      <c r="E1053" s="58">
        <v>44756</v>
      </c>
      <c r="F1053" s="59">
        <v>11251.19</v>
      </c>
    </row>
    <row r="1054" ht="16.5" customHeight="1" spans="5:6">
      <c r="E1054" s="58">
        <v>44755</v>
      </c>
      <c r="F1054" s="59">
        <v>11247.58</v>
      </c>
    </row>
    <row r="1055" ht="16.5" customHeight="1" spans="5:6">
      <c r="E1055" s="58">
        <v>44754</v>
      </c>
      <c r="F1055" s="59">
        <v>11264.73</v>
      </c>
    </row>
    <row r="1056" ht="16.5" customHeight="1" spans="5:6">
      <c r="E1056" s="58">
        <v>44753</v>
      </c>
      <c r="F1056" s="59">
        <v>11372.6</v>
      </c>
    </row>
    <row r="1057" ht="16.5" customHeight="1" spans="5:6">
      <c r="E1057" s="58">
        <v>44750</v>
      </c>
      <c r="F1057" s="59">
        <v>11635.31</v>
      </c>
    </row>
    <row r="1058" ht="16.5" customHeight="1" spans="5:6">
      <c r="E1058" s="58">
        <v>44749</v>
      </c>
      <c r="F1058" s="59">
        <v>11621.35</v>
      </c>
    </row>
    <row r="1059" ht="16.5" customHeight="1" spans="5:6">
      <c r="E1059" s="58">
        <v>44748</v>
      </c>
      <c r="F1059" s="59">
        <v>11361.85</v>
      </c>
    </row>
    <row r="1060" ht="16.5" customHeight="1" spans="5:6">
      <c r="E1060" s="58">
        <v>44747</v>
      </c>
      <c r="F1060" s="59">
        <v>11322.24</v>
      </c>
    </row>
    <row r="1061" ht="16.5" customHeight="1" spans="5:6">
      <c r="E1061" s="58">
        <v>44743</v>
      </c>
      <c r="F1061" s="59">
        <v>11127.85</v>
      </c>
    </row>
    <row r="1062" ht="16.5" customHeight="1" spans="5:6">
      <c r="E1062" s="58">
        <v>44742</v>
      </c>
      <c r="F1062" s="59">
        <v>11028.74</v>
      </c>
    </row>
    <row r="1063" ht="16.5" customHeight="1" spans="5:6">
      <c r="E1063" s="58">
        <v>44741</v>
      </c>
      <c r="F1063" s="59">
        <v>11177.89</v>
      </c>
    </row>
    <row r="1064" ht="16.5" customHeight="1" spans="5:6">
      <c r="E1064" s="58">
        <v>44740</v>
      </c>
      <c r="F1064" s="59">
        <v>11181.54</v>
      </c>
    </row>
    <row r="1065" ht="16.5" customHeight="1" spans="5:6">
      <c r="E1065" s="58">
        <v>44739</v>
      </c>
      <c r="F1065" s="59">
        <v>11524.55</v>
      </c>
    </row>
    <row r="1066" ht="16.5" customHeight="1" spans="5:6">
      <c r="E1066" s="58">
        <v>44736</v>
      </c>
      <c r="F1066" s="59">
        <v>11607.62</v>
      </c>
    </row>
    <row r="1067" ht="16.5" customHeight="1" spans="5:6">
      <c r="E1067" s="58">
        <v>44735</v>
      </c>
      <c r="F1067" s="59">
        <v>11232.19</v>
      </c>
    </row>
    <row r="1068" ht="16.5" customHeight="1" spans="5:6">
      <c r="E1068" s="58">
        <v>44734</v>
      </c>
      <c r="F1068" s="59">
        <v>11053.08</v>
      </c>
    </row>
    <row r="1069" ht="16.5" customHeight="1" spans="5:6">
      <c r="E1069" s="58">
        <v>44733</v>
      </c>
      <c r="F1069" s="59">
        <v>11069.3</v>
      </c>
    </row>
    <row r="1070" ht="16.5" customHeight="1" spans="5:6">
      <c r="E1070" s="58">
        <v>44729</v>
      </c>
      <c r="F1070" s="59">
        <v>10798.35</v>
      </c>
    </row>
    <row r="1071" ht="16.5" customHeight="1" spans="5:6">
      <c r="E1071" s="58">
        <v>44728</v>
      </c>
      <c r="F1071" s="59">
        <v>10646.1</v>
      </c>
    </row>
    <row r="1072" ht="16.5" customHeight="1" spans="5:6">
      <c r="E1072" s="58">
        <v>44727</v>
      </c>
      <c r="F1072" s="59">
        <v>11099.15</v>
      </c>
    </row>
    <row r="1073" ht="16.5" customHeight="1" spans="5:6">
      <c r="E1073" s="58">
        <v>44726</v>
      </c>
      <c r="F1073" s="59">
        <v>10828.35</v>
      </c>
    </row>
    <row r="1074" ht="16.5" customHeight="1" spans="5:6">
      <c r="E1074" s="58">
        <v>44725</v>
      </c>
      <c r="F1074" s="59">
        <v>10809.23</v>
      </c>
    </row>
    <row r="1075" ht="16.5" customHeight="1" spans="5:6">
      <c r="E1075" s="58">
        <v>44722</v>
      </c>
      <c r="F1075" s="59">
        <v>11340.02</v>
      </c>
    </row>
    <row r="1076" ht="16.5" customHeight="1" spans="5:6">
      <c r="E1076" s="58">
        <v>44721</v>
      </c>
      <c r="F1076" s="59">
        <v>11754.23</v>
      </c>
    </row>
    <row r="1077" ht="16.5" customHeight="1" spans="5:6">
      <c r="E1077" s="58">
        <v>44720</v>
      </c>
      <c r="F1077" s="59">
        <v>12086.27</v>
      </c>
    </row>
    <row r="1078" ht="16.5" customHeight="1" spans="5:6">
      <c r="E1078" s="58">
        <v>44719</v>
      </c>
      <c r="F1078" s="59">
        <v>12175.23</v>
      </c>
    </row>
    <row r="1079" ht="16.5" customHeight="1" spans="5:6">
      <c r="E1079" s="58">
        <v>44718</v>
      </c>
      <c r="F1079" s="59">
        <v>12061.37</v>
      </c>
    </row>
    <row r="1080" ht="16.5" customHeight="1" spans="5:6">
      <c r="E1080" s="58">
        <v>44715</v>
      </c>
      <c r="F1080" s="59">
        <v>12012.73</v>
      </c>
    </row>
    <row r="1081" ht="16.5" customHeight="1" spans="5:6">
      <c r="E1081" s="58">
        <v>44714</v>
      </c>
      <c r="F1081" s="59">
        <v>12316.9</v>
      </c>
    </row>
    <row r="1082" ht="16.5" customHeight="1" spans="5:6">
      <c r="E1082" s="58">
        <v>44713</v>
      </c>
      <c r="F1082" s="59">
        <v>11994.46</v>
      </c>
    </row>
    <row r="1083" ht="16.5" customHeight="1" spans="5:6">
      <c r="E1083" s="58">
        <v>44712</v>
      </c>
      <c r="F1083" s="59">
        <v>12081.39</v>
      </c>
    </row>
    <row r="1084" ht="16.5" customHeight="1" spans="5:6">
      <c r="E1084" s="58">
        <v>44708</v>
      </c>
      <c r="F1084" s="59">
        <v>12131.13</v>
      </c>
    </row>
    <row r="1085" ht="16.5" customHeight="1" spans="5:6">
      <c r="E1085" s="58">
        <v>44707</v>
      </c>
      <c r="F1085" s="59">
        <v>11740.65</v>
      </c>
    </row>
    <row r="1086" ht="16.5" customHeight="1" spans="5:6">
      <c r="E1086" s="58">
        <v>44706</v>
      </c>
      <c r="F1086" s="59">
        <v>11434.74</v>
      </c>
    </row>
    <row r="1087" ht="16.5" customHeight="1" spans="5:6">
      <c r="E1087" s="58">
        <v>44705</v>
      </c>
      <c r="F1087" s="59">
        <v>11264.45</v>
      </c>
    </row>
    <row r="1088" ht="16.5" customHeight="1" spans="5:6">
      <c r="E1088" s="58">
        <v>44704</v>
      </c>
      <c r="F1088" s="59">
        <v>11535.27</v>
      </c>
    </row>
    <row r="1089" ht="16.5" customHeight="1" spans="5:6">
      <c r="E1089" s="58">
        <v>44701</v>
      </c>
      <c r="F1089" s="59">
        <v>11354.62</v>
      </c>
    </row>
    <row r="1090" ht="16.5" customHeight="1" spans="5:6">
      <c r="E1090" s="58">
        <v>44700</v>
      </c>
      <c r="F1090" s="59">
        <v>11388.5</v>
      </c>
    </row>
    <row r="1091" ht="16.5" customHeight="1" spans="5:6">
      <c r="E1091" s="58">
        <v>44699</v>
      </c>
      <c r="F1091" s="59">
        <v>11418.15</v>
      </c>
    </row>
    <row r="1092" ht="16.5" customHeight="1" spans="5:6">
      <c r="E1092" s="58">
        <v>44698</v>
      </c>
      <c r="F1092" s="59">
        <v>11984.52</v>
      </c>
    </row>
    <row r="1093" ht="16.5" customHeight="1" spans="5:6">
      <c r="E1093" s="58">
        <v>44697</v>
      </c>
      <c r="F1093" s="59">
        <v>11662.79</v>
      </c>
    </row>
    <row r="1094" ht="16.5" customHeight="1" spans="5:6">
      <c r="E1094" s="58">
        <v>44694</v>
      </c>
      <c r="F1094" s="59">
        <v>11805</v>
      </c>
    </row>
    <row r="1095" ht="16.5" customHeight="1" spans="5:6">
      <c r="E1095" s="58">
        <v>44693</v>
      </c>
      <c r="F1095" s="59">
        <v>11370.96</v>
      </c>
    </row>
    <row r="1096" ht="16.5" customHeight="1" spans="5:6">
      <c r="E1096" s="58">
        <v>44692</v>
      </c>
      <c r="F1096" s="59">
        <v>11364.24</v>
      </c>
    </row>
    <row r="1097" ht="16.5" customHeight="1" spans="5:6">
      <c r="E1097" s="58">
        <v>44691</v>
      </c>
      <c r="F1097" s="59">
        <v>11737.67</v>
      </c>
    </row>
    <row r="1098" ht="16.5" customHeight="1" spans="5:6">
      <c r="E1098" s="58">
        <v>44690</v>
      </c>
      <c r="F1098" s="59">
        <v>11623.25</v>
      </c>
    </row>
    <row r="1099" ht="16.5" customHeight="1" spans="5:6">
      <c r="E1099" s="58">
        <v>44687</v>
      </c>
      <c r="F1099" s="59">
        <v>12144.66</v>
      </c>
    </row>
    <row r="1100" ht="16.5" customHeight="1" spans="5:6">
      <c r="E1100" s="58">
        <v>44686</v>
      </c>
      <c r="F1100" s="59">
        <v>12317.69</v>
      </c>
    </row>
    <row r="1101" ht="16.5" customHeight="1" spans="5:6">
      <c r="E1101" s="58">
        <v>44685</v>
      </c>
      <c r="F1101" s="59">
        <v>12964.86</v>
      </c>
    </row>
    <row r="1102" ht="16.5" customHeight="1" spans="5:6">
      <c r="E1102" s="58">
        <v>44684</v>
      </c>
      <c r="F1102" s="59">
        <v>12563.76</v>
      </c>
    </row>
    <row r="1103" ht="16.5" customHeight="1" spans="5:6">
      <c r="E1103" s="58">
        <v>44683</v>
      </c>
      <c r="F1103" s="59">
        <v>12536.02</v>
      </c>
    </row>
    <row r="1104" ht="16.5" customHeight="1" spans="5:6">
      <c r="E1104" s="58">
        <v>44680</v>
      </c>
      <c r="F1104" s="59">
        <v>12334.64</v>
      </c>
    </row>
    <row r="1105" ht="16.5" customHeight="1" spans="5:6">
      <c r="E1105" s="58">
        <v>44679</v>
      </c>
      <c r="F1105" s="59">
        <v>12871.53</v>
      </c>
    </row>
    <row r="1106" ht="16.5" customHeight="1" spans="5:6">
      <c r="E1106" s="58">
        <v>44678</v>
      </c>
      <c r="F1106" s="59">
        <v>12488.93</v>
      </c>
    </row>
    <row r="1107" ht="16.5" customHeight="1" spans="5:6">
      <c r="E1107" s="58">
        <v>44677</v>
      </c>
      <c r="F1107" s="59">
        <v>12490.74</v>
      </c>
    </row>
    <row r="1108" ht="16.5" customHeight="1" spans="5:6">
      <c r="E1108" s="58">
        <v>44676</v>
      </c>
      <c r="F1108" s="59">
        <v>13004.85</v>
      </c>
    </row>
    <row r="1109" ht="16.5" customHeight="1" spans="5:6">
      <c r="E1109" s="58">
        <v>44673</v>
      </c>
      <c r="F1109" s="59">
        <v>12839.29</v>
      </c>
    </row>
    <row r="1110" ht="16.5" customHeight="1" spans="5:6">
      <c r="E1110" s="58">
        <v>44672</v>
      </c>
      <c r="F1110" s="59">
        <v>13174.65</v>
      </c>
    </row>
    <row r="1111" ht="16.5" customHeight="1" spans="5:6">
      <c r="E1111" s="58">
        <v>44671</v>
      </c>
      <c r="F1111" s="59">
        <v>13453.07</v>
      </c>
    </row>
    <row r="1112" ht="16.5" customHeight="1" spans="5:6">
      <c r="E1112" s="58">
        <v>44670</v>
      </c>
      <c r="F1112" s="59">
        <v>13619.66</v>
      </c>
    </row>
    <row r="1113" ht="16.5" customHeight="1" spans="5:6">
      <c r="E1113" s="58">
        <v>44669</v>
      </c>
      <c r="F1113" s="59">
        <v>13332.36</v>
      </c>
    </row>
    <row r="1114" ht="16.5" customHeight="1" spans="5:6">
      <c r="E1114" s="58">
        <v>44665</v>
      </c>
      <c r="F1114" s="59">
        <v>13351.08</v>
      </c>
    </row>
    <row r="1115" ht="16.5" customHeight="1" spans="5:6">
      <c r="E1115" s="58">
        <v>44664</v>
      </c>
      <c r="F1115" s="59">
        <v>13643.59</v>
      </c>
    </row>
    <row r="1116" ht="16.5" customHeight="1" spans="5:6">
      <c r="E1116" s="58">
        <v>44663</v>
      </c>
      <c r="F1116" s="59">
        <v>13371.57</v>
      </c>
    </row>
    <row r="1117" ht="16.5" customHeight="1" spans="5:6">
      <c r="E1117" s="58">
        <v>44662</v>
      </c>
      <c r="F1117" s="59">
        <v>13411.96</v>
      </c>
    </row>
    <row r="1118" ht="16.5" customHeight="1" spans="5:6">
      <c r="E1118" s="58">
        <v>44659</v>
      </c>
      <c r="F1118" s="59">
        <v>13711</v>
      </c>
    </row>
    <row r="1119" ht="16.5" customHeight="1" spans="5:6">
      <c r="E1119" s="58">
        <v>44658</v>
      </c>
      <c r="F1119" s="59">
        <v>13897.3</v>
      </c>
    </row>
    <row r="1120" ht="16.5" customHeight="1" spans="5:6">
      <c r="E1120" s="58">
        <v>44657</v>
      </c>
      <c r="F1120" s="59">
        <v>13888.82</v>
      </c>
    </row>
    <row r="1121" ht="16.5" customHeight="1" spans="5:6">
      <c r="E1121" s="58">
        <v>44656</v>
      </c>
      <c r="F1121" s="59">
        <v>14204.17</v>
      </c>
    </row>
    <row r="1122" ht="16.5" customHeight="1" spans="5:6">
      <c r="E1122" s="58">
        <v>44655</v>
      </c>
      <c r="F1122" s="59">
        <v>14532.55</v>
      </c>
    </row>
    <row r="1123" ht="16.5" customHeight="1" spans="5:6">
      <c r="E1123" s="58">
        <v>44652</v>
      </c>
      <c r="F1123" s="59">
        <v>14261.5</v>
      </c>
    </row>
    <row r="1124" ht="16.5" customHeight="1" spans="5:6">
      <c r="E1124" s="58">
        <v>44651</v>
      </c>
      <c r="F1124" s="59">
        <v>14220.52</v>
      </c>
    </row>
    <row r="1125" ht="16.5" customHeight="1" spans="5:6">
      <c r="E1125" s="58">
        <v>44650</v>
      </c>
      <c r="F1125" s="59">
        <v>14442.27</v>
      </c>
    </row>
    <row r="1126" ht="16.5" customHeight="1" spans="5:6">
      <c r="E1126" s="58">
        <v>44649</v>
      </c>
      <c r="F1126" s="59">
        <v>14619.64</v>
      </c>
    </row>
    <row r="1127" ht="16.5" customHeight="1" spans="5:6">
      <c r="E1127" s="58">
        <v>44648</v>
      </c>
      <c r="F1127" s="59">
        <v>14354.9</v>
      </c>
    </row>
    <row r="1128" ht="16.5" customHeight="1" spans="5:6">
      <c r="E1128" s="58">
        <v>44645</v>
      </c>
      <c r="F1128" s="59">
        <v>14169.3</v>
      </c>
    </row>
    <row r="1129" ht="16.5" customHeight="1" spans="5:6">
      <c r="E1129" s="58">
        <v>44644</v>
      </c>
      <c r="F1129" s="59">
        <v>14191.84</v>
      </c>
    </row>
    <row r="1130" ht="16.5" customHeight="1" spans="5:6">
      <c r="E1130" s="58">
        <v>44643</v>
      </c>
      <c r="F1130" s="59">
        <v>13922.6</v>
      </c>
    </row>
    <row r="1131" ht="16.5" customHeight="1" spans="5:6">
      <c r="E1131" s="58">
        <v>44642</v>
      </c>
      <c r="F1131" s="59">
        <v>14108.82</v>
      </c>
    </row>
    <row r="1132" ht="16.5" customHeight="1" spans="5:6">
      <c r="E1132" s="58">
        <v>44641</v>
      </c>
      <c r="F1132" s="59">
        <v>13838.46</v>
      </c>
    </row>
    <row r="1133" ht="16.5" customHeight="1" spans="5:6">
      <c r="E1133" s="58">
        <v>44638</v>
      </c>
      <c r="F1133" s="59">
        <v>13893.84</v>
      </c>
    </row>
    <row r="1134" ht="16.5" customHeight="1" spans="5:6">
      <c r="E1134" s="58">
        <v>44637</v>
      </c>
      <c r="F1134" s="59">
        <v>13614.78</v>
      </c>
    </row>
    <row r="1135" ht="16.5" customHeight="1" spans="5:6">
      <c r="E1135" s="58">
        <v>44636</v>
      </c>
      <c r="F1135" s="59">
        <v>13436.55</v>
      </c>
    </row>
    <row r="1136" ht="16.5" customHeight="1" spans="5:6">
      <c r="E1136" s="58">
        <v>44635</v>
      </c>
      <c r="F1136" s="59">
        <v>12948.62</v>
      </c>
    </row>
    <row r="1137" ht="16.5" customHeight="1" spans="5:6">
      <c r="E1137" s="58">
        <v>44634</v>
      </c>
      <c r="F1137" s="59">
        <v>12581.22</v>
      </c>
    </row>
    <row r="1138" ht="16.5" customHeight="1" spans="5:6">
      <c r="E1138" s="58">
        <v>44631</v>
      </c>
      <c r="F1138" s="59">
        <v>12843.81</v>
      </c>
    </row>
    <row r="1139" ht="16.5" customHeight="1" spans="5:6">
      <c r="E1139" s="58">
        <v>44630</v>
      </c>
      <c r="F1139" s="59">
        <v>13129.96</v>
      </c>
    </row>
    <row r="1140" ht="16.5" customHeight="1" spans="5:6">
      <c r="E1140" s="58">
        <v>44629</v>
      </c>
      <c r="F1140" s="59">
        <v>13255.55</v>
      </c>
    </row>
    <row r="1141" ht="16.5" customHeight="1" spans="5:6">
      <c r="E1141" s="58">
        <v>44628</v>
      </c>
      <c r="F1141" s="59">
        <v>12795.55</v>
      </c>
    </row>
    <row r="1142" ht="16.5" customHeight="1" spans="5:6">
      <c r="E1142" s="58">
        <v>44627</v>
      </c>
      <c r="F1142" s="59">
        <v>12830.96</v>
      </c>
    </row>
    <row r="1143" ht="16.5" customHeight="1" spans="5:6">
      <c r="E1143" s="58">
        <v>44624</v>
      </c>
      <c r="F1143" s="59">
        <v>13313.44</v>
      </c>
    </row>
    <row r="1144" ht="16.5" customHeight="1" spans="5:6">
      <c r="E1144" s="58">
        <v>44623</v>
      </c>
      <c r="F1144" s="59">
        <v>13537.94</v>
      </c>
    </row>
    <row r="1145" ht="16.5" customHeight="1" spans="5:6">
      <c r="E1145" s="58">
        <v>44622</v>
      </c>
      <c r="F1145" s="59">
        <v>13752.02</v>
      </c>
    </row>
    <row r="1146" ht="16.5" customHeight="1" spans="5:6">
      <c r="E1146" s="58">
        <v>44621</v>
      </c>
      <c r="F1146" s="59">
        <v>13532.46</v>
      </c>
    </row>
    <row r="1147" ht="16.5" customHeight="1" spans="5:6">
      <c r="E1147" s="58">
        <v>44620</v>
      </c>
      <c r="F1147" s="59">
        <v>13751.4</v>
      </c>
    </row>
    <row r="1148" ht="16.5" customHeight="1" spans="5:6">
      <c r="E1148" s="58">
        <v>44617</v>
      </c>
      <c r="F1148" s="59">
        <v>13694.62</v>
      </c>
    </row>
    <row r="1149" ht="16.5" customHeight="1" spans="5:6">
      <c r="E1149" s="58">
        <v>44616</v>
      </c>
      <c r="F1149" s="59">
        <v>13473.58</v>
      </c>
    </row>
    <row r="1150" ht="16.5" customHeight="1" spans="5:6">
      <c r="E1150" s="58">
        <v>44615</v>
      </c>
      <c r="F1150" s="59">
        <v>13037.49</v>
      </c>
    </row>
    <row r="1151" ht="16.5" customHeight="1" spans="5:6">
      <c r="E1151" s="58">
        <v>44614</v>
      </c>
      <c r="F1151" s="59">
        <v>13381.52</v>
      </c>
    </row>
    <row r="1152" ht="16.5" customHeight="1" spans="5:6">
      <c r="E1152" s="58">
        <v>44610</v>
      </c>
      <c r="F1152" s="59">
        <v>13548.07</v>
      </c>
    </row>
    <row r="1153" ht="16.5" customHeight="1" spans="5:6">
      <c r="E1153" s="58">
        <v>44609</v>
      </c>
      <c r="F1153" s="59">
        <v>13716.72</v>
      </c>
    </row>
    <row r="1154" ht="16.5" customHeight="1" spans="5:6">
      <c r="E1154" s="58">
        <v>44608</v>
      </c>
      <c r="F1154" s="59">
        <v>14124.09</v>
      </c>
    </row>
    <row r="1155" ht="16.5" customHeight="1" spans="5:6">
      <c r="E1155" s="58">
        <v>44607</v>
      </c>
      <c r="F1155" s="59">
        <v>14139.76</v>
      </c>
    </row>
    <row r="1156" ht="16.5" customHeight="1" spans="5:6">
      <c r="E1156" s="58">
        <v>44606</v>
      </c>
      <c r="F1156" s="59">
        <v>13790.92</v>
      </c>
    </row>
    <row r="1157" ht="16.5" customHeight="1" spans="5:6">
      <c r="E1157" s="58">
        <v>44603</v>
      </c>
      <c r="F1157" s="59">
        <v>13791.15</v>
      </c>
    </row>
    <row r="1158" ht="16.5" customHeight="1" spans="5:6">
      <c r="E1158" s="58">
        <v>44602</v>
      </c>
      <c r="F1158" s="59">
        <v>14185.64</v>
      </c>
    </row>
    <row r="1159" ht="16.5" customHeight="1" spans="5:6">
      <c r="E1159" s="58">
        <v>44601</v>
      </c>
      <c r="F1159" s="59">
        <v>14490.37</v>
      </c>
    </row>
    <row r="1160" ht="16.5" customHeight="1" spans="5:6">
      <c r="E1160" s="58">
        <v>44600</v>
      </c>
      <c r="F1160" s="59">
        <v>14194.45</v>
      </c>
    </row>
    <row r="1161" ht="16.5" customHeight="1" spans="5:6">
      <c r="E1161" s="58">
        <v>44599</v>
      </c>
      <c r="F1161" s="59">
        <v>14015.67</v>
      </c>
    </row>
    <row r="1162" ht="16.5" customHeight="1" spans="5:6">
      <c r="E1162" s="58">
        <v>44596</v>
      </c>
      <c r="F1162" s="59">
        <v>14098.01</v>
      </c>
    </row>
    <row r="1163" ht="16.5" customHeight="1" spans="5:6">
      <c r="E1163" s="58">
        <v>44595</v>
      </c>
      <c r="F1163" s="59">
        <v>13878.82</v>
      </c>
    </row>
    <row r="1164" ht="16.5" customHeight="1" spans="5:6">
      <c r="E1164" s="58">
        <v>44594</v>
      </c>
      <c r="F1164" s="59">
        <v>14417.55</v>
      </c>
    </row>
    <row r="1165" ht="16.5" customHeight="1" spans="5:6">
      <c r="E1165" s="58">
        <v>44593</v>
      </c>
      <c r="F1165" s="59">
        <v>14346</v>
      </c>
    </row>
    <row r="1166" ht="16.5" customHeight="1" spans="5:6">
      <c r="E1166" s="58">
        <v>44592</v>
      </c>
      <c r="F1166" s="59">
        <v>14239.88</v>
      </c>
    </row>
    <row r="1167" ht="16.5" customHeight="1" spans="5:6">
      <c r="E1167" s="58">
        <v>44589</v>
      </c>
      <c r="F1167" s="59">
        <v>13770.57</v>
      </c>
    </row>
    <row r="1168" ht="16.5" customHeight="1" spans="5:6">
      <c r="E1168" s="58">
        <v>44588</v>
      </c>
      <c r="F1168" s="59">
        <v>13352.78</v>
      </c>
    </row>
    <row r="1169" ht="16.5" customHeight="1" spans="5:6">
      <c r="E1169" s="58">
        <v>44587</v>
      </c>
      <c r="F1169" s="59">
        <v>13542.12</v>
      </c>
    </row>
    <row r="1170" ht="16.5" customHeight="1" spans="5:6">
      <c r="E1170" s="58">
        <v>44586</v>
      </c>
      <c r="F1170" s="59">
        <v>13539.29</v>
      </c>
    </row>
    <row r="1171" ht="16.5" customHeight="1" spans="5:6">
      <c r="E1171" s="58">
        <v>44585</v>
      </c>
      <c r="F1171" s="59">
        <v>13855.13</v>
      </c>
    </row>
    <row r="1172" ht="16.5" customHeight="1" spans="5:6">
      <c r="E1172" s="58">
        <v>44582</v>
      </c>
      <c r="F1172" s="59">
        <v>13768.92</v>
      </c>
    </row>
    <row r="1173" ht="16.5" customHeight="1" spans="5:6">
      <c r="E1173" s="58">
        <v>44581</v>
      </c>
      <c r="F1173" s="59">
        <v>14154.02</v>
      </c>
    </row>
    <row r="1174" ht="16.5" customHeight="1" spans="5:6">
      <c r="E1174" s="58">
        <v>44580</v>
      </c>
      <c r="F1174" s="59">
        <v>14340.26</v>
      </c>
    </row>
    <row r="1175" ht="16.5" customHeight="1" spans="5:6">
      <c r="E1175" s="58">
        <v>44579</v>
      </c>
      <c r="F1175" s="59">
        <v>14506.9</v>
      </c>
    </row>
    <row r="1176" ht="16.5" customHeight="1" spans="5:6">
      <c r="E1176" s="58">
        <v>44575</v>
      </c>
      <c r="F1176" s="59">
        <v>14893.75</v>
      </c>
    </row>
    <row r="1177" ht="16.5" customHeight="1" spans="5:6">
      <c r="E1177" s="58">
        <v>44574</v>
      </c>
      <c r="F1177" s="59">
        <v>14806.81</v>
      </c>
    </row>
    <row r="1178" ht="16.5" customHeight="1" spans="5:6">
      <c r="E1178" s="58">
        <v>44573</v>
      </c>
      <c r="F1178" s="59">
        <v>15188.39</v>
      </c>
    </row>
    <row r="1179" ht="16.5" customHeight="1" spans="5:6">
      <c r="E1179" s="58">
        <v>44572</v>
      </c>
      <c r="F1179" s="59">
        <v>15153.45</v>
      </c>
    </row>
    <row r="1180" ht="16.5" customHeight="1" spans="5:6">
      <c r="E1180" s="58">
        <v>44571</v>
      </c>
      <c r="F1180" s="59">
        <v>14942.83</v>
      </c>
    </row>
    <row r="1181" ht="16.5" customHeight="1" spans="5:6">
      <c r="E1181" s="58">
        <v>44568</v>
      </c>
      <c r="F1181" s="59">
        <v>14935.9</v>
      </c>
    </row>
    <row r="1182" ht="16.5" customHeight="1" spans="5:6">
      <c r="E1182" s="58">
        <v>44567</v>
      </c>
      <c r="F1182" s="59">
        <v>15080.86</v>
      </c>
    </row>
    <row r="1183" ht="16.5" customHeight="1" spans="5:6">
      <c r="E1183" s="58">
        <v>44566</v>
      </c>
      <c r="F1183" s="59">
        <v>15100.17</v>
      </c>
    </row>
    <row r="1184" ht="16.5" customHeight="1" spans="5:6">
      <c r="E1184" s="58">
        <v>44565</v>
      </c>
      <c r="F1184" s="59">
        <v>15622.72</v>
      </c>
    </row>
    <row r="1185" ht="16.5" customHeight="1" spans="5:6">
      <c r="E1185" s="58">
        <v>44564</v>
      </c>
      <c r="F1185" s="59">
        <v>15832.8</v>
      </c>
    </row>
    <row r="1186" ht="16.5" customHeight="1" spans="5:6">
      <c r="E1186" s="58">
        <v>44561</v>
      </c>
      <c r="F1186" s="59">
        <v>15644.97</v>
      </c>
    </row>
    <row r="1187" ht="16.5" customHeight="1" spans="5:6">
      <c r="E1187" s="58">
        <v>44560</v>
      </c>
      <c r="F1187" s="59">
        <v>15741.56</v>
      </c>
    </row>
    <row r="1188" ht="16.5" customHeight="1" spans="5:6">
      <c r="E1188" s="58">
        <v>44559</v>
      </c>
      <c r="F1188" s="59">
        <v>15766.22</v>
      </c>
    </row>
    <row r="1189" ht="16.5" customHeight="1" spans="5:6">
      <c r="E1189" s="58">
        <v>44558</v>
      </c>
      <c r="F1189" s="59">
        <v>15781.72</v>
      </c>
    </row>
    <row r="1190" ht="16.5" customHeight="1" spans="5:6">
      <c r="E1190" s="58">
        <v>44557</v>
      </c>
      <c r="F1190" s="59">
        <v>15871.26</v>
      </c>
    </row>
    <row r="1191" ht="16.5" customHeight="1" spans="5:6">
      <c r="E1191" s="58">
        <v>44553</v>
      </c>
      <c r="F1191" s="59">
        <v>15653.37</v>
      </c>
    </row>
    <row r="1192" ht="16.5" customHeight="1" spans="5:6">
      <c r="E1192" s="58">
        <v>44552</v>
      </c>
      <c r="F1192" s="59">
        <v>15521.89</v>
      </c>
    </row>
    <row r="1193" ht="16.5" customHeight="1" spans="5:6">
      <c r="E1193" s="58">
        <v>44551</v>
      </c>
      <c r="F1193" s="59">
        <v>15341.09</v>
      </c>
    </row>
    <row r="1194" ht="16.5" customHeight="1" spans="5:6">
      <c r="E1194" s="58">
        <v>44550</v>
      </c>
      <c r="F1194" s="59">
        <v>14980.94</v>
      </c>
    </row>
    <row r="1195" ht="16.5" customHeight="1" spans="5:6">
      <c r="E1195" s="58">
        <v>44547</v>
      </c>
      <c r="F1195" s="59">
        <v>15169.68</v>
      </c>
    </row>
    <row r="1196" ht="16.5" customHeight="1" spans="5:6">
      <c r="E1196" s="58">
        <v>44546</v>
      </c>
      <c r="F1196" s="59">
        <v>15180.43</v>
      </c>
    </row>
    <row r="1197" ht="16.5" customHeight="1" spans="5:6">
      <c r="E1197" s="58">
        <v>44545</v>
      </c>
      <c r="F1197" s="59">
        <v>15565.58</v>
      </c>
    </row>
    <row r="1198" ht="16.5" customHeight="1" spans="5:6">
      <c r="E1198" s="58">
        <v>44544</v>
      </c>
      <c r="F1198" s="59">
        <v>15237.64</v>
      </c>
    </row>
    <row r="1199" ht="16.5" customHeight="1" spans="5:6">
      <c r="E1199" s="58">
        <v>44543</v>
      </c>
      <c r="F1199" s="59">
        <v>15413.28</v>
      </c>
    </row>
    <row r="1200" ht="16.5" customHeight="1" spans="5:6">
      <c r="E1200" s="58">
        <v>44540</v>
      </c>
      <c r="F1200" s="59">
        <v>15630.6</v>
      </c>
    </row>
    <row r="1201" ht="16.5" customHeight="1" spans="5:6">
      <c r="E1201" s="58">
        <v>44539</v>
      </c>
      <c r="F1201" s="59">
        <v>15517.37</v>
      </c>
    </row>
    <row r="1202" ht="16.5" customHeight="1" spans="5:6">
      <c r="E1202" s="58">
        <v>44538</v>
      </c>
      <c r="F1202" s="59">
        <v>15786.99</v>
      </c>
    </row>
    <row r="1203" ht="16.5" customHeight="1" spans="5:6">
      <c r="E1203" s="58">
        <v>44537</v>
      </c>
      <c r="F1203" s="59">
        <v>15686.92</v>
      </c>
    </row>
    <row r="1204" ht="16.5" customHeight="1" spans="5:6">
      <c r="E1204" s="58">
        <v>44536</v>
      </c>
      <c r="F1204" s="59">
        <v>15225.15</v>
      </c>
    </row>
    <row r="1205" ht="16.5" customHeight="1" spans="5:6">
      <c r="E1205" s="58">
        <v>44533</v>
      </c>
      <c r="F1205" s="59">
        <v>15085.47</v>
      </c>
    </row>
    <row r="1206" ht="16.5" customHeight="1" spans="5:6">
      <c r="E1206" s="58">
        <v>44532</v>
      </c>
      <c r="F1206" s="59">
        <v>15381.32</v>
      </c>
    </row>
    <row r="1207" ht="16.5" customHeight="1" spans="5:6">
      <c r="E1207" s="58">
        <v>44531</v>
      </c>
      <c r="F1207" s="59">
        <v>15254.05</v>
      </c>
    </row>
    <row r="1208" ht="16.5" customHeight="1" spans="5:6">
      <c r="E1208" s="58">
        <v>44530</v>
      </c>
      <c r="F1208" s="59">
        <v>15537.69</v>
      </c>
    </row>
    <row r="1209" ht="16.5" customHeight="1" spans="5:6">
      <c r="E1209" s="58">
        <v>44529</v>
      </c>
      <c r="F1209" s="59">
        <v>15782.83</v>
      </c>
    </row>
    <row r="1210" ht="16.5" customHeight="1" spans="5:6">
      <c r="E1210" s="58">
        <v>44526</v>
      </c>
      <c r="F1210" s="59">
        <v>15491.66</v>
      </c>
    </row>
    <row r="1211" ht="16.5" customHeight="1" spans="5:6">
      <c r="E1211" s="58">
        <v>44524</v>
      </c>
      <c r="F1211" s="59">
        <v>15845.23</v>
      </c>
    </row>
    <row r="1212" ht="16.5" customHeight="1" spans="5:6">
      <c r="E1212" s="58">
        <v>44523</v>
      </c>
      <c r="F1212" s="59">
        <v>15775.14</v>
      </c>
    </row>
    <row r="1213" ht="16.5" customHeight="1" spans="5:6">
      <c r="E1213" s="58">
        <v>44522</v>
      </c>
      <c r="F1213" s="59">
        <v>15854.76</v>
      </c>
    </row>
    <row r="1214" ht="16.5" customHeight="1" spans="5:6">
      <c r="E1214" s="58">
        <v>44519</v>
      </c>
      <c r="F1214" s="59">
        <v>16057.44</v>
      </c>
    </row>
    <row r="1215" ht="16.5" customHeight="1" spans="5:6">
      <c r="E1215" s="58">
        <v>44518</v>
      </c>
      <c r="F1215" s="59">
        <v>15993.71</v>
      </c>
    </row>
    <row r="1216" ht="16.5" customHeight="1" spans="5:6">
      <c r="E1216" s="58">
        <v>44517</v>
      </c>
      <c r="F1216" s="59">
        <v>15921.57</v>
      </c>
    </row>
    <row r="1217" ht="16.5" customHeight="1" spans="5:6">
      <c r="E1217" s="58">
        <v>44516</v>
      </c>
      <c r="F1217" s="59">
        <v>15973.86</v>
      </c>
    </row>
    <row r="1218" ht="16.5" customHeight="1" spans="5:6">
      <c r="E1218" s="58">
        <v>44515</v>
      </c>
      <c r="F1218" s="59">
        <v>15853.85</v>
      </c>
    </row>
    <row r="1219" ht="16.5" customHeight="1" spans="5:6">
      <c r="E1219" s="58">
        <v>44512</v>
      </c>
      <c r="F1219" s="59">
        <v>15860.96</v>
      </c>
    </row>
    <row r="1220" ht="16.5" customHeight="1" spans="5:6">
      <c r="E1220" s="58">
        <v>44511</v>
      </c>
      <c r="F1220" s="59">
        <v>15704.28</v>
      </c>
    </row>
    <row r="1221" ht="16.5" customHeight="1" spans="5:6">
      <c r="E1221" s="58">
        <v>44510</v>
      </c>
      <c r="F1221" s="59">
        <v>15622.71</v>
      </c>
    </row>
    <row r="1222" ht="16.5" customHeight="1" spans="5:6">
      <c r="E1222" s="58">
        <v>44509</v>
      </c>
      <c r="F1222" s="59">
        <v>15886.54</v>
      </c>
    </row>
    <row r="1223" ht="16.5" customHeight="1" spans="5:6">
      <c r="E1223" s="58">
        <v>44508</v>
      </c>
      <c r="F1223" s="59">
        <v>15982.36</v>
      </c>
    </row>
    <row r="1224" ht="16.5" customHeight="1" spans="5:6">
      <c r="E1224" s="58">
        <v>44505</v>
      </c>
      <c r="F1224" s="59">
        <v>15971.59</v>
      </c>
    </row>
    <row r="1225" ht="16.5" customHeight="1" spans="5:6">
      <c r="E1225" s="58">
        <v>44504</v>
      </c>
      <c r="F1225" s="59">
        <v>15940.31</v>
      </c>
    </row>
    <row r="1226" ht="16.5" customHeight="1" spans="5:6">
      <c r="E1226" s="58">
        <v>44503</v>
      </c>
      <c r="F1226" s="59">
        <v>15811.58</v>
      </c>
    </row>
    <row r="1227" ht="16.5" customHeight="1" spans="5:6">
      <c r="E1227" s="58">
        <v>44502</v>
      </c>
      <c r="F1227" s="59">
        <v>15649.6</v>
      </c>
    </row>
    <row r="1228" ht="16.5" customHeight="1" spans="5:6">
      <c r="E1228" s="58">
        <v>44501</v>
      </c>
      <c r="F1228" s="59">
        <v>15595.92</v>
      </c>
    </row>
    <row r="1229" ht="16.5" customHeight="1" spans="5:6">
      <c r="E1229" s="58">
        <v>44498</v>
      </c>
      <c r="F1229" s="59">
        <v>15498.39</v>
      </c>
    </row>
    <row r="1230" ht="16.5" customHeight="1" spans="5:6">
      <c r="E1230" s="58">
        <v>44497</v>
      </c>
      <c r="F1230" s="59">
        <v>15448.12</v>
      </c>
    </row>
    <row r="1231" ht="16.5" customHeight="1" spans="5:6">
      <c r="E1231" s="58">
        <v>44496</v>
      </c>
      <c r="F1231" s="59">
        <v>15235.84</v>
      </c>
    </row>
    <row r="1232" ht="16.5" customHeight="1" spans="5:6">
      <c r="E1232" s="58">
        <v>44495</v>
      </c>
      <c r="F1232" s="59">
        <v>15235.71</v>
      </c>
    </row>
    <row r="1233" ht="16.5" customHeight="1" spans="5:6">
      <c r="E1233" s="58">
        <v>44494</v>
      </c>
      <c r="F1233" s="59">
        <v>15226.71</v>
      </c>
    </row>
    <row r="1234" ht="16.5" customHeight="1" spans="5:6">
      <c r="E1234" s="58">
        <v>44491</v>
      </c>
      <c r="F1234" s="59">
        <v>15090.2</v>
      </c>
    </row>
    <row r="1235" ht="16.5" customHeight="1" spans="5:6">
      <c r="E1235" s="58">
        <v>44490</v>
      </c>
      <c r="F1235" s="59">
        <v>15215.7</v>
      </c>
    </row>
    <row r="1236" ht="16.5" customHeight="1" spans="5:6">
      <c r="E1236" s="58">
        <v>44489</v>
      </c>
      <c r="F1236" s="59">
        <v>15121.68</v>
      </c>
    </row>
    <row r="1237" ht="16.5" customHeight="1" spans="5:6">
      <c r="E1237" s="58">
        <v>44488</v>
      </c>
      <c r="F1237" s="59">
        <v>15129.09</v>
      </c>
    </row>
    <row r="1238" ht="16.5" customHeight="1" spans="5:6">
      <c r="E1238" s="58">
        <v>44487</v>
      </c>
      <c r="F1238" s="59">
        <v>15021.81</v>
      </c>
    </row>
    <row r="1239" ht="16.5" customHeight="1" spans="5:6">
      <c r="E1239" s="58">
        <v>44484</v>
      </c>
      <c r="F1239" s="59">
        <v>14897.34</v>
      </c>
    </row>
    <row r="1240" ht="16.5" customHeight="1" spans="5:6">
      <c r="E1240" s="58">
        <v>44483</v>
      </c>
      <c r="F1240" s="59">
        <v>14823.43</v>
      </c>
    </row>
    <row r="1241" ht="16.5" customHeight="1" spans="5:6">
      <c r="E1241" s="58">
        <v>44482</v>
      </c>
      <c r="F1241" s="59">
        <v>14571.64</v>
      </c>
    </row>
    <row r="1242" ht="16.5" customHeight="1" spans="5:6">
      <c r="E1242" s="58">
        <v>44481</v>
      </c>
      <c r="F1242" s="59">
        <v>14465.92</v>
      </c>
    </row>
    <row r="1243" ht="16.5" customHeight="1" spans="5:6">
      <c r="E1243" s="58">
        <v>44480</v>
      </c>
      <c r="F1243" s="59">
        <v>14486.2</v>
      </c>
    </row>
    <row r="1244" ht="16.5" customHeight="1" spans="5:6">
      <c r="E1244" s="58">
        <v>44477</v>
      </c>
      <c r="F1244" s="59">
        <v>14579.54</v>
      </c>
    </row>
    <row r="1245" ht="16.5" customHeight="1" spans="5:6">
      <c r="E1245" s="58">
        <v>44476</v>
      </c>
      <c r="F1245" s="59">
        <v>14654.02</v>
      </c>
    </row>
    <row r="1246" ht="16.5" customHeight="1" spans="5:6">
      <c r="E1246" s="58">
        <v>44475</v>
      </c>
      <c r="F1246" s="59">
        <v>14501.91</v>
      </c>
    </row>
    <row r="1247" ht="16.5" customHeight="1" spans="5:6">
      <c r="E1247" s="58">
        <v>44474</v>
      </c>
      <c r="F1247" s="59">
        <v>14433.83</v>
      </c>
    </row>
    <row r="1248" ht="16.5" customHeight="1" spans="5:6">
      <c r="E1248" s="58">
        <v>44473</v>
      </c>
      <c r="F1248" s="59">
        <v>14255.48</v>
      </c>
    </row>
    <row r="1249" ht="16.5" customHeight="1" spans="5:6">
      <c r="E1249" s="58">
        <v>44470</v>
      </c>
      <c r="F1249" s="59">
        <v>14566.7</v>
      </c>
    </row>
    <row r="1250" ht="16.5" customHeight="1" spans="5:6">
      <c r="E1250" s="58">
        <v>44469</v>
      </c>
      <c r="F1250" s="59">
        <v>14448.58</v>
      </c>
    </row>
    <row r="1251" ht="16.5" customHeight="1" spans="5:6">
      <c r="E1251" s="58">
        <v>44468</v>
      </c>
      <c r="F1251" s="59">
        <v>14512.44</v>
      </c>
    </row>
    <row r="1252" ht="16.5" customHeight="1" spans="5:6">
      <c r="E1252" s="58">
        <v>44467</v>
      </c>
      <c r="F1252" s="59">
        <v>14546.68</v>
      </c>
    </row>
    <row r="1253" ht="16.5" customHeight="1" spans="5:6">
      <c r="E1253" s="58">
        <v>44466</v>
      </c>
      <c r="F1253" s="59">
        <v>14969.97</v>
      </c>
    </row>
    <row r="1254" ht="16.5" customHeight="1" spans="5:6">
      <c r="E1254" s="58">
        <v>44463</v>
      </c>
      <c r="F1254" s="59">
        <v>15047.7</v>
      </c>
    </row>
    <row r="1255" ht="16.5" customHeight="1" spans="5:6">
      <c r="E1255" s="58">
        <v>44462</v>
      </c>
      <c r="F1255" s="59">
        <v>15052.24</v>
      </c>
    </row>
    <row r="1256" ht="16.5" customHeight="1" spans="5:6">
      <c r="E1256" s="58">
        <v>44461</v>
      </c>
      <c r="F1256" s="59">
        <v>14896.85</v>
      </c>
    </row>
    <row r="1257" ht="16.5" customHeight="1" spans="5:6">
      <c r="E1257" s="58">
        <v>44460</v>
      </c>
      <c r="F1257" s="59">
        <v>14746.4</v>
      </c>
    </row>
    <row r="1258" ht="16.5" customHeight="1" spans="5:6">
      <c r="E1258" s="58">
        <v>44459</v>
      </c>
      <c r="F1258" s="59">
        <v>14713.9</v>
      </c>
    </row>
    <row r="1259" ht="16.5" customHeight="1" spans="5:6">
      <c r="E1259" s="58">
        <v>44456</v>
      </c>
      <c r="F1259" s="59">
        <v>15043.97</v>
      </c>
    </row>
    <row r="1260" ht="16.5" customHeight="1" spans="5:6">
      <c r="E1260" s="58">
        <v>44455</v>
      </c>
      <c r="F1260" s="59">
        <v>15181.92</v>
      </c>
    </row>
    <row r="1261" ht="16.5" customHeight="1" spans="5:6">
      <c r="E1261" s="58">
        <v>44454</v>
      </c>
      <c r="F1261" s="59">
        <v>15161.53</v>
      </c>
    </row>
    <row r="1262" ht="16.5" customHeight="1" spans="5:6">
      <c r="E1262" s="58">
        <v>44453</v>
      </c>
      <c r="F1262" s="59">
        <v>15037.76</v>
      </c>
    </row>
    <row r="1263" ht="16.5" customHeight="1" spans="5:6">
      <c r="E1263" s="58">
        <v>44452</v>
      </c>
      <c r="F1263" s="59">
        <v>15105.58</v>
      </c>
    </row>
    <row r="1264" ht="16.5" customHeight="1" spans="5:6">
      <c r="E1264" s="58">
        <v>44449</v>
      </c>
      <c r="F1264" s="59">
        <v>15115.49</v>
      </c>
    </row>
    <row r="1265" ht="16.5" customHeight="1" spans="5:6">
      <c r="E1265" s="58">
        <v>44448</v>
      </c>
      <c r="F1265" s="59">
        <v>15248.25</v>
      </c>
    </row>
    <row r="1266" ht="16.5" customHeight="1" spans="5:6">
      <c r="E1266" s="58">
        <v>44447</v>
      </c>
      <c r="F1266" s="59">
        <v>15286.64</v>
      </c>
    </row>
    <row r="1267" ht="16.5" customHeight="1" spans="5:6">
      <c r="E1267" s="58">
        <v>44446</v>
      </c>
      <c r="F1267" s="59">
        <v>15374.33</v>
      </c>
    </row>
    <row r="1268" ht="16.5" customHeight="1" spans="5:6">
      <c r="E1268" s="58">
        <v>44442</v>
      </c>
      <c r="F1268" s="59">
        <v>15363.52</v>
      </c>
    </row>
    <row r="1269" ht="16.5" customHeight="1" spans="5:6">
      <c r="E1269" s="58">
        <v>44441</v>
      </c>
      <c r="F1269" s="59">
        <v>15331.18</v>
      </c>
    </row>
    <row r="1270" ht="16.5" customHeight="1" spans="5:6">
      <c r="E1270" s="58">
        <v>44440</v>
      </c>
      <c r="F1270" s="59">
        <v>15309.38</v>
      </c>
    </row>
    <row r="1271" ht="16.5" customHeight="1" spans="5:6">
      <c r="E1271" s="58">
        <v>44439</v>
      </c>
      <c r="F1271" s="59">
        <v>15259.24</v>
      </c>
    </row>
    <row r="1272" ht="16.5" customHeight="1" spans="5:6">
      <c r="E1272" s="58">
        <v>44438</v>
      </c>
      <c r="F1272" s="59">
        <v>15265.89</v>
      </c>
    </row>
    <row r="1273" ht="16.5" customHeight="1" spans="5:6">
      <c r="E1273" s="58">
        <v>44435</v>
      </c>
      <c r="F1273" s="59">
        <v>15129.5</v>
      </c>
    </row>
    <row r="1274" ht="16.5" customHeight="1" spans="5:6">
      <c r="E1274" s="58">
        <v>44434</v>
      </c>
      <c r="F1274" s="59">
        <v>14945.81</v>
      </c>
    </row>
    <row r="1275" ht="16.5" customHeight="1" spans="5:6">
      <c r="E1275" s="58">
        <v>44433</v>
      </c>
      <c r="F1275" s="59">
        <v>15041.86</v>
      </c>
    </row>
    <row r="1276" ht="16.5" customHeight="1" spans="5:6">
      <c r="E1276" s="58">
        <v>44432</v>
      </c>
      <c r="F1276" s="59">
        <v>15019.8</v>
      </c>
    </row>
    <row r="1277" ht="16.5" customHeight="1" spans="5:6">
      <c r="E1277" s="58">
        <v>44431</v>
      </c>
      <c r="F1277" s="59">
        <v>14942.65</v>
      </c>
    </row>
    <row r="1278" ht="16.5" customHeight="1" spans="5:6">
      <c r="E1278" s="58">
        <v>44428</v>
      </c>
      <c r="F1278" s="59">
        <v>14714.66</v>
      </c>
    </row>
    <row r="1279" ht="16.5" customHeight="1" spans="5:6">
      <c r="E1279" s="58">
        <v>44427</v>
      </c>
      <c r="F1279" s="59">
        <v>14541.79</v>
      </c>
    </row>
    <row r="1280" ht="16.5" customHeight="1" spans="5:6">
      <c r="E1280" s="58">
        <v>44426</v>
      </c>
      <c r="F1280" s="59">
        <v>14525.91</v>
      </c>
    </row>
    <row r="1281" ht="16.5" customHeight="1" spans="5:6">
      <c r="E1281" s="58">
        <v>44425</v>
      </c>
      <c r="F1281" s="59">
        <v>14656.18</v>
      </c>
    </row>
    <row r="1282" ht="16.5" customHeight="1" spans="5:6">
      <c r="E1282" s="58">
        <v>44424</v>
      </c>
      <c r="F1282" s="59">
        <v>14793.76</v>
      </c>
    </row>
    <row r="1283" ht="16.5" customHeight="1" spans="5:6">
      <c r="E1283" s="58">
        <v>44421</v>
      </c>
      <c r="F1283" s="59">
        <v>14822.9</v>
      </c>
    </row>
    <row r="1284" ht="16.5" customHeight="1" spans="5:6">
      <c r="E1284" s="58">
        <v>44420</v>
      </c>
      <c r="F1284" s="59">
        <v>14816.26</v>
      </c>
    </row>
    <row r="1285" ht="16.5" customHeight="1" spans="5:6">
      <c r="E1285" s="58">
        <v>44419</v>
      </c>
      <c r="F1285" s="59">
        <v>14765.14</v>
      </c>
    </row>
    <row r="1286" ht="16.5" customHeight="1" spans="5:6">
      <c r="E1286" s="58">
        <v>44418</v>
      </c>
      <c r="F1286" s="59">
        <v>14788.09</v>
      </c>
    </row>
    <row r="1287" ht="16.5" customHeight="1" spans="5:6">
      <c r="E1287" s="58">
        <v>44417</v>
      </c>
      <c r="F1287" s="59">
        <v>14860.18</v>
      </c>
    </row>
    <row r="1288" ht="16.5" customHeight="1" spans="5:6">
      <c r="E1288" s="58">
        <v>44414</v>
      </c>
      <c r="F1288" s="59">
        <v>14835.76</v>
      </c>
    </row>
    <row r="1289" ht="16.5" customHeight="1" spans="5:6">
      <c r="E1289" s="58">
        <v>44413</v>
      </c>
      <c r="F1289" s="59">
        <v>14895.12</v>
      </c>
    </row>
    <row r="1290" ht="16.5" customHeight="1" spans="5:6">
      <c r="E1290" s="58">
        <v>44412</v>
      </c>
      <c r="F1290" s="59">
        <v>14780.53</v>
      </c>
    </row>
    <row r="1291" ht="16.5" customHeight="1" spans="5:6">
      <c r="E1291" s="58">
        <v>44411</v>
      </c>
      <c r="F1291" s="59">
        <v>14761.29</v>
      </c>
    </row>
    <row r="1292" ht="16.5" customHeight="1" spans="5:6">
      <c r="E1292" s="58">
        <v>44410</v>
      </c>
      <c r="F1292" s="59">
        <v>14681.07</v>
      </c>
    </row>
    <row r="1293" ht="16.5" customHeight="1" spans="5:6">
      <c r="E1293" s="58">
        <v>44407</v>
      </c>
      <c r="F1293" s="59">
        <v>14672.68</v>
      </c>
    </row>
    <row r="1294" ht="16.5" customHeight="1" spans="5:6">
      <c r="E1294" s="58">
        <v>44406</v>
      </c>
      <c r="F1294" s="59">
        <v>14778.26</v>
      </c>
    </row>
    <row r="1295" ht="16.5" customHeight="1" spans="5:6">
      <c r="E1295" s="58">
        <v>44405</v>
      </c>
      <c r="F1295" s="59">
        <v>14762.58</v>
      </c>
    </row>
    <row r="1296" ht="16.5" customHeight="1" spans="5:6">
      <c r="E1296" s="58">
        <v>44404</v>
      </c>
      <c r="F1296" s="59">
        <v>14660.58</v>
      </c>
    </row>
    <row r="1297" ht="16.5" customHeight="1" spans="5:6">
      <c r="E1297" s="58">
        <v>44403</v>
      </c>
      <c r="F1297" s="59">
        <v>14840.71</v>
      </c>
    </row>
    <row r="1298" ht="16.5" customHeight="1" spans="5:6">
      <c r="E1298" s="58">
        <v>44400</v>
      </c>
      <c r="F1298" s="59">
        <v>14836.99</v>
      </c>
    </row>
    <row r="1299" ht="16.5" customHeight="1" spans="5:6">
      <c r="E1299" s="58">
        <v>44399</v>
      </c>
      <c r="F1299" s="59">
        <v>14684.6</v>
      </c>
    </row>
    <row r="1300" ht="16.5" customHeight="1" spans="5:6">
      <c r="E1300" s="58">
        <v>44398</v>
      </c>
      <c r="F1300" s="59">
        <v>14631.95</v>
      </c>
    </row>
    <row r="1301" ht="16.5" customHeight="1" spans="5:6">
      <c r="E1301" s="58">
        <v>44397</v>
      </c>
      <c r="F1301" s="59">
        <v>14498.88</v>
      </c>
    </row>
    <row r="1302" ht="16.5" customHeight="1" spans="5:6">
      <c r="E1302" s="58">
        <v>44396</v>
      </c>
      <c r="F1302" s="59">
        <v>14274.98</v>
      </c>
    </row>
    <row r="1303" ht="16.5" customHeight="1" spans="5:6">
      <c r="E1303" s="58">
        <v>44393</v>
      </c>
      <c r="F1303" s="59">
        <v>14427.24</v>
      </c>
    </row>
    <row r="1304" ht="16.5" customHeight="1" spans="5:6">
      <c r="E1304" s="58">
        <v>44392</v>
      </c>
      <c r="F1304" s="59">
        <v>14543.13</v>
      </c>
    </row>
    <row r="1305" ht="16.5" customHeight="1" spans="5:6">
      <c r="E1305" s="58">
        <v>44391</v>
      </c>
      <c r="F1305" s="59">
        <v>14644.95</v>
      </c>
    </row>
    <row r="1306" ht="16.5" customHeight="1" spans="5:6">
      <c r="E1306" s="58">
        <v>44390</v>
      </c>
      <c r="F1306" s="59">
        <v>14677.65</v>
      </c>
    </row>
    <row r="1307" ht="16.5" customHeight="1" spans="5:6">
      <c r="E1307" s="58">
        <v>44389</v>
      </c>
      <c r="F1307" s="59">
        <v>14733.24</v>
      </c>
    </row>
    <row r="1308" ht="16.5" customHeight="1" spans="5:6">
      <c r="E1308" s="58">
        <v>44386</v>
      </c>
      <c r="F1308" s="59">
        <v>14701.92</v>
      </c>
    </row>
    <row r="1309" ht="16.5" customHeight="1" spans="5:6">
      <c r="E1309" s="58">
        <v>44385</v>
      </c>
      <c r="F1309" s="59">
        <v>14559.78</v>
      </c>
    </row>
    <row r="1310" ht="16.5" customHeight="1" spans="5:6">
      <c r="E1310" s="58">
        <v>44384</v>
      </c>
      <c r="F1310" s="59">
        <v>14665.06</v>
      </c>
    </row>
    <row r="1311" ht="16.5" customHeight="1" spans="5:6">
      <c r="E1311" s="58">
        <v>44383</v>
      </c>
      <c r="F1311" s="59">
        <v>14663.64</v>
      </c>
    </row>
    <row r="1312" ht="16.5" customHeight="1" spans="5:6">
      <c r="E1312" s="58">
        <v>44379</v>
      </c>
      <c r="F1312" s="59">
        <v>14639.33</v>
      </c>
    </row>
    <row r="1313" ht="16.5" customHeight="1" spans="5:6">
      <c r="E1313" s="58">
        <v>44378</v>
      </c>
      <c r="F1313" s="59">
        <v>14522.38</v>
      </c>
    </row>
    <row r="1314" ht="16.5" customHeight="1" spans="5:6">
      <c r="E1314" s="58">
        <v>44377</v>
      </c>
      <c r="F1314" s="59">
        <v>14503.95</v>
      </c>
    </row>
    <row r="1315" ht="16.5" customHeight="1" spans="5:6">
      <c r="E1315" s="58">
        <v>44376</v>
      </c>
      <c r="F1315" s="59">
        <v>14528.33</v>
      </c>
    </row>
    <row r="1316" ht="16.5" customHeight="1" spans="5:6">
      <c r="E1316" s="58">
        <v>44375</v>
      </c>
      <c r="F1316" s="59">
        <v>14500.51</v>
      </c>
    </row>
    <row r="1317" ht="16.5" customHeight="1" spans="5:6">
      <c r="E1317" s="58">
        <v>44372</v>
      </c>
      <c r="F1317" s="59">
        <v>14360.39</v>
      </c>
    </row>
    <row r="1318" ht="16.5" customHeight="1" spans="5:6">
      <c r="E1318" s="58">
        <v>44371</v>
      </c>
      <c r="F1318" s="59">
        <v>14369.71</v>
      </c>
    </row>
    <row r="1319" ht="16.5" customHeight="1" spans="5:6">
      <c r="E1319" s="58">
        <v>44370</v>
      </c>
      <c r="F1319" s="59">
        <v>14271.73</v>
      </c>
    </row>
    <row r="1320" ht="16.5" customHeight="1" spans="5:6">
      <c r="E1320" s="58">
        <v>44369</v>
      </c>
      <c r="F1320" s="59">
        <v>14253.27</v>
      </c>
    </row>
    <row r="1321" ht="16.5" customHeight="1" spans="5:6">
      <c r="E1321" s="58">
        <v>44368</v>
      </c>
      <c r="F1321" s="59">
        <v>14141.48</v>
      </c>
    </row>
    <row r="1322" ht="16.5" customHeight="1" spans="5:6">
      <c r="E1322" s="58">
        <v>44365</v>
      </c>
      <c r="F1322" s="59">
        <v>14030.38</v>
      </c>
    </row>
    <row r="1323" ht="16.5" customHeight="1" spans="5:6">
      <c r="E1323" s="58">
        <v>44364</v>
      </c>
      <c r="F1323" s="59">
        <v>14161.35</v>
      </c>
    </row>
    <row r="1324" ht="16.5" customHeight="1" spans="5:6">
      <c r="E1324" s="58">
        <v>44363</v>
      </c>
      <c r="F1324" s="59">
        <v>14039.68</v>
      </c>
    </row>
    <row r="1325" ht="16.5" customHeight="1" spans="5:6">
      <c r="E1325" s="58">
        <v>44362</v>
      </c>
      <c r="F1325" s="59">
        <v>14072.86</v>
      </c>
    </row>
    <row r="1326" ht="16.5" customHeight="1" spans="5:6">
      <c r="E1326" s="58">
        <v>44361</v>
      </c>
      <c r="F1326" s="59">
        <v>14174.14</v>
      </c>
    </row>
    <row r="1327" ht="16.5" customHeight="1" spans="5:6">
      <c r="E1327" s="58">
        <v>44358</v>
      </c>
      <c r="F1327" s="59">
        <v>14069.42</v>
      </c>
    </row>
    <row r="1328" ht="16.5" customHeight="1" spans="5:6">
      <c r="E1328" s="58">
        <v>44357</v>
      </c>
      <c r="F1328" s="59">
        <v>14020.33</v>
      </c>
    </row>
    <row r="1329" ht="16.5" customHeight="1" spans="5:6">
      <c r="E1329" s="58">
        <v>44356</v>
      </c>
      <c r="F1329" s="59">
        <v>13911.75</v>
      </c>
    </row>
    <row r="1330" ht="16.5" customHeight="1" spans="5:6">
      <c r="E1330" s="58">
        <v>44355</v>
      </c>
      <c r="F1330" s="59">
        <v>13924.91</v>
      </c>
    </row>
    <row r="1331" ht="16.5" customHeight="1" spans="5:6">
      <c r="E1331" s="58">
        <v>44354</v>
      </c>
      <c r="F1331" s="59">
        <v>13881.72</v>
      </c>
    </row>
    <row r="1332" ht="16.5" customHeight="1" spans="5:6">
      <c r="E1332" s="58">
        <v>44351</v>
      </c>
      <c r="F1332" s="59">
        <v>13814.49</v>
      </c>
    </row>
    <row r="1333" ht="16.5" customHeight="1" spans="5:6">
      <c r="E1333" s="58">
        <v>44350</v>
      </c>
      <c r="F1333" s="59">
        <v>13614.51</v>
      </c>
    </row>
    <row r="1334" ht="16.5" customHeight="1" spans="5:6">
      <c r="E1334" s="58">
        <v>44349</v>
      </c>
      <c r="F1334" s="59">
        <v>13756.33</v>
      </c>
    </row>
    <row r="1335" ht="16.5" customHeight="1" spans="5:6">
      <c r="E1335" s="58">
        <v>44348</v>
      </c>
      <c r="F1335" s="59">
        <v>13736.48</v>
      </c>
    </row>
    <row r="1336" ht="16.5" customHeight="1" spans="5:6">
      <c r="E1336" s="58">
        <v>44344</v>
      </c>
      <c r="F1336" s="59">
        <v>13748.74</v>
      </c>
    </row>
    <row r="1337" ht="16.5" customHeight="1" spans="5:6">
      <c r="E1337" s="58">
        <v>44343</v>
      </c>
      <c r="F1337" s="59">
        <v>13736.28</v>
      </c>
    </row>
    <row r="1338" ht="16.5" customHeight="1" spans="5:6">
      <c r="E1338" s="58">
        <v>44342</v>
      </c>
      <c r="F1338" s="59">
        <v>13738</v>
      </c>
    </row>
    <row r="1339" ht="16.5" customHeight="1" spans="5:6">
      <c r="E1339" s="58">
        <v>44341</v>
      </c>
      <c r="F1339" s="59">
        <v>13657.17</v>
      </c>
    </row>
    <row r="1340" ht="16.5" customHeight="1" spans="5:6">
      <c r="E1340" s="58">
        <v>44340</v>
      </c>
      <c r="F1340" s="59">
        <v>13661.17</v>
      </c>
    </row>
    <row r="1341" ht="16.5" customHeight="1" spans="5:6">
      <c r="E1341" s="58">
        <v>44337</v>
      </c>
      <c r="F1341" s="59">
        <v>13470.99</v>
      </c>
    </row>
    <row r="1342" ht="16.5" customHeight="1" spans="5:6">
      <c r="E1342" s="58">
        <v>44336</v>
      </c>
      <c r="F1342" s="59">
        <v>13535.74</v>
      </c>
    </row>
    <row r="1343" ht="16.5" customHeight="1" spans="5:6">
      <c r="E1343" s="58">
        <v>44335</v>
      </c>
      <c r="F1343" s="59">
        <v>13299.74</v>
      </c>
    </row>
    <row r="1344" ht="16.5" customHeight="1" spans="5:6">
      <c r="E1344" s="58">
        <v>44334</v>
      </c>
      <c r="F1344" s="59">
        <v>13303.64</v>
      </c>
    </row>
    <row r="1345" ht="16.5" customHeight="1" spans="5:6">
      <c r="E1345" s="58">
        <v>44333</v>
      </c>
      <c r="F1345" s="59">
        <v>13379.05</v>
      </c>
    </row>
    <row r="1346" ht="16.5" customHeight="1" spans="5:6">
      <c r="E1346" s="58">
        <v>44330</v>
      </c>
      <c r="F1346" s="59">
        <v>13379.05</v>
      </c>
    </row>
    <row r="1347" ht="16.5" customHeight="1" spans="5:6">
      <c r="E1347" s="58">
        <v>44329</v>
      </c>
      <c r="F1347" s="59">
        <v>13124.99</v>
      </c>
    </row>
    <row r="1348" ht="16.5" customHeight="1" spans="5:6">
      <c r="E1348" s="58">
        <v>44328</v>
      </c>
      <c r="F1348" s="59">
        <v>13031.68</v>
      </c>
    </row>
    <row r="1349" ht="16.5" customHeight="1" spans="5:6">
      <c r="E1349" s="58">
        <v>44327</v>
      </c>
      <c r="F1349" s="59">
        <v>13389.43</v>
      </c>
    </row>
    <row r="1350" ht="16.5" customHeight="1" spans="5:6">
      <c r="E1350" s="58">
        <v>44326</v>
      </c>
      <c r="F1350" s="59">
        <v>13401.86</v>
      </c>
    </row>
    <row r="1351" ht="16.5" customHeight="1" spans="5:6">
      <c r="E1351" s="58">
        <v>44323</v>
      </c>
      <c r="F1351" s="59">
        <v>13752.24</v>
      </c>
    </row>
    <row r="1352" ht="16.5" customHeight="1" spans="5:6">
      <c r="E1352" s="58">
        <v>44322</v>
      </c>
      <c r="F1352" s="59">
        <v>13632.84</v>
      </c>
    </row>
    <row r="1353" ht="16.5" customHeight="1" spans="5:6">
      <c r="E1353" s="58">
        <v>44321</v>
      </c>
      <c r="F1353" s="59">
        <v>13582.42</v>
      </c>
    </row>
    <row r="1354" ht="16.5" customHeight="1" spans="5:6">
      <c r="E1354" s="58">
        <v>44320</v>
      </c>
      <c r="F1354" s="59">
        <v>13633.5</v>
      </c>
    </row>
    <row r="1355" ht="16.5" customHeight="1" spans="5:6">
      <c r="E1355" s="58">
        <v>44319</v>
      </c>
      <c r="F1355" s="59">
        <v>13895.12</v>
      </c>
    </row>
    <row r="1356" ht="16.5" customHeight="1" spans="5:6">
      <c r="E1356" s="58">
        <v>44316</v>
      </c>
      <c r="F1356" s="59">
        <v>13962.68</v>
      </c>
    </row>
    <row r="1357" ht="16.5" customHeight="1" spans="5:6">
      <c r="E1357" s="58">
        <v>44315</v>
      </c>
      <c r="F1357" s="59">
        <v>14082.55</v>
      </c>
    </row>
    <row r="1358" ht="16.5" customHeight="1" spans="5:6">
      <c r="E1358" s="58">
        <v>44314</v>
      </c>
      <c r="F1358" s="59">
        <v>14051.03</v>
      </c>
    </row>
    <row r="1359" ht="16.5" customHeight="1" spans="5:6">
      <c r="E1359" s="58">
        <v>44313</v>
      </c>
      <c r="F1359" s="59">
        <v>14090.22</v>
      </c>
    </row>
    <row r="1360" ht="16.5" customHeight="1" spans="5:6">
      <c r="E1360" s="58">
        <v>44312</v>
      </c>
      <c r="F1360" s="59">
        <v>14138.78</v>
      </c>
    </row>
    <row r="1361" ht="16.5" customHeight="1" spans="5:6">
      <c r="E1361" s="58">
        <v>44309</v>
      </c>
      <c r="F1361" s="59">
        <v>14016.81</v>
      </c>
    </row>
    <row r="1362" ht="16.5" customHeight="1" spans="5:6">
      <c r="E1362" s="58">
        <v>44308</v>
      </c>
      <c r="F1362" s="59">
        <v>13818.41</v>
      </c>
    </row>
    <row r="1363" ht="16.5" customHeight="1" spans="5:6">
      <c r="E1363" s="58">
        <v>44307</v>
      </c>
      <c r="F1363" s="59">
        <v>13950.22</v>
      </c>
    </row>
    <row r="1364" ht="16.5" customHeight="1" spans="5:6">
      <c r="E1364" s="58">
        <v>44306</v>
      </c>
      <c r="F1364" s="59">
        <v>13786.27</v>
      </c>
    </row>
    <row r="1365" ht="16.5" customHeight="1" spans="5:6">
      <c r="E1365" s="58">
        <v>44305</v>
      </c>
      <c r="F1365" s="59">
        <v>13914.77</v>
      </c>
    </row>
    <row r="1366" ht="16.5" customHeight="1" spans="5:6">
      <c r="E1366" s="58">
        <v>44302</v>
      </c>
      <c r="F1366" s="59">
        <v>14052.34</v>
      </c>
    </row>
    <row r="1367" ht="16.5" customHeight="1" spans="5:6">
      <c r="E1367" s="58">
        <v>44301</v>
      </c>
      <c r="F1367" s="59">
        <v>14038.76</v>
      </c>
    </row>
    <row r="1368" ht="16.5" customHeight="1" spans="5:6">
      <c r="E1368" s="58">
        <v>44300</v>
      </c>
      <c r="F1368" s="59">
        <v>13857.84</v>
      </c>
    </row>
    <row r="1369" ht="16.5" customHeight="1" spans="5:6">
      <c r="E1369" s="58">
        <v>44299</v>
      </c>
      <c r="F1369" s="59">
        <v>13996.1</v>
      </c>
    </row>
    <row r="1370" ht="16.5" customHeight="1" spans="5:6">
      <c r="E1370" s="58">
        <v>44298</v>
      </c>
      <c r="F1370" s="59">
        <v>13850</v>
      </c>
    </row>
    <row r="1371" ht="16.5" customHeight="1" spans="5:6">
      <c r="E1371" s="58">
        <v>44295</v>
      </c>
      <c r="F1371" s="59">
        <v>13900.19</v>
      </c>
    </row>
    <row r="1372" ht="16.5" customHeight="1" spans="5:6">
      <c r="E1372" s="58">
        <v>44294</v>
      </c>
      <c r="F1372" s="59">
        <v>13829.31</v>
      </c>
    </row>
    <row r="1373" ht="16.5" customHeight="1" spans="5:6">
      <c r="E1373" s="58">
        <v>44293</v>
      </c>
      <c r="F1373" s="59">
        <v>13688.84</v>
      </c>
    </row>
    <row r="1374" ht="16.5" customHeight="1" spans="5:6">
      <c r="E1374" s="58">
        <v>44292</v>
      </c>
      <c r="F1374" s="59">
        <v>13698.38</v>
      </c>
    </row>
    <row r="1375" ht="16.5" customHeight="1" spans="5:6">
      <c r="E1375" s="58">
        <v>44291</v>
      </c>
      <c r="F1375" s="59">
        <v>13705.59</v>
      </c>
    </row>
    <row r="1376" ht="16.5" customHeight="1" spans="5:6">
      <c r="E1376" s="58">
        <v>44287</v>
      </c>
      <c r="F1376" s="59">
        <v>13480.11</v>
      </c>
    </row>
    <row r="1377" ht="16.5" customHeight="1" spans="5:6">
      <c r="E1377" s="58">
        <v>44286</v>
      </c>
      <c r="F1377" s="59">
        <v>13246.87</v>
      </c>
    </row>
    <row r="1378" ht="16.5" customHeight="1" spans="5:6">
      <c r="E1378" s="58">
        <v>44285</v>
      </c>
      <c r="F1378" s="59">
        <v>13045.39</v>
      </c>
    </row>
    <row r="1379" ht="16.5" customHeight="1" spans="5:6">
      <c r="E1379" s="58">
        <v>44284</v>
      </c>
      <c r="F1379" s="59">
        <v>13059.65</v>
      </c>
    </row>
    <row r="1380" ht="16.5" customHeight="1" spans="5:6">
      <c r="E1380" s="58">
        <v>44281</v>
      </c>
      <c r="F1380" s="59">
        <v>13138.72</v>
      </c>
    </row>
    <row r="1381" ht="16.5" customHeight="1" spans="5:6">
      <c r="E1381" s="58">
        <v>44280</v>
      </c>
      <c r="F1381" s="59">
        <v>12977.68</v>
      </c>
    </row>
    <row r="1382" ht="16.5" customHeight="1" spans="5:6">
      <c r="E1382" s="58">
        <v>44279</v>
      </c>
      <c r="F1382" s="59">
        <v>12961.89</v>
      </c>
    </row>
    <row r="1383" ht="16.5" customHeight="1" spans="5:6">
      <c r="E1383" s="58">
        <v>44278</v>
      </c>
      <c r="F1383" s="59">
        <v>13227.7</v>
      </c>
    </row>
    <row r="1384" ht="16.5" customHeight="1" spans="5:6">
      <c r="E1384" s="58">
        <v>44277</v>
      </c>
      <c r="F1384" s="59">
        <v>13377.54</v>
      </c>
    </row>
    <row r="1385" ht="16.5" customHeight="1" spans="5:6">
      <c r="E1385" s="58">
        <v>44274</v>
      </c>
      <c r="F1385" s="59">
        <v>13215.24</v>
      </c>
    </row>
    <row r="1386" ht="16.5" customHeight="1" spans="5:6">
      <c r="E1386" s="58">
        <v>44273</v>
      </c>
      <c r="F1386" s="59">
        <v>13116.17</v>
      </c>
    </row>
    <row r="1387" ht="16.5" customHeight="1" spans="5:6">
      <c r="E1387" s="58">
        <v>44272</v>
      </c>
      <c r="F1387" s="59">
        <v>13525.2</v>
      </c>
    </row>
    <row r="1388" ht="16.5" customHeight="1" spans="5:6">
      <c r="E1388" s="58">
        <v>44271</v>
      </c>
      <c r="F1388" s="59">
        <v>13471.57</v>
      </c>
    </row>
    <row r="1389" ht="16.5" customHeight="1" spans="5:6">
      <c r="E1389" s="58">
        <v>44270</v>
      </c>
      <c r="F1389" s="59">
        <v>13459.71</v>
      </c>
    </row>
    <row r="1390" ht="16.5" customHeight="1" spans="5:6">
      <c r="E1390" s="58">
        <v>44267</v>
      </c>
      <c r="F1390" s="59">
        <v>13319.86</v>
      </c>
    </row>
    <row r="1391" ht="16.5" customHeight="1" spans="5:6">
      <c r="E1391" s="58">
        <v>44266</v>
      </c>
      <c r="F1391" s="59">
        <v>13398.67</v>
      </c>
    </row>
    <row r="1392" ht="16.5" customHeight="1" spans="5:6">
      <c r="E1392" s="58">
        <v>44265</v>
      </c>
      <c r="F1392" s="59">
        <v>13068.83</v>
      </c>
    </row>
    <row r="1393" ht="16.5" customHeight="1" spans="5:6">
      <c r="E1393" s="58">
        <v>44264</v>
      </c>
      <c r="F1393" s="59">
        <v>13073.82</v>
      </c>
    </row>
    <row r="1394" ht="16.5" customHeight="1" spans="5:6">
      <c r="E1394" s="58">
        <v>44263</v>
      </c>
      <c r="F1394" s="59">
        <v>12609.16</v>
      </c>
    </row>
    <row r="1395" ht="16.5" customHeight="1" spans="5:6">
      <c r="E1395" s="58">
        <v>44260</v>
      </c>
      <c r="F1395" s="59">
        <v>12920.15</v>
      </c>
    </row>
    <row r="1396" ht="16.5" customHeight="1" spans="5:6">
      <c r="E1396" s="58">
        <v>44259</v>
      </c>
      <c r="F1396" s="59">
        <v>12723.47</v>
      </c>
    </row>
    <row r="1397" ht="16.5" customHeight="1" spans="5:6">
      <c r="E1397" s="58">
        <v>44258</v>
      </c>
      <c r="F1397" s="59">
        <v>12997.75</v>
      </c>
    </row>
    <row r="1398" ht="16.5" customHeight="1" spans="5:6">
      <c r="E1398" s="58">
        <v>44257</v>
      </c>
      <c r="F1398" s="59">
        <v>13358.79</v>
      </c>
    </row>
    <row r="1399" ht="16.5" customHeight="1" spans="5:6">
      <c r="E1399" s="58">
        <v>44256</v>
      </c>
      <c r="F1399" s="59">
        <v>13588.83</v>
      </c>
    </row>
    <row r="1400" ht="16.5" customHeight="1" spans="5:6">
      <c r="E1400" s="58">
        <v>44253</v>
      </c>
      <c r="F1400" s="59">
        <v>13192.35</v>
      </c>
    </row>
    <row r="1401" ht="16.5" customHeight="1" spans="5:6">
      <c r="E1401" s="58">
        <v>44252</v>
      </c>
      <c r="F1401" s="59">
        <v>13119.43</v>
      </c>
    </row>
    <row r="1402" ht="16.5" customHeight="1" spans="5:6">
      <c r="E1402" s="58">
        <v>44251</v>
      </c>
      <c r="F1402" s="59">
        <v>13597.97</v>
      </c>
    </row>
    <row r="1403" ht="16.5" customHeight="1" spans="5:6">
      <c r="E1403" s="58">
        <v>44250</v>
      </c>
      <c r="F1403" s="59">
        <v>13465.2</v>
      </c>
    </row>
    <row r="1404" ht="16.5" customHeight="1" spans="5:6">
      <c r="E1404" s="58">
        <v>44249</v>
      </c>
      <c r="F1404" s="59">
        <v>13533.05</v>
      </c>
    </row>
    <row r="1405" ht="16.5" customHeight="1" spans="5:6">
      <c r="E1405" s="58">
        <v>44246</v>
      </c>
      <c r="F1405" s="59">
        <v>13874.46</v>
      </c>
    </row>
    <row r="1406" ht="16.5" customHeight="1" spans="5:6">
      <c r="E1406" s="58">
        <v>44245</v>
      </c>
      <c r="F1406" s="59">
        <v>13865.36</v>
      </c>
    </row>
    <row r="1407" ht="16.5" customHeight="1" spans="5:6">
      <c r="E1407" s="58">
        <v>44244</v>
      </c>
      <c r="F1407" s="59">
        <v>13965.49</v>
      </c>
    </row>
    <row r="1408" ht="16.5" customHeight="1" spans="5:6">
      <c r="E1408" s="58">
        <v>44243</v>
      </c>
      <c r="F1408" s="59">
        <v>14047.5</v>
      </c>
    </row>
    <row r="1409" ht="16.5" customHeight="1" spans="5:6">
      <c r="E1409" s="58">
        <v>44239</v>
      </c>
      <c r="F1409" s="59">
        <v>14095.47</v>
      </c>
    </row>
    <row r="1410" ht="16.5" customHeight="1" spans="5:6">
      <c r="E1410" s="58">
        <v>44238</v>
      </c>
      <c r="F1410" s="59">
        <v>14025.77</v>
      </c>
    </row>
    <row r="1411" ht="16.5" customHeight="1" spans="5:6">
      <c r="E1411" s="58">
        <v>44237</v>
      </c>
      <c r="F1411" s="59">
        <v>13972.53</v>
      </c>
    </row>
    <row r="1412" ht="16.5" customHeight="1" spans="5:6">
      <c r="E1412" s="58">
        <v>44236</v>
      </c>
      <c r="F1412" s="59">
        <v>14007.7</v>
      </c>
    </row>
    <row r="1413" ht="16.5" customHeight="1" spans="5:6">
      <c r="E1413" s="58">
        <v>44235</v>
      </c>
      <c r="F1413" s="59">
        <v>13987.64</v>
      </c>
    </row>
    <row r="1414" ht="16.5" customHeight="1" spans="5:6">
      <c r="E1414" s="58">
        <v>44232</v>
      </c>
      <c r="F1414" s="59">
        <v>13856.3</v>
      </c>
    </row>
    <row r="1415" ht="16.5" customHeight="1" spans="5:6">
      <c r="E1415" s="58">
        <v>44231</v>
      </c>
      <c r="F1415" s="59">
        <v>13777.74</v>
      </c>
    </row>
    <row r="1416" ht="16.5" customHeight="1" spans="5:6">
      <c r="E1416" s="58">
        <v>44230</v>
      </c>
      <c r="F1416" s="59">
        <v>13610.54</v>
      </c>
    </row>
    <row r="1417" ht="16.5" customHeight="1" spans="5:6">
      <c r="E1417" s="58">
        <v>44229</v>
      </c>
      <c r="F1417" s="59">
        <v>13612.78</v>
      </c>
    </row>
    <row r="1418" ht="16.5" customHeight="1" spans="5:6">
      <c r="E1418" s="58">
        <v>44228</v>
      </c>
      <c r="F1418" s="59">
        <v>13403.39</v>
      </c>
    </row>
    <row r="1419" ht="16.5" customHeight="1" spans="5:6">
      <c r="E1419" s="58">
        <v>44225</v>
      </c>
      <c r="F1419" s="59">
        <v>13070.69</v>
      </c>
    </row>
    <row r="1420" ht="16.5" customHeight="1" spans="5:6">
      <c r="E1420" s="58">
        <v>44224</v>
      </c>
      <c r="F1420" s="59">
        <v>13337.16</v>
      </c>
    </row>
    <row r="1421" ht="16.5" customHeight="1" spans="5:6">
      <c r="E1421" s="58">
        <v>44223</v>
      </c>
      <c r="F1421" s="59">
        <v>13270.6</v>
      </c>
    </row>
    <row r="1422" ht="16.5" customHeight="1" spans="5:6">
      <c r="E1422" s="58">
        <v>44222</v>
      </c>
      <c r="F1422" s="59">
        <v>13626.06</v>
      </c>
    </row>
    <row r="1423" ht="16.5" customHeight="1" spans="5:6">
      <c r="E1423" s="58">
        <v>44221</v>
      </c>
      <c r="F1423" s="59">
        <v>13635.99</v>
      </c>
    </row>
    <row r="1424" ht="16.5" customHeight="1" spans="5:6">
      <c r="E1424" s="58">
        <v>44218</v>
      </c>
      <c r="F1424" s="59">
        <v>13543.06</v>
      </c>
    </row>
    <row r="1425" ht="16.5" customHeight="1" spans="5:6">
      <c r="E1425" s="58">
        <v>44217</v>
      </c>
      <c r="F1425" s="59">
        <v>13530.91</v>
      </c>
    </row>
    <row r="1426" ht="16.5" customHeight="1" spans="5:6">
      <c r="E1426" s="58">
        <v>44216</v>
      </c>
      <c r="F1426" s="59">
        <v>13457.25</v>
      </c>
    </row>
    <row r="1427" ht="16.5" customHeight="1" spans="5:6">
      <c r="E1427" s="58">
        <v>44215</v>
      </c>
      <c r="F1427" s="59">
        <v>13197.18</v>
      </c>
    </row>
    <row r="1428" ht="16.5" customHeight="1" spans="5:6">
      <c r="E1428" s="58">
        <v>44211</v>
      </c>
      <c r="F1428" s="59">
        <v>12998.5</v>
      </c>
    </row>
    <row r="1429" ht="16.5" customHeight="1" spans="5:6">
      <c r="E1429" s="58">
        <v>44210</v>
      </c>
      <c r="F1429" s="59">
        <v>13112.64</v>
      </c>
    </row>
    <row r="1430" ht="16.5" customHeight="1" spans="5:6">
      <c r="E1430" s="58">
        <v>44209</v>
      </c>
      <c r="F1430" s="59">
        <v>13128.95</v>
      </c>
    </row>
    <row r="1431" ht="16.5" customHeight="1" spans="5:6">
      <c r="E1431" s="58">
        <v>44208</v>
      </c>
      <c r="F1431" s="59">
        <v>13072.43</v>
      </c>
    </row>
    <row r="1432" ht="16.5" customHeight="1" spans="5:6">
      <c r="E1432" s="58">
        <v>44207</v>
      </c>
      <c r="F1432" s="59">
        <v>13036.43</v>
      </c>
    </row>
    <row r="1433" ht="16.5" customHeight="1" spans="5:6">
      <c r="E1433" s="58">
        <v>44204</v>
      </c>
      <c r="F1433" s="59">
        <v>13201.98</v>
      </c>
    </row>
    <row r="1434" ht="16.5" customHeight="1" spans="5:6">
      <c r="E1434" s="58">
        <v>44203</v>
      </c>
      <c r="F1434" s="59">
        <v>13067.48</v>
      </c>
    </row>
    <row r="1435" ht="16.5" customHeight="1" spans="5:6">
      <c r="E1435" s="58">
        <v>44202</v>
      </c>
      <c r="F1435" s="59">
        <v>12740.79</v>
      </c>
    </row>
    <row r="1436" ht="16.5" customHeight="1" spans="5:6">
      <c r="E1436" s="58">
        <v>44201</v>
      </c>
      <c r="F1436" s="59">
        <v>12818.96</v>
      </c>
    </row>
    <row r="1437" ht="16.5" customHeight="1" spans="5:6">
      <c r="E1437" s="58">
        <v>44200</v>
      </c>
      <c r="F1437" s="59">
        <v>12698.45</v>
      </c>
    </row>
    <row r="1438" ht="16.5" customHeight="1" spans="5:6">
      <c r="E1438" s="58">
        <v>44196</v>
      </c>
      <c r="F1438" s="59">
        <v>12888.28</v>
      </c>
    </row>
    <row r="1439" ht="16.5" customHeight="1" spans="5:6">
      <c r="E1439" s="58">
        <v>44195</v>
      </c>
      <c r="F1439" s="59">
        <v>12870</v>
      </c>
    </row>
    <row r="1440" ht="16.5" customHeight="1" spans="5:6">
      <c r="E1440" s="58">
        <v>44194</v>
      </c>
      <c r="F1440" s="59">
        <v>12850.22</v>
      </c>
    </row>
    <row r="1441" ht="16.5" customHeight="1" spans="5:6">
      <c r="E1441" s="58">
        <v>44193</v>
      </c>
      <c r="F1441" s="59">
        <v>12899.42</v>
      </c>
    </row>
    <row r="1442" ht="16.5" customHeight="1" spans="5:6">
      <c r="E1442" s="58">
        <v>44189</v>
      </c>
      <c r="F1442" s="59">
        <v>12804.73</v>
      </c>
    </row>
    <row r="1443" ht="16.5" customHeight="1" spans="5:6">
      <c r="E1443" s="58">
        <v>44188</v>
      </c>
      <c r="F1443" s="59">
        <v>12771.11</v>
      </c>
    </row>
    <row r="1444" ht="16.5" customHeight="1" spans="5:6">
      <c r="E1444" s="58">
        <v>44187</v>
      </c>
      <c r="F1444" s="59">
        <v>12807.92</v>
      </c>
    </row>
    <row r="1445" ht="16.5" customHeight="1" spans="5:6">
      <c r="E1445" s="58">
        <v>44186</v>
      </c>
      <c r="F1445" s="59">
        <v>12742.52</v>
      </c>
    </row>
    <row r="1446" ht="16.5" customHeight="1" spans="5:6">
      <c r="E1446" s="58">
        <v>44183</v>
      </c>
      <c r="F1446" s="59">
        <v>12755.64</v>
      </c>
    </row>
    <row r="1447" ht="16.5" customHeight="1" spans="5:6">
      <c r="E1447" s="58">
        <v>44182</v>
      </c>
      <c r="F1447" s="59">
        <v>12764.75</v>
      </c>
    </row>
    <row r="1448" ht="16.5" customHeight="1" spans="5:6">
      <c r="E1448" s="58">
        <v>44181</v>
      </c>
      <c r="F1448" s="59">
        <v>12658.19</v>
      </c>
    </row>
    <row r="1449" ht="16.5" customHeight="1" spans="5:6">
      <c r="E1449" s="58">
        <v>44180</v>
      </c>
      <c r="F1449" s="59">
        <v>12595.06</v>
      </c>
    </row>
    <row r="1450" ht="16.5" customHeight="1" spans="5:6">
      <c r="E1450" s="58">
        <v>44179</v>
      </c>
      <c r="F1450" s="59">
        <v>12440.04</v>
      </c>
    </row>
    <row r="1451" ht="16.5" customHeight="1" spans="5:6">
      <c r="E1451" s="58">
        <v>44176</v>
      </c>
      <c r="F1451" s="59">
        <v>12377.87</v>
      </c>
    </row>
    <row r="1452" ht="16.5" customHeight="1" spans="5:6">
      <c r="E1452" s="58">
        <v>44175</v>
      </c>
      <c r="F1452" s="59">
        <v>12405.81</v>
      </c>
    </row>
    <row r="1453" ht="16.5" customHeight="1" spans="5:6">
      <c r="E1453" s="58">
        <v>44174</v>
      </c>
      <c r="F1453" s="59">
        <v>12338.95</v>
      </c>
    </row>
    <row r="1454" ht="16.5" customHeight="1" spans="5:6">
      <c r="E1454" s="58">
        <v>44173</v>
      </c>
      <c r="F1454" s="59">
        <v>12582.77</v>
      </c>
    </row>
    <row r="1455" ht="16.5" customHeight="1" spans="5:6">
      <c r="E1455" s="58">
        <v>44172</v>
      </c>
      <c r="F1455" s="59">
        <v>12519.95</v>
      </c>
    </row>
    <row r="1456" ht="16.5" customHeight="1" spans="5:6">
      <c r="E1456" s="58">
        <v>44169</v>
      </c>
      <c r="F1456" s="59">
        <v>12464.23</v>
      </c>
    </row>
    <row r="1457" ht="16.5" customHeight="1" spans="5:6">
      <c r="E1457" s="58">
        <v>44168</v>
      </c>
      <c r="F1457" s="59">
        <v>12377.18</v>
      </c>
    </row>
    <row r="1458" ht="16.5" customHeight="1" spans="5:6">
      <c r="E1458" s="58">
        <v>44167</v>
      </c>
      <c r="F1458" s="59">
        <v>12349.37</v>
      </c>
    </row>
    <row r="1459" ht="16.5" customHeight="1" spans="5:6">
      <c r="E1459" s="58">
        <v>44166</v>
      </c>
      <c r="F1459" s="59">
        <v>12355.11</v>
      </c>
    </row>
    <row r="1460" ht="16.5" customHeight="1" spans="5:6">
      <c r="E1460" s="58">
        <v>44165</v>
      </c>
      <c r="F1460" s="59">
        <v>12198.74</v>
      </c>
    </row>
    <row r="1461" ht="16.5" customHeight="1" spans="5:6">
      <c r="E1461" s="58">
        <v>44162</v>
      </c>
      <c r="F1461" s="59">
        <v>12205.85</v>
      </c>
    </row>
    <row r="1462" ht="16.5" customHeight="1" spans="5:6">
      <c r="E1462" s="58">
        <v>44160</v>
      </c>
      <c r="F1462" s="59">
        <v>12094.4</v>
      </c>
    </row>
    <row r="1463" ht="16.5" customHeight="1" spans="5:6">
      <c r="E1463" s="58">
        <v>44159</v>
      </c>
      <c r="F1463" s="59">
        <v>12037.33</v>
      </c>
    </row>
    <row r="1464" ht="16.5" customHeight="1" spans="5:6">
      <c r="E1464" s="58">
        <v>44158</v>
      </c>
      <c r="F1464" s="59">
        <v>11881.17</v>
      </c>
    </row>
    <row r="1465" ht="16.5" customHeight="1" spans="5:6">
      <c r="E1465" s="58">
        <v>44155</v>
      </c>
      <c r="F1465" s="59">
        <v>11854.97</v>
      </c>
    </row>
    <row r="1466" ht="16.5" customHeight="1" spans="5:6">
      <c r="E1466" s="58">
        <v>44154</v>
      </c>
      <c r="F1466" s="59">
        <v>11904.71</v>
      </c>
    </row>
    <row r="1467" ht="16.5" customHeight="1" spans="5:6">
      <c r="E1467" s="58">
        <v>44153</v>
      </c>
      <c r="F1467" s="59">
        <v>11801.6</v>
      </c>
    </row>
    <row r="1468" ht="16.5" customHeight="1" spans="5:6">
      <c r="E1468" s="58">
        <v>44152</v>
      </c>
      <c r="F1468" s="59">
        <v>11899.34</v>
      </c>
    </row>
    <row r="1469" ht="16.5" customHeight="1" spans="5:6">
      <c r="E1469" s="58">
        <v>44151</v>
      </c>
      <c r="F1469" s="59">
        <v>11924.13</v>
      </c>
    </row>
    <row r="1470" ht="16.5" customHeight="1" spans="5:6">
      <c r="E1470" s="58">
        <v>44148</v>
      </c>
      <c r="F1470" s="59">
        <v>11829.29</v>
      </c>
    </row>
    <row r="1471" ht="16.5" customHeight="1" spans="5:6">
      <c r="E1471" s="58">
        <v>44147</v>
      </c>
      <c r="F1471" s="59">
        <v>11709.59</v>
      </c>
    </row>
    <row r="1472" ht="16.5" customHeight="1" spans="5:6">
      <c r="E1472" s="58">
        <v>44146</v>
      </c>
      <c r="F1472" s="59">
        <v>11786.43</v>
      </c>
    </row>
    <row r="1473" ht="16.5" customHeight="1" spans="5:6">
      <c r="E1473" s="58">
        <v>44145</v>
      </c>
      <c r="F1473" s="59">
        <v>11553.86</v>
      </c>
    </row>
    <row r="1474" ht="16.5" customHeight="1" spans="5:6">
      <c r="E1474" s="58">
        <v>44144</v>
      </c>
      <c r="F1474" s="59">
        <v>11713.78</v>
      </c>
    </row>
    <row r="1475" ht="16.5" customHeight="1" spans="5:6">
      <c r="E1475" s="58">
        <v>44141</v>
      </c>
      <c r="F1475" s="59">
        <v>11895.23</v>
      </c>
    </row>
    <row r="1476" ht="16.5" customHeight="1" spans="5:6">
      <c r="E1476" s="58">
        <v>44140</v>
      </c>
      <c r="F1476" s="59">
        <v>11890.93</v>
      </c>
    </row>
    <row r="1477" ht="16.5" customHeight="1" spans="5:6">
      <c r="E1477" s="58">
        <v>44139</v>
      </c>
      <c r="F1477" s="59">
        <v>11590.78</v>
      </c>
    </row>
    <row r="1478" ht="16.5" customHeight="1" spans="5:6">
      <c r="E1478" s="58">
        <v>44138</v>
      </c>
      <c r="F1478" s="59">
        <v>11160.57</v>
      </c>
    </row>
    <row r="1479" ht="16.5" customHeight="1" spans="5:6">
      <c r="E1479" s="58">
        <v>44137</v>
      </c>
      <c r="F1479" s="59">
        <v>10957.61</v>
      </c>
    </row>
    <row r="1480" ht="16.5" customHeight="1" spans="5:6">
      <c r="E1480" s="58">
        <v>44134</v>
      </c>
      <c r="F1480" s="59">
        <v>10911.59</v>
      </c>
    </row>
    <row r="1481" ht="16.5" customHeight="1" spans="5:6">
      <c r="E1481" s="58">
        <v>44133</v>
      </c>
      <c r="F1481" s="59">
        <v>11185.59</v>
      </c>
    </row>
    <row r="1482" ht="16.5" customHeight="1" spans="5:6">
      <c r="E1482" s="58">
        <v>44132</v>
      </c>
      <c r="F1482" s="59">
        <v>11004.87</v>
      </c>
    </row>
    <row r="1483" ht="16.5" customHeight="1" spans="5:6">
      <c r="E1483" s="58">
        <v>44131</v>
      </c>
      <c r="F1483" s="59">
        <v>11431.35</v>
      </c>
    </row>
    <row r="1484" ht="16.5" customHeight="1" spans="5:6">
      <c r="E1484" s="58">
        <v>44130</v>
      </c>
      <c r="F1484" s="59">
        <v>11358.94</v>
      </c>
    </row>
    <row r="1485" ht="16.5" customHeight="1" spans="5:6">
      <c r="E1485" s="58">
        <v>44127</v>
      </c>
      <c r="F1485" s="59">
        <v>11548.28</v>
      </c>
    </row>
    <row r="1486" ht="16.5" customHeight="1" spans="5:6">
      <c r="E1486" s="58">
        <v>44126</v>
      </c>
      <c r="F1486" s="59">
        <v>11506.01</v>
      </c>
    </row>
    <row r="1487" ht="16.5" customHeight="1" spans="5:6">
      <c r="E1487" s="58">
        <v>44125</v>
      </c>
      <c r="F1487" s="59">
        <v>11484.69</v>
      </c>
    </row>
    <row r="1488" ht="16.5" customHeight="1" spans="5:6">
      <c r="E1488" s="58">
        <v>44124</v>
      </c>
      <c r="F1488" s="59">
        <v>11516.49</v>
      </c>
    </row>
    <row r="1489" ht="16.5" customHeight="1" spans="5:6">
      <c r="E1489" s="58">
        <v>44123</v>
      </c>
      <c r="F1489" s="59">
        <v>11478.88</v>
      </c>
    </row>
    <row r="1490" ht="16.5" customHeight="1" spans="5:6">
      <c r="E1490" s="58">
        <v>44120</v>
      </c>
      <c r="F1490" s="59">
        <v>11671.56</v>
      </c>
    </row>
    <row r="1491" ht="16.5" customHeight="1" spans="5:6">
      <c r="E1491" s="58">
        <v>44119</v>
      </c>
      <c r="F1491" s="59">
        <v>11713.87</v>
      </c>
    </row>
    <row r="1492" ht="16.5" customHeight="1" spans="5:6">
      <c r="E1492" s="58">
        <v>44118</v>
      </c>
      <c r="F1492" s="59">
        <v>11768.73</v>
      </c>
    </row>
    <row r="1493" ht="16.5" customHeight="1" spans="5:6">
      <c r="E1493" s="58">
        <v>44117</v>
      </c>
      <c r="F1493" s="59">
        <v>11863.9</v>
      </c>
    </row>
    <row r="1494" ht="16.5" customHeight="1" spans="5:6">
      <c r="E1494" s="58">
        <v>44116</v>
      </c>
      <c r="F1494" s="59">
        <v>11876.26</v>
      </c>
    </row>
    <row r="1495" ht="16.5" customHeight="1" spans="5:6">
      <c r="E1495" s="58">
        <v>44113</v>
      </c>
      <c r="F1495" s="59">
        <v>11579.94</v>
      </c>
    </row>
    <row r="1496" ht="16.5" customHeight="1" spans="5:6">
      <c r="E1496" s="58">
        <v>44112</v>
      </c>
      <c r="F1496" s="59">
        <v>11420.98</v>
      </c>
    </row>
    <row r="1497" ht="16.5" customHeight="1" spans="5:6">
      <c r="E1497" s="58">
        <v>44111</v>
      </c>
      <c r="F1497" s="59">
        <v>11364.6</v>
      </c>
    </row>
    <row r="1498" ht="16.5" customHeight="1" spans="5:6">
      <c r="E1498" s="58">
        <v>44110</v>
      </c>
      <c r="F1498" s="59">
        <v>11154.6</v>
      </c>
    </row>
    <row r="1499" ht="16.5" customHeight="1" spans="5:6">
      <c r="E1499" s="58">
        <v>44109</v>
      </c>
      <c r="F1499" s="59">
        <v>11332.49</v>
      </c>
    </row>
    <row r="1500" ht="16.5" customHeight="1" spans="5:6">
      <c r="E1500" s="58">
        <v>44106</v>
      </c>
      <c r="F1500" s="59">
        <v>11075.02</v>
      </c>
    </row>
    <row r="1501" ht="16.5" customHeight="1" spans="5:6">
      <c r="E1501" s="58">
        <v>44105</v>
      </c>
      <c r="F1501" s="59">
        <v>11326.51</v>
      </c>
    </row>
    <row r="1502" ht="16.5" customHeight="1" spans="5:6">
      <c r="E1502" s="58">
        <v>44104</v>
      </c>
      <c r="F1502" s="59">
        <v>11167.51</v>
      </c>
    </row>
    <row r="1503" ht="16.5" customHeight="1" spans="5:6">
      <c r="E1503" s="58">
        <v>44103</v>
      </c>
      <c r="F1503" s="59">
        <v>11085.25</v>
      </c>
    </row>
    <row r="1504" ht="16.5" customHeight="1" spans="5:6">
      <c r="E1504" s="58">
        <v>44102</v>
      </c>
      <c r="F1504" s="59">
        <v>11117.52</v>
      </c>
    </row>
    <row r="1505" ht="16.5" customHeight="1" spans="5:6">
      <c r="E1505" s="58">
        <v>44099</v>
      </c>
      <c r="F1505" s="59">
        <v>10913.56</v>
      </c>
    </row>
    <row r="1506" ht="16.5" customHeight="1" spans="5:6">
      <c r="E1506" s="58">
        <v>44098</v>
      </c>
      <c r="F1506" s="59">
        <v>10672.27</v>
      </c>
    </row>
    <row r="1507" ht="16.5" customHeight="1" spans="5:6">
      <c r="E1507" s="58">
        <v>44097</v>
      </c>
      <c r="F1507" s="59">
        <v>10632.99</v>
      </c>
    </row>
    <row r="1508" ht="16.5" customHeight="1" spans="5:6">
      <c r="E1508" s="58">
        <v>44096</v>
      </c>
      <c r="F1508" s="59">
        <v>10963.64</v>
      </c>
    </row>
    <row r="1509" ht="16.5" customHeight="1" spans="5:6">
      <c r="E1509" s="58">
        <v>44095</v>
      </c>
      <c r="F1509" s="59">
        <v>10778.8</v>
      </c>
    </row>
    <row r="1510" ht="16.5" customHeight="1" spans="5:6">
      <c r="E1510" s="58">
        <v>44092</v>
      </c>
      <c r="F1510" s="59">
        <v>10793.28</v>
      </c>
    </row>
    <row r="1511" ht="16.5" customHeight="1" spans="5:6">
      <c r="E1511" s="58">
        <v>44091</v>
      </c>
      <c r="F1511" s="59">
        <v>10910.28</v>
      </c>
    </row>
    <row r="1512" ht="16.5" customHeight="1" spans="5:6">
      <c r="E1512" s="58">
        <v>44090</v>
      </c>
      <c r="F1512" s="59">
        <v>11050.47</v>
      </c>
    </row>
    <row r="1513" ht="16.5" customHeight="1" spans="5:6">
      <c r="E1513" s="58">
        <v>44089</v>
      </c>
      <c r="F1513" s="59">
        <v>11190.32</v>
      </c>
    </row>
    <row r="1514" ht="16.5" customHeight="1" spans="5:6">
      <c r="E1514" s="58">
        <v>44088</v>
      </c>
      <c r="F1514" s="59">
        <v>11056.65</v>
      </c>
    </row>
    <row r="1515" ht="16.5" customHeight="1" spans="5:6">
      <c r="E1515" s="58">
        <v>44085</v>
      </c>
      <c r="F1515" s="59">
        <v>10853.55</v>
      </c>
    </row>
    <row r="1516" ht="16.5" customHeight="1" spans="5:6">
      <c r="E1516" s="58">
        <v>44084</v>
      </c>
      <c r="F1516" s="59">
        <v>10919.59</v>
      </c>
    </row>
    <row r="1517" ht="16.5" customHeight="1" spans="5:6">
      <c r="E1517" s="58">
        <v>44083</v>
      </c>
      <c r="F1517" s="59">
        <v>11141.56</v>
      </c>
    </row>
    <row r="1518" ht="16.5" customHeight="1" spans="5:6">
      <c r="E1518" s="58">
        <v>44082</v>
      </c>
      <c r="F1518" s="59">
        <v>10847.69</v>
      </c>
    </row>
    <row r="1519" ht="16.5" customHeight="1" spans="5:6">
      <c r="E1519" s="58">
        <v>44078</v>
      </c>
      <c r="F1519" s="59">
        <v>11313.13</v>
      </c>
    </row>
    <row r="1520" ht="16.5" customHeight="1" spans="5:6">
      <c r="E1520" s="58">
        <v>44077</v>
      </c>
      <c r="F1520" s="59">
        <v>11458.1</v>
      </c>
    </row>
    <row r="1521" ht="16.5" customHeight="1" spans="5:6">
      <c r="E1521" s="58">
        <v>44076</v>
      </c>
      <c r="F1521" s="59">
        <v>12056.44</v>
      </c>
    </row>
    <row r="1522" ht="16.5" customHeight="1" spans="5:6">
      <c r="E1522" s="58">
        <v>44075</v>
      </c>
      <c r="F1522" s="59">
        <v>11939.67</v>
      </c>
    </row>
    <row r="1523" ht="16.5" customHeight="1" spans="5:6">
      <c r="E1523" s="58">
        <v>44074</v>
      </c>
      <c r="F1523" s="59">
        <v>11775.46</v>
      </c>
    </row>
    <row r="1524" ht="16.5" customHeight="1" spans="5:6">
      <c r="E1524" s="58">
        <v>44071</v>
      </c>
      <c r="F1524" s="59">
        <v>11695.63</v>
      </c>
    </row>
    <row r="1525" ht="16.5" customHeight="1" spans="5:6">
      <c r="E1525" s="58">
        <v>44070</v>
      </c>
      <c r="F1525" s="59">
        <v>11625.34</v>
      </c>
    </row>
    <row r="1526" ht="16.5" customHeight="1" spans="5:6">
      <c r="E1526" s="58">
        <v>44069</v>
      </c>
      <c r="F1526" s="59">
        <v>11665.06</v>
      </c>
    </row>
    <row r="1527" ht="16.5" customHeight="1" spans="5:6">
      <c r="E1527" s="58">
        <v>44068</v>
      </c>
      <c r="F1527" s="59">
        <v>11466.47</v>
      </c>
    </row>
    <row r="1528" ht="16.5" customHeight="1" spans="5:6">
      <c r="E1528" s="58">
        <v>44067</v>
      </c>
      <c r="F1528" s="59">
        <v>11379.72</v>
      </c>
    </row>
    <row r="1529" ht="16.5" customHeight="1" spans="5:6">
      <c r="E1529" s="58">
        <v>44064</v>
      </c>
      <c r="F1529" s="59">
        <v>11311.8</v>
      </c>
    </row>
    <row r="1530" ht="16.5" customHeight="1" spans="5:6">
      <c r="E1530" s="58">
        <v>44063</v>
      </c>
      <c r="F1530" s="59">
        <v>11264.95</v>
      </c>
    </row>
    <row r="1531" ht="16.5" customHeight="1" spans="5:6">
      <c r="E1531" s="58">
        <v>44062</v>
      </c>
      <c r="F1531" s="59">
        <v>11146.46</v>
      </c>
    </row>
    <row r="1532" ht="16.5" customHeight="1" spans="5:6">
      <c r="E1532" s="58">
        <v>44061</v>
      </c>
      <c r="F1532" s="59">
        <v>11210.84</v>
      </c>
    </row>
    <row r="1533" ht="16.5" customHeight="1" spans="5:6">
      <c r="E1533" s="58">
        <v>44060</v>
      </c>
      <c r="F1533" s="59">
        <v>11129.73</v>
      </c>
    </row>
    <row r="1534" ht="16.5" customHeight="1" spans="5:6">
      <c r="E1534" s="58">
        <v>44057</v>
      </c>
      <c r="F1534" s="59">
        <v>11019.3</v>
      </c>
    </row>
    <row r="1535" ht="16.5" customHeight="1" spans="5:6">
      <c r="E1535" s="58">
        <v>44056</v>
      </c>
      <c r="F1535" s="59">
        <v>11042.5</v>
      </c>
    </row>
    <row r="1536" ht="16.5" customHeight="1" spans="5:6">
      <c r="E1536" s="58">
        <v>44055</v>
      </c>
      <c r="F1536" s="59">
        <v>11012.24</v>
      </c>
    </row>
    <row r="1537" ht="16.5" customHeight="1" spans="5:6">
      <c r="E1537" s="58">
        <v>44054</v>
      </c>
      <c r="F1537" s="59">
        <v>10782.82</v>
      </c>
    </row>
    <row r="1538" ht="16.5" customHeight="1" spans="5:6">
      <c r="E1538" s="58">
        <v>44053</v>
      </c>
      <c r="F1538" s="59">
        <v>10968.36</v>
      </c>
    </row>
    <row r="1539" ht="16.5" customHeight="1" spans="5:6">
      <c r="E1539" s="58">
        <v>44050</v>
      </c>
      <c r="F1539" s="59">
        <v>11010.98</v>
      </c>
    </row>
    <row r="1540" ht="16.5" customHeight="1" spans="5:6">
      <c r="E1540" s="58">
        <v>44049</v>
      </c>
      <c r="F1540" s="59">
        <v>11108.07</v>
      </c>
    </row>
    <row r="1541" ht="16.5" customHeight="1" spans="5:6">
      <c r="E1541" s="58">
        <v>44048</v>
      </c>
      <c r="F1541" s="59">
        <v>10998.4</v>
      </c>
    </row>
    <row r="1542" ht="16.5" customHeight="1" spans="5:6">
      <c r="E1542" s="58">
        <v>44047</v>
      </c>
      <c r="F1542" s="59">
        <v>10941.17</v>
      </c>
    </row>
    <row r="1543" ht="16.5" customHeight="1" spans="5:6">
      <c r="E1543" s="58">
        <v>44046</v>
      </c>
      <c r="F1543" s="59">
        <v>10902.8</v>
      </c>
    </row>
    <row r="1544" ht="16.5" customHeight="1" spans="5:6">
      <c r="E1544" s="58">
        <v>44043</v>
      </c>
      <c r="F1544" s="59">
        <v>10745.27</v>
      </c>
    </row>
    <row r="1545" ht="16.5" customHeight="1" spans="5:6">
      <c r="E1545" s="58">
        <v>44042</v>
      </c>
      <c r="F1545" s="59">
        <v>10587.81</v>
      </c>
    </row>
    <row r="1546" ht="16.5" customHeight="1" spans="5:6">
      <c r="E1546" s="58">
        <v>44041</v>
      </c>
      <c r="F1546" s="59">
        <v>10542.94</v>
      </c>
    </row>
    <row r="1547" ht="16.5" customHeight="1" spans="5:6">
      <c r="E1547" s="58">
        <v>44040</v>
      </c>
      <c r="F1547" s="59">
        <v>10402.09</v>
      </c>
    </row>
    <row r="1548" ht="16.5" customHeight="1" spans="5:6">
      <c r="E1548" s="58">
        <v>44039</v>
      </c>
      <c r="F1548" s="59">
        <v>10536.27</v>
      </c>
    </row>
    <row r="1549" ht="16.5" customHeight="1" spans="5:6">
      <c r="E1549" s="58">
        <v>44036</v>
      </c>
      <c r="F1549" s="59">
        <v>10363.18</v>
      </c>
    </row>
    <row r="1550" ht="16.5" customHeight="1" spans="5:6">
      <c r="E1550" s="58">
        <v>44035</v>
      </c>
      <c r="F1550" s="59">
        <v>10461.42</v>
      </c>
    </row>
    <row r="1551" ht="16.5" customHeight="1" spans="5:6">
      <c r="E1551" s="58">
        <v>44034</v>
      </c>
      <c r="F1551" s="59">
        <v>10706.13</v>
      </c>
    </row>
    <row r="1552" ht="16.5" customHeight="1" spans="5:6">
      <c r="E1552" s="58">
        <v>44033</v>
      </c>
      <c r="F1552" s="59">
        <v>10680.36</v>
      </c>
    </row>
    <row r="1553" ht="16.5" customHeight="1" spans="5:6">
      <c r="E1553" s="58">
        <v>44032</v>
      </c>
      <c r="F1553" s="59">
        <v>10767.09</v>
      </c>
    </row>
    <row r="1554" ht="16.5" customHeight="1" spans="5:6">
      <c r="E1554" s="58">
        <v>44029</v>
      </c>
      <c r="F1554" s="59">
        <v>10503.19</v>
      </c>
    </row>
    <row r="1555" ht="16.5" customHeight="1" spans="5:6">
      <c r="E1555" s="58">
        <v>44028</v>
      </c>
      <c r="F1555" s="59">
        <v>10473.83</v>
      </c>
    </row>
    <row r="1556" ht="16.5" customHeight="1" spans="5:6">
      <c r="E1556" s="58">
        <v>44027</v>
      </c>
      <c r="F1556" s="59">
        <v>10550.49</v>
      </c>
    </row>
    <row r="1557" ht="16.5" customHeight="1" spans="5:6">
      <c r="E1557" s="58">
        <v>44026</v>
      </c>
      <c r="F1557" s="59">
        <v>10488.58</v>
      </c>
    </row>
    <row r="1558" ht="16.5" customHeight="1" spans="5:6">
      <c r="E1558" s="58">
        <v>44025</v>
      </c>
      <c r="F1558" s="59">
        <v>10390.84</v>
      </c>
    </row>
    <row r="1559" ht="16.5" customHeight="1" spans="5:6">
      <c r="E1559" s="58">
        <v>44022</v>
      </c>
      <c r="F1559" s="59">
        <v>10617.44</v>
      </c>
    </row>
    <row r="1560" ht="16.5" customHeight="1" spans="5:6">
      <c r="E1560" s="58">
        <v>44021</v>
      </c>
      <c r="F1560" s="59">
        <v>10547.75</v>
      </c>
    </row>
    <row r="1561" ht="16.5" customHeight="1" spans="5:6">
      <c r="E1561" s="58">
        <v>44020</v>
      </c>
      <c r="F1561" s="59">
        <v>10492.5</v>
      </c>
    </row>
    <row r="1562" ht="16.5" customHeight="1" spans="5:6">
      <c r="E1562" s="58">
        <v>44019</v>
      </c>
      <c r="F1562" s="59">
        <v>10343.89</v>
      </c>
    </row>
    <row r="1563" ht="16.5" customHeight="1" spans="5:6">
      <c r="E1563" s="58">
        <v>44018</v>
      </c>
      <c r="F1563" s="59">
        <v>10433.65</v>
      </c>
    </row>
    <row r="1564" ht="16.5" customHeight="1" spans="5:6">
      <c r="E1564" s="58">
        <v>44014</v>
      </c>
      <c r="F1564" s="59">
        <v>10207.63</v>
      </c>
    </row>
    <row r="1565" ht="16.5" customHeight="1" spans="5:6">
      <c r="E1565" s="58">
        <v>44013</v>
      </c>
      <c r="F1565" s="59">
        <v>10154.63</v>
      </c>
    </row>
    <row r="1566" ht="16.5" customHeight="1" spans="5:6">
      <c r="E1566" s="58">
        <v>44012</v>
      </c>
      <c r="F1566" s="59">
        <v>10058.77</v>
      </c>
    </row>
    <row r="1567" ht="16.5" customHeight="1" spans="5:6">
      <c r="E1567" s="58">
        <v>44011</v>
      </c>
      <c r="F1567" s="59">
        <v>9874.15</v>
      </c>
    </row>
    <row r="1568" ht="16.5" customHeight="1" spans="5:6">
      <c r="E1568" s="58">
        <v>44008</v>
      </c>
      <c r="F1568" s="59">
        <v>9757.22</v>
      </c>
    </row>
    <row r="1569" ht="16.5" customHeight="1" spans="5:6">
      <c r="E1569" s="58">
        <v>44007</v>
      </c>
      <c r="F1569" s="59">
        <v>10017</v>
      </c>
    </row>
    <row r="1570" ht="16.5" customHeight="1" spans="5:6">
      <c r="E1570" s="58">
        <v>44006</v>
      </c>
      <c r="F1570" s="59">
        <v>9909.17</v>
      </c>
    </row>
    <row r="1571" ht="16.5" customHeight="1" spans="5:6">
      <c r="E1571" s="58">
        <v>44005</v>
      </c>
      <c r="F1571" s="59">
        <v>10131.37</v>
      </c>
    </row>
    <row r="1572" ht="16.5" customHeight="1" spans="5:6">
      <c r="E1572" s="58">
        <v>44004</v>
      </c>
      <c r="F1572" s="59">
        <v>10056.47</v>
      </c>
    </row>
    <row r="1573" ht="16.5" customHeight="1" spans="5:6">
      <c r="E1573" s="58">
        <v>44001</v>
      </c>
      <c r="F1573" s="59">
        <v>9946.12</v>
      </c>
    </row>
    <row r="1574" ht="16.5" customHeight="1" spans="5:6">
      <c r="E1574" s="58">
        <v>44000</v>
      </c>
      <c r="F1574" s="59">
        <v>9943.05</v>
      </c>
    </row>
    <row r="1575" ht="16.5" customHeight="1" spans="5:6">
      <c r="E1575" s="58">
        <v>43999</v>
      </c>
      <c r="F1575" s="59">
        <v>9910.53</v>
      </c>
    </row>
    <row r="1576" ht="16.5" customHeight="1" spans="5:6">
      <c r="E1576" s="58">
        <v>43998</v>
      </c>
      <c r="F1576" s="59">
        <v>9895.87</v>
      </c>
    </row>
    <row r="1577" ht="16.5" customHeight="1" spans="5:6">
      <c r="E1577" s="58">
        <v>43997</v>
      </c>
      <c r="F1577" s="59">
        <v>9726.02</v>
      </c>
    </row>
    <row r="1578" ht="16.5" customHeight="1" spans="5:6">
      <c r="E1578" s="58">
        <v>43994</v>
      </c>
      <c r="F1578" s="59">
        <v>9588.81</v>
      </c>
    </row>
    <row r="1579" ht="16.5" customHeight="1" spans="5:6">
      <c r="E1579" s="58">
        <v>43993</v>
      </c>
      <c r="F1579" s="59">
        <v>9492.73</v>
      </c>
    </row>
    <row r="1580" ht="16.5" customHeight="1" spans="5:6">
      <c r="E1580" s="58">
        <v>43992</v>
      </c>
      <c r="F1580" s="59">
        <v>10020.35</v>
      </c>
    </row>
    <row r="1581" ht="16.5" customHeight="1" spans="5:6">
      <c r="E1581" s="58">
        <v>43991</v>
      </c>
      <c r="F1581" s="59">
        <v>9953.75</v>
      </c>
    </row>
    <row r="1582" ht="16.5" customHeight="1" spans="5:6">
      <c r="E1582" s="58">
        <v>43990</v>
      </c>
      <c r="F1582" s="59">
        <v>9924.74</v>
      </c>
    </row>
    <row r="1583" ht="16.5" customHeight="1" spans="5:6">
      <c r="E1583" s="58">
        <v>43987</v>
      </c>
      <c r="F1583" s="59">
        <v>9814.08</v>
      </c>
    </row>
    <row r="1584" ht="16.5" customHeight="1" spans="5:6">
      <c r="E1584" s="58">
        <v>43986</v>
      </c>
      <c r="F1584" s="59">
        <v>9615.81</v>
      </c>
    </row>
    <row r="1585" ht="16.5" customHeight="1" spans="5:6">
      <c r="E1585" s="58">
        <v>43985</v>
      </c>
      <c r="F1585" s="59">
        <v>9682.91</v>
      </c>
    </row>
    <row r="1586" ht="16.5" customHeight="1" spans="5:6">
      <c r="E1586" s="58">
        <v>43984</v>
      </c>
      <c r="F1586" s="59">
        <v>9608.37</v>
      </c>
    </row>
    <row r="1587" ht="16.5" customHeight="1" spans="5:6">
      <c r="E1587" s="58">
        <v>43983</v>
      </c>
      <c r="F1587" s="59">
        <v>9552.05</v>
      </c>
    </row>
    <row r="1588" ht="16.5" customHeight="1" spans="5:6">
      <c r="E1588" s="58">
        <v>43980</v>
      </c>
      <c r="F1588" s="59">
        <v>9489.87</v>
      </c>
    </row>
    <row r="1589" ht="16.5" customHeight="1" spans="5:6">
      <c r="E1589" s="58">
        <v>43979</v>
      </c>
      <c r="F1589" s="59">
        <v>9368.99</v>
      </c>
    </row>
    <row r="1590" ht="16.5" customHeight="1" spans="5:6">
      <c r="E1590" s="58">
        <v>43978</v>
      </c>
      <c r="F1590" s="59">
        <v>9412.36</v>
      </c>
    </row>
    <row r="1591" ht="16.5" customHeight="1" spans="5:6">
      <c r="E1591" s="58">
        <v>43977</v>
      </c>
      <c r="F1591" s="59">
        <v>9340.22</v>
      </c>
    </row>
    <row r="1592" ht="16.5" customHeight="1" spans="5:6">
      <c r="E1592" s="58">
        <v>43973</v>
      </c>
      <c r="F1592" s="59">
        <v>9324.59</v>
      </c>
    </row>
    <row r="1593" ht="16.5" customHeight="1" spans="5:6">
      <c r="E1593" s="58">
        <v>43972</v>
      </c>
      <c r="F1593" s="59">
        <v>9284.88</v>
      </c>
    </row>
    <row r="1594" ht="16.5" customHeight="1" spans="5:6">
      <c r="E1594" s="58">
        <v>43971</v>
      </c>
      <c r="F1594" s="59">
        <v>9375.78</v>
      </c>
    </row>
    <row r="1595" ht="16.5" customHeight="1" spans="5:6">
      <c r="E1595" s="58">
        <v>43970</v>
      </c>
      <c r="F1595" s="59">
        <v>9185.1</v>
      </c>
    </row>
    <row r="1596" ht="16.5" customHeight="1" spans="5:6">
      <c r="E1596" s="58">
        <v>43969</v>
      </c>
      <c r="F1596" s="59">
        <v>9234.83</v>
      </c>
    </row>
    <row r="1597" ht="16.5" customHeight="1" spans="5:6">
      <c r="E1597" s="58">
        <v>43966</v>
      </c>
      <c r="F1597" s="59">
        <v>9014.56</v>
      </c>
    </row>
    <row r="1598" ht="16.5" customHeight="1" spans="5:6">
      <c r="E1598" s="58">
        <v>43965</v>
      </c>
      <c r="F1598" s="59">
        <v>8943.72</v>
      </c>
    </row>
    <row r="1599" ht="16.5" customHeight="1" spans="5:6">
      <c r="E1599" s="58">
        <v>43964</v>
      </c>
      <c r="F1599" s="59">
        <v>8863.17</v>
      </c>
    </row>
    <row r="1600" ht="16.5" customHeight="1" spans="5:6">
      <c r="E1600" s="58">
        <v>43963</v>
      </c>
      <c r="F1600" s="59">
        <v>9002.55</v>
      </c>
    </row>
    <row r="1601" ht="16.5" customHeight="1" spans="5:6">
      <c r="E1601" s="58">
        <v>43962</v>
      </c>
      <c r="F1601" s="59">
        <v>9192.34</v>
      </c>
    </row>
    <row r="1602" ht="16.5" customHeight="1" spans="5:6">
      <c r="E1602" s="58">
        <v>43959</v>
      </c>
      <c r="F1602" s="59">
        <v>9121.32</v>
      </c>
    </row>
    <row r="1603" ht="16.5" customHeight="1" spans="5:6">
      <c r="E1603" s="58">
        <v>43958</v>
      </c>
      <c r="F1603" s="59">
        <v>8979.66</v>
      </c>
    </row>
    <row r="1604" ht="16.5" customHeight="1" spans="5:6">
      <c r="E1604" s="58">
        <v>43957</v>
      </c>
      <c r="F1604" s="59">
        <v>8854.39</v>
      </c>
    </row>
    <row r="1605" ht="16.5" customHeight="1" spans="5:6">
      <c r="E1605" s="58">
        <v>43956</v>
      </c>
      <c r="F1605" s="59">
        <v>8809.12</v>
      </c>
    </row>
    <row r="1606" ht="16.5" customHeight="1" spans="5:6">
      <c r="E1606" s="58">
        <v>43955</v>
      </c>
      <c r="F1606" s="59">
        <v>8710.71</v>
      </c>
    </row>
    <row r="1607" ht="16.5" customHeight="1" spans="5:6">
      <c r="E1607" s="58">
        <v>43952</v>
      </c>
      <c r="F1607" s="59">
        <v>8604.95</v>
      </c>
    </row>
    <row r="1608" ht="16.5" customHeight="1" spans="5:6">
      <c r="E1608" s="58">
        <v>43951</v>
      </c>
      <c r="F1608" s="59">
        <v>8889.55</v>
      </c>
    </row>
    <row r="1609" ht="16.5" customHeight="1" spans="5:6">
      <c r="E1609" s="58">
        <v>43950</v>
      </c>
      <c r="F1609" s="59">
        <v>8914.71</v>
      </c>
    </row>
    <row r="1610" ht="16.5" customHeight="1" spans="5:6">
      <c r="E1610" s="58">
        <v>43949</v>
      </c>
      <c r="F1610" s="59">
        <v>8607.73</v>
      </c>
    </row>
    <row r="1611" ht="16.5" customHeight="1" spans="5:6">
      <c r="E1611" s="58">
        <v>43948</v>
      </c>
      <c r="F1611" s="59">
        <v>8730.16</v>
      </c>
    </row>
    <row r="1612" ht="16.5" customHeight="1" spans="5:6">
      <c r="E1612" s="58">
        <v>43945</v>
      </c>
      <c r="F1612" s="59">
        <v>8634.52</v>
      </c>
    </row>
    <row r="1613" ht="16.5" customHeight="1" spans="5:6">
      <c r="E1613" s="58">
        <v>43944</v>
      </c>
      <c r="F1613" s="59">
        <v>8494.75</v>
      </c>
    </row>
    <row r="1614" ht="16.5" customHeight="1" spans="5:6">
      <c r="E1614" s="58">
        <v>43943</v>
      </c>
      <c r="F1614" s="59">
        <v>8495.38</v>
      </c>
    </row>
    <row r="1615" ht="16.5" customHeight="1" spans="5:6">
      <c r="E1615" s="58">
        <v>43942</v>
      </c>
      <c r="F1615" s="59">
        <v>8263.23</v>
      </c>
    </row>
    <row r="1616" ht="16.5" customHeight="1" spans="5:6">
      <c r="E1616" s="58">
        <v>43941</v>
      </c>
      <c r="F1616" s="59">
        <v>8560.73</v>
      </c>
    </row>
    <row r="1617" ht="16.5" customHeight="1" spans="5:6">
      <c r="E1617" s="58">
        <v>43938</v>
      </c>
      <c r="F1617" s="59">
        <v>8650.14</v>
      </c>
    </row>
    <row r="1618" ht="16.5" customHeight="1" spans="5:6">
      <c r="E1618" s="58">
        <v>43937</v>
      </c>
      <c r="F1618" s="59">
        <v>8532.36</v>
      </c>
    </row>
    <row r="1619" ht="16.5" customHeight="1" spans="5:6">
      <c r="E1619" s="58">
        <v>43936</v>
      </c>
      <c r="F1619" s="59">
        <v>8393.18</v>
      </c>
    </row>
    <row r="1620" ht="16.5" customHeight="1" spans="5:6">
      <c r="E1620" s="58">
        <v>43935</v>
      </c>
      <c r="F1620" s="59">
        <v>8515.74</v>
      </c>
    </row>
    <row r="1621" ht="16.5" customHeight="1" spans="5:6">
      <c r="E1621" s="58">
        <v>43934</v>
      </c>
      <c r="F1621" s="59">
        <v>8192.42</v>
      </c>
    </row>
    <row r="1622" ht="16.5" customHeight="1" spans="5:6">
      <c r="E1622" s="58">
        <v>43930</v>
      </c>
      <c r="F1622" s="59">
        <v>8153.58</v>
      </c>
    </row>
    <row r="1623" ht="16.5" customHeight="1" spans="5:6">
      <c r="E1623" s="58">
        <v>43929</v>
      </c>
      <c r="F1623" s="59">
        <v>8090.9</v>
      </c>
    </row>
    <row r="1624" ht="16.5" customHeight="1" spans="5:6">
      <c r="E1624" s="58">
        <v>43928</v>
      </c>
      <c r="F1624" s="59">
        <v>7887.26</v>
      </c>
    </row>
    <row r="1625" ht="16.5" customHeight="1" spans="5:6">
      <c r="E1625" s="58">
        <v>43927</v>
      </c>
      <c r="F1625" s="59">
        <v>7913.24</v>
      </c>
    </row>
    <row r="1626" ht="16.5" customHeight="1" spans="5:6">
      <c r="E1626" s="58">
        <v>43924</v>
      </c>
      <c r="F1626" s="59">
        <v>7373.08</v>
      </c>
    </row>
    <row r="1627" ht="16.5" customHeight="1" spans="5:6">
      <c r="E1627" s="58">
        <v>43923</v>
      </c>
      <c r="F1627" s="59">
        <v>7487.31</v>
      </c>
    </row>
    <row r="1628" ht="16.5" customHeight="1" spans="5:6">
      <c r="E1628" s="58">
        <v>43922</v>
      </c>
      <c r="F1628" s="59">
        <v>7360.58</v>
      </c>
    </row>
    <row r="1629" ht="16.5" customHeight="1" spans="5:6">
      <c r="E1629" s="58">
        <v>43921</v>
      </c>
      <c r="F1629" s="59">
        <v>7700.1</v>
      </c>
    </row>
    <row r="1630" ht="16.5" customHeight="1" spans="5:6">
      <c r="E1630" s="58">
        <v>43920</v>
      </c>
      <c r="F1630" s="59">
        <v>7774.15</v>
      </c>
    </row>
    <row r="1631" ht="16.5" customHeight="1" spans="5:6">
      <c r="E1631" s="58">
        <v>43917</v>
      </c>
      <c r="F1631" s="59">
        <v>7502.38</v>
      </c>
    </row>
    <row r="1632" ht="16.5" customHeight="1" spans="5:6">
      <c r="E1632" s="58">
        <v>43916</v>
      </c>
      <c r="F1632" s="59">
        <v>7797.54</v>
      </c>
    </row>
    <row r="1633" ht="16.5" customHeight="1" spans="5:6">
      <c r="E1633" s="58">
        <v>43915</v>
      </c>
      <c r="F1633" s="59">
        <v>7384.3</v>
      </c>
    </row>
    <row r="1634" ht="16.5" customHeight="1" spans="5:6">
      <c r="E1634" s="58">
        <v>43914</v>
      </c>
      <c r="F1634" s="59">
        <v>7417.86</v>
      </c>
    </row>
    <row r="1635" ht="16.5" customHeight="1" spans="5:6">
      <c r="E1635" s="58">
        <v>43913</v>
      </c>
      <c r="F1635" s="59">
        <v>6860.67</v>
      </c>
    </row>
    <row r="1636" ht="16.5" customHeight="1" spans="5:6">
      <c r="E1636" s="58">
        <v>43910</v>
      </c>
      <c r="F1636" s="59">
        <v>6879.52</v>
      </c>
    </row>
    <row r="1637" ht="16.5" customHeight="1" spans="5:6">
      <c r="E1637" s="58">
        <v>43909</v>
      </c>
      <c r="F1637" s="59">
        <v>7150.58</v>
      </c>
    </row>
    <row r="1638" ht="16.5" customHeight="1" spans="5:6">
      <c r="E1638" s="58">
        <v>43908</v>
      </c>
      <c r="F1638" s="59">
        <v>6989.84</v>
      </c>
    </row>
    <row r="1639" ht="16.5" customHeight="1" spans="5:6">
      <c r="E1639" s="58">
        <v>43907</v>
      </c>
      <c r="F1639" s="59">
        <v>7334.78</v>
      </c>
    </row>
    <row r="1640" ht="16.5" customHeight="1" spans="5:6">
      <c r="E1640" s="58">
        <v>43906</v>
      </c>
      <c r="F1640" s="59">
        <v>6904.59</v>
      </c>
    </row>
    <row r="1641" ht="16.5" customHeight="1" spans="5:6">
      <c r="E1641" s="58">
        <v>43903</v>
      </c>
      <c r="F1641" s="59">
        <v>7874.88</v>
      </c>
    </row>
    <row r="1642" ht="16.5" customHeight="1" spans="5:6">
      <c r="E1642" s="58">
        <v>43902</v>
      </c>
      <c r="F1642" s="59">
        <v>7201.8</v>
      </c>
    </row>
    <row r="1643" ht="16.5" customHeight="1" spans="5:6">
      <c r="E1643" s="58">
        <v>43901</v>
      </c>
      <c r="F1643" s="59">
        <v>7952.05</v>
      </c>
    </row>
    <row r="1644" ht="16.5" customHeight="1" spans="5:6">
      <c r="E1644" s="58">
        <v>43900</v>
      </c>
      <c r="F1644" s="59">
        <v>8344.25</v>
      </c>
    </row>
    <row r="1645" ht="16.5" customHeight="1" spans="5:6">
      <c r="E1645" s="58">
        <v>43899</v>
      </c>
      <c r="F1645" s="59">
        <v>7950.68</v>
      </c>
    </row>
    <row r="1646" ht="16.5" customHeight="1" spans="5:6">
      <c r="E1646" s="58">
        <v>43896</v>
      </c>
      <c r="F1646" s="59">
        <v>8575.62</v>
      </c>
    </row>
    <row r="1647" ht="16.5" customHeight="1" spans="5:6">
      <c r="E1647" s="58">
        <v>43895</v>
      </c>
      <c r="F1647" s="59">
        <v>8738.6</v>
      </c>
    </row>
    <row r="1648" ht="16.5" customHeight="1" spans="5:6">
      <c r="E1648" s="58">
        <v>43894</v>
      </c>
      <c r="F1648" s="59">
        <v>9018.09</v>
      </c>
    </row>
    <row r="1649" ht="16.5" customHeight="1" spans="5:6">
      <c r="E1649" s="58">
        <v>43893</v>
      </c>
      <c r="F1649" s="59">
        <v>8684.09</v>
      </c>
    </row>
    <row r="1650" ht="16.5" customHeight="1" spans="5:6">
      <c r="E1650" s="58">
        <v>43892</v>
      </c>
      <c r="F1650" s="59">
        <v>8952.16</v>
      </c>
    </row>
    <row r="1651" ht="16.5" customHeight="1" spans="5:6">
      <c r="E1651" s="58">
        <v>43889</v>
      </c>
      <c r="F1651" s="59">
        <v>8567.37</v>
      </c>
    </row>
    <row r="1652" ht="16.5" customHeight="1" spans="5:6">
      <c r="E1652" s="58">
        <v>43888</v>
      </c>
      <c r="F1652" s="59">
        <v>8566.48</v>
      </c>
    </row>
    <row r="1653" ht="16.5" customHeight="1" spans="5:6">
      <c r="E1653" s="58">
        <v>43887</v>
      </c>
      <c r="F1653" s="59">
        <v>8980.77</v>
      </c>
    </row>
    <row r="1654" ht="16.5" customHeight="1" spans="5:6">
      <c r="E1654" s="58">
        <v>43886</v>
      </c>
      <c r="F1654" s="59">
        <v>8965.61</v>
      </c>
    </row>
    <row r="1655" ht="16.5" customHeight="1" spans="5:6">
      <c r="E1655" s="58">
        <v>43885</v>
      </c>
      <c r="F1655" s="59">
        <v>9221.28</v>
      </c>
    </row>
    <row r="1656" ht="16.5" customHeight="1" spans="5:6">
      <c r="E1656" s="58">
        <v>43882</v>
      </c>
      <c r="F1656" s="59">
        <v>9576.59</v>
      </c>
    </row>
    <row r="1657" ht="16.5" customHeight="1" spans="5:6">
      <c r="E1657" s="58">
        <v>43881</v>
      </c>
      <c r="F1657" s="59">
        <v>9750.96</v>
      </c>
    </row>
    <row r="1658" ht="16.5" customHeight="1" spans="5:6">
      <c r="E1658" s="58">
        <v>43880</v>
      </c>
      <c r="F1658" s="59">
        <v>9817.18</v>
      </c>
    </row>
    <row r="1659" ht="16.5" customHeight="1" spans="5:6">
      <c r="E1659" s="58">
        <v>43879</v>
      </c>
      <c r="F1659" s="59">
        <v>9732.74</v>
      </c>
    </row>
    <row r="1660" ht="16.5" customHeight="1" spans="5:6">
      <c r="E1660" s="58">
        <v>43875</v>
      </c>
      <c r="F1660" s="59">
        <v>9731.18</v>
      </c>
    </row>
    <row r="1661" ht="16.5" customHeight="1" spans="5:6">
      <c r="E1661" s="58">
        <v>43874</v>
      </c>
      <c r="F1661" s="59">
        <v>9711.97</v>
      </c>
    </row>
    <row r="1662" ht="16.5" customHeight="1" spans="5:6">
      <c r="E1662" s="58">
        <v>43873</v>
      </c>
      <c r="F1662" s="59">
        <v>9725.96</v>
      </c>
    </row>
    <row r="1663" ht="16.5" customHeight="1" spans="5:6">
      <c r="E1663" s="58">
        <v>43872</v>
      </c>
      <c r="F1663" s="59">
        <v>9638.94</v>
      </c>
    </row>
    <row r="1664" ht="16.5" customHeight="1" spans="5:6">
      <c r="E1664" s="58">
        <v>43871</v>
      </c>
      <c r="F1664" s="59">
        <v>9628.39</v>
      </c>
    </row>
    <row r="1665" ht="16.5" customHeight="1" spans="5:6">
      <c r="E1665" s="58">
        <v>43868</v>
      </c>
      <c r="F1665" s="59">
        <v>9520.51</v>
      </c>
    </row>
    <row r="1666" ht="16.5" customHeight="1" spans="5:6">
      <c r="E1666" s="58">
        <v>43867</v>
      </c>
      <c r="F1666" s="59">
        <v>9572.15</v>
      </c>
    </row>
    <row r="1667" ht="16.5" customHeight="1" spans="5:6">
      <c r="E1667" s="58">
        <v>43866</v>
      </c>
      <c r="F1667" s="59">
        <v>9508.68</v>
      </c>
    </row>
    <row r="1668" ht="16.5" customHeight="1" spans="5:6">
      <c r="E1668" s="58">
        <v>43865</v>
      </c>
      <c r="F1668" s="59">
        <v>9467.97</v>
      </c>
    </row>
    <row r="1669" ht="16.5" customHeight="1" spans="5:6">
      <c r="E1669" s="58">
        <v>43864</v>
      </c>
      <c r="F1669" s="59">
        <v>9273.4</v>
      </c>
    </row>
    <row r="1670" ht="16.5" customHeight="1" spans="5:6">
      <c r="E1670" s="58">
        <v>43861</v>
      </c>
      <c r="F1670" s="59">
        <v>9150.94</v>
      </c>
    </row>
    <row r="1671" ht="16.5" customHeight="1" spans="5:6">
      <c r="E1671" s="58">
        <v>43860</v>
      </c>
      <c r="F1671" s="59">
        <v>9298.93</v>
      </c>
    </row>
    <row r="1672" ht="16.5" customHeight="1" spans="5:6">
      <c r="E1672" s="58">
        <v>43859</v>
      </c>
      <c r="F1672" s="59">
        <v>9275.16</v>
      </c>
    </row>
    <row r="1673" ht="16.5" customHeight="1" spans="5:6">
      <c r="E1673" s="58">
        <v>43858</v>
      </c>
      <c r="F1673" s="59">
        <v>9269.68</v>
      </c>
    </row>
    <row r="1674" ht="16.5" customHeight="1" spans="5:6">
      <c r="E1674" s="58">
        <v>43857</v>
      </c>
      <c r="F1674" s="59">
        <v>9139.31</v>
      </c>
    </row>
    <row r="1675" ht="16.5" customHeight="1" spans="5:6">
      <c r="E1675" s="58">
        <v>43854</v>
      </c>
      <c r="F1675" s="59">
        <v>9314.91</v>
      </c>
    </row>
    <row r="1676" ht="16.5" customHeight="1" spans="5:6">
      <c r="E1676" s="58">
        <v>43853</v>
      </c>
      <c r="F1676" s="59">
        <v>9402.48</v>
      </c>
    </row>
    <row r="1677" ht="16.5" customHeight="1" spans="5:6">
      <c r="E1677" s="58">
        <v>43852</v>
      </c>
      <c r="F1677" s="59">
        <v>9383.77</v>
      </c>
    </row>
    <row r="1678" ht="16.5" customHeight="1" spans="5:6">
      <c r="E1678" s="58">
        <v>43851</v>
      </c>
      <c r="F1678" s="59">
        <v>9370.81</v>
      </c>
    </row>
    <row r="1679" ht="16.5" customHeight="1" spans="5:6">
      <c r="E1679" s="58">
        <v>43847</v>
      </c>
      <c r="F1679" s="59">
        <v>9388.94</v>
      </c>
    </row>
    <row r="1680" ht="16.5" customHeight="1" spans="5:6">
      <c r="E1680" s="58">
        <v>43846</v>
      </c>
      <c r="F1680" s="59">
        <v>9357.13</v>
      </c>
    </row>
    <row r="1681" ht="16.5" customHeight="1" spans="5:6">
      <c r="E1681" s="58">
        <v>43845</v>
      </c>
      <c r="F1681" s="59">
        <v>9258.7</v>
      </c>
    </row>
    <row r="1682" ht="16.5" customHeight="1" spans="5:6">
      <c r="E1682" s="58">
        <v>43844</v>
      </c>
      <c r="F1682" s="59">
        <v>9251.33</v>
      </c>
    </row>
    <row r="1683" ht="16.5" customHeight="1" spans="5:6">
      <c r="E1683" s="58">
        <v>43843</v>
      </c>
      <c r="F1683" s="59">
        <v>9273.93</v>
      </c>
    </row>
    <row r="1684" ht="16.5" customHeight="1" spans="5:6">
      <c r="E1684" s="58">
        <v>43840</v>
      </c>
      <c r="F1684" s="59">
        <v>9178.86</v>
      </c>
    </row>
    <row r="1685" ht="16.5" customHeight="1" spans="5:6">
      <c r="E1685" s="58">
        <v>43839</v>
      </c>
      <c r="F1685" s="59">
        <v>9203.43</v>
      </c>
    </row>
    <row r="1686" ht="16.5" customHeight="1" spans="5:6">
      <c r="E1686" s="58">
        <v>43838</v>
      </c>
      <c r="F1686" s="59">
        <v>9129.24</v>
      </c>
    </row>
    <row r="1687" ht="16.5" customHeight="1" spans="5:6">
      <c r="E1687" s="58">
        <v>43837</v>
      </c>
      <c r="F1687" s="59">
        <v>9068.58</v>
      </c>
    </row>
    <row r="1688" ht="16.5" customHeight="1" spans="5:6">
      <c r="E1688" s="58">
        <v>43836</v>
      </c>
      <c r="F1688" s="59">
        <v>9071.46</v>
      </c>
    </row>
    <row r="1689" ht="16.5" customHeight="1" spans="5:6">
      <c r="E1689" s="58">
        <v>43833</v>
      </c>
      <c r="F1689" s="59">
        <v>9020.77</v>
      </c>
    </row>
    <row r="1690" ht="16.5" customHeight="1" spans="5:6">
      <c r="E1690" s="58">
        <v>43832</v>
      </c>
      <c r="F1690" s="59">
        <v>9092.19</v>
      </c>
    </row>
    <row r="1691" ht="16.5" customHeight="1" spans="5:6">
      <c r="E1691" s="58">
        <v>43830</v>
      </c>
      <c r="F1691" s="59">
        <v>8972.6</v>
      </c>
    </row>
    <row r="1692" ht="16.5" customHeight="1" spans="5:6">
      <c r="E1692" s="58">
        <v>43829</v>
      </c>
      <c r="F1692" s="59">
        <v>8945.99</v>
      </c>
    </row>
    <row r="1693" ht="16.5" customHeight="1" spans="5:6">
      <c r="E1693" s="58">
        <v>43826</v>
      </c>
      <c r="F1693" s="59">
        <v>9006.62</v>
      </c>
    </row>
    <row r="1694" ht="16.5" customHeight="1" spans="5:6">
      <c r="E1694" s="58">
        <v>43825</v>
      </c>
      <c r="F1694" s="59">
        <v>9022.39</v>
      </c>
    </row>
    <row r="1695" ht="16.5" customHeight="1" spans="5:6">
      <c r="E1695" s="58">
        <v>43823</v>
      </c>
      <c r="F1695" s="59">
        <v>8952.88</v>
      </c>
    </row>
    <row r="1696" ht="16.5" customHeight="1" spans="5:6">
      <c r="E1696" s="58">
        <v>43822</v>
      </c>
      <c r="F1696" s="59">
        <v>8945.65</v>
      </c>
    </row>
    <row r="1697" ht="16.5" customHeight="1" spans="5:6">
      <c r="E1697" s="58">
        <v>43819</v>
      </c>
      <c r="F1697" s="59">
        <v>8924.96</v>
      </c>
    </row>
    <row r="1698" ht="16.5" customHeight="1" spans="5:6">
      <c r="E1698" s="58">
        <v>43818</v>
      </c>
      <c r="F1698" s="59">
        <v>8887.22</v>
      </c>
    </row>
    <row r="1699" ht="16.5" customHeight="1" spans="5:6">
      <c r="E1699" s="58">
        <v>43817</v>
      </c>
      <c r="F1699" s="59">
        <v>8827.73</v>
      </c>
    </row>
    <row r="1700" ht="16.5" customHeight="1" spans="5:6">
      <c r="E1700" s="58">
        <v>43816</v>
      </c>
      <c r="F1700" s="59">
        <v>8823.36</v>
      </c>
    </row>
    <row r="1701" ht="16.5" customHeight="1" spans="5:6">
      <c r="E1701" s="58">
        <v>43815</v>
      </c>
      <c r="F1701" s="59">
        <v>8814.23</v>
      </c>
    </row>
    <row r="1702" ht="16.5" customHeight="1" spans="5:6">
      <c r="E1702" s="58">
        <v>43812</v>
      </c>
      <c r="F1702" s="59">
        <v>8734.88</v>
      </c>
    </row>
    <row r="1703" ht="16.5" customHeight="1" spans="5:6">
      <c r="E1703" s="58">
        <v>43811</v>
      </c>
      <c r="F1703" s="59">
        <v>8717.32</v>
      </c>
    </row>
    <row r="1704" ht="16.5" customHeight="1" spans="5:6">
      <c r="E1704" s="58">
        <v>43810</v>
      </c>
      <c r="F1704" s="59">
        <v>8654.05</v>
      </c>
    </row>
    <row r="1705" ht="16.5" customHeight="1" spans="5:6">
      <c r="E1705" s="58">
        <v>43809</v>
      </c>
      <c r="F1705" s="59">
        <v>8616.18</v>
      </c>
    </row>
    <row r="1706" ht="16.5" customHeight="1" spans="5:6">
      <c r="E1706" s="58">
        <v>43808</v>
      </c>
      <c r="F1706" s="59">
        <v>8621.83</v>
      </c>
    </row>
    <row r="1707" ht="16.5" customHeight="1" spans="5:6">
      <c r="E1707" s="58">
        <v>43805</v>
      </c>
      <c r="F1707" s="59">
        <v>8656.53</v>
      </c>
    </row>
    <row r="1708" ht="16.5" customHeight="1" spans="5:6">
      <c r="E1708" s="58">
        <v>43804</v>
      </c>
      <c r="F1708" s="59">
        <v>8570.7</v>
      </c>
    </row>
    <row r="1709" ht="16.5" customHeight="1" spans="5:6">
      <c r="E1709" s="58">
        <v>43803</v>
      </c>
      <c r="F1709" s="59">
        <v>8566.67</v>
      </c>
    </row>
    <row r="1710" ht="16.5" customHeight="1" spans="5:6">
      <c r="E1710" s="58">
        <v>43802</v>
      </c>
      <c r="F1710" s="59">
        <v>8520.64</v>
      </c>
    </row>
    <row r="1711" ht="16.5" customHeight="1" spans="5:6">
      <c r="E1711" s="58">
        <v>43801</v>
      </c>
      <c r="F1711" s="59">
        <v>8567.99</v>
      </c>
    </row>
    <row r="1712" ht="16.5" customHeight="1" spans="5:6">
      <c r="E1712" s="58">
        <v>43798</v>
      </c>
      <c r="F1712" s="59">
        <v>8665.47</v>
      </c>
    </row>
    <row r="1713" ht="16.5" customHeight="1" spans="5:6">
      <c r="E1713" s="58">
        <v>43796</v>
      </c>
      <c r="F1713" s="59">
        <v>8705.18</v>
      </c>
    </row>
    <row r="1714" ht="16.5" customHeight="1" spans="5:6">
      <c r="E1714" s="58">
        <v>43795</v>
      </c>
      <c r="F1714" s="59">
        <v>8647.93</v>
      </c>
    </row>
    <row r="1715" ht="16.5" customHeight="1" spans="5:6">
      <c r="E1715" s="58">
        <v>43794</v>
      </c>
      <c r="F1715" s="59">
        <v>8632.49</v>
      </c>
    </row>
    <row r="1716" ht="16.5" customHeight="1" spans="5:6">
      <c r="E1716" s="58">
        <v>43791</v>
      </c>
      <c r="F1716" s="59">
        <v>8519.88</v>
      </c>
    </row>
    <row r="1717" ht="16.5" customHeight="1" spans="5:6">
      <c r="E1717" s="58">
        <v>43790</v>
      </c>
      <c r="F1717" s="59">
        <v>8506.21</v>
      </c>
    </row>
    <row r="1718" ht="16.5" customHeight="1" spans="5:6">
      <c r="E1718" s="58">
        <v>43789</v>
      </c>
      <c r="F1718" s="59">
        <v>8526.73</v>
      </c>
    </row>
    <row r="1719" ht="16.5" customHeight="1" spans="5:6">
      <c r="E1719" s="58">
        <v>43788</v>
      </c>
      <c r="F1719" s="59">
        <v>8570.66</v>
      </c>
    </row>
    <row r="1720" ht="16.5" customHeight="1" spans="5:6">
      <c r="E1720" s="58">
        <v>43787</v>
      </c>
      <c r="F1720" s="59">
        <v>8549.94</v>
      </c>
    </row>
    <row r="1721" ht="16.5" customHeight="1" spans="5:6">
      <c r="E1721" s="58">
        <v>43784</v>
      </c>
      <c r="F1721" s="59">
        <v>8540.83</v>
      </c>
    </row>
    <row r="1722" ht="16.5" customHeight="1" spans="5:6">
      <c r="E1722" s="58">
        <v>43783</v>
      </c>
      <c r="F1722" s="59">
        <v>8479.02</v>
      </c>
    </row>
    <row r="1723" ht="16.5" customHeight="1" spans="5:6">
      <c r="E1723" s="58">
        <v>43782</v>
      </c>
      <c r="F1723" s="59">
        <v>8482.1</v>
      </c>
    </row>
    <row r="1724" ht="16.5" customHeight="1" spans="5:6">
      <c r="E1724" s="58">
        <v>43781</v>
      </c>
      <c r="F1724" s="59">
        <v>8486.09</v>
      </c>
    </row>
    <row r="1725" ht="16.5" customHeight="1" spans="5:6">
      <c r="E1725" s="58">
        <v>43780</v>
      </c>
      <c r="F1725" s="59">
        <v>8464.28</v>
      </c>
    </row>
    <row r="1726" ht="16.5" customHeight="1" spans="5:6">
      <c r="E1726" s="58">
        <v>43777</v>
      </c>
      <c r="F1726" s="59">
        <v>8475.31</v>
      </c>
    </row>
    <row r="1727" ht="16.5" customHeight="1" spans="5:6">
      <c r="E1727" s="58">
        <v>43776</v>
      </c>
      <c r="F1727" s="59">
        <v>8434.52</v>
      </c>
    </row>
    <row r="1728" ht="16.5" customHeight="1" spans="5:6">
      <c r="E1728" s="58">
        <v>43775</v>
      </c>
      <c r="F1728" s="59">
        <v>8410.63</v>
      </c>
    </row>
    <row r="1729" ht="16.5" customHeight="1" spans="5:6">
      <c r="E1729" s="58">
        <v>43774</v>
      </c>
      <c r="F1729" s="59">
        <v>8434.68</v>
      </c>
    </row>
    <row r="1730" ht="16.5" customHeight="1" spans="5:6">
      <c r="E1730" s="58">
        <v>43773</v>
      </c>
      <c r="F1730" s="59">
        <v>8433.2</v>
      </c>
    </row>
    <row r="1731" ht="16.5" customHeight="1" spans="5:6">
      <c r="E1731" s="58">
        <v>43770</v>
      </c>
      <c r="F1731" s="59">
        <v>8386.4</v>
      </c>
    </row>
    <row r="1732" ht="16.5" customHeight="1" spans="5:6">
      <c r="E1732" s="58">
        <v>43769</v>
      </c>
      <c r="F1732" s="59">
        <v>8292.36</v>
      </c>
    </row>
    <row r="1733" ht="16.5" customHeight="1" spans="5:6">
      <c r="E1733" s="58">
        <v>43768</v>
      </c>
      <c r="F1733" s="59">
        <v>8303.98</v>
      </c>
    </row>
    <row r="1734" ht="16.5" customHeight="1" spans="5:6">
      <c r="E1734" s="58">
        <v>43767</v>
      </c>
      <c r="F1734" s="59">
        <v>8276.85</v>
      </c>
    </row>
    <row r="1735" ht="16.5" customHeight="1" spans="5:6">
      <c r="E1735" s="58">
        <v>43766</v>
      </c>
      <c r="F1735" s="59">
        <v>8325.99</v>
      </c>
    </row>
    <row r="1736" ht="16.5" customHeight="1" spans="5:6">
      <c r="E1736" s="58">
        <v>43763</v>
      </c>
      <c r="F1736" s="59">
        <v>8243.12</v>
      </c>
    </row>
    <row r="1737" ht="16.5" customHeight="1" spans="5:6">
      <c r="E1737" s="58">
        <v>43762</v>
      </c>
      <c r="F1737" s="59">
        <v>8185.8</v>
      </c>
    </row>
    <row r="1738" ht="16.5" customHeight="1" spans="5:6">
      <c r="E1738" s="58">
        <v>43761</v>
      </c>
      <c r="F1738" s="59">
        <v>8119.79</v>
      </c>
    </row>
    <row r="1739" ht="16.5" customHeight="1" spans="5:6">
      <c r="E1739" s="58">
        <v>43760</v>
      </c>
      <c r="F1739" s="59">
        <v>8104.3</v>
      </c>
    </row>
    <row r="1740" ht="16.5" customHeight="1" spans="5:6">
      <c r="E1740" s="58">
        <v>43759</v>
      </c>
      <c r="F1740" s="59">
        <v>8162.99</v>
      </c>
    </row>
    <row r="1741" ht="16.5" customHeight="1" spans="5:6">
      <c r="E1741" s="58">
        <v>43756</v>
      </c>
      <c r="F1741" s="59">
        <v>8089.54</v>
      </c>
    </row>
    <row r="1742" ht="16.5" customHeight="1" spans="5:6">
      <c r="E1742" s="58">
        <v>43755</v>
      </c>
      <c r="F1742" s="59">
        <v>8156.85</v>
      </c>
    </row>
    <row r="1743" ht="16.5" customHeight="1" spans="5:6">
      <c r="E1743" s="58">
        <v>43754</v>
      </c>
      <c r="F1743" s="59">
        <v>8124.18</v>
      </c>
    </row>
    <row r="1744" ht="16.5" customHeight="1" spans="5:6">
      <c r="E1744" s="58">
        <v>43753</v>
      </c>
      <c r="F1744" s="59">
        <v>8148.71</v>
      </c>
    </row>
    <row r="1745" ht="16.5" customHeight="1" spans="5:6">
      <c r="E1745" s="58">
        <v>43752</v>
      </c>
      <c r="F1745" s="59">
        <v>8048.65</v>
      </c>
    </row>
    <row r="1746" ht="16.5" customHeight="1" spans="5:6">
      <c r="E1746" s="58">
        <v>43749</v>
      </c>
      <c r="F1746" s="59">
        <v>8057.04</v>
      </c>
    </row>
    <row r="1747" ht="16.5" customHeight="1" spans="5:6">
      <c r="E1747" s="58">
        <v>43748</v>
      </c>
      <c r="F1747" s="59">
        <v>7950.78</v>
      </c>
    </row>
    <row r="1748" ht="16.5" customHeight="1" spans="5:6">
      <c r="E1748" s="58">
        <v>43747</v>
      </c>
      <c r="F1748" s="59">
        <v>7903.74</v>
      </c>
    </row>
    <row r="1749" ht="16.5" customHeight="1" spans="5:6">
      <c r="E1749" s="58">
        <v>43746</v>
      </c>
      <c r="F1749" s="59">
        <v>7823.78</v>
      </c>
    </row>
    <row r="1750" ht="16.5" customHeight="1" spans="5:6">
      <c r="E1750" s="58">
        <v>43745</v>
      </c>
      <c r="F1750" s="59">
        <v>7956.29</v>
      </c>
    </row>
    <row r="1751" ht="16.5" customHeight="1" spans="5:6">
      <c r="E1751" s="58">
        <v>43742</v>
      </c>
      <c r="F1751" s="59">
        <v>7982.47</v>
      </c>
    </row>
    <row r="1752" ht="16.5" customHeight="1" spans="5:6">
      <c r="E1752" s="58">
        <v>43741</v>
      </c>
      <c r="F1752" s="59">
        <v>7872.26</v>
      </c>
    </row>
    <row r="1753" ht="16.5" customHeight="1" spans="5:6">
      <c r="E1753" s="58">
        <v>43740</v>
      </c>
      <c r="F1753" s="59">
        <v>7785.25</v>
      </c>
    </row>
    <row r="1754" ht="16.5" customHeight="1" spans="5:6">
      <c r="E1754" s="58">
        <v>43739</v>
      </c>
      <c r="F1754" s="59">
        <v>7908.68</v>
      </c>
    </row>
    <row r="1755" ht="16.5" customHeight="1" spans="5:6">
      <c r="E1755" s="58">
        <v>43738</v>
      </c>
      <c r="F1755" s="59">
        <v>7999.34</v>
      </c>
    </row>
    <row r="1756" ht="16.5" customHeight="1" spans="5:6">
      <c r="E1756" s="58">
        <v>43735</v>
      </c>
      <c r="F1756" s="59">
        <v>7939.63</v>
      </c>
    </row>
    <row r="1757" ht="16.5" customHeight="1" spans="5:6">
      <c r="E1757" s="58">
        <v>43734</v>
      </c>
      <c r="F1757" s="59">
        <v>8030.66</v>
      </c>
    </row>
    <row r="1758" ht="16.5" customHeight="1" spans="5:6">
      <c r="E1758" s="58">
        <v>43733</v>
      </c>
      <c r="F1758" s="59">
        <v>8077.38</v>
      </c>
    </row>
    <row r="1759" ht="16.5" customHeight="1" spans="5:6">
      <c r="E1759" s="58">
        <v>43732</v>
      </c>
      <c r="F1759" s="59">
        <v>7993.63</v>
      </c>
    </row>
    <row r="1760" ht="16.5" customHeight="1" spans="5:6">
      <c r="E1760" s="58">
        <v>43731</v>
      </c>
      <c r="F1760" s="59">
        <v>8112.46</v>
      </c>
    </row>
    <row r="1761" ht="16.5" customHeight="1" spans="5:6">
      <c r="E1761" s="58">
        <v>43728</v>
      </c>
      <c r="F1761" s="59">
        <v>8117.67</v>
      </c>
    </row>
    <row r="1762" ht="16.5" customHeight="1" spans="5:6">
      <c r="E1762" s="58">
        <v>43727</v>
      </c>
      <c r="F1762" s="59">
        <v>8182.88</v>
      </c>
    </row>
    <row r="1763" ht="16.5" customHeight="1" spans="5:6">
      <c r="E1763" s="58">
        <v>43726</v>
      </c>
      <c r="F1763" s="59">
        <v>8177.39</v>
      </c>
    </row>
    <row r="1764" ht="16.5" customHeight="1" spans="5:6">
      <c r="E1764" s="58">
        <v>43725</v>
      </c>
      <c r="F1764" s="59">
        <v>8186.02</v>
      </c>
    </row>
    <row r="1765" ht="16.5" customHeight="1" spans="5:6">
      <c r="E1765" s="58">
        <v>43724</v>
      </c>
      <c r="F1765" s="59">
        <v>8153.54</v>
      </c>
    </row>
    <row r="1766" ht="16.5" customHeight="1" spans="5:6">
      <c r="E1766" s="58">
        <v>43721</v>
      </c>
      <c r="F1766" s="59">
        <v>8176.71</v>
      </c>
    </row>
    <row r="1767" ht="16.5" customHeight="1" spans="5:6">
      <c r="E1767" s="58">
        <v>43720</v>
      </c>
      <c r="F1767" s="59">
        <v>8194.47</v>
      </c>
    </row>
    <row r="1768" ht="16.5" customHeight="1" spans="5:6">
      <c r="E1768" s="58">
        <v>43719</v>
      </c>
      <c r="F1768" s="59">
        <v>8169.68</v>
      </c>
    </row>
    <row r="1769" ht="16.5" customHeight="1" spans="5:6">
      <c r="E1769" s="58">
        <v>43718</v>
      </c>
      <c r="F1769" s="59">
        <v>8084.16</v>
      </c>
    </row>
    <row r="1770" ht="16.5" customHeight="1" spans="5:6">
      <c r="E1770" s="58">
        <v>43717</v>
      </c>
      <c r="F1770" s="59">
        <v>8087.44</v>
      </c>
    </row>
    <row r="1771" ht="16.5" customHeight="1" spans="5:6">
      <c r="E1771" s="58">
        <v>43714</v>
      </c>
      <c r="F1771" s="59">
        <v>8103.07</v>
      </c>
    </row>
    <row r="1772" ht="16.5" customHeight="1" spans="5:6">
      <c r="E1772" s="58">
        <v>43713</v>
      </c>
      <c r="F1772" s="59">
        <v>8116.83</v>
      </c>
    </row>
    <row r="1773" ht="16.5" customHeight="1" spans="5:6">
      <c r="E1773" s="58">
        <v>43712</v>
      </c>
      <c r="F1773" s="59">
        <v>7976.88</v>
      </c>
    </row>
    <row r="1774" ht="16.5" customHeight="1" spans="5:6">
      <c r="E1774" s="58">
        <v>43711</v>
      </c>
      <c r="F1774" s="59">
        <v>7874.16</v>
      </c>
    </row>
    <row r="1775" ht="16.5" customHeight="1" spans="5:6">
      <c r="E1775" s="58">
        <v>43707</v>
      </c>
      <c r="F1775" s="59">
        <v>7962.88</v>
      </c>
    </row>
    <row r="1776" ht="16.5" customHeight="1" spans="5:6">
      <c r="E1776" s="58">
        <v>43706</v>
      </c>
      <c r="F1776" s="59">
        <v>7973.39</v>
      </c>
    </row>
    <row r="1777" ht="16.5" customHeight="1" spans="5:6">
      <c r="E1777" s="58">
        <v>43705</v>
      </c>
      <c r="F1777" s="59">
        <v>7856.88</v>
      </c>
    </row>
    <row r="1778" ht="16.5" customHeight="1" spans="5:6">
      <c r="E1778" s="58">
        <v>43704</v>
      </c>
      <c r="F1778" s="59">
        <v>7826.95</v>
      </c>
    </row>
    <row r="1779" ht="16.5" customHeight="1" spans="5:6">
      <c r="E1779" s="58">
        <v>43703</v>
      </c>
      <c r="F1779" s="59">
        <v>7853.74</v>
      </c>
    </row>
    <row r="1780" ht="16.5" customHeight="1" spans="5:6">
      <c r="E1780" s="58">
        <v>43700</v>
      </c>
      <c r="F1780" s="59">
        <v>7751.77</v>
      </c>
    </row>
    <row r="1781" ht="16.5" customHeight="1" spans="5:6">
      <c r="E1781" s="58">
        <v>43699</v>
      </c>
      <c r="F1781" s="59">
        <v>7991.39</v>
      </c>
    </row>
    <row r="1782" ht="16.5" customHeight="1" spans="5:6">
      <c r="E1782" s="58">
        <v>43698</v>
      </c>
      <c r="F1782" s="59">
        <v>8020.21</v>
      </c>
    </row>
    <row r="1783" ht="16.5" customHeight="1" spans="5:6">
      <c r="E1783" s="58">
        <v>43697</v>
      </c>
      <c r="F1783" s="59">
        <v>7948.56</v>
      </c>
    </row>
    <row r="1784" ht="16.5" customHeight="1" spans="5:6">
      <c r="E1784" s="58">
        <v>43696</v>
      </c>
      <c r="F1784" s="59">
        <v>8002.81</v>
      </c>
    </row>
    <row r="1785" ht="16.5" customHeight="1" spans="5:6">
      <c r="E1785" s="58">
        <v>43693</v>
      </c>
      <c r="F1785" s="59">
        <v>7895.99</v>
      </c>
    </row>
    <row r="1786" ht="16.5" customHeight="1" spans="5:6">
      <c r="E1786" s="58">
        <v>43692</v>
      </c>
      <c r="F1786" s="59">
        <v>7766.62</v>
      </c>
    </row>
    <row r="1787" ht="16.5" customHeight="1" spans="5:6">
      <c r="E1787" s="58">
        <v>43691</v>
      </c>
      <c r="F1787" s="59">
        <v>7773.94</v>
      </c>
    </row>
    <row r="1788" ht="16.5" customHeight="1" spans="5:6">
      <c r="E1788" s="58">
        <v>43690</v>
      </c>
      <c r="F1788" s="59">
        <v>8016.36</v>
      </c>
    </row>
    <row r="1789" ht="16.5" customHeight="1" spans="5:6">
      <c r="E1789" s="58">
        <v>43689</v>
      </c>
      <c r="F1789" s="59">
        <v>7863.41</v>
      </c>
    </row>
    <row r="1790" ht="16.5" customHeight="1" spans="5:6">
      <c r="E1790" s="58">
        <v>43686</v>
      </c>
      <c r="F1790" s="59">
        <v>7959.14</v>
      </c>
    </row>
    <row r="1791" ht="16.5" customHeight="1" spans="5:6">
      <c r="E1791" s="58">
        <v>43685</v>
      </c>
      <c r="F1791" s="59">
        <v>8039.16</v>
      </c>
    </row>
    <row r="1792" ht="16.5" customHeight="1" spans="5:6">
      <c r="E1792" s="58">
        <v>43684</v>
      </c>
      <c r="F1792" s="59">
        <v>7862.83</v>
      </c>
    </row>
    <row r="1793" ht="16.5" customHeight="1" spans="5:6">
      <c r="E1793" s="58">
        <v>43683</v>
      </c>
      <c r="F1793" s="59">
        <v>7833.27</v>
      </c>
    </row>
    <row r="1794" ht="16.5" customHeight="1" spans="5:6">
      <c r="E1794" s="58">
        <v>43682</v>
      </c>
      <c r="F1794" s="59">
        <v>7726.04</v>
      </c>
    </row>
    <row r="1795" ht="16.5" customHeight="1" spans="5:6">
      <c r="E1795" s="58">
        <v>43679</v>
      </c>
      <c r="F1795" s="59">
        <v>8004.07</v>
      </c>
    </row>
    <row r="1796" ht="16.5" customHeight="1" spans="5:6">
      <c r="E1796" s="58">
        <v>43678</v>
      </c>
      <c r="F1796" s="59">
        <v>8111.12</v>
      </c>
    </row>
    <row r="1797" ht="16.5" customHeight="1" spans="5:6">
      <c r="E1797" s="58">
        <v>43677</v>
      </c>
      <c r="F1797" s="59">
        <v>8175.42</v>
      </c>
    </row>
    <row r="1798" ht="16.5" customHeight="1" spans="5:6">
      <c r="E1798" s="58">
        <v>43676</v>
      </c>
      <c r="F1798" s="59">
        <v>8273.61</v>
      </c>
    </row>
    <row r="1799" ht="16.5" customHeight="1" spans="5:6">
      <c r="E1799" s="58">
        <v>43675</v>
      </c>
      <c r="F1799" s="59">
        <v>8293.33</v>
      </c>
    </row>
    <row r="1800" ht="16.5" customHeight="1" spans="5:6">
      <c r="E1800" s="58">
        <v>43672</v>
      </c>
      <c r="F1800" s="59">
        <v>8330.21</v>
      </c>
    </row>
    <row r="1801" ht="16.5" customHeight="1" spans="5:6">
      <c r="E1801" s="58">
        <v>43671</v>
      </c>
      <c r="F1801" s="59">
        <v>8238.54</v>
      </c>
    </row>
    <row r="1802" ht="16.5" customHeight="1" spans="5:6">
      <c r="E1802" s="58">
        <v>43670</v>
      </c>
      <c r="F1802" s="59">
        <v>8321.5</v>
      </c>
    </row>
    <row r="1803" ht="16.5" customHeight="1" spans="5:6">
      <c r="E1803" s="58">
        <v>43669</v>
      </c>
      <c r="F1803" s="59">
        <v>8251.4</v>
      </c>
    </row>
    <row r="1804" ht="16.5" customHeight="1" spans="5:6">
      <c r="E1804" s="58">
        <v>43668</v>
      </c>
      <c r="F1804" s="59">
        <v>8204.14</v>
      </c>
    </row>
    <row r="1805" ht="16.5" customHeight="1" spans="5:6">
      <c r="E1805" s="58">
        <v>43665</v>
      </c>
      <c r="F1805" s="59">
        <v>8146.49</v>
      </c>
    </row>
    <row r="1806" ht="16.5" customHeight="1" spans="5:6">
      <c r="E1806" s="58">
        <v>43664</v>
      </c>
      <c r="F1806" s="59">
        <v>8207.24</v>
      </c>
    </row>
    <row r="1807" ht="16.5" customHeight="1" spans="5:6">
      <c r="E1807" s="58">
        <v>43663</v>
      </c>
      <c r="F1807" s="59">
        <v>8185.21</v>
      </c>
    </row>
    <row r="1808" ht="16.5" customHeight="1" spans="5:6">
      <c r="E1808" s="58">
        <v>43662</v>
      </c>
      <c r="F1808" s="59">
        <v>8222.8</v>
      </c>
    </row>
    <row r="1809" ht="16.5" customHeight="1" spans="5:6">
      <c r="E1809" s="58">
        <v>43661</v>
      </c>
      <c r="F1809" s="59">
        <v>8258.19</v>
      </c>
    </row>
    <row r="1810" ht="16.5" customHeight="1" spans="5:6">
      <c r="E1810" s="58">
        <v>43658</v>
      </c>
      <c r="F1810" s="59">
        <v>8244.14</v>
      </c>
    </row>
    <row r="1811" ht="16.5" customHeight="1" spans="5:6">
      <c r="E1811" s="58">
        <v>43657</v>
      </c>
      <c r="F1811" s="59">
        <v>8196.04</v>
      </c>
    </row>
    <row r="1812" ht="16.5" customHeight="1" spans="5:6">
      <c r="E1812" s="58">
        <v>43656</v>
      </c>
      <c r="F1812" s="59">
        <v>8202.53</v>
      </c>
    </row>
    <row r="1813" ht="16.5" customHeight="1" spans="5:6">
      <c r="E1813" s="58">
        <v>43655</v>
      </c>
      <c r="F1813" s="59">
        <v>8141.73</v>
      </c>
    </row>
    <row r="1814" ht="16.5" customHeight="1" spans="5:6">
      <c r="E1814" s="58">
        <v>43654</v>
      </c>
      <c r="F1814" s="59">
        <v>8098.38</v>
      </c>
    </row>
    <row r="1815" ht="16.5" customHeight="1" spans="5:6">
      <c r="E1815" s="58">
        <v>43651</v>
      </c>
      <c r="F1815" s="59">
        <v>8161.79</v>
      </c>
    </row>
    <row r="1816" ht="16.5" customHeight="1" spans="5:6">
      <c r="E1816" s="58">
        <v>43649</v>
      </c>
      <c r="F1816" s="59">
        <v>8170.23</v>
      </c>
    </row>
    <row r="1817" ht="16.5" customHeight="1" spans="5:6">
      <c r="E1817" s="58">
        <v>43648</v>
      </c>
      <c r="F1817" s="59">
        <v>8109.09</v>
      </c>
    </row>
    <row r="1818" ht="16.5" customHeight="1" spans="5:6">
      <c r="E1818" s="58">
        <v>43647</v>
      </c>
      <c r="F1818" s="59">
        <v>8091.16</v>
      </c>
    </row>
    <row r="1819" ht="16.5" customHeight="1" spans="5:6">
      <c r="E1819" s="58">
        <v>43644</v>
      </c>
      <c r="F1819" s="59">
        <v>8006.24</v>
      </c>
    </row>
    <row r="1820" ht="16.5" customHeight="1" spans="5:6">
      <c r="E1820" s="58">
        <v>43643</v>
      </c>
      <c r="F1820" s="59">
        <v>7967.76</v>
      </c>
    </row>
    <row r="1821" ht="16.5" customHeight="1" spans="5:6">
      <c r="E1821" s="58">
        <v>43642</v>
      </c>
      <c r="F1821" s="59">
        <v>7909.97</v>
      </c>
    </row>
    <row r="1822" ht="16.5" customHeight="1" spans="5:6">
      <c r="E1822" s="58">
        <v>43641</v>
      </c>
      <c r="F1822" s="59">
        <v>7884.72</v>
      </c>
    </row>
    <row r="1823" ht="16.5" customHeight="1" spans="5:6">
      <c r="E1823" s="58">
        <v>43640</v>
      </c>
      <c r="F1823" s="59">
        <v>8005.7</v>
      </c>
    </row>
    <row r="1824" ht="16.5" customHeight="1" spans="5:6">
      <c r="E1824" s="58">
        <v>43637</v>
      </c>
      <c r="F1824" s="59">
        <v>8031.71</v>
      </c>
    </row>
    <row r="1825" ht="16.5" customHeight="1" spans="5:6">
      <c r="E1825" s="58">
        <v>43636</v>
      </c>
      <c r="F1825" s="59">
        <v>8051.34</v>
      </c>
    </row>
    <row r="1826" ht="16.5" customHeight="1" spans="5:6">
      <c r="E1826" s="58">
        <v>43635</v>
      </c>
      <c r="F1826" s="59">
        <v>7987.32</v>
      </c>
    </row>
    <row r="1827" ht="16.5" customHeight="1" spans="5:6">
      <c r="E1827" s="58">
        <v>43634</v>
      </c>
      <c r="F1827" s="59">
        <v>7953.88</v>
      </c>
    </row>
    <row r="1828" ht="16.5" customHeight="1" spans="5:6">
      <c r="E1828" s="58">
        <v>43633</v>
      </c>
      <c r="F1828" s="59">
        <v>7845.02</v>
      </c>
    </row>
    <row r="1829" ht="16.5" customHeight="1" spans="5:6">
      <c r="E1829" s="58">
        <v>43630</v>
      </c>
      <c r="F1829" s="59">
        <v>7796.66</v>
      </c>
    </row>
    <row r="1830" ht="16.5" customHeight="1" spans="5:6">
      <c r="E1830" s="58">
        <v>43629</v>
      </c>
      <c r="F1830" s="59">
        <v>7837.13</v>
      </c>
    </row>
    <row r="1831" ht="16.5" customHeight="1" spans="5:6">
      <c r="E1831" s="58">
        <v>43628</v>
      </c>
      <c r="F1831" s="59">
        <v>7792.72</v>
      </c>
    </row>
    <row r="1832" ht="16.5" customHeight="1" spans="5:6">
      <c r="E1832" s="58">
        <v>43627</v>
      </c>
      <c r="F1832" s="59">
        <v>7822.57</v>
      </c>
    </row>
    <row r="1833" ht="16.5" customHeight="1" spans="5:6">
      <c r="E1833" s="58">
        <v>43626</v>
      </c>
      <c r="F1833" s="59">
        <v>7823.17</v>
      </c>
    </row>
    <row r="1834" ht="16.5" customHeight="1" spans="5:6">
      <c r="E1834" s="58">
        <v>43623</v>
      </c>
      <c r="F1834" s="59">
        <v>7742.1</v>
      </c>
    </row>
    <row r="1835" ht="16.5" customHeight="1" spans="5:6">
      <c r="E1835" s="58">
        <v>43622</v>
      </c>
      <c r="F1835" s="59">
        <v>7615.55</v>
      </c>
    </row>
    <row r="1836" ht="16.5" customHeight="1" spans="5:6">
      <c r="E1836" s="58">
        <v>43621</v>
      </c>
      <c r="F1836" s="59">
        <v>7575.48</v>
      </c>
    </row>
    <row r="1837" ht="16.5" customHeight="1" spans="5:6">
      <c r="E1837" s="58">
        <v>43620</v>
      </c>
      <c r="F1837" s="59">
        <v>7527.12</v>
      </c>
    </row>
    <row r="1838" ht="16.5" customHeight="1" spans="5:6">
      <c r="E1838" s="58">
        <v>43619</v>
      </c>
      <c r="F1838" s="59">
        <v>7333.02</v>
      </c>
    </row>
    <row r="1839" ht="16.5" customHeight="1" spans="5:6">
      <c r="E1839" s="58">
        <v>43616</v>
      </c>
      <c r="F1839" s="59">
        <v>7453.15</v>
      </c>
    </row>
    <row r="1840" ht="16.5" customHeight="1" spans="5:6">
      <c r="E1840" s="58">
        <v>43615</v>
      </c>
      <c r="F1840" s="59">
        <v>7567.72</v>
      </c>
    </row>
    <row r="1841" ht="16.5" customHeight="1" spans="5:6">
      <c r="E1841" s="58">
        <v>43614</v>
      </c>
      <c r="F1841" s="59">
        <v>7547.31</v>
      </c>
    </row>
    <row r="1842" ht="16.5" customHeight="1" spans="5:6">
      <c r="E1842" s="58">
        <v>43613</v>
      </c>
      <c r="F1842" s="59">
        <v>7607.35</v>
      </c>
    </row>
    <row r="1843" ht="16.5" customHeight="1" spans="5:6">
      <c r="E1843" s="58">
        <v>43609</v>
      </c>
      <c r="F1843" s="59">
        <v>7637.01</v>
      </c>
    </row>
    <row r="1844" ht="16.5" customHeight="1" spans="5:6">
      <c r="E1844" s="58">
        <v>43608</v>
      </c>
      <c r="F1844" s="59">
        <v>7628.28</v>
      </c>
    </row>
    <row r="1845" ht="16.5" customHeight="1" spans="5:6">
      <c r="E1845" s="58">
        <v>43607</v>
      </c>
      <c r="F1845" s="59">
        <v>7750.84</v>
      </c>
    </row>
    <row r="1846" ht="16.5" customHeight="1" spans="5:6">
      <c r="E1846" s="58">
        <v>43606</v>
      </c>
      <c r="F1846" s="59">
        <v>7785.72</v>
      </c>
    </row>
    <row r="1847" ht="16.5" customHeight="1" spans="5:6">
      <c r="E1847" s="58">
        <v>43605</v>
      </c>
      <c r="F1847" s="59">
        <v>7702.38</v>
      </c>
    </row>
    <row r="1848" ht="16.5" customHeight="1" spans="5:6">
      <c r="E1848" s="58">
        <v>43602</v>
      </c>
      <c r="F1848" s="59">
        <v>7816.28</v>
      </c>
    </row>
    <row r="1849" ht="16.5" customHeight="1" spans="5:6">
      <c r="E1849" s="58">
        <v>43601</v>
      </c>
      <c r="F1849" s="59">
        <v>7898.05</v>
      </c>
    </row>
    <row r="1850" ht="16.5" customHeight="1" spans="5:6">
      <c r="E1850" s="58">
        <v>43600</v>
      </c>
      <c r="F1850" s="59">
        <v>7822.15</v>
      </c>
    </row>
    <row r="1851" ht="16.5" customHeight="1" spans="5:6">
      <c r="E1851" s="58">
        <v>43599</v>
      </c>
      <c r="F1851" s="59">
        <v>7734.49</v>
      </c>
    </row>
    <row r="1852" ht="16.5" customHeight="1" spans="5:6">
      <c r="E1852" s="58">
        <v>43598</v>
      </c>
      <c r="F1852" s="59">
        <v>7647.02</v>
      </c>
    </row>
    <row r="1853" ht="16.5" customHeight="1" spans="5:6">
      <c r="E1853" s="58">
        <v>43595</v>
      </c>
      <c r="F1853" s="59">
        <v>7916.94</v>
      </c>
    </row>
    <row r="1854" ht="16.5" customHeight="1" spans="5:6">
      <c r="E1854" s="58">
        <v>43594</v>
      </c>
      <c r="F1854" s="59">
        <v>7910.59</v>
      </c>
    </row>
    <row r="1855" ht="16.5" customHeight="1" spans="5:6">
      <c r="E1855" s="58">
        <v>43593</v>
      </c>
      <c r="F1855" s="59">
        <v>7943.32</v>
      </c>
    </row>
    <row r="1856" ht="16.5" customHeight="1" spans="5:6">
      <c r="E1856" s="58">
        <v>43592</v>
      </c>
      <c r="F1856" s="59">
        <v>7963.76</v>
      </c>
    </row>
    <row r="1857" ht="16.5" customHeight="1" spans="5:6">
      <c r="E1857" s="58">
        <v>43591</v>
      </c>
      <c r="F1857" s="59">
        <v>8123.29</v>
      </c>
    </row>
    <row r="1858" ht="16.5" customHeight="1" spans="5:6">
      <c r="E1858" s="58">
        <v>43588</v>
      </c>
      <c r="F1858" s="59">
        <v>8164</v>
      </c>
    </row>
    <row r="1859" ht="16.5" customHeight="1" spans="5:6">
      <c r="E1859" s="58">
        <v>43587</v>
      </c>
      <c r="F1859" s="59">
        <v>8036.77</v>
      </c>
    </row>
    <row r="1860" ht="16.5" customHeight="1" spans="5:6">
      <c r="E1860" s="58">
        <v>43586</v>
      </c>
      <c r="F1860" s="59">
        <v>8049.64</v>
      </c>
    </row>
    <row r="1861" ht="16.5" customHeight="1" spans="5:6">
      <c r="E1861" s="58">
        <v>43585</v>
      </c>
      <c r="F1861" s="59">
        <v>8095.39</v>
      </c>
    </row>
    <row r="1862" ht="16.5" customHeight="1" spans="5:6">
      <c r="E1862" s="58">
        <v>43584</v>
      </c>
      <c r="F1862" s="59">
        <v>8161.85</v>
      </c>
    </row>
    <row r="1863" ht="16.5" customHeight="1" spans="5:6">
      <c r="E1863" s="58">
        <v>43581</v>
      </c>
      <c r="F1863" s="59">
        <v>8146.4</v>
      </c>
    </row>
    <row r="1864" ht="16.5" customHeight="1" spans="5:6">
      <c r="E1864" s="58">
        <v>43580</v>
      </c>
      <c r="F1864" s="59">
        <v>8118.68</v>
      </c>
    </row>
    <row r="1865" ht="16.5" customHeight="1" spans="5:6">
      <c r="E1865" s="58">
        <v>43579</v>
      </c>
      <c r="F1865" s="59">
        <v>8102.01</v>
      </c>
    </row>
    <row r="1866" ht="16.5" customHeight="1" spans="5:6">
      <c r="E1866" s="58">
        <v>43578</v>
      </c>
      <c r="F1866" s="59">
        <v>8120.82</v>
      </c>
    </row>
    <row r="1867" ht="16.5" customHeight="1" spans="5:6">
      <c r="E1867" s="58">
        <v>43577</v>
      </c>
      <c r="F1867" s="59">
        <v>8015.27</v>
      </c>
    </row>
    <row r="1868" ht="16.5" customHeight="1" spans="5:6">
      <c r="E1868" s="58">
        <v>43573</v>
      </c>
      <c r="F1868" s="59">
        <v>7998.06</v>
      </c>
    </row>
    <row r="1869" ht="16.5" customHeight="1" spans="5:6">
      <c r="E1869" s="58">
        <v>43572</v>
      </c>
      <c r="F1869" s="59">
        <v>7996.08</v>
      </c>
    </row>
    <row r="1870" ht="16.5" customHeight="1" spans="5:6">
      <c r="E1870" s="58">
        <v>43571</v>
      </c>
      <c r="F1870" s="59">
        <v>8000.23</v>
      </c>
    </row>
    <row r="1871" ht="16.5" customHeight="1" spans="5:6">
      <c r="E1871" s="58">
        <v>43570</v>
      </c>
      <c r="F1871" s="59">
        <v>7976.01</v>
      </c>
    </row>
    <row r="1872" ht="16.5" customHeight="1" spans="5:6">
      <c r="E1872" s="58">
        <v>43567</v>
      </c>
      <c r="F1872" s="59">
        <v>7984.16</v>
      </c>
    </row>
    <row r="1873" ht="16.5" customHeight="1" spans="5:6">
      <c r="E1873" s="58">
        <v>43566</v>
      </c>
      <c r="F1873" s="59">
        <v>7947.36</v>
      </c>
    </row>
    <row r="1874" ht="16.5" customHeight="1" spans="5:6">
      <c r="E1874" s="58">
        <v>43565</v>
      </c>
      <c r="F1874" s="59">
        <v>7964.24</v>
      </c>
    </row>
    <row r="1875" ht="16.5" customHeight="1" spans="5:6">
      <c r="E1875" s="58">
        <v>43564</v>
      </c>
      <c r="F1875" s="59">
        <v>7909.28</v>
      </c>
    </row>
    <row r="1876" ht="16.5" customHeight="1" spans="5:6">
      <c r="E1876" s="58">
        <v>43563</v>
      </c>
      <c r="F1876" s="59">
        <v>7953.88</v>
      </c>
    </row>
    <row r="1877" ht="16.5" customHeight="1" spans="5:6">
      <c r="E1877" s="58">
        <v>43560</v>
      </c>
      <c r="F1877" s="59">
        <v>7938.69</v>
      </c>
    </row>
    <row r="1878" ht="16.5" customHeight="1" spans="5:6">
      <c r="E1878" s="58">
        <v>43559</v>
      </c>
      <c r="F1878" s="59">
        <v>7891.78</v>
      </c>
    </row>
    <row r="1879" ht="16.5" customHeight="1" spans="5:6">
      <c r="E1879" s="58">
        <v>43558</v>
      </c>
      <c r="F1879" s="59">
        <v>7895.55</v>
      </c>
    </row>
    <row r="1880" ht="16.5" customHeight="1" spans="5:6">
      <c r="E1880" s="58">
        <v>43557</v>
      </c>
      <c r="F1880" s="59">
        <v>7848.69</v>
      </c>
    </row>
    <row r="1881" ht="16.5" customHeight="1" spans="5:6">
      <c r="E1881" s="58">
        <v>43556</v>
      </c>
      <c r="F1881" s="59">
        <v>7828.91</v>
      </c>
    </row>
    <row r="1882" ht="16.5" customHeight="1" spans="5:6">
      <c r="E1882" s="58">
        <v>43553</v>
      </c>
      <c r="F1882" s="59">
        <v>7729.32</v>
      </c>
    </row>
    <row r="1883" ht="16.5" customHeight="1" spans="5:6">
      <c r="E1883" s="58">
        <v>43552</v>
      </c>
      <c r="F1883" s="59">
        <v>7669.17</v>
      </c>
    </row>
    <row r="1884" ht="16.5" customHeight="1" spans="5:6">
      <c r="E1884" s="58">
        <v>43551</v>
      </c>
      <c r="F1884" s="59">
        <v>7643.38</v>
      </c>
    </row>
    <row r="1885" ht="16.5" customHeight="1" spans="5:6">
      <c r="E1885" s="58">
        <v>43550</v>
      </c>
      <c r="F1885" s="59">
        <v>7691.52</v>
      </c>
    </row>
    <row r="1886" ht="16.5" customHeight="1" spans="5:6">
      <c r="E1886" s="58">
        <v>43549</v>
      </c>
      <c r="F1886" s="59">
        <v>7637.54</v>
      </c>
    </row>
    <row r="1887" ht="16.5" customHeight="1" spans="5:6">
      <c r="E1887" s="58">
        <v>43546</v>
      </c>
      <c r="F1887" s="59">
        <v>7642.67</v>
      </c>
    </row>
    <row r="1888" ht="16.5" customHeight="1" spans="5:6">
      <c r="E1888" s="58">
        <v>43545</v>
      </c>
      <c r="F1888" s="59">
        <v>7838.96</v>
      </c>
    </row>
    <row r="1889" ht="16.5" customHeight="1" spans="5:6">
      <c r="E1889" s="58">
        <v>43544</v>
      </c>
      <c r="F1889" s="59">
        <v>7728.97</v>
      </c>
    </row>
    <row r="1890" ht="16.5" customHeight="1" spans="5:6">
      <c r="E1890" s="58">
        <v>43543</v>
      </c>
      <c r="F1890" s="59">
        <v>7723.95</v>
      </c>
    </row>
    <row r="1891" ht="16.5" customHeight="1" spans="5:6">
      <c r="E1891" s="58">
        <v>43542</v>
      </c>
      <c r="F1891" s="59">
        <v>7714.48</v>
      </c>
    </row>
    <row r="1892" ht="16.5" customHeight="1" spans="5:6">
      <c r="E1892" s="58">
        <v>43539</v>
      </c>
      <c r="F1892" s="59">
        <v>7688.53</v>
      </c>
    </row>
    <row r="1893" ht="16.5" customHeight="1" spans="5:6">
      <c r="E1893" s="58">
        <v>43538</v>
      </c>
      <c r="F1893" s="59">
        <v>7630.91</v>
      </c>
    </row>
    <row r="1894" ht="16.5" customHeight="1" spans="5:6">
      <c r="E1894" s="58">
        <v>43537</v>
      </c>
      <c r="F1894" s="59">
        <v>7643.41</v>
      </c>
    </row>
    <row r="1895" ht="16.5" customHeight="1" spans="5:6">
      <c r="E1895" s="58">
        <v>43536</v>
      </c>
      <c r="F1895" s="59">
        <v>7591.03</v>
      </c>
    </row>
    <row r="1896" ht="16.5" customHeight="1" spans="5:6">
      <c r="E1896" s="58">
        <v>43535</v>
      </c>
      <c r="F1896" s="59">
        <v>7558.06</v>
      </c>
    </row>
    <row r="1897" ht="16.5" customHeight="1" spans="5:6">
      <c r="E1897" s="58">
        <v>43532</v>
      </c>
      <c r="F1897" s="59">
        <v>7408.14</v>
      </c>
    </row>
    <row r="1898" ht="16.5" customHeight="1" spans="5:6">
      <c r="E1898" s="58">
        <v>43531</v>
      </c>
      <c r="F1898" s="59">
        <v>7421.46</v>
      </c>
    </row>
    <row r="1899" ht="16.5" customHeight="1" spans="5:6">
      <c r="E1899" s="58">
        <v>43530</v>
      </c>
      <c r="F1899" s="59">
        <v>7505.92</v>
      </c>
    </row>
    <row r="1900" ht="16.5" customHeight="1" spans="5:6">
      <c r="E1900" s="58">
        <v>43529</v>
      </c>
      <c r="F1900" s="59">
        <v>7576.36</v>
      </c>
    </row>
    <row r="1901" ht="16.5" customHeight="1" spans="5:6">
      <c r="E1901" s="58">
        <v>43528</v>
      </c>
      <c r="F1901" s="59">
        <v>7577.57</v>
      </c>
    </row>
    <row r="1902" ht="16.5" customHeight="1" spans="5:6">
      <c r="E1902" s="58">
        <v>43525</v>
      </c>
      <c r="F1902" s="59">
        <v>7595.35</v>
      </c>
    </row>
    <row r="1903" ht="16.5" customHeight="1" spans="5:6">
      <c r="E1903" s="58">
        <v>43524</v>
      </c>
      <c r="F1903" s="59">
        <v>7532.53</v>
      </c>
    </row>
    <row r="1904" ht="16.5" customHeight="1" spans="5:6">
      <c r="E1904" s="58">
        <v>43523</v>
      </c>
      <c r="F1904" s="59">
        <v>7554.51</v>
      </c>
    </row>
    <row r="1905" ht="16.5" customHeight="1" spans="5:6">
      <c r="E1905" s="58">
        <v>43522</v>
      </c>
      <c r="F1905" s="59">
        <v>7549.3</v>
      </c>
    </row>
    <row r="1906" ht="16.5" customHeight="1" spans="5:6">
      <c r="E1906" s="58">
        <v>43521</v>
      </c>
      <c r="F1906" s="59">
        <v>7554.46</v>
      </c>
    </row>
    <row r="1907" ht="16.5" customHeight="1" spans="5:6">
      <c r="E1907" s="58">
        <v>43518</v>
      </c>
      <c r="F1907" s="59">
        <v>7527.54</v>
      </c>
    </row>
    <row r="1908" ht="16.5" customHeight="1" spans="5:6">
      <c r="E1908" s="58">
        <v>43517</v>
      </c>
      <c r="F1908" s="59">
        <v>7459.71</v>
      </c>
    </row>
    <row r="1909" ht="16.5" customHeight="1" spans="5:6">
      <c r="E1909" s="58">
        <v>43516</v>
      </c>
      <c r="F1909" s="59">
        <v>7489.07</v>
      </c>
    </row>
    <row r="1910" ht="16.5" customHeight="1" spans="5:6">
      <c r="E1910" s="58">
        <v>43515</v>
      </c>
      <c r="F1910" s="59">
        <v>7486.77</v>
      </c>
    </row>
    <row r="1911" ht="16.5" customHeight="1" spans="5:6">
      <c r="E1911" s="58">
        <v>43511</v>
      </c>
      <c r="F1911" s="59">
        <v>7472.41</v>
      </c>
    </row>
    <row r="1912" ht="16.5" customHeight="1" spans="5:6">
      <c r="E1912" s="58">
        <v>43510</v>
      </c>
      <c r="F1912" s="59">
        <v>7426.95</v>
      </c>
    </row>
    <row r="1913" ht="16.5" customHeight="1" spans="5:6">
      <c r="E1913" s="58">
        <v>43509</v>
      </c>
      <c r="F1913" s="59">
        <v>7420.38</v>
      </c>
    </row>
    <row r="1914" ht="16.5" customHeight="1" spans="5:6">
      <c r="E1914" s="58">
        <v>43508</v>
      </c>
      <c r="F1914" s="59">
        <v>7414.62</v>
      </c>
    </row>
    <row r="1915" ht="16.5" customHeight="1" spans="5:6">
      <c r="E1915" s="58">
        <v>43507</v>
      </c>
      <c r="F1915" s="59">
        <v>7307.9</v>
      </c>
    </row>
    <row r="1916" ht="16.5" customHeight="1" spans="5:6">
      <c r="E1916" s="58">
        <v>43504</v>
      </c>
      <c r="F1916" s="59">
        <v>7298.2</v>
      </c>
    </row>
    <row r="1917" ht="16.5" customHeight="1" spans="5:6">
      <c r="E1917" s="58">
        <v>43503</v>
      </c>
      <c r="F1917" s="59">
        <v>7288.35</v>
      </c>
    </row>
    <row r="1918" ht="16.5" customHeight="1" spans="5:6">
      <c r="E1918" s="58">
        <v>43502</v>
      </c>
      <c r="F1918" s="59">
        <v>7375.28</v>
      </c>
    </row>
    <row r="1919" ht="16.5" customHeight="1" spans="5:6">
      <c r="E1919" s="58">
        <v>43501</v>
      </c>
      <c r="F1919" s="59">
        <v>7402.08</v>
      </c>
    </row>
    <row r="1920" ht="16.5" customHeight="1" spans="5:6">
      <c r="E1920" s="58">
        <v>43500</v>
      </c>
      <c r="F1920" s="59">
        <v>7347.54</v>
      </c>
    </row>
    <row r="1921" ht="16.5" customHeight="1" spans="5:6">
      <c r="E1921" s="58">
        <v>43497</v>
      </c>
      <c r="F1921" s="59">
        <v>7263.87</v>
      </c>
    </row>
    <row r="1922" ht="16.5" customHeight="1" spans="5:6">
      <c r="E1922" s="58">
        <v>43496</v>
      </c>
      <c r="F1922" s="59">
        <v>7281.74</v>
      </c>
    </row>
    <row r="1923" ht="16.5" customHeight="1" spans="5:6">
      <c r="E1923" s="58">
        <v>43495</v>
      </c>
      <c r="F1923" s="59">
        <v>7183.08</v>
      </c>
    </row>
    <row r="1924" ht="16.5" customHeight="1" spans="5:6">
      <c r="E1924" s="58">
        <v>43494</v>
      </c>
      <c r="F1924" s="59">
        <v>7028.29</v>
      </c>
    </row>
    <row r="1925" ht="16.5" customHeight="1" spans="5:6">
      <c r="E1925" s="58">
        <v>43493</v>
      </c>
      <c r="F1925" s="59">
        <v>7085.68</v>
      </c>
    </row>
    <row r="1926" ht="16.5" customHeight="1" spans="5:6">
      <c r="E1926" s="58">
        <v>43490</v>
      </c>
      <c r="F1926" s="59">
        <v>7164.86</v>
      </c>
    </row>
    <row r="1927" ht="16.5" customHeight="1" spans="5:6">
      <c r="E1927" s="58">
        <v>43489</v>
      </c>
      <c r="F1927" s="59">
        <v>7073.46</v>
      </c>
    </row>
    <row r="1928" ht="16.5" customHeight="1" spans="5:6">
      <c r="E1928" s="58">
        <v>43488</v>
      </c>
      <c r="F1928" s="59">
        <v>7025.77</v>
      </c>
    </row>
    <row r="1929" ht="16.5" customHeight="1" spans="5:6">
      <c r="E1929" s="58">
        <v>43487</v>
      </c>
      <c r="F1929" s="59">
        <v>7020.36</v>
      </c>
    </row>
    <row r="1930" ht="16.5" customHeight="1" spans="5:6">
      <c r="E1930" s="58">
        <v>43483</v>
      </c>
      <c r="F1930" s="59">
        <v>7157.23</v>
      </c>
    </row>
    <row r="1931" ht="16.5" customHeight="1" spans="5:6">
      <c r="E1931" s="58">
        <v>43482</v>
      </c>
      <c r="F1931" s="59">
        <v>7084.46</v>
      </c>
    </row>
    <row r="1932" ht="16.5" customHeight="1" spans="5:6">
      <c r="E1932" s="58">
        <v>43481</v>
      </c>
      <c r="F1932" s="59">
        <v>7034.69</v>
      </c>
    </row>
    <row r="1933" ht="16.5" customHeight="1" spans="5:6">
      <c r="E1933" s="58">
        <v>43480</v>
      </c>
      <c r="F1933" s="59">
        <v>7023.83</v>
      </c>
    </row>
    <row r="1934" ht="16.5" customHeight="1" spans="5:6">
      <c r="E1934" s="58">
        <v>43479</v>
      </c>
      <c r="F1934" s="59">
        <v>6905.92</v>
      </c>
    </row>
    <row r="1935" ht="16.5" customHeight="1" spans="5:6">
      <c r="E1935" s="58">
        <v>43476</v>
      </c>
      <c r="F1935" s="59">
        <v>6971.48</v>
      </c>
    </row>
    <row r="1936" ht="16.5" customHeight="1" spans="5:6">
      <c r="E1936" s="58">
        <v>43475</v>
      </c>
      <c r="F1936" s="59">
        <v>6986.07</v>
      </c>
    </row>
    <row r="1937" ht="16.5" customHeight="1" spans="5:6">
      <c r="E1937" s="58">
        <v>43474</v>
      </c>
      <c r="F1937" s="59">
        <v>6957.08</v>
      </c>
    </row>
    <row r="1938" ht="16.5" customHeight="1" spans="5:6">
      <c r="E1938" s="58">
        <v>43473</v>
      </c>
      <c r="F1938" s="59">
        <v>6897</v>
      </c>
    </row>
    <row r="1939" ht="16.5" customHeight="1" spans="5:6">
      <c r="E1939" s="58">
        <v>43472</v>
      </c>
      <c r="F1939" s="59">
        <v>6823.47</v>
      </c>
    </row>
    <row r="1940" ht="16.5" customHeight="1" spans="5:6">
      <c r="E1940" s="58">
        <v>43469</v>
      </c>
      <c r="F1940" s="59">
        <v>6738.86</v>
      </c>
    </row>
    <row r="1941" ht="16.5" customHeight="1" spans="5:6">
      <c r="E1941" s="58">
        <v>43468</v>
      </c>
      <c r="F1941" s="59">
        <v>6463.5</v>
      </c>
    </row>
    <row r="1942" ht="16.5" customHeight="1" spans="5:6">
      <c r="E1942" s="58">
        <v>43467</v>
      </c>
      <c r="F1942" s="59">
        <v>6665.94</v>
      </c>
    </row>
    <row r="1943" ht="16.5" customHeight="1" spans="5:6">
      <c r="E1943" s="58">
        <v>43465</v>
      </c>
      <c r="F1943" s="59">
        <v>6635.28</v>
      </c>
    </row>
    <row r="1944" ht="16.5" customHeight="1" spans="5:6">
      <c r="E1944" s="58">
        <v>43462</v>
      </c>
      <c r="F1944" s="59">
        <v>6584.52</v>
      </c>
    </row>
    <row r="1945" ht="16.5" customHeight="1" spans="5:6">
      <c r="E1945" s="58">
        <v>43461</v>
      </c>
      <c r="F1945" s="59">
        <v>6579.49</v>
      </c>
    </row>
    <row r="1946" ht="16.5" customHeight="1" spans="5:6">
      <c r="E1946" s="58">
        <v>43460</v>
      </c>
      <c r="F1946" s="59">
        <v>6554.36</v>
      </c>
    </row>
    <row r="1947" ht="16.5" customHeight="1" spans="5:6">
      <c r="E1947" s="58">
        <v>43458</v>
      </c>
      <c r="F1947" s="59">
        <v>6192.92</v>
      </c>
    </row>
    <row r="1948" ht="16.5" customHeight="1" spans="5:6">
      <c r="E1948" s="58">
        <v>43455</v>
      </c>
      <c r="F1948" s="59">
        <v>6332.99</v>
      </c>
    </row>
    <row r="1949" ht="16.5" customHeight="1" spans="5:6">
      <c r="E1949" s="58">
        <v>43454</v>
      </c>
      <c r="F1949" s="59">
        <v>6528.41</v>
      </c>
    </row>
    <row r="1950" ht="16.5" customHeight="1" spans="5:6">
      <c r="E1950" s="58">
        <v>43453</v>
      </c>
      <c r="F1950" s="59">
        <v>6636.83</v>
      </c>
    </row>
    <row r="1951" ht="16.5" customHeight="1" spans="5:6">
      <c r="E1951" s="58">
        <v>43452</v>
      </c>
      <c r="F1951" s="59">
        <v>6783.91</v>
      </c>
    </row>
    <row r="1952" ht="16.5" customHeight="1" spans="5:6">
      <c r="E1952" s="58">
        <v>43451</v>
      </c>
      <c r="F1952" s="59">
        <v>6753.73</v>
      </c>
    </row>
    <row r="1953" ht="16.5" customHeight="1" spans="5:6">
      <c r="E1953" s="58">
        <v>43448</v>
      </c>
      <c r="F1953" s="59">
        <v>6910.66</v>
      </c>
    </row>
    <row r="1954" ht="16.5" customHeight="1" spans="5:6">
      <c r="E1954" s="58">
        <v>43447</v>
      </c>
      <c r="F1954" s="59">
        <v>7070.33</v>
      </c>
    </row>
    <row r="1955" ht="16.5" customHeight="1" spans="5:6">
      <c r="E1955" s="58">
        <v>43446</v>
      </c>
      <c r="F1955" s="59">
        <v>7098.31</v>
      </c>
    </row>
    <row r="1956" ht="16.5" customHeight="1" spans="5:6">
      <c r="E1956" s="58">
        <v>43445</v>
      </c>
      <c r="F1956" s="59">
        <v>7031.83</v>
      </c>
    </row>
    <row r="1957" ht="16.5" customHeight="1" spans="5:6">
      <c r="E1957" s="58">
        <v>43444</v>
      </c>
      <c r="F1957" s="59">
        <v>7020.52</v>
      </c>
    </row>
    <row r="1958" ht="16.5" customHeight="1" spans="5:6">
      <c r="E1958" s="58">
        <v>43441</v>
      </c>
      <c r="F1958" s="59">
        <v>6969.25</v>
      </c>
    </row>
    <row r="1959" ht="16.5" customHeight="1" spans="5:6">
      <c r="E1959" s="58">
        <v>43440</v>
      </c>
      <c r="F1959" s="59">
        <v>7188.26</v>
      </c>
    </row>
    <row r="1960" ht="16.5" customHeight="1" spans="5:6">
      <c r="E1960" s="58">
        <v>43438</v>
      </c>
      <c r="F1960" s="59">
        <v>7158.43</v>
      </c>
    </row>
    <row r="1961" ht="16.5" customHeight="1" spans="5:6">
      <c r="E1961" s="58">
        <v>43437</v>
      </c>
      <c r="F1961" s="59">
        <v>7441.51</v>
      </c>
    </row>
    <row r="1962" ht="16.5" customHeight="1" spans="5:6">
      <c r="E1962" s="58">
        <v>43434</v>
      </c>
      <c r="F1962" s="59">
        <v>7330.54</v>
      </c>
    </row>
    <row r="1963" ht="16.5" customHeight="1" spans="5:6">
      <c r="E1963" s="58">
        <v>43433</v>
      </c>
      <c r="F1963" s="59">
        <v>7273.08</v>
      </c>
    </row>
    <row r="1964" ht="16.5" customHeight="1" spans="5:6">
      <c r="E1964" s="58">
        <v>43432</v>
      </c>
      <c r="F1964" s="59">
        <v>7291.59</v>
      </c>
    </row>
    <row r="1965" ht="16.5" customHeight="1" spans="5:6">
      <c r="E1965" s="58">
        <v>43431</v>
      </c>
      <c r="F1965" s="59">
        <v>7082.7</v>
      </c>
    </row>
    <row r="1966" ht="16.5" customHeight="1" spans="5:6">
      <c r="E1966" s="58">
        <v>43430</v>
      </c>
      <c r="F1966" s="59">
        <v>7081.85</v>
      </c>
    </row>
    <row r="1967" ht="16.5" customHeight="1" spans="5:6">
      <c r="E1967" s="58">
        <v>43427</v>
      </c>
      <c r="F1967" s="59">
        <v>6938.98</v>
      </c>
    </row>
    <row r="1968" ht="16.5" customHeight="1" spans="5:6">
      <c r="E1968" s="58">
        <v>43425</v>
      </c>
      <c r="F1968" s="59">
        <v>6972.25</v>
      </c>
    </row>
    <row r="1969" ht="16.5" customHeight="1" spans="5:6">
      <c r="E1969" s="58">
        <v>43424</v>
      </c>
      <c r="F1969" s="59">
        <v>6908.82</v>
      </c>
    </row>
    <row r="1970" ht="16.5" customHeight="1" spans="5:6">
      <c r="E1970" s="58">
        <v>43423</v>
      </c>
      <c r="F1970" s="59">
        <v>7028.48</v>
      </c>
    </row>
    <row r="1971" ht="16.5" customHeight="1" spans="5:6">
      <c r="E1971" s="58">
        <v>43420</v>
      </c>
      <c r="F1971" s="59">
        <v>7247.87</v>
      </c>
    </row>
    <row r="1972" ht="16.5" customHeight="1" spans="5:6">
      <c r="E1972" s="58">
        <v>43419</v>
      </c>
      <c r="F1972" s="59">
        <v>7259.03</v>
      </c>
    </row>
    <row r="1973" ht="16.5" customHeight="1" spans="5:6">
      <c r="E1973" s="58">
        <v>43418</v>
      </c>
      <c r="F1973" s="59">
        <v>7136.39</v>
      </c>
    </row>
    <row r="1974" ht="16.5" customHeight="1" spans="5:6">
      <c r="E1974" s="58">
        <v>43417</v>
      </c>
      <c r="F1974" s="59">
        <v>7200.87</v>
      </c>
    </row>
    <row r="1975" ht="16.5" customHeight="1" spans="5:6">
      <c r="E1975" s="58">
        <v>43416</v>
      </c>
      <c r="F1975" s="59">
        <v>7200.87</v>
      </c>
    </row>
    <row r="1976" ht="16.5" customHeight="1" spans="5:6">
      <c r="E1976" s="58">
        <v>43413</v>
      </c>
      <c r="F1976" s="59">
        <v>7406.9</v>
      </c>
    </row>
    <row r="1977" ht="16.5" customHeight="1" spans="5:6">
      <c r="E1977" s="58">
        <v>43412</v>
      </c>
      <c r="F1977" s="59">
        <v>7530.88</v>
      </c>
    </row>
    <row r="1978" ht="16.5" customHeight="1" spans="5:6">
      <c r="E1978" s="58">
        <v>43411</v>
      </c>
      <c r="F1978" s="59">
        <v>7570.75</v>
      </c>
    </row>
    <row r="1979" ht="16.5" customHeight="1" spans="5:6">
      <c r="E1979" s="58">
        <v>43410</v>
      </c>
      <c r="F1979" s="59">
        <v>7375.96</v>
      </c>
    </row>
    <row r="1980" ht="16.5" customHeight="1" spans="5:6">
      <c r="E1980" s="58">
        <v>43409</v>
      </c>
      <c r="F1980" s="59">
        <v>7328.85</v>
      </c>
    </row>
    <row r="1981" ht="16.5" customHeight="1" spans="5:6">
      <c r="E1981" s="58">
        <v>43406</v>
      </c>
      <c r="F1981" s="59">
        <v>7356.99</v>
      </c>
    </row>
    <row r="1982" ht="16.5" customHeight="1" spans="5:6">
      <c r="E1982" s="58">
        <v>43405</v>
      </c>
      <c r="F1982" s="59">
        <v>7434.06</v>
      </c>
    </row>
    <row r="1983" ht="16.5" customHeight="1" spans="5:6">
      <c r="E1983" s="58">
        <v>43404</v>
      </c>
      <c r="F1983" s="59">
        <v>7305.9</v>
      </c>
    </row>
    <row r="1984" ht="16.5" customHeight="1" spans="5:6">
      <c r="E1984" s="58">
        <v>43403</v>
      </c>
      <c r="F1984" s="59">
        <v>7161.65</v>
      </c>
    </row>
    <row r="1985" ht="16.5" customHeight="1" spans="5:6">
      <c r="E1985" s="58">
        <v>43402</v>
      </c>
      <c r="F1985" s="59">
        <v>7050.29</v>
      </c>
    </row>
    <row r="1986" ht="16.5" customHeight="1" spans="5:6">
      <c r="E1986" s="58">
        <v>43399</v>
      </c>
      <c r="F1986" s="59">
        <v>7167.21</v>
      </c>
    </row>
    <row r="1987" ht="16.5" customHeight="1" spans="5:6">
      <c r="E1987" s="58">
        <v>43398</v>
      </c>
      <c r="F1987" s="59">
        <v>7318.34</v>
      </c>
    </row>
    <row r="1988" ht="16.5" customHeight="1" spans="5:6">
      <c r="E1988" s="58">
        <v>43397</v>
      </c>
      <c r="F1988" s="59">
        <v>7108.4</v>
      </c>
    </row>
    <row r="1989" ht="16.5" customHeight="1" spans="5:6">
      <c r="E1989" s="58">
        <v>43396</v>
      </c>
      <c r="F1989" s="59">
        <v>7437.54</v>
      </c>
    </row>
    <row r="1990" ht="16.5" customHeight="1" spans="5:6">
      <c r="E1990" s="58">
        <v>43395</v>
      </c>
      <c r="F1990" s="59">
        <v>7468.63</v>
      </c>
    </row>
    <row r="1991" ht="16.5" customHeight="1" spans="5:6">
      <c r="E1991" s="58">
        <v>43392</v>
      </c>
      <c r="F1991" s="59">
        <v>7449.03</v>
      </c>
    </row>
    <row r="1992" ht="16.5" customHeight="1" spans="5:6">
      <c r="E1992" s="58">
        <v>43391</v>
      </c>
      <c r="F1992" s="59">
        <v>7485.14</v>
      </c>
    </row>
    <row r="1993" ht="16.5" customHeight="1" spans="5:6">
      <c r="E1993" s="58">
        <v>43390</v>
      </c>
      <c r="F1993" s="59">
        <v>7642.7</v>
      </c>
    </row>
    <row r="1994" ht="16.5" customHeight="1" spans="5:6">
      <c r="E1994" s="58">
        <v>43389</v>
      </c>
      <c r="F1994" s="59">
        <v>7645.49</v>
      </c>
    </row>
    <row r="1995" ht="16.5" customHeight="1" spans="5:6">
      <c r="E1995" s="58">
        <v>43388</v>
      </c>
      <c r="F1995" s="59">
        <v>7430.74</v>
      </c>
    </row>
    <row r="1996" ht="16.5" customHeight="1" spans="5:6">
      <c r="E1996" s="58">
        <v>43385</v>
      </c>
      <c r="F1996" s="59">
        <v>7496.89</v>
      </c>
    </row>
    <row r="1997" ht="16.5" customHeight="1" spans="5:6">
      <c r="E1997" s="58">
        <v>43384</v>
      </c>
      <c r="F1997" s="59">
        <v>7329.06</v>
      </c>
    </row>
    <row r="1998" ht="16.5" customHeight="1" spans="5:6">
      <c r="E1998" s="58">
        <v>43383</v>
      </c>
      <c r="F1998" s="59">
        <v>7422.05</v>
      </c>
    </row>
    <row r="1999" ht="16.5" customHeight="1" spans="5:6">
      <c r="E1999" s="58">
        <v>43382</v>
      </c>
      <c r="F1999" s="59">
        <v>7738.02</v>
      </c>
    </row>
    <row r="2000" ht="16.5" customHeight="1" spans="5:6">
      <c r="E2000" s="58">
        <v>43381</v>
      </c>
      <c r="F2000" s="59">
        <v>7735.95</v>
      </c>
    </row>
    <row r="2001" ht="16.5" customHeight="1" spans="5:6">
      <c r="E2001" s="58">
        <v>43378</v>
      </c>
      <c r="F2001" s="59">
        <v>7788.45</v>
      </c>
    </row>
    <row r="2002" ht="16.5" customHeight="1" spans="5:6">
      <c r="E2002" s="58">
        <v>43377</v>
      </c>
      <c r="F2002" s="59">
        <v>7879.51</v>
      </c>
    </row>
    <row r="2003" ht="16.5" customHeight="1" spans="5:6">
      <c r="E2003" s="58">
        <v>43376</v>
      </c>
      <c r="F2003" s="59">
        <v>8025.09</v>
      </c>
    </row>
    <row r="2004" ht="16.5" customHeight="1" spans="5:6">
      <c r="E2004" s="58">
        <v>43375</v>
      </c>
      <c r="F2004" s="59">
        <v>7999.55</v>
      </c>
    </row>
    <row r="2005" ht="16.5" customHeight="1" spans="5:6">
      <c r="E2005" s="58">
        <v>43374</v>
      </c>
      <c r="F2005" s="59">
        <v>8037.3</v>
      </c>
    </row>
    <row r="2006" ht="16.5" customHeight="1" spans="5:6">
      <c r="E2006" s="58">
        <v>43371</v>
      </c>
      <c r="F2006" s="59">
        <v>8046.35</v>
      </c>
    </row>
    <row r="2007" ht="16.5" customHeight="1" spans="5:6">
      <c r="E2007" s="58">
        <v>43370</v>
      </c>
      <c r="F2007" s="59">
        <v>8041.97</v>
      </c>
    </row>
    <row r="2008" ht="16.5" customHeight="1" spans="5:6">
      <c r="E2008" s="58">
        <v>43369</v>
      </c>
      <c r="F2008" s="59">
        <v>7990.37</v>
      </c>
    </row>
    <row r="2009" ht="16.5" customHeight="1" spans="5:6">
      <c r="E2009" s="58">
        <v>43368</v>
      </c>
      <c r="F2009" s="59">
        <v>8007.47</v>
      </c>
    </row>
    <row r="2010" ht="16.5" customHeight="1" spans="5:6">
      <c r="E2010" s="58">
        <v>43367</v>
      </c>
      <c r="F2010" s="59">
        <v>7993.25</v>
      </c>
    </row>
    <row r="2011" ht="16.5" customHeight="1" spans="5:6">
      <c r="E2011" s="58">
        <v>43364</v>
      </c>
      <c r="F2011" s="59">
        <v>7986.96</v>
      </c>
    </row>
    <row r="2012" ht="16.5" customHeight="1" spans="5:6">
      <c r="E2012" s="58">
        <v>43363</v>
      </c>
      <c r="F2012" s="59">
        <v>8028.23</v>
      </c>
    </row>
    <row r="2013" ht="16.5" customHeight="1" spans="5:6">
      <c r="E2013" s="58">
        <v>43362</v>
      </c>
      <c r="F2013" s="59">
        <v>7950.04</v>
      </c>
    </row>
    <row r="2014" ht="16.5" customHeight="1" spans="5:6">
      <c r="E2014" s="58">
        <v>43361</v>
      </c>
      <c r="F2014" s="59">
        <v>7956.11</v>
      </c>
    </row>
    <row r="2015" ht="16.5" customHeight="1" spans="5:6">
      <c r="E2015" s="58">
        <v>43360</v>
      </c>
      <c r="F2015" s="59">
        <v>7895.79</v>
      </c>
    </row>
    <row r="2016" ht="16.5" customHeight="1" spans="5:6">
      <c r="E2016" s="58">
        <v>43357</v>
      </c>
      <c r="F2016" s="59">
        <v>8010.04</v>
      </c>
    </row>
    <row r="2017" ht="16.5" customHeight="1" spans="5:6">
      <c r="E2017" s="58">
        <v>43356</v>
      </c>
      <c r="F2017" s="59">
        <v>8013.71</v>
      </c>
    </row>
    <row r="2018" ht="16.5" customHeight="1" spans="5:6">
      <c r="E2018" s="58">
        <v>43355</v>
      </c>
      <c r="F2018" s="59">
        <v>7954.23</v>
      </c>
    </row>
    <row r="2019" ht="16.5" customHeight="1" spans="5:6">
      <c r="E2019" s="58">
        <v>43354</v>
      </c>
      <c r="F2019" s="59">
        <v>7972.47</v>
      </c>
    </row>
    <row r="2020" ht="16.5" customHeight="1" spans="5:6">
      <c r="E2020" s="58">
        <v>43353</v>
      </c>
      <c r="F2020" s="59">
        <v>7924.16</v>
      </c>
    </row>
    <row r="2021" ht="16.5" customHeight="1" spans="5:6">
      <c r="E2021" s="58">
        <v>43350</v>
      </c>
      <c r="F2021" s="59">
        <v>7902.54</v>
      </c>
    </row>
    <row r="2022" ht="16.5" customHeight="1" spans="5:6">
      <c r="E2022" s="58">
        <v>43349</v>
      </c>
      <c r="F2022" s="59">
        <v>7922.73</v>
      </c>
    </row>
    <row r="2023" ht="16.5" customHeight="1" spans="5:6">
      <c r="E2023" s="58">
        <v>43348</v>
      </c>
      <c r="F2023" s="59">
        <v>7995.17</v>
      </c>
    </row>
    <row r="2024" ht="16.5" customHeight="1" spans="5:6">
      <c r="E2024" s="58">
        <v>43347</v>
      </c>
      <c r="F2024" s="59">
        <v>8091.25</v>
      </c>
    </row>
    <row r="2025" ht="16.5" customHeight="1" spans="5:6">
      <c r="E2025" s="58">
        <v>43343</v>
      </c>
      <c r="F2025" s="59">
        <v>8109.54</v>
      </c>
    </row>
    <row r="2026" ht="16.5" customHeight="1" spans="5:6">
      <c r="E2026" s="58">
        <v>43342</v>
      </c>
      <c r="F2026" s="59">
        <v>8088.36</v>
      </c>
    </row>
    <row r="2027" ht="16.5" customHeight="1" spans="5:6">
      <c r="E2027" s="58">
        <v>43341</v>
      </c>
      <c r="F2027" s="59">
        <v>8109.69</v>
      </c>
    </row>
    <row r="2028" ht="16.5" customHeight="1" spans="5:6">
      <c r="E2028" s="58">
        <v>43340</v>
      </c>
      <c r="F2028" s="59">
        <v>8030.04</v>
      </c>
    </row>
    <row r="2029" ht="16.5" customHeight="1" spans="5:6">
      <c r="E2029" s="58">
        <v>43339</v>
      </c>
      <c r="F2029" s="59">
        <v>8017.9</v>
      </c>
    </row>
    <row r="2030" ht="16.5" customHeight="1" spans="5:6">
      <c r="E2030" s="58">
        <v>43336</v>
      </c>
      <c r="F2030" s="59">
        <v>7945.98</v>
      </c>
    </row>
    <row r="2031" ht="16.5" customHeight="1" spans="5:6">
      <c r="E2031" s="58">
        <v>43335</v>
      </c>
      <c r="F2031" s="59">
        <v>7878.46</v>
      </c>
    </row>
    <row r="2032" ht="16.5" customHeight="1" spans="5:6">
      <c r="E2032" s="58">
        <v>43334</v>
      </c>
      <c r="F2032" s="59">
        <v>7889.1</v>
      </c>
    </row>
    <row r="2033" ht="16.5" customHeight="1" spans="5:6">
      <c r="E2033" s="58">
        <v>43333</v>
      </c>
      <c r="F2033" s="59">
        <v>7859.17</v>
      </c>
    </row>
    <row r="2034" ht="16.5" customHeight="1" spans="5:6">
      <c r="E2034" s="58">
        <v>43332</v>
      </c>
      <c r="F2034" s="59">
        <v>7821.01</v>
      </c>
    </row>
    <row r="2035" ht="16.5" customHeight="1" spans="5:6">
      <c r="E2035" s="58">
        <v>43329</v>
      </c>
      <c r="F2035" s="59">
        <v>7816.33</v>
      </c>
    </row>
    <row r="2036" ht="16.5" customHeight="1" spans="5:6">
      <c r="E2036" s="58">
        <v>43328</v>
      </c>
      <c r="F2036" s="59">
        <v>7806.52</v>
      </c>
    </row>
    <row r="2037" ht="16.5" customHeight="1" spans="5:6">
      <c r="E2037" s="58">
        <v>43327</v>
      </c>
      <c r="F2037" s="59">
        <v>7774.12</v>
      </c>
    </row>
    <row r="2038" ht="16.5" customHeight="1" spans="5:6">
      <c r="E2038" s="58">
        <v>43326</v>
      </c>
      <c r="F2038" s="59">
        <v>7870.89</v>
      </c>
    </row>
    <row r="2039" ht="16.5" customHeight="1" spans="5:6">
      <c r="E2039" s="58">
        <v>43325</v>
      </c>
      <c r="F2039" s="59">
        <v>7819.71</v>
      </c>
    </row>
    <row r="2040" ht="16.5" customHeight="1" spans="5:6">
      <c r="E2040" s="58">
        <v>43322</v>
      </c>
      <c r="F2040" s="59">
        <v>7839.11</v>
      </c>
    </row>
    <row r="2041" ht="16.5" customHeight="1" spans="5:6">
      <c r="E2041" s="58">
        <v>43321</v>
      </c>
      <c r="F2041" s="59">
        <v>7891.78</v>
      </c>
    </row>
    <row r="2042" ht="16.5" customHeight="1" spans="5:6">
      <c r="E2042" s="58">
        <v>43320</v>
      </c>
      <c r="F2042" s="59">
        <v>7888.33</v>
      </c>
    </row>
    <row r="2043" ht="16.5" customHeight="1" spans="5:6">
      <c r="E2043" s="58">
        <v>43319</v>
      </c>
      <c r="F2043" s="59">
        <v>7883.66</v>
      </c>
    </row>
    <row r="2044" ht="16.5" customHeight="1" spans="5:6">
      <c r="E2044" s="58">
        <v>43318</v>
      </c>
      <c r="F2044" s="59">
        <v>7859.68</v>
      </c>
    </row>
    <row r="2045" ht="16.5" customHeight="1" spans="5:6">
      <c r="E2045" s="58">
        <v>43315</v>
      </c>
      <c r="F2045" s="59">
        <v>7812.01</v>
      </c>
    </row>
    <row r="2046" ht="16.5" customHeight="1" spans="5:6">
      <c r="E2046" s="58">
        <v>43314</v>
      </c>
      <c r="F2046" s="59">
        <v>7802.69</v>
      </c>
    </row>
    <row r="2047" ht="16.5" customHeight="1" spans="5:6">
      <c r="E2047" s="58">
        <v>43313</v>
      </c>
      <c r="F2047" s="59">
        <v>7707.29</v>
      </c>
    </row>
    <row r="2048" ht="16.5" customHeight="1" spans="5:6">
      <c r="E2048" s="58">
        <v>43312</v>
      </c>
      <c r="F2048" s="59">
        <v>7671.79</v>
      </c>
    </row>
    <row r="2049" ht="16.5" customHeight="1" spans="5:6">
      <c r="E2049" s="58">
        <v>43311</v>
      </c>
      <c r="F2049" s="59">
        <v>7630</v>
      </c>
    </row>
    <row r="2050" ht="16.5" customHeight="1" spans="5:6">
      <c r="E2050" s="58">
        <v>43308</v>
      </c>
      <c r="F2050" s="59">
        <v>7737.42</v>
      </c>
    </row>
    <row r="2051" ht="16.5" customHeight="1" spans="5:6">
      <c r="E2051" s="58">
        <v>43307</v>
      </c>
      <c r="F2051" s="59">
        <v>7852.18</v>
      </c>
    </row>
    <row r="2052" ht="16.5" customHeight="1" spans="5:6">
      <c r="E2052" s="58">
        <v>43306</v>
      </c>
      <c r="F2052" s="59">
        <v>7932.24</v>
      </c>
    </row>
    <row r="2053" ht="16.5" customHeight="1" spans="5:6">
      <c r="E2053" s="58">
        <v>43305</v>
      </c>
      <c r="F2053" s="59">
        <v>7840.77</v>
      </c>
    </row>
    <row r="2054" ht="16.5" customHeight="1" spans="5:6">
      <c r="E2054" s="58">
        <v>43304</v>
      </c>
      <c r="F2054" s="59">
        <v>7841.87</v>
      </c>
    </row>
    <row r="2055" ht="16.5" customHeight="1" spans="5:6">
      <c r="E2055" s="58">
        <v>43301</v>
      </c>
      <c r="F2055" s="59">
        <v>7820.2</v>
      </c>
    </row>
    <row r="2056" ht="16.5" customHeight="1" spans="5:6">
      <c r="E2056" s="58">
        <v>43300</v>
      </c>
      <c r="F2056" s="59">
        <v>7825.3</v>
      </c>
    </row>
    <row r="2057" ht="16.5" customHeight="1" spans="5:6">
      <c r="E2057" s="58">
        <v>43299</v>
      </c>
      <c r="F2057" s="59">
        <v>7854.44</v>
      </c>
    </row>
    <row r="2058" ht="16.5" customHeight="1" spans="5:6">
      <c r="E2058" s="58">
        <v>43298</v>
      </c>
      <c r="F2058" s="59">
        <v>7855.12</v>
      </c>
    </row>
    <row r="2059" ht="16.5" customHeight="1" spans="5:6">
      <c r="E2059" s="58">
        <v>43297</v>
      </c>
      <c r="F2059" s="59">
        <v>7805.72</v>
      </c>
    </row>
    <row r="2060" ht="16.5" customHeight="1" spans="5:6">
      <c r="E2060" s="58">
        <v>43294</v>
      </c>
      <c r="F2060" s="59">
        <v>7825.98</v>
      </c>
    </row>
    <row r="2061" ht="16.5" customHeight="1" spans="5:6">
      <c r="E2061" s="58">
        <v>43293</v>
      </c>
      <c r="F2061" s="59">
        <v>7823.92</v>
      </c>
    </row>
    <row r="2062" ht="16.5" customHeight="1" spans="5:6">
      <c r="E2062" s="58">
        <v>43292</v>
      </c>
      <c r="F2062" s="59">
        <v>7716.61</v>
      </c>
    </row>
    <row r="2063" ht="16.5" customHeight="1" spans="5:6">
      <c r="E2063" s="58">
        <v>43291</v>
      </c>
      <c r="F2063" s="59">
        <v>7759.2</v>
      </c>
    </row>
    <row r="2064" ht="16.5" customHeight="1" spans="5:6">
      <c r="E2064" s="58">
        <v>43290</v>
      </c>
      <c r="F2064" s="59">
        <v>7756.2</v>
      </c>
    </row>
    <row r="2065" ht="16.5" customHeight="1" spans="5:6">
      <c r="E2065" s="58">
        <v>43287</v>
      </c>
      <c r="F2065" s="59">
        <v>7688.39</v>
      </c>
    </row>
    <row r="2066" ht="16.5" customHeight="1" spans="5:6">
      <c r="E2066" s="58">
        <v>43286</v>
      </c>
      <c r="F2066" s="59">
        <v>7586.43</v>
      </c>
    </row>
    <row r="2067" ht="16.5" customHeight="1" spans="5:6">
      <c r="E2067" s="58">
        <v>43284</v>
      </c>
      <c r="F2067" s="59">
        <v>7502.67</v>
      </c>
    </row>
    <row r="2068" ht="16.5" customHeight="1" spans="5:6">
      <c r="E2068" s="58">
        <v>43283</v>
      </c>
      <c r="F2068" s="59">
        <v>7567.69</v>
      </c>
    </row>
    <row r="2069" ht="16.5" customHeight="1" spans="5:6">
      <c r="E2069" s="58">
        <v>43280</v>
      </c>
      <c r="F2069" s="59">
        <v>7510.3</v>
      </c>
    </row>
    <row r="2070" ht="16.5" customHeight="1" spans="5:6">
      <c r="E2070" s="58">
        <v>43279</v>
      </c>
      <c r="F2070" s="59">
        <v>7503.68</v>
      </c>
    </row>
    <row r="2071" ht="16.5" customHeight="1" spans="5:6">
      <c r="E2071" s="58">
        <v>43278</v>
      </c>
      <c r="F2071" s="59">
        <v>7445.08</v>
      </c>
    </row>
    <row r="2072" ht="16.5" customHeight="1" spans="5:6">
      <c r="E2072" s="58">
        <v>43277</v>
      </c>
      <c r="F2072" s="59">
        <v>7561.63</v>
      </c>
    </row>
    <row r="2073" ht="16.5" customHeight="1" spans="5:6">
      <c r="E2073" s="58">
        <v>43276</v>
      </c>
      <c r="F2073" s="59">
        <v>7532.01</v>
      </c>
    </row>
    <row r="2074" ht="16.5" customHeight="1" spans="5:6">
      <c r="E2074" s="58">
        <v>43273</v>
      </c>
      <c r="F2074" s="59">
        <v>7692.82</v>
      </c>
    </row>
    <row r="2075" ht="16.5" customHeight="1" spans="5:6">
      <c r="E2075" s="58">
        <v>43272</v>
      </c>
      <c r="F2075" s="59">
        <v>7712.95</v>
      </c>
    </row>
    <row r="2076" ht="16.5" customHeight="1" spans="5:6">
      <c r="E2076" s="58">
        <v>43271</v>
      </c>
      <c r="F2076" s="59">
        <v>7781.51</v>
      </c>
    </row>
    <row r="2077" ht="16.5" customHeight="1" spans="5:6">
      <c r="E2077" s="58">
        <v>43270</v>
      </c>
      <c r="F2077" s="59">
        <v>7725.59</v>
      </c>
    </row>
    <row r="2078" ht="16.5" customHeight="1" spans="5:6">
      <c r="E2078" s="58">
        <v>43269</v>
      </c>
      <c r="F2078" s="59">
        <v>7747.03</v>
      </c>
    </row>
    <row r="2079" ht="16.5" customHeight="1" spans="5:6">
      <c r="E2079" s="58">
        <v>43266</v>
      </c>
      <c r="F2079" s="59">
        <v>7746.38</v>
      </c>
    </row>
    <row r="2080" ht="16.5" customHeight="1" spans="5:6">
      <c r="E2080" s="58">
        <v>43265</v>
      </c>
      <c r="F2080" s="59">
        <v>7761.04</v>
      </c>
    </row>
    <row r="2081" ht="16.5" customHeight="1" spans="5:6">
      <c r="E2081" s="58">
        <v>43264</v>
      </c>
      <c r="F2081" s="59">
        <v>7695.7</v>
      </c>
    </row>
    <row r="2082" ht="16.5" customHeight="1" spans="5:6">
      <c r="E2082" s="58">
        <v>43263</v>
      </c>
      <c r="F2082" s="59">
        <v>7703.79</v>
      </c>
    </row>
    <row r="2083" ht="16.5" customHeight="1" spans="5:6">
      <c r="E2083" s="58">
        <v>43262</v>
      </c>
      <c r="F2083" s="59">
        <v>7659.93</v>
      </c>
    </row>
    <row r="2084" ht="16.5" customHeight="1" spans="5:6">
      <c r="E2084" s="58">
        <v>43259</v>
      </c>
      <c r="F2084" s="59">
        <v>7645.51</v>
      </c>
    </row>
    <row r="2085" ht="16.5" customHeight="1" spans="5:6">
      <c r="E2085" s="58">
        <v>43258</v>
      </c>
      <c r="F2085" s="59">
        <v>7635.07</v>
      </c>
    </row>
    <row r="2086" ht="16.5" customHeight="1" spans="5:6">
      <c r="E2086" s="58">
        <v>43257</v>
      </c>
      <c r="F2086" s="59">
        <v>7689.24</v>
      </c>
    </row>
    <row r="2087" ht="16.5" customHeight="1" spans="5:6">
      <c r="E2087" s="58">
        <v>43256</v>
      </c>
      <c r="F2087" s="59">
        <v>7637.86</v>
      </c>
    </row>
    <row r="2088" ht="16.5" customHeight="1" spans="5:6">
      <c r="E2088" s="58">
        <v>43255</v>
      </c>
      <c r="F2088" s="59">
        <v>7606.46</v>
      </c>
    </row>
    <row r="2089" ht="16.5" customHeight="1" spans="5:6">
      <c r="E2089" s="58">
        <v>43252</v>
      </c>
      <c r="F2089" s="59">
        <v>7554.33</v>
      </c>
    </row>
    <row r="2090" ht="16.5" customHeight="1" spans="5:6">
      <c r="E2090" s="58">
        <v>43251</v>
      </c>
      <c r="F2090" s="59">
        <v>7442.12</v>
      </c>
    </row>
    <row r="2091" ht="16.5" customHeight="1" spans="5:6">
      <c r="E2091" s="58">
        <v>43250</v>
      </c>
      <c r="F2091" s="59">
        <v>7462.45</v>
      </c>
    </row>
    <row r="2092" ht="16.5" customHeight="1" spans="5:6">
      <c r="E2092" s="58">
        <v>43249</v>
      </c>
      <c r="F2092" s="59">
        <v>7396.59</v>
      </c>
    </row>
    <row r="2093" ht="16.5" customHeight="1" spans="5:6">
      <c r="E2093" s="58">
        <v>43245</v>
      </c>
      <c r="F2093" s="59">
        <v>7433.85</v>
      </c>
    </row>
    <row r="2094" ht="16.5" customHeight="1" spans="5:6">
      <c r="E2094" s="58">
        <v>43244</v>
      </c>
      <c r="F2094" s="59">
        <v>7424.43</v>
      </c>
    </row>
    <row r="2095" ht="16.5" customHeight="1" spans="5:6">
      <c r="E2095" s="58">
        <v>43243</v>
      </c>
      <c r="F2095" s="59">
        <v>7425.96</v>
      </c>
    </row>
    <row r="2096" ht="16.5" customHeight="1" spans="5:6">
      <c r="E2096" s="58">
        <v>43242</v>
      </c>
      <c r="F2096" s="59">
        <v>7378.46</v>
      </c>
    </row>
    <row r="2097" ht="16.5" customHeight="1" spans="5:6">
      <c r="E2097" s="58">
        <v>43241</v>
      </c>
      <c r="F2097" s="59">
        <v>7394.04</v>
      </c>
    </row>
    <row r="2098" ht="16.5" customHeight="1" spans="5:6">
      <c r="E2098" s="58">
        <v>43238</v>
      </c>
      <c r="F2098" s="59">
        <v>7354.34</v>
      </c>
    </row>
    <row r="2099" ht="16.5" customHeight="1" spans="5:6">
      <c r="E2099" s="58">
        <v>43237</v>
      </c>
      <c r="F2099" s="59">
        <v>7382.47</v>
      </c>
    </row>
    <row r="2100" ht="16.5" customHeight="1" spans="5:6">
      <c r="E2100" s="58">
        <v>43236</v>
      </c>
      <c r="F2100" s="59">
        <v>7398.3</v>
      </c>
    </row>
    <row r="2101" ht="16.5" customHeight="1" spans="5:6">
      <c r="E2101" s="58">
        <v>43235</v>
      </c>
      <c r="F2101" s="59">
        <v>7351.63</v>
      </c>
    </row>
    <row r="2102" ht="16.5" customHeight="1" spans="5:6">
      <c r="E2102" s="58">
        <v>43234</v>
      </c>
      <c r="F2102" s="59">
        <v>7411.32</v>
      </c>
    </row>
    <row r="2103" ht="16.5" customHeight="1" spans="5:6">
      <c r="E2103" s="58">
        <v>43231</v>
      </c>
      <c r="F2103" s="59">
        <v>7402.88</v>
      </c>
    </row>
    <row r="2104" ht="16.5" customHeight="1" spans="5:6">
      <c r="E2104" s="58">
        <v>43230</v>
      </c>
      <c r="F2104" s="59">
        <v>7404.97</v>
      </c>
    </row>
    <row r="2105" ht="16.5" customHeight="1" spans="5:6">
      <c r="E2105" s="58">
        <v>43229</v>
      </c>
      <c r="F2105" s="59">
        <v>7339.91</v>
      </c>
    </row>
    <row r="2106" ht="16.5" customHeight="1" spans="5:6">
      <c r="E2106" s="58">
        <v>43228</v>
      </c>
      <c r="F2106" s="59">
        <v>7266.9</v>
      </c>
    </row>
    <row r="2107" ht="16.5" customHeight="1" spans="5:6">
      <c r="E2107" s="58">
        <v>43227</v>
      </c>
      <c r="F2107" s="59">
        <v>7265.21</v>
      </c>
    </row>
    <row r="2108" ht="16.5" customHeight="1" spans="5:6">
      <c r="E2108" s="58">
        <v>43224</v>
      </c>
      <c r="F2108" s="59">
        <v>7209.62</v>
      </c>
    </row>
    <row r="2109" ht="16.5" customHeight="1" spans="5:6">
      <c r="E2109" s="58">
        <v>43223</v>
      </c>
      <c r="F2109" s="59">
        <v>7088.15</v>
      </c>
    </row>
    <row r="2110" ht="16.5" customHeight="1" spans="5:6">
      <c r="E2110" s="58">
        <v>43222</v>
      </c>
      <c r="F2110" s="59">
        <v>7100.9</v>
      </c>
    </row>
    <row r="2111" ht="16.5" customHeight="1" spans="5:6">
      <c r="E2111" s="58">
        <v>43221</v>
      </c>
      <c r="F2111" s="59">
        <v>7130.7</v>
      </c>
    </row>
    <row r="2112" ht="16.5" customHeight="1" spans="5:6">
      <c r="E2112" s="58">
        <v>43220</v>
      </c>
      <c r="F2112" s="59">
        <v>7066.27</v>
      </c>
    </row>
    <row r="2113" ht="16.5" customHeight="1" spans="5:6">
      <c r="E2113" s="58">
        <v>43217</v>
      </c>
      <c r="F2113" s="59">
        <v>7119.8</v>
      </c>
    </row>
    <row r="2114" ht="16.5" customHeight="1" spans="5:6">
      <c r="E2114" s="58">
        <v>43216</v>
      </c>
      <c r="F2114" s="59">
        <v>7118.68</v>
      </c>
    </row>
    <row r="2115" ht="16.5" customHeight="1" spans="5:6">
      <c r="E2115" s="58">
        <v>43215</v>
      </c>
      <c r="F2115" s="59">
        <v>7003.74</v>
      </c>
    </row>
    <row r="2116" ht="16.5" customHeight="1" spans="5:6">
      <c r="E2116" s="58">
        <v>43214</v>
      </c>
      <c r="F2116" s="59">
        <v>7007.35</v>
      </c>
    </row>
    <row r="2117" ht="16.5" customHeight="1" spans="5:6">
      <c r="E2117" s="58">
        <v>43213</v>
      </c>
      <c r="F2117" s="59">
        <v>7128.6</v>
      </c>
    </row>
    <row r="2118" ht="16.5" customHeight="1" spans="5:6">
      <c r="E2118" s="58">
        <v>43210</v>
      </c>
      <c r="F2118" s="59">
        <v>7146.13</v>
      </c>
    </row>
    <row r="2119" ht="16.5" customHeight="1" spans="5:6">
      <c r="E2119" s="58">
        <v>43209</v>
      </c>
      <c r="F2119" s="59">
        <v>7238.06</v>
      </c>
    </row>
    <row r="2120" ht="16.5" customHeight="1" spans="5:6">
      <c r="E2120" s="58">
        <v>43208</v>
      </c>
      <c r="F2120" s="59">
        <v>7295.24</v>
      </c>
    </row>
    <row r="2121" ht="16.5" customHeight="1" spans="5:6">
      <c r="E2121" s="58">
        <v>43207</v>
      </c>
      <c r="F2121" s="59">
        <v>7281.1</v>
      </c>
    </row>
    <row r="2122" ht="16.5" customHeight="1" spans="5:6">
      <c r="E2122" s="58">
        <v>43206</v>
      </c>
      <c r="F2122" s="59">
        <v>7156.28</v>
      </c>
    </row>
    <row r="2123" ht="16.5" customHeight="1" spans="5:6">
      <c r="E2123" s="58">
        <v>43203</v>
      </c>
      <c r="F2123" s="59">
        <v>7106.65</v>
      </c>
    </row>
    <row r="2124" ht="16.5" customHeight="1" spans="5:6">
      <c r="E2124" s="58">
        <v>43202</v>
      </c>
      <c r="F2124" s="59">
        <v>7140.25</v>
      </c>
    </row>
    <row r="2125" ht="16.5" customHeight="1" spans="5:6">
      <c r="E2125" s="58">
        <v>43201</v>
      </c>
      <c r="F2125" s="59">
        <v>7069.03</v>
      </c>
    </row>
    <row r="2126" ht="16.5" customHeight="1" spans="5:6">
      <c r="E2126" s="58">
        <v>43200</v>
      </c>
      <c r="F2126" s="59">
        <v>7094.3</v>
      </c>
    </row>
    <row r="2127" ht="16.5" customHeight="1" spans="5:6">
      <c r="E2127" s="58">
        <v>43199</v>
      </c>
      <c r="F2127" s="59">
        <v>6950.34</v>
      </c>
    </row>
    <row r="2128" ht="16.5" customHeight="1" spans="5:6">
      <c r="E2128" s="58">
        <v>43196</v>
      </c>
      <c r="F2128" s="59">
        <v>6915.11</v>
      </c>
    </row>
    <row r="2129" ht="16.5" customHeight="1" spans="5:6">
      <c r="E2129" s="58">
        <v>43195</v>
      </c>
      <c r="F2129" s="59">
        <v>7076.55</v>
      </c>
    </row>
    <row r="2130" ht="16.5" customHeight="1" spans="5:6">
      <c r="E2130" s="58">
        <v>43194</v>
      </c>
      <c r="F2130" s="59">
        <v>7042.11</v>
      </c>
    </row>
    <row r="2131" ht="16.5" customHeight="1" spans="5:6">
      <c r="E2131" s="58">
        <v>43193</v>
      </c>
      <c r="F2131" s="59">
        <v>6941.28</v>
      </c>
    </row>
    <row r="2132" ht="16.5" customHeight="1" spans="5:6">
      <c r="E2132" s="58">
        <v>43192</v>
      </c>
      <c r="F2132" s="59">
        <v>6870.12</v>
      </c>
    </row>
    <row r="2133" ht="16.5" customHeight="1" spans="5:6">
      <c r="E2133" s="58">
        <v>43188</v>
      </c>
      <c r="F2133" s="59">
        <v>7063.44</v>
      </c>
    </row>
    <row r="2134" ht="16.5" customHeight="1" spans="5:6">
      <c r="E2134" s="58">
        <v>43187</v>
      </c>
      <c r="F2134" s="59">
        <v>6949.23</v>
      </c>
    </row>
    <row r="2135" ht="16.5" customHeight="1" spans="5:6">
      <c r="E2135" s="58">
        <v>43186</v>
      </c>
      <c r="F2135" s="59">
        <v>7008.81</v>
      </c>
    </row>
    <row r="2136" ht="16.5" customHeight="1" spans="5:6">
      <c r="E2136" s="58">
        <v>43185</v>
      </c>
      <c r="F2136" s="59">
        <v>7220.54</v>
      </c>
    </row>
    <row r="2137" ht="16.5" customHeight="1" spans="5:6">
      <c r="E2137" s="58">
        <v>43182</v>
      </c>
      <c r="F2137" s="59">
        <v>6992.67</v>
      </c>
    </row>
    <row r="2138" ht="16.5" customHeight="1" spans="5:6">
      <c r="E2138" s="58">
        <v>43181</v>
      </c>
      <c r="F2138" s="59">
        <v>7166.68</v>
      </c>
    </row>
    <row r="2139" ht="16.5" customHeight="1" spans="5:6">
      <c r="E2139" s="58">
        <v>43180</v>
      </c>
      <c r="F2139" s="59">
        <v>7345.29</v>
      </c>
    </row>
    <row r="2140" ht="16.5" customHeight="1" spans="5:6">
      <c r="E2140" s="58">
        <v>43179</v>
      </c>
      <c r="F2140" s="59">
        <v>7364.3</v>
      </c>
    </row>
    <row r="2141" ht="16.5" customHeight="1" spans="5:6">
      <c r="E2141" s="58">
        <v>43178</v>
      </c>
      <c r="F2141" s="59">
        <v>7344.24</v>
      </c>
    </row>
    <row r="2142" ht="16.5" customHeight="1" spans="5:6">
      <c r="E2142" s="58">
        <v>43175</v>
      </c>
      <c r="F2142" s="59">
        <v>7481.99</v>
      </c>
    </row>
    <row r="2143" ht="16.5" customHeight="1" spans="5:6">
      <c r="E2143" s="58">
        <v>43174</v>
      </c>
      <c r="F2143" s="59">
        <v>7481.74</v>
      </c>
    </row>
    <row r="2144" ht="16.5" customHeight="1" spans="5:6">
      <c r="E2144" s="58">
        <v>43173</v>
      </c>
      <c r="F2144" s="59">
        <v>7496.81</v>
      </c>
    </row>
    <row r="2145" ht="16.5" customHeight="1" spans="5:6">
      <c r="E2145" s="58">
        <v>43172</v>
      </c>
      <c r="F2145" s="59">
        <v>7511.01</v>
      </c>
    </row>
    <row r="2146" ht="16.5" customHeight="1" spans="5:6">
      <c r="E2146" s="58">
        <v>43171</v>
      </c>
      <c r="F2146" s="59">
        <v>7588.32</v>
      </c>
    </row>
    <row r="2147" ht="16.5" customHeight="1" spans="5:6">
      <c r="E2147" s="58">
        <v>43168</v>
      </c>
      <c r="F2147" s="59">
        <v>7560.81</v>
      </c>
    </row>
    <row r="2148" ht="16.5" customHeight="1" spans="5:6">
      <c r="E2148" s="58">
        <v>43167</v>
      </c>
      <c r="F2148" s="59">
        <v>7427.95</v>
      </c>
    </row>
    <row r="2149" ht="16.5" customHeight="1" spans="5:6">
      <c r="E2149" s="58">
        <v>43166</v>
      </c>
      <c r="F2149" s="59">
        <v>7396.65</v>
      </c>
    </row>
    <row r="2150" ht="16.5" customHeight="1" spans="5:6">
      <c r="E2150" s="58">
        <v>43165</v>
      </c>
      <c r="F2150" s="59">
        <v>7372.01</v>
      </c>
    </row>
    <row r="2151" ht="16.5" customHeight="1" spans="5:6">
      <c r="E2151" s="58">
        <v>43164</v>
      </c>
      <c r="F2151" s="59">
        <v>7330.7</v>
      </c>
    </row>
    <row r="2152" ht="16.5" customHeight="1" spans="5:6">
      <c r="E2152" s="58">
        <v>43161</v>
      </c>
      <c r="F2152" s="59">
        <v>7257.87</v>
      </c>
    </row>
    <row r="2153" ht="16.5" customHeight="1" spans="5:6">
      <c r="E2153" s="58">
        <v>43160</v>
      </c>
      <c r="F2153" s="59">
        <v>7180.56</v>
      </c>
    </row>
    <row r="2154" ht="16.5" customHeight="1" spans="5:6">
      <c r="E2154" s="58">
        <v>43159</v>
      </c>
      <c r="F2154" s="59">
        <v>7273.01</v>
      </c>
    </row>
    <row r="2155" ht="16.5" customHeight="1" spans="5:6">
      <c r="E2155" s="58">
        <v>43158</v>
      </c>
      <c r="F2155" s="59">
        <v>7330.35</v>
      </c>
    </row>
    <row r="2156" ht="16.5" customHeight="1" spans="5:6">
      <c r="E2156" s="58">
        <v>43157</v>
      </c>
      <c r="F2156" s="59">
        <v>7421.46</v>
      </c>
    </row>
    <row r="2157" ht="16.5" customHeight="1" spans="5:6">
      <c r="E2157" s="58">
        <v>43154</v>
      </c>
      <c r="F2157" s="59">
        <v>7337.39</v>
      </c>
    </row>
    <row r="2158" ht="16.5" customHeight="1" spans="5:6">
      <c r="E2158" s="58">
        <v>43153</v>
      </c>
      <c r="F2158" s="59">
        <v>7210.09</v>
      </c>
    </row>
    <row r="2159" ht="16.5" customHeight="1" spans="5:6">
      <c r="E2159" s="58">
        <v>43152</v>
      </c>
      <c r="F2159" s="59">
        <v>7218.23</v>
      </c>
    </row>
    <row r="2160" ht="16.5" customHeight="1" spans="5:6">
      <c r="E2160" s="58">
        <v>43151</v>
      </c>
      <c r="F2160" s="59">
        <v>7234.31</v>
      </c>
    </row>
    <row r="2161" ht="16.5" customHeight="1" spans="5:6">
      <c r="E2161" s="58">
        <v>43147</v>
      </c>
      <c r="F2161" s="59">
        <v>7239.47</v>
      </c>
    </row>
    <row r="2162" ht="16.5" customHeight="1" spans="5:6">
      <c r="E2162" s="58">
        <v>43146</v>
      </c>
      <c r="F2162" s="59">
        <v>7256.43</v>
      </c>
    </row>
    <row r="2163" ht="16.5" customHeight="1" spans="5:6">
      <c r="E2163" s="58">
        <v>43145</v>
      </c>
      <c r="F2163" s="59">
        <v>7143.62</v>
      </c>
    </row>
    <row r="2164" ht="16.5" customHeight="1" spans="5:6">
      <c r="E2164" s="58">
        <v>43144</v>
      </c>
      <c r="F2164" s="59">
        <v>7013.51</v>
      </c>
    </row>
    <row r="2165" ht="16.5" customHeight="1" spans="5:6">
      <c r="E2165" s="58">
        <v>43143</v>
      </c>
      <c r="F2165" s="59">
        <v>6981.96</v>
      </c>
    </row>
    <row r="2166" ht="16.5" customHeight="1" spans="5:6">
      <c r="E2166" s="58">
        <v>43140</v>
      </c>
      <c r="F2166" s="59">
        <v>6874.49</v>
      </c>
    </row>
    <row r="2167" ht="16.5" customHeight="1" spans="5:6">
      <c r="E2167" s="58">
        <v>43139</v>
      </c>
      <c r="F2167" s="59">
        <v>6777.16</v>
      </c>
    </row>
    <row r="2168" ht="16.5" customHeight="1" spans="5:6">
      <c r="E2168" s="58">
        <v>43138</v>
      </c>
      <c r="F2168" s="59">
        <v>7051.98</v>
      </c>
    </row>
    <row r="2169" ht="16.5" customHeight="1" spans="5:6">
      <c r="E2169" s="58">
        <v>43137</v>
      </c>
      <c r="F2169" s="59">
        <v>7115.88</v>
      </c>
    </row>
    <row r="2170" ht="16.5" customHeight="1" spans="5:6">
      <c r="E2170" s="58">
        <v>43136</v>
      </c>
      <c r="F2170" s="59">
        <v>6967.53</v>
      </c>
    </row>
    <row r="2171" ht="16.5" customHeight="1" spans="5:6">
      <c r="E2171" s="58">
        <v>43133</v>
      </c>
      <c r="F2171" s="59">
        <v>7240.95</v>
      </c>
    </row>
    <row r="2172" ht="16.5" customHeight="1" spans="5:6">
      <c r="E2172" s="58">
        <v>43132</v>
      </c>
      <c r="F2172" s="59">
        <v>7385.86</v>
      </c>
    </row>
    <row r="2173" ht="16.5" customHeight="1" spans="5:6">
      <c r="E2173" s="58">
        <v>43131</v>
      </c>
      <c r="F2173" s="59">
        <v>7411.48</v>
      </c>
    </row>
    <row r="2174" ht="16.5" customHeight="1" spans="5:6">
      <c r="E2174" s="58">
        <v>43130</v>
      </c>
      <c r="F2174" s="59">
        <v>7402.48</v>
      </c>
    </row>
    <row r="2175" ht="16.5" customHeight="1" spans="5:6">
      <c r="E2175" s="58">
        <v>43129</v>
      </c>
      <c r="F2175" s="59">
        <v>7466.51</v>
      </c>
    </row>
    <row r="2176" ht="16.5" customHeight="1" spans="5:6">
      <c r="E2176" s="58">
        <v>43126</v>
      </c>
      <c r="F2176" s="59">
        <v>7505.77</v>
      </c>
    </row>
    <row r="2177" ht="16.5" customHeight="1" spans="5:6">
      <c r="E2177" s="58">
        <v>43125</v>
      </c>
      <c r="F2177" s="59">
        <v>7411.16</v>
      </c>
    </row>
    <row r="2178" ht="16.5" customHeight="1" spans="5:6">
      <c r="E2178" s="58">
        <v>43124</v>
      </c>
      <c r="F2178" s="59">
        <v>7415.06</v>
      </c>
    </row>
    <row r="2179" ht="16.5" customHeight="1" spans="5:6">
      <c r="E2179" s="58">
        <v>43123</v>
      </c>
      <c r="F2179" s="59">
        <v>7460.29</v>
      </c>
    </row>
    <row r="2180" ht="16.5" customHeight="1" spans="5:6">
      <c r="E2180" s="58">
        <v>43122</v>
      </c>
      <c r="F2180" s="59">
        <v>7408.03</v>
      </c>
    </row>
    <row r="2181" ht="16.5" customHeight="1" spans="5:6">
      <c r="E2181" s="58">
        <v>43119</v>
      </c>
      <c r="F2181" s="59">
        <v>7336.38</v>
      </c>
    </row>
    <row r="2182" ht="16.5" customHeight="1" spans="5:6">
      <c r="E2182" s="58">
        <v>43118</v>
      </c>
      <c r="F2182" s="59">
        <v>7296.05</v>
      </c>
    </row>
    <row r="2183" ht="16.5" customHeight="1" spans="5:6">
      <c r="E2183" s="58">
        <v>43117</v>
      </c>
      <c r="F2183" s="59">
        <v>7298.28</v>
      </c>
    </row>
    <row r="2184" ht="16.5" customHeight="1" spans="5:6">
      <c r="E2184" s="58">
        <v>43116</v>
      </c>
      <c r="F2184" s="59">
        <v>7223.69</v>
      </c>
    </row>
    <row r="2185" ht="16.5" customHeight="1" spans="5:6">
      <c r="E2185" s="58">
        <v>43112</v>
      </c>
      <c r="F2185" s="59">
        <v>7261.06</v>
      </c>
    </row>
    <row r="2186" ht="16.5" customHeight="1" spans="5:6">
      <c r="E2186" s="58">
        <v>43111</v>
      </c>
      <c r="F2186" s="59">
        <v>7211.78</v>
      </c>
    </row>
    <row r="2187" ht="16.5" customHeight="1" spans="5:6">
      <c r="E2187" s="58">
        <v>43110</v>
      </c>
      <c r="F2187" s="59">
        <v>7153.57</v>
      </c>
    </row>
    <row r="2188" ht="16.5" customHeight="1" spans="5:6">
      <c r="E2188" s="58">
        <v>43109</v>
      </c>
      <c r="F2188" s="59">
        <v>7163.58</v>
      </c>
    </row>
    <row r="2189" ht="16.5" customHeight="1" spans="5:6">
      <c r="E2189" s="58">
        <v>43108</v>
      </c>
      <c r="F2189" s="59">
        <v>7157.39</v>
      </c>
    </row>
    <row r="2190" ht="16.5" customHeight="1" spans="5:6">
      <c r="E2190" s="58">
        <v>43105</v>
      </c>
      <c r="F2190" s="59">
        <v>7136.56</v>
      </c>
    </row>
    <row r="2191" ht="16.5" customHeight="1" spans="5:6">
      <c r="E2191" s="58">
        <v>43104</v>
      </c>
      <c r="F2191" s="59">
        <v>7077.91</v>
      </c>
    </row>
    <row r="2192" ht="16.5" customHeight="1" spans="5:6">
      <c r="E2192" s="58">
        <v>43103</v>
      </c>
      <c r="F2192" s="59">
        <v>7065.53</v>
      </c>
    </row>
    <row r="2193" ht="16.5" customHeight="1" spans="5:6">
      <c r="E2193" s="58">
        <v>43102</v>
      </c>
      <c r="F2193" s="59">
        <v>7006.9</v>
      </c>
    </row>
    <row r="2194" ht="16.5" customHeight="1" spans="5:6">
      <c r="E2194" s="58">
        <v>43098</v>
      </c>
      <c r="F2194" s="59">
        <v>6903.39</v>
      </c>
    </row>
    <row r="2195" ht="16.5" customHeight="1" spans="5:6">
      <c r="E2195" s="58">
        <v>43097</v>
      </c>
      <c r="F2195" s="59">
        <v>6950.16</v>
      </c>
    </row>
    <row r="2196" ht="16.5" customHeight="1" spans="5:6">
      <c r="E2196" s="58">
        <v>43096</v>
      </c>
      <c r="F2196" s="59">
        <v>6939.34</v>
      </c>
    </row>
    <row r="2197" ht="16.5" customHeight="1" spans="5:6">
      <c r="E2197" s="58">
        <v>43095</v>
      </c>
      <c r="F2197" s="59">
        <v>6936.25</v>
      </c>
    </row>
    <row r="2198" ht="16.5" customHeight="1" spans="5:6">
      <c r="E2198" s="58">
        <v>43091</v>
      </c>
      <c r="F2198" s="59">
        <v>6959.96</v>
      </c>
    </row>
    <row r="2199" ht="16.5" customHeight="1" spans="5:6">
      <c r="E2199" s="58">
        <v>43090</v>
      </c>
      <c r="F2199" s="59">
        <v>6965.36</v>
      </c>
    </row>
    <row r="2200" ht="16.5" customHeight="1" spans="5:6">
      <c r="E2200" s="58">
        <v>43089</v>
      </c>
      <c r="F2200" s="59">
        <v>6960.96</v>
      </c>
    </row>
    <row r="2201" ht="16.5" customHeight="1" spans="5:6">
      <c r="E2201" s="58">
        <v>43088</v>
      </c>
      <c r="F2201" s="59">
        <v>6963.85</v>
      </c>
    </row>
    <row r="2202" ht="16.5" customHeight="1" spans="5:6">
      <c r="E2202" s="58">
        <v>43087</v>
      </c>
      <c r="F2202" s="59">
        <v>6994.76</v>
      </c>
    </row>
    <row r="2203" ht="16.5" customHeight="1" spans="5:6">
      <c r="E2203" s="58">
        <v>43084</v>
      </c>
      <c r="F2203" s="59">
        <v>6936.58</v>
      </c>
    </row>
    <row r="2204" ht="16.5" customHeight="1" spans="5:6">
      <c r="E2204" s="58">
        <v>43083</v>
      </c>
      <c r="F2204" s="59">
        <v>6856.53</v>
      </c>
    </row>
    <row r="2205" ht="16.5" customHeight="1" spans="5:6">
      <c r="E2205" s="58">
        <v>43082</v>
      </c>
      <c r="F2205" s="59">
        <v>6875.8</v>
      </c>
    </row>
    <row r="2206" ht="16.5" customHeight="1" spans="5:6">
      <c r="E2206" s="58">
        <v>43081</v>
      </c>
      <c r="F2206" s="59">
        <v>6862.32</v>
      </c>
    </row>
    <row r="2207" ht="16.5" customHeight="1" spans="5:6">
      <c r="E2207" s="58">
        <v>43080</v>
      </c>
      <c r="F2207" s="59">
        <v>6875.08</v>
      </c>
    </row>
    <row r="2208" ht="16.5" customHeight="1" spans="5:6">
      <c r="E2208" s="58">
        <v>43077</v>
      </c>
      <c r="F2208" s="59">
        <v>6840.08</v>
      </c>
    </row>
    <row r="2209" ht="16.5" customHeight="1" spans="5:6">
      <c r="E2209" s="58">
        <v>43076</v>
      </c>
      <c r="F2209" s="59">
        <v>6812.84</v>
      </c>
    </row>
    <row r="2210" ht="16.5" customHeight="1" spans="5:6">
      <c r="E2210" s="58">
        <v>43075</v>
      </c>
      <c r="F2210" s="59">
        <v>6776.38</v>
      </c>
    </row>
    <row r="2211" ht="16.5" customHeight="1" spans="5:6">
      <c r="E2211" s="58">
        <v>43074</v>
      </c>
      <c r="F2211" s="59">
        <v>6762.21</v>
      </c>
    </row>
    <row r="2212" ht="16.5" customHeight="1" spans="5:6">
      <c r="E2212" s="58">
        <v>43073</v>
      </c>
      <c r="F2212" s="59">
        <v>6775.37</v>
      </c>
    </row>
    <row r="2213" ht="16.5" customHeight="1" spans="5:6">
      <c r="E2213" s="58">
        <v>43070</v>
      </c>
      <c r="F2213" s="59">
        <v>6847.59</v>
      </c>
    </row>
    <row r="2214" ht="16.5" customHeight="1" spans="5:6">
      <c r="E2214" s="58">
        <v>43069</v>
      </c>
      <c r="F2214" s="59">
        <v>6873.97</v>
      </c>
    </row>
    <row r="2215" ht="16.5" customHeight="1" spans="5:6">
      <c r="E2215" s="58">
        <v>43068</v>
      </c>
      <c r="F2215" s="59">
        <v>6824.39</v>
      </c>
    </row>
    <row r="2216" ht="16.5" customHeight="1" spans="5:6">
      <c r="E2216" s="58">
        <v>43067</v>
      </c>
      <c r="F2216" s="59">
        <v>6912.36</v>
      </c>
    </row>
    <row r="2217" ht="16.5" customHeight="1" spans="5:6">
      <c r="E2217" s="58">
        <v>43066</v>
      </c>
      <c r="F2217" s="59">
        <v>6878.52</v>
      </c>
    </row>
    <row r="2218" ht="16.5" customHeight="1" spans="5:6">
      <c r="E2218" s="58">
        <v>43063</v>
      </c>
      <c r="F2218" s="59">
        <v>6889.16</v>
      </c>
    </row>
    <row r="2219" ht="16.5" customHeight="1" spans="5:6">
      <c r="E2219" s="58">
        <v>43061</v>
      </c>
      <c r="F2219" s="59">
        <v>6867.36</v>
      </c>
    </row>
    <row r="2220" ht="16.5" customHeight="1" spans="5:6">
      <c r="E2220" s="58">
        <v>43060</v>
      </c>
      <c r="F2220" s="59">
        <v>6862.48</v>
      </c>
    </row>
    <row r="2221" ht="16.5" customHeight="1" spans="5:6">
      <c r="E2221" s="58">
        <v>43059</v>
      </c>
      <c r="F2221" s="59">
        <v>6790.71</v>
      </c>
    </row>
    <row r="2222" ht="16.5" customHeight="1" spans="5:6">
      <c r="E2222" s="58">
        <v>43056</v>
      </c>
      <c r="F2222" s="59">
        <v>6782.79</v>
      </c>
    </row>
    <row r="2223" ht="16.5" customHeight="1" spans="5:6">
      <c r="E2223" s="58">
        <v>43055</v>
      </c>
      <c r="F2223" s="59">
        <v>6793.29</v>
      </c>
    </row>
    <row r="2224" ht="16.5" customHeight="1" spans="5:6">
      <c r="E2224" s="58">
        <v>43054</v>
      </c>
      <c r="F2224" s="59">
        <v>6706.21</v>
      </c>
    </row>
    <row r="2225" ht="16.5" customHeight="1" spans="5:6">
      <c r="E2225" s="58">
        <v>43053</v>
      </c>
      <c r="F2225" s="59">
        <v>6737.87</v>
      </c>
    </row>
    <row r="2226" ht="16.5" customHeight="1" spans="5:6">
      <c r="E2226" s="58">
        <v>43052</v>
      </c>
      <c r="F2226" s="59">
        <v>6757.6</v>
      </c>
    </row>
    <row r="2227" ht="16.5" customHeight="1" spans="5:6">
      <c r="E2227" s="58">
        <v>43049</v>
      </c>
      <c r="F2227" s="59">
        <v>6750.94</v>
      </c>
    </row>
    <row r="2228" ht="16.5" customHeight="1" spans="5:6">
      <c r="E2228" s="58">
        <v>43048</v>
      </c>
      <c r="F2228" s="59">
        <v>6750.05</v>
      </c>
    </row>
    <row r="2229" ht="16.5" customHeight="1" spans="5:6">
      <c r="E2229" s="58">
        <v>43047</v>
      </c>
      <c r="F2229" s="59">
        <v>6789.12</v>
      </c>
    </row>
    <row r="2230" ht="16.5" customHeight="1" spans="5:6">
      <c r="E2230" s="58">
        <v>43046</v>
      </c>
      <c r="F2230" s="59">
        <v>6767.78</v>
      </c>
    </row>
    <row r="2231" ht="16.5" customHeight="1" spans="5:6">
      <c r="E2231" s="58">
        <v>43045</v>
      </c>
      <c r="F2231" s="59">
        <v>6786.44</v>
      </c>
    </row>
    <row r="2232" ht="16.5" customHeight="1" spans="5:6">
      <c r="E2232" s="58">
        <v>43042</v>
      </c>
      <c r="F2232" s="59">
        <v>6764.44</v>
      </c>
    </row>
    <row r="2233" ht="16.5" customHeight="1" spans="5:6">
      <c r="E2233" s="58">
        <v>43041</v>
      </c>
      <c r="F2233" s="59">
        <v>6714.94</v>
      </c>
    </row>
    <row r="2234" ht="16.5" customHeight="1" spans="5:6">
      <c r="E2234" s="58">
        <v>43040</v>
      </c>
      <c r="F2234" s="59">
        <v>6716.53</v>
      </c>
    </row>
    <row r="2235" ht="16.5" customHeight="1" spans="5:6">
      <c r="E2235" s="58">
        <v>43039</v>
      </c>
      <c r="F2235" s="59">
        <v>6727.67</v>
      </c>
    </row>
    <row r="2236" ht="16.5" customHeight="1" spans="5:6">
      <c r="E2236" s="58">
        <v>43038</v>
      </c>
      <c r="F2236" s="59">
        <v>6698.96</v>
      </c>
    </row>
    <row r="2237" ht="16.5" customHeight="1" spans="5:6">
      <c r="E2237" s="58">
        <v>43035</v>
      </c>
      <c r="F2237" s="59">
        <v>6701.26</v>
      </c>
    </row>
    <row r="2238" ht="16.5" customHeight="1" spans="5:6">
      <c r="E2238" s="58">
        <v>43034</v>
      </c>
      <c r="F2238" s="59">
        <v>6556.77</v>
      </c>
    </row>
    <row r="2239" ht="16.5" customHeight="1" spans="5:6">
      <c r="E2239" s="58">
        <v>43033</v>
      </c>
      <c r="F2239" s="59">
        <v>6563.89</v>
      </c>
    </row>
    <row r="2240" ht="16.5" customHeight="1" spans="5:6">
      <c r="E2240" s="58">
        <v>43032</v>
      </c>
      <c r="F2240" s="59">
        <v>6598.43</v>
      </c>
    </row>
    <row r="2241" ht="16.5" customHeight="1" spans="5:6">
      <c r="E2241" s="58">
        <v>43031</v>
      </c>
      <c r="F2241" s="59">
        <v>6586.83</v>
      </c>
    </row>
    <row r="2242" ht="16.5" customHeight="1" spans="5:6">
      <c r="E2242" s="58">
        <v>43028</v>
      </c>
      <c r="F2242" s="59">
        <v>6629.05</v>
      </c>
    </row>
    <row r="2243" ht="16.5" customHeight="1" spans="5:6">
      <c r="E2243" s="58">
        <v>43027</v>
      </c>
      <c r="F2243" s="59">
        <v>6605.07</v>
      </c>
    </row>
    <row r="2244" ht="16.5" customHeight="1" spans="5:6">
      <c r="E2244" s="58">
        <v>43026</v>
      </c>
      <c r="F2244" s="59">
        <v>6624.22</v>
      </c>
    </row>
    <row r="2245" ht="16.5" customHeight="1" spans="5:6">
      <c r="E2245" s="58">
        <v>43025</v>
      </c>
      <c r="F2245" s="59">
        <v>6623.66</v>
      </c>
    </row>
    <row r="2246" ht="16.5" customHeight="1" spans="5:6">
      <c r="E2246" s="58">
        <v>43024</v>
      </c>
      <c r="F2246" s="59">
        <v>6624</v>
      </c>
    </row>
    <row r="2247" ht="16.5" customHeight="1" spans="5:6">
      <c r="E2247" s="58">
        <v>43021</v>
      </c>
      <c r="F2247" s="59">
        <v>6605.8</v>
      </c>
    </row>
    <row r="2248" ht="16.5" customHeight="1" spans="5:6">
      <c r="E2248" s="58">
        <v>43020</v>
      </c>
      <c r="F2248" s="59">
        <v>6591.51</v>
      </c>
    </row>
    <row r="2249" ht="16.5" customHeight="1" spans="5:6">
      <c r="E2249" s="58">
        <v>43019</v>
      </c>
      <c r="F2249" s="59">
        <v>6603.55</v>
      </c>
    </row>
    <row r="2250" ht="16.5" customHeight="1" spans="5:6">
      <c r="E2250" s="58">
        <v>43018</v>
      </c>
      <c r="F2250" s="59">
        <v>6587.25</v>
      </c>
    </row>
    <row r="2251" ht="16.5" customHeight="1" spans="5:6">
      <c r="E2251" s="58">
        <v>43017</v>
      </c>
      <c r="F2251" s="59">
        <v>6579.73</v>
      </c>
    </row>
    <row r="2252" ht="16.5" customHeight="1" spans="5:6">
      <c r="E2252" s="58">
        <v>43014</v>
      </c>
      <c r="F2252" s="59">
        <v>6590.18</v>
      </c>
    </row>
    <row r="2253" ht="16.5" customHeight="1" spans="5:6">
      <c r="E2253" s="58">
        <v>43013</v>
      </c>
      <c r="F2253" s="59">
        <v>6585.36</v>
      </c>
    </row>
    <row r="2254" ht="16.5" customHeight="1" spans="5:6">
      <c r="E2254" s="58">
        <v>43012</v>
      </c>
      <c r="F2254" s="59">
        <v>6534.63</v>
      </c>
    </row>
    <row r="2255" ht="16.5" customHeight="1" spans="5:6">
      <c r="E2255" s="58">
        <v>43011</v>
      </c>
      <c r="F2255" s="59">
        <v>6531.71</v>
      </c>
    </row>
    <row r="2256" ht="16.5" customHeight="1" spans="5:6">
      <c r="E2256" s="58">
        <v>43010</v>
      </c>
      <c r="F2256" s="59">
        <v>6516.72</v>
      </c>
    </row>
    <row r="2257" ht="16.5" customHeight="1" spans="5:6">
      <c r="E2257" s="58">
        <v>43007</v>
      </c>
      <c r="F2257" s="59">
        <v>6495.96</v>
      </c>
    </row>
    <row r="2258" ht="16.5" customHeight="1" spans="5:6">
      <c r="E2258" s="58">
        <v>43006</v>
      </c>
      <c r="F2258" s="59">
        <v>6453.45</v>
      </c>
    </row>
    <row r="2259" ht="16.5" customHeight="1" spans="5:6">
      <c r="E2259" s="58">
        <v>43005</v>
      </c>
      <c r="F2259" s="59">
        <v>6453.26</v>
      </c>
    </row>
    <row r="2260" ht="16.5" customHeight="1" spans="5:6">
      <c r="E2260" s="58">
        <v>43004</v>
      </c>
      <c r="F2260" s="59">
        <v>6380.16</v>
      </c>
    </row>
    <row r="2261" ht="16.5" customHeight="1" spans="5:6">
      <c r="E2261" s="58">
        <v>43003</v>
      </c>
      <c r="F2261" s="59">
        <v>6370.59</v>
      </c>
    </row>
    <row r="2262" ht="16.5" customHeight="1" spans="5:6">
      <c r="E2262" s="58">
        <v>43000</v>
      </c>
      <c r="F2262" s="59">
        <v>6426.92</v>
      </c>
    </row>
    <row r="2263" ht="16.5" customHeight="1" spans="5:6">
      <c r="E2263" s="58">
        <v>42999</v>
      </c>
      <c r="F2263" s="59">
        <v>6422.69</v>
      </c>
    </row>
    <row r="2264" ht="16.5" customHeight="1" spans="5:6">
      <c r="E2264" s="58">
        <v>42998</v>
      </c>
      <c r="F2264" s="59">
        <v>6456.04</v>
      </c>
    </row>
    <row r="2265" ht="16.5" customHeight="1" spans="5:6">
      <c r="E2265" s="58">
        <v>42997</v>
      </c>
      <c r="F2265" s="59">
        <v>6461.32</v>
      </c>
    </row>
    <row r="2266" ht="16.5" customHeight="1" spans="5:6">
      <c r="E2266" s="58">
        <v>42996</v>
      </c>
      <c r="F2266" s="59">
        <v>6454.64</v>
      </c>
    </row>
    <row r="2267" ht="16.5" customHeight="1" spans="5:6">
      <c r="E2267" s="58">
        <v>42993</v>
      </c>
      <c r="F2267" s="59">
        <v>6448.47</v>
      </c>
    </row>
    <row r="2268" ht="16.5" customHeight="1" spans="5:6">
      <c r="E2268" s="58">
        <v>42992</v>
      </c>
      <c r="F2268" s="59">
        <v>6429.08</v>
      </c>
    </row>
    <row r="2269" ht="16.5" customHeight="1" spans="5:6">
      <c r="E2269" s="58">
        <v>42991</v>
      </c>
      <c r="F2269" s="59">
        <v>6460.19</v>
      </c>
    </row>
    <row r="2270" ht="16.5" customHeight="1" spans="5:6">
      <c r="E2270" s="58">
        <v>42990</v>
      </c>
      <c r="F2270" s="59">
        <v>6454.28</v>
      </c>
    </row>
    <row r="2271" ht="16.5" customHeight="1" spans="5:6">
      <c r="E2271" s="58">
        <v>42989</v>
      </c>
      <c r="F2271" s="59">
        <v>6432.26</v>
      </c>
    </row>
    <row r="2272" ht="16.5" customHeight="1" spans="5:6">
      <c r="E2272" s="58">
        <v>42986</v>
      </c>
      <c r="F2272" s="59">
        <v>6360.19</v>
      </c>
    </row>
    <row r="2273" ht="16.5" customHeight="1" spans="5:6">
      <c r="E2273" s="58">
        <v>42985</v>
      </c>
      <c r="F2273" s="59">
        <v>6397.87</v>
      </c>
    </row>
    <row r="2274" ht="16.5" customHeight="1" spans="5:6">
      <c r="E2274" s="58">
        <v>42984</v>
      </c>
      <c r="F2274" s="59">
        <v>6393.31</v>
      </c>
    </row>
    <row r="2275" ht="16.5" customHeight="1" spans="5:6">
      <c r="E2275" s="58">
        <v>42983</v>
      </c>
      <c r="F2275" s="59">
        <v>6375.57</v>
      </c>
    </row>
    <row r="2276" ht="16.5" customHeight="1" spans="5:6">
      <c r="E2276" s="58">
        <v>42979</v>
      </c>
      <c r="F2276" s="59">
        <v>6435.33</v>
      </c>
    </row>
    <row r="2277" ht="16.5" customHeight="1" spans="5:6">
      <c r="E2277" s="58">
        <v>42978</v>
      </c>
      <c r="F2277" s="59">
        <v>6428.66</v>
      </c>
    </row>
    <row r="2278" ht="16.5" customHeight="1" spans="5:6">
      <c r="E2278" s="58">
        <v>42977</v>
      </c>
      <c r="F2278" s="59">
        <v>6368.31</v>
      </c>
    </row>
    <row r="2279" ht="16.5" customHeight="1" spans="5:6">
      <c r="E2279" s="58">
        <v>42976</v>
      </c>
      <c r="F2279" s="59">
        <v>6301.89</v>
      </c>
    </row>
    <row r="2280" ht="16.5" customHeight="1" spans="5:6">
      <c r="E2280" s="58">
        <v>42975</v>
      </c>
      <c r="F2280" s="59">
        <v>6283.02</v>
      </c>
    </row>
    <row r="2281" ht="16.5" customHeight="1" spans="5:6">
      <c r="E2281" s="58">
        <v>42972</v>
      </c>
      <c r="F2281" s="59">
        <v>6265.64</v>
      </c>
    </row>
    <row r="2282" ht="16.5" customHeight="1" spans="5:6">
      <c r="E2282" s="58">
        <v>42971</v>
      </c>
      <c r="F2282" s="59">
        <v>6271.33</v>
      </c>
    </row>
    <row r="2283" ht="16.5" customHeight="1" spans="5:6">
      <c r="E2283" s="58">
        <v>42970</v>
      </c>
      <c r="F2283" s="59">
        <v>6278.41</v>
      </c>
    </row>
    <row r="2284" ht="16.5" customHeight="1" spans="5:6">
      <c r="E2284" s="58">
        <v>42969</v>
      </c>
      <c r="F2284" s="59">
        <v>6297.48</v>
      </c>
    </row>
    <row r="2285" ht="16.5" customHeight="1" spans="5:6">
      <c r="E2285" s="58">
        <v>42968</v>
      </c>
      <c r="F2285" s="59">
        <v>6213.13</v>
      </c>
    </row>
    <row r="2286" ht="16.5" customHeight="1" spans="5:6">
      <c r="E2286" s="58">
        <v>42965</v>
      </c>
      <c r="F2286" s="59">
        <v>6216.53</v>
      </c>
    </row>
    <row r="2287" ht="16.5" customHeight="1" spans="5:6">
      <c r="E2287" s="58">
        <v>42964</v>
      </c>
      <c r="F2287" s="59">
        <v>6221.91</v>
      </c>
    </row>
    <row r="2288" ht="16.5" customHeight="1" spans="5:6">
      <c r="E2288" s="58">
        <v>42963</v>
      </c>
      <c r="F2288" s="59">
        <v>6345.11</v>
      </c>
    </row>
    <row r="2289" ht="16.5" customHeight="1" spans="5:6">
      <c r="E2289" s="58">
        <v>42962</v>
      </c>
      <c r="F2289" s="59">
        <v>6333.01</v>
      </c>
    </row>
    <row r="2290" ht="16.5" customHeight="1" spans="5:6">
      <c r="E2290" s="58">
        <v>42961</v>
      </c>
      <c r="F2290" s="59">
        <v>6340.23</v>
      </c>
    </row>
    <row r="2291" ht="16.5" customHeight="1" spans="5:6">
      <c r="E2291" s="58">
        <v>42958</v>
      </c>
      <c r="F2291" s="59">
        <v>6256.56</v>
      </c>
    </row>
    <row r="2292" ht="16.5" customHeight="1" spans="5:6">
      <c r="E2292" s="58">
        <v>42957</v>
      </c>
      <c r="F2292" s="59">
        <v>6216.87</v>
      </c>
    </row>
    <row r="2293" ht="16.5" customHeight="1" spans="5:6">
      <c r="E2293" s="58">
        <v>42956</v>
      </c>
      <c r="F2293" s="59">
        <v>6352.33</v>
      </c>
    </row>
    <row r="2294" ht="16.5" customHeight="1" spans="5:6">
      <c r="E2294" s="58">
        <v>42955</v>
      </c>
      <c r="F2294" s="59">
        <v>6370.46</v>
      </c>
    </row>
    <row r="2295" ht="16.5" customHeight="1" spans="5:6">
      <c r="E2295" s="58">
        <v>42954</v>
      </c>
      <c r="F2295" s="59">
        <v>6383.77</v>
      </c>
    </row>
    <row r="2296" ht="16.5" customHeight="1" spans="5:6">
      <c r="E2296" s="58">
        <v>42951</v>
      </c>
      <c r="F2296" s="59">
        <v>6351.56</v>
      </c>
    </row>
    <row r="2297" ht="16.5" customHeight="1" spans="5:6">
      <c r="E2297" s="58">
        <v>42950</v>
      </c>
      <c r="F2297" s="59">
        <v>6340.34</v>
      </c>
    </row>
    <row r="2298" ht="16.5" customHeight="1" spans="5:6">
      <c r="E2298" s="58">
        <v>42949</v>
      </c>
      <c r="F2298" s="59">
        <v>6362.65</v>
      </c>
    </row>
    <row r="2299" ht="16.5" customHeight="1" spans="5:6">
      <c r="E2299" s="58">
        <v>42948</v>
      </c>
      <c r="F2299" s="59">
        <v>6362.94</v>
      </c>
    </row>
    <row r="2300" ht="16.5" customHeight="1" spans="5:6">
      <c r="E2300" s="58">
        <v>42947</v>
      </c>
      <c r="F2300" s="59">
        <v>6348.12</v>
      </c>
    </row>
    <row r="2301" ht="16.5" customHeight="1" spans="5:6">
      <c r="E2301" s="58">
        <v>42944</v>
      </c>
      <c r="F2301" s="59">
        <v>6374.68</v>
      </c>
    </row>
    <row r="2302" ht="16.5" customHeight="1" spans="5:6">
      <c r="E2302" s="58">
        <v>42943</v>
      </c>
      <c r="F2302" s="59">
        <v>6382.19</v>
      </c>
    </row>
    <row r="2303" ht="16.5" customHeight="1" spans="5:6">
      <c r="E2303" s="58">
        <v>42942</v>
      </c>
      <c r="F2303" s="59">
        <v>6422.75</v>
      </c>
    </row>
    <row r="2304" ht="16.5" customHeight="1" spans="5:6">
      <c r="E2304" s="58">
        <v>42941</v>
      </c>
      <c r="F2304" s="59">
        <v>6412.17</v>
      </c>
    </row>
    <row r="2305" ht="16.5" customHeight="1" spans="5:6">
      <c r="E2305" s="58">
        <v>42940</v>
      </c>
      <c r="F2305" s="59">
        <v>6410.81</v>
      </c>
    </row>
    <row r="2306" ht="16.5" customHeight="1" spans="5:6">
      <c r="E2306" s="58">
        <v>42937</v>
      </c>
      <c r="F2306" s="59">
        <v>6387.75</v>
      </c>
    </row>
    <row r="2307" ht="16.5" customHeight="1" spans="5:6">
      <c r="E2307" s="58">
        <v>42936</v>
      </c>
      <c r="F2307" s="59">
        <v>6390</v>
      </c>
    </row>
    <row r="2308" ht="16.5" customHeight="1" spans="5:6">
      <c r="E2308" s="58">
        <v>42935</v>
      </c>
      <c r="F2308" s="59">
        <v>6385.04</v>
      </c>
    </row>
    <row r="2309" ht="16.5" customHeight="1" spans="5:6">
      <c r="E2309" s="58">
        <v>42934</v>
      </c>
      <c r="F2309" s="59">
        <v>6344.31</v>
      </c>
    </row>
    <row r="2310" ht="16.5" customHeight="1" spans="5:6">
      <c r="E2310" s="58">
        <v>42933</v>
      </c>
      <c r="F2310" s="59">
        <v>6314.43</v>
      </c>
    </row>
    <row r="2311" ht="16.5" customHeight="1" spans="5:6">
      <c r="E2311" s="58">
        <v>42930</v>
      </c>
      <c r="F2311" s="59">
        <v>6312.47</v>
      </c>
    </row>
    <row r="2312" ht="16.5" customHeight="1" spans="5:6">
      <c r="E2312" s="58">
        <v>42929</v>
      </c>
      <c r="F2312" s="59">
        <v>6274.44</v>
      </c>
    </row>
    <row r="2313" ht="16.5" customHeight="1" spans="5:6">
      <c r="E2313" s="58">
        <v>42928</v>
      </c>
      <c r="F2313" s="59">
        <v>6261.17</v>
      </c>
    </row>
    <row r="2314" ht="16.5" customHeight="1" spans="5:6">
      <c r="E2314" s="58">
        <v>42927</v>
      </c>
      <c r="F2314" s="59">
        <v>6193.3</v>
      </c>
    </row>
    <row r="2315" ht="16.5" customHeight="1" spans="5:6">
      <c r="E2315" s="58">
        <v>42926</v>
      </c>
      <c r="F2315" s="59">
        <v>6176.39</v>
      </c>
    </row>
    <row r="2316" ht="16.5" customHeight="1" spans="5:6">
      <c r="E2316" s="58">
        <v>42923</v>
      </c>
      <c r="F2316" s="59">
        <v>6153.08</v>
      </c>
    </row>
    <row r="2317" ht="16.5" customHeight="1" spans="5:6">
      <c r="E2317" s="58">
        <v>42922</v>
      </c>
      <c r="F2317" s="59">
        <v>6089.46</v>
      </c>
    </row>
    <row r="2318" ht="16.5" customHeight="1" spans="5:6">
      <c r="E2318" s="58">
        <v>42921</v>
      </c>
      <c r="F2318" s="59">
        <v>6150.86</v>
      </c>
    </row>
    <row r="2319" ht="16.5" customHeight="1" spans="5:6">
      <c r="E2319" s="58">
        <v>42919</v>
      </c>
      <c r="F2319" s="59">
        <v>6110.06</v>
      </c>
    </row>
    <row r="2320" ht="16.5" customHeight="1" spans="5:6">
      <c r="E2320" s="58">
        <v>42916</v>
      </c>
      <c r="F2320" s="59">
        <v>6140.42</v>
      </c>
    </row>
    <row r="2321" ht="16.5" customHeight="1" spans="5:6">
      <c r="E2321" s="58">
        <v>42915</v>
      </c>
      <c r="F2321" s="59">
        <v>6144.35</v>
      </c>
    </row>
    <row r="2322" ht="16.5" customHeight="1" spans="5:6">
      <c r="E2322" s="58">
        <v>42914</v>
      </c>
      <c r="F2322" s="59">
        <v>6234.41</v>
      </c>
    </row>
    <row r="2323" ht="16.5" customHeight="1" spans="5:6">
      <c r="E2323" s="58">
        <v>42913</v>
      </c>
      <c r="F2323" s="59">
        <v>6146.62</v>
      </c>
    </row>
    <row r="2324" ht="16.5" customHeight="1" spans="5:6">
      <c r="E2324" s="58">
        <v>42912</v>
      </c>
      <c r="F2324" s="59">
        <v>6247.15</v>
      </c>
    </row>
    <row r="2325" ht="16.5" customHeight="1" spans="5:6">
      <c r="E2325" s="58">
        <v>42909</v>
      </c>
      <c r="F2325" s="59">
        <v>6265.25</v>
      </c>
    </row>
    <row r="2326" ht="16.5" customHeight="1" spans="5:6">
      <c r="E2326" s="58">
        <v>42908</v>
      </c>
      <c r="F2326" s="59">
        <v>6236.69</v>
      </c>
    </row>
    <row r="2327" ht="16.5" customHeight="1" spans="5:6">
      <c r="E2327" s="58">
        <v>42907</v>
      </c>
      <c r="F2327" s="59">
        <v>6233.95</v>
      </c>
    </row>
    <row r="2328" ht="16.5" customHeight="1" spans="5:6">
      <c r="E2328" s="58">
        <v>42906</v>
      </c>
      <c r="F2328" s="59">
        <v>6188.03</v>
      </c>
    </row>
    <row r="2329" ht="16.5" customHeight="1" spans="5:6">
      <c r="E2329" s="58">
        <v>42905</v>
      </c>
      <c r="F2329" s="59">
        <v>6239.01</v>
      </c>
    </row>
    <row r="2330" ht="16.5" customHeight="1" spans="5:6">
      <c r="E2330" s="58">
        <v>42902</v>
      </c>
      <c r="F2330" s="59">
        <v>6151.76</v>
      </c>
    </row>
    <row r="2331" ht="16.5" customHeight="1" spans="5:6">
      <c r="E2331" s="58">
        <v>42901</v>
      </c>
      <c r="F2331" s="59">
        <v>6165.5</v>
      </c>
    </row>
    <row r="2332" ht="16.5" customHeight="1" spans="5:6">
      <c r="E2332" s="58">
        <v>42900</v>
      </c>
      <c r="F2332" s="59">
        <v>6194.89</v>
      </c>
    </row>
    <row r="2333" ht="16.5" customHeight="1" spans="5:6">
      <c r="E2333" s="58">
        <v>42899</v>
      </c>
      <c r="F2333" s="59">
        <v>6220.37</v>
      </c>
    </row>
    <row r="2334" ht="16.5" customHeight="1" spans="5:6">
      <c r="E2334" s="58">
        <v>42898</v>
      </c>
      <c r="F2334" s="59">
        <v>6175.46</v>
      </c>
    </row>
    <row r="2335" ht="16.5" customHeight="1" spans="5:6">
      <c r="E2335" s="58">
        <v>42895</v>
      </c>
      <c r="F2335" s="59">
        <v>6207.92</v>
      </c>
    </row>
    <row r="2336" ht="16.5" customHeight="1" spans="5:6">
      <c r="E2336" s="58">
        <v>42894</v>
      </c>
      <c r="F2336" s="59">
        <v>6321.76</v>
      </c>
    </row>
    <row r="2337" ht="16.5" customHeight="1" spans="5:6">
      <c r="E2337" s="58">
        <v>42893</v>
      </c>
      <c r="F2337" s="59">
        <v>6297.38</v>
      </c>
    </row>
    <row r="2338" ht="16.5" customHeight="1" spans="5:6">
      <c r="E2338" s="58">
        <v>42892</v>
      </c>
      <c r="F2338" s="59">
        <v>6275.06</v>
      </c>
    </row>
    <row r="2339" ht="16.5" customHeight="1" spans="5:6">
      <c r="E2339" s="58">
        <v>42891</v>
      </c>
      <c r="F2339" s="59">
        <v>6295.68</v>
      </c>
    </row>
    <row r="2340" ht="16.5" customHeight="1" spans="5:6">
      <c r="E2340" s="58">
        <v>42888</v>
      </c>
      <c r="F2340" s="59">
        <v>6305.8</v>
      </c>
    </row>
    <row r="2341" ht="16.5" customHeight="1" spans="5:6">
      <c r="E2341" s="58">
        <v>42887</v>
      </c>
      <c r="F2341" s="59">
        <v>6246.83</v>
      </c>
    </row>
    <row r="2342" ht="16.5" customHeight="1" spans="5:6">
      <c r="E2342" s="58">
        <v>42886</v>
      </c>
      <c r="F2342" s="59">
        <v>6198.52</v>
      </c>
    </row>
    <row r="2343" ht="16.5" customHeight="1" spans="5:6">
      <c r="E2343" s="58">
        <v>42885</v>
      </c>
      <c r="F2343" s="59">
        <v>6203.19</v>
      </c>
    </row>
    <row r="2344" ht="16.5" customHeight="1" spans="5:6">
      <c r="E2344" s="58">
        <v>42881</v>
      </c>
      <c r="F2344" s="59">
        <v>6210.19</v>
      </c>
    </row>
    <row r="2345" ht="16.5" customHeight="1" spans="5:6">
      <c r="E2345" s="58">
        <v>42880</v>
      </c>
      <c r="F2345" s="59">
        <v>6205.26</v>
      </c>
    </row>
    <row r="2346" ht="16.5" customHeight="1" spans="5:6">
      <c r="E2346" s="58">
        <v>42879</v>
      </c>
      <c r="F2346" s="59">
        <v>6163.02</v>
      </c>
    </row>
    <row r="2347" ht="16.5" customHeight="1" spans="5:6">
      <c r="E2347" s="58">
        <v>42878</v>
      </c>
      <c r="F2347" s="59">
        <v>6138.71</v>
      </c>
    </row>
    <row r="2348" ht="16.5" customHeight="1" spans="5:6">
      <c r="E2348" s="58">
        <v>42877</v>
      </c>
      <c r="F2348" s="59">
        <v>6133.62</v>
      </c>
    </row>
    <row r="2349" ht="16.5" customHeight="1" spans="5:6">
      <c r="E2349" s="58">
        <v>42874</v>
      </c>
      <c r="F2349" s="59">
        <v>6083.7</v>
      </c>
    </row>
    <row r="2350" ht="16.5" customHeight="1" spans="5:6">
      <c r="E2350" s="58">
        <v>42873</v>
      </c>
      <c r="F2350" s="59">
        <v>6055.13</v>
      </c>
    </row>
    <row r="2351" ht="16.5" customHeight="1" spans="5:6">
      <c r="E2351" s="58">
        <v>42872</v>
      </c>
      <c r="F2351" s="59">
        <v>6011.24</v>
      </c>
    </row>
    <row r="2352" ht="16.5" customHeight="1" spans="5:6">
      <c r="E2352" s="58">
        <v>42871</v>
      </c>
      <c r="F2352" s="59">
        <v>6169.87</v>
      </c>
    </row>
    <row r="2353" ht="16.5" customHeight="1" spans="5:6">
      <c r="E2353" s="58">
        <v>42870</v>
      </c>
      <c r="F2353" s="59">
        <v>6149.67</v>
      </c>
    </row>
    <row r="2354" ht="16.5" customHeight="1" spans="5:6">
      <c r="E2354" s="58">
        <v>42867</v>
      </c>
      <c r="F2354" s="59">
        <v>6121.23</v>
      </c>
    </row>
    <row r="2355" ht="16.5" customHeight="1" spans="5:6">
      <c r="E2355" s="58">
        <v>42866</v>
      </c>
      <c r="F2355" s="59">
        <v>6115.96</v>
      </c>
    </row>
    <row r="2356" ht="16.5" customHeight="1" spans="5:6">
      <c r="E2356" s="58">
        <v>42865</v>
      </c>
      <c r="F2356" s="59">
        <v>6129.14</v>
      </c>
    </row>
    <row r="2357" ht="16.5" customHeight="1" spans="5:6">
      <c r="E2357" s="58">
        <v>42864</v>
      </c>
      <c r="F2357" s="59">
        <v>6120.59</v>
      </c>
    </row>
    <row r="2358" ht="16.5" customHeight="1" spans="5:6">
      <c r="E2358" s="58">
        <v>42863</v>
      </c>
      <c r="F2358" s="59">
        <v>6102.66</v>
      </c>
    </row>
    <row r="2359" ht="16.5" customHeight="1" spans="5:6">
      <c r="E2359" s="58">
        <v>42860</v>
      </c>
      <c r="F2359" s="59">
        <v>6100.76</v>
      </c>
    </row>
    <row r="2360" ht="16.5" customHeight="1" spans="5:6">
      <c r="E2360" s="58">
        <v>42859</v>
      </c>
      <c r="F2360" s="59">
        <v>6075.34</v>
      </c>
    </row>
    <row r="2361" ht="16.5" customHeight="1" spans="5:6">
      <c r="E2361" s="58">
        <v>42858</v>
      </c>
      <c r="F2361" s="59">
        <v>6072.55</v>
      </c>
    </row>
    <row r="2362" ht="16.5" customHeight="1" spans="5:6">
      <c r="E2362" s="58">
        <v>42857</v>
      </c>
      <c r="F2362" s="59">
        <v>6095.37</v>
      </c>
    </row>
    <row r="2363" ht="16.5" customHeight="1" spans="5:6">
      <c r="E2363" s="58">
        <v>42856</v>
      </c>
      <c r="F2363" s="59">
        <v>6091.6</v>
      </c>
    </row>
    <row r="2364" ht="16.5" customHeight="1" spans="5:6">
      <c r="E2364" s="58">
        <v>42853</v>
      </c>
      <c r="F2364" s="59">
        <v>6047.61</v>
      </c>
    </row>
    <row r="2365" ht="16.5" customHeight="1" spans="5:6">
      <c r="E2365" s="58">
        <v>42852</v>
      </c>
      <c r="F2365" s="59">
        <v>6048.94</v>
      </c>
    </row>
    <row r="2366" ht="16.5" customHeight="1" spans="5:6">
      <c r="E2366" s="58">
        <v>42851</v>
      </c>
      <c r="F2366" s="59">
        <v>6025.23</v>
      </c>
    </row>
    <row r="2367" ht="16.5" customHeight="1" spans="5:6">
      <c r="E2367" s="58">
        <v>42850</v>
      </c>
      <c r="F2367" s="59">
        <v>6025.49</v>
      </c>
    </row>
    <row r="2368" ht="16.5" customHeight="1" spans="5:6">
      <c r="E2368" s="58">
        <v>42849</v>
      </c>
      <c r="F2368" s="59">
        <v>5983.82</v>
      </c>
    </row>
    <row r="2369" ht="16.5" customHeight="1" spans="5:6">
      <c r="E2369" s="58">
        <v>42846</v>
      </c>
      <c r="F2369" s="59">
        <v>5910.52</v>
      </c>
    </row>
    <row r="2370" ht="16.5" customHeight="1" spans="5:6">
      <c r="E2370" s="58">
        <v>42845</v>
      </c>
      <c r="F2370" s="59">
        <v>5916.78</v>
      </c>
    </row>
    <row r="2371" ht="16.5" customHeight="1" spans="5:6">
      <c r="E2371" s="58">
        <v>42844</v>
      </c>
      <c r="F2371" s="59">
        <v>5863.03</v>
      </c>
    </row>
    <row r="2372" ht="16.5" customHeight="1" spans="5:6">
      <c r="E2372" s="58">
        <v>42843</v>
      </c>
      <c r="F2372" s="59">
        <v>5849.47</v>
      </c>
    </row>
    <row r="2373" ht="16.5" customHeight="1" spans="5:6">
      <c r="E2373" s="58">
        <v>42842</v>
      </c>
      <c r="F2373" s="59">
        <v>5856.79</v>
      </c>
    </row>
    <row r="2374" ht="16.5" customHeight="1" spans="5:6">
      <c r="E2374" s="58">
        <v>42838</v>
      </c>
      <c r="F2374" s="59">
        <v>5805.15</v>
      </c>
    </row>
    <row r="2375" ht="16.5" customHeight="1" spans="5:6">
      <c r="E2375" s="58">
        <v>42837</v>
      </c>
      <c r="F2375" s="59">
        <v>5836.16</v>
      </c>
    </row>
    <row r="2376" ht="16.5" customHeight="1" spans="5:6">
      <c r="E2376" s="58">
        <v>42836</v>
      </c>
      <c r="F2376" s="59">
        <v>5866.77</v>
      </c>
    </row>
    <row r="2377" ht="16.5" customHeight="1" spans="5:6">
      <c r="E2377" s="58">
        <v>42835</v>
      </c>
      <c r="F2377" s="59">
        <v>5880.93</v>
      </c>
    </row>
    <row r="2378" ht="16.5" customHeight="1" spans="5:6">
      <c r="E2378" s="58">
        <v>42832</v>
      </c>
      <c r="F2378" s="59">
        <v>5877.81</v>
      </c>
    </row>
    <row r="2379" ht="16.5" customHeight="1" spans="5:6">
      <c r="E2379" s="58">
        <v>42831</v>
      </c>
      <c r="F2379" s="59">
        <v>5878.95</v>
      </c>
    </row>
    <row r="2380" ht="16.5" customHeight="1" spans="5:6">
      <c r="E2380" s="58">
        <v>42830</v>
      </c>
      <c r="F2380" s="59">
        <v>5864.48</v>
      </c>
    </row>
    <row r="2381" ht="16.5" customHeight="1" spans="5:6">
      <c r="E2381" s="58">
        <v>42829</v>
      </c>
      <c r="F2381" s="59">
        <v>5898.61</v>
      </c>
    </row>
    <row r="2382" ht="16.5" customHeight="1" spans="5:6">
      <c r="E2382" s="58">
        <v>42828</v>
      </c>
      <c r="F2382" s="59">
        <v>5894.68</v>
      </c>
    </row>
    <row r="2383" ht="16.5" customHeight="1" spans="5:6">
      <c r="E2383" s="58">
        <v>42825</v>
      </c>
      <c r="F2383" s="59">
        <v>5911.74</v>
      </c>
    </row>
    <row r="2384" ht="16.5" customHeight="1" spans="5:6">
      <c r="E2384" s="58">
        <v>42824</v>
      </c>
      <c r="F2384" s="59">
        <v>5914.34</v>
      </c>
    </row>
    <row r="2385" ht="16.5" customHeight="1" spans="5:6">
      <c r="E2385" s="58">
        <v>42823</v>
      </c>
      <c r="F2385" s="59">
        <v>5897.55</v>
      </c>
    </row>
    <row r="2386" ht="16.5" customHeight="1" spans="5:6">
      <c r="E2386" s="58">
        <v>42822</v>
      </c>
      <c r="F2386" s="59">
        <v>5875.14</v>
      </c>
    </row>
    <row r="2387" ht="16.5" customHeight="1" spans="5:6">
      <c r="E2387" s="58">
        <v>42821</v>
      </c>
      <c r="F2387" s="59">
        <v>5840.37</v>
      </c>
    </row>
    <row r="2388" ht="16.5" customHeight="1" spans="5:6">
      <c r="E2388" s="58">
        <v>42818</v>
      </c>
      <c r="F2388" s="59">
        <v>5828.74</v>
      </c>
    </row>
    <row r="2389" ht="16.5" customHeight="1" spans="5:6">
      <c r="E2389" s="58">
        <v>42817</v>
      </c>
      <c r="F2389" s="59">
        <v>5817.69</v>
      </c>
    </row>
    <row r="2390" ht="16.5" customHeight="1" spans="5:6">
      <c r="E2390" s="58">
        <v>42816</v>
      </c>
      <c r="F2390" s="59">
        <v>5821.64</v>
      </c>
    </row>
    <row r="2391" ht="16.5" customHeight="1" spans="5:6">
      <c r="E2391" s="58">
        <v>42815</v>
      </c>
      <c r="F2391" s="59">
        <v>5793.83</v>
      </c>
    </row>
    <row r="2392" ht="16.5" customHeight="1" spans="5:6">
      <c r="E2392" s="58">
        <v>42814</v>
      </c>
      <c r="F2392" s="59">
        <v>5901.53</v>
      </c>
    </row>
    <row r="2393" ht="16.5" customHeight="1" spans="5:6">
      <c r="E2393" s="58">
        <v>42811</v>
      </c>
      <c r="F2393" s="59">
        <v>5901</v>
      </c>
    </row>
    <row r="2394" ht="16.5" customHeight="1" spans="5:6">
      <c r="E2394" s="58">
        <v>42810</v>
      </c>
      <c r="F2394" s="59">
        <v>5900.76</v>
      </c>
    </row>
    <row r="2395" ht="16.5" customHeight="1" spans="5:6">
      <c r="E2395" s="58">
        <v>42809</v>
      </c>
      <c r="F2395" s="59">
        <v>5900.05</v>
      </c>
    </row>
    <row r="2396" ht="16.5" customHeight="1" spans="5:6">
      <c r="E2396" s="58">
        <v>42808</v>
      </c>
      <c r="F2396" s="59">
        <v>5856.82</v>
      </c>
    </row>
    <row r="2397" ht="16.5" customHeight="1" spans="5:6">
      <c r="E2397" s="58">
        <v>42807</v>
      </c>
      <c r="F2397" s="59">
        <v>5875.78</v>
      </c>
    </row>
    <row r="2398" ht="16.5" customHeight="1" spans="5:6">
      <c r="E2398" s="58">
        <v>42804</v>
      </c>
      <c r="F2398" s="59">
        <v>5861.73</v>
      </c>
    </row>
    <row r="2399" ht="16.5" customHeight="1" spans="5:6">
      <c r="E2399" s="58">
        <v>42803</v>
      </c>
      <c r="F2399" s="59">
        <v>5838.81</v>
      </c>
    </row>
    <row r="2400" ht="16.5" customHeight="1" spans="5:6">
      <c r="E2400" s="58">
        <v>42802</v>
      </c>
      <c r="F2400" s="59">
        <v>5837.55</v>
      </c>
    </row>
    <row r="2401" ht="16.5" customHeight="1" spans="5:6">
      <c r="E2401" s="58">
        <v>42801</v>
      </c>
      <c r="F2401" s="59">
        <v>5833.93</v>
      </c>
    </row>
    <row r="2402" ht="16.5" customHeight="1" spans="5:6">
      <c r="E2402" s="58">
        <v>42800</v>
      </c>
      <c r="F2402" s="59">
        <v>5849.17</v>
      </c>
    </row>
    <row r="2403" ht="16.5" customHeight="1" spans="5:6">
      <c r="E2403" s="58">
        <v>42797</v>
      </c>
      <c r="F2403" s="59">
        <v>5870.75</v>
      </c>
    </row>
    <row r="2404" ht="16.5" customHeight="1" spans="5:6">
      <c r="E2404" s="58">
        <v>42796</v>
      </c>
      <c r="F2404" s="59">
        <v>5861.22</v>
      </c>
    </row>
    <row r="2405" ht="16.5" customHeight="1" spans="5:6">
      <c r="E2405" s="58">
        <v>42795</v>
      </c>
      <c r="F2405" s="59">
        <v>5904.03</v>
      </c>
    </row>
    <row r="2406" ht="16.5" customHeight="1" spans="5:6">
      <c r="E2406" s="58">
        <v>42794</v>
      </c>
      <c r="F2406" s="59">
        <v>5825.44</v>
      </c>
    </row>
    <row r="2407" ht="16.5" customHeight="1" spans="5:6">
      <c r="E2407" s="58">
        <v>42793</v>
      </c>
      <c r="F2407" s="59">
        <v>5861.9</v>
      </c>
    </row>
    <row r="2408" ht="16.5" customHeight="1" spans="5:6">
      <c r="E2408" s="58">
        <v>42790</v>
      </c>
      <c r="F2408" s="59">
        <v>5845.31</v>
      </c>
    </row>
    <row r="2409" ht="16.5" customHeight="1" spans="5:6">
      <c r="E2409" s="58">
        <v>42789</v>
      </c>
      <c r="F2409" s="59">
        <v>5835.51</v>
      </c>
    </row>
    <row r="2410" ht="16.5" customHeight="1" spans="5:6">
      <c r="E2410" s="58">
        <v>42788</v>
      </c>
      <c r="F2410" s="59">
        <v>5860.63</v>
      </c>
    </row>
    <row r="2411" ht="16.5" customHeight="1" spans="5:6">
      <c r="E2411" s="58">
        <v>42787</v>
      </c>
      <c r="F2411" s="59">
        <v>5865.95</v>
      </c>
    </row>
    <row r="2412" ht="16.5" customHeight="1" spans="5:6">
      <c r="E2412" s="58">
        <v>42783</v>
      </c>
      <c r="F2412" s="59">
        <v>5838.58</v>
      </c>
    </row>
    <row r="2413" ht="16.5" customHeight="1" spans="5:6">
      <c r="E2413" s="58">
        <v>42782</v>
      </c>
      <c r="F2413" s="59">
        <v>5814.9</v>
      </c>
    </row>
    <row r="2414" ht="16.5" customHeight="1" spans="5:6">
      <c r="E2414" s="58">
        <v>42781</v>
      </c>
      <c r="F2414" s="59">
        <v>5819.44</v>
      </c>
    </row>
    <row r="2415" ht="16.5" customHeight="1" spans="5:6">
      <c r="E2415" s="58">
        <v>42780</v>
      </c>
      <c r="F2415" s="59">
        <v>5782.57</v>
      </c>
    </row>
    <row r="2416" ht="16.5" customHeight="1" spans="5:6">
      <c r="E2416" s="58">
        <v>42779</v>
      </c>
      <c r="F2416" s="59">
        <v>5763.96</v>
      </c>
    </row>
    <row r="2417" ht="16.5" customHeight="1" spans="5:6">
      <c r="E2417" s="58">
        <v>42776</v>
      </c>
      <c r="F2417" s="59">
        <v>5734.13</v>
      </c>
    </row>
    <row r="2418" ht="16.5" customHeight="1" spans="5:6">
      <c r="E2418" s="58">
        <v>42775</v>
      </c>
      <c r="F2418" s="59">
        <v>5715.18</v>
      </c>
    </row>
    <row r="2419" ht="16.5" customHeight="1" spans="5:6">
      <c r="E2419" s="58">
        <v>42774</v>
      </c>
      <c r="F2419" s="59">
        <v>5682.45</v>
      </c>
    </row>
    <row r="2420" ht="16.5" customHeight="1" spans="5:6">
      <c r="E2420" s="58">
        <v>42773</v>
      </c>
      <c r="F2420" s="59">
        <v>5674.22</v>
      </c>
    </row>
    <row r="2421" ht="16.5" customHeight="1" spans="5:6">
      <c r="E2421" s="58">
        <v>42772</v>
      </c>
      <c r="F2421" s="59">
        <v>5663.55</v>
      </c>
    </row>
    <row r="2422" ht="16.5" customHeight="1" spans="5:6">
      <c r="E2422" s="58">
        <v>42769</v>
      </c>
      <c r="F2422" s="59">
        <v>5666.77</v>
      </c>
    </row>
    <row r="2423" ht="16.5" customHeight="1" spans="5:6">
      <c r="E2423" s="58">
        <v>42768</v>
      </c>
      <c r="F2423" s="59">
        <v>5636.2</v>
      </c>
    </row>
    <row r="2424" ht="16.5" customHeight="1" spans="5:6">
      <c r="E2424" s="58">
        <v>42767</v>
      </c>
      <c r="F2424" s="59">
        <v>5642.65</v>
      </c>
    </row>
    <row r="2425" ht="16.5" customHeight="1" spans="5:6">
      <c r="E2425" s="58">
        <v>42766</v>
      </c>
      <c r="F2425" s="59">
        <v>5614.79</v>
      </c>
    </row>
    <row r="2426" ht="16.5" customHeight="1" spans="5:6">
      <c r="E2426" s="58">
        <v>42765</v>
      </c>
      <c r="F2426" s="59">
        <v>5613.71</v>
      </c>
    </row>
    <row r="2427" ht="16.5" customHeight="1" spans="5:6">
      <c r="E2427" s="58">
        <v>42762</v>
      </c>
      <c r="F2427" s="59">
        <v>5660.78</v>
      </c>
    </row>
    <row r="2428" ht="16.5" customHeight="1" spans="5:6">
      <c r="E2428" s="58">
        <v>42761</v>
      </c>
      <c r="F2428" s="59">
        <v>5655.18</v>
      </c>
    </row>
    <row r="2429" ht="16.5" customHeight="1" spans="5:6">
      <c r="E2429" s="58">
        <v>42760</v>
      </c>
      <c r="F2429" s="59">
        <v>5656.34</v>
      </c>
    </row>
    <row r="2430" ht="16.5" customHeight="1" spans="5:6">
      <c r="E2430" s="58">
        <v>42759</v>
      </c>
      <c r="F2430" s="59">
        <v>5600.96</v>
      </c>
    </row>
    <row r="2431" ht="16.5" customHeight="1" spans="5:6">
      <c r="E2431" s="58">
        <v>42758</v>
      </c>
      <c r="F2431" s="59">
        <v>5552.94</v>
      </c>
    </row>
    <row r="2432" ht="16.5" customHeight="1" spans="5:6">
      <c r="E2432" s="58">
        <v>42755</v>
      </c>
      <c r="F2432" s="59">
        <v>5555.33</v>
      </c>
    </row>
    <row r="2433" ht="16.5" customHeight="1" spans="5:6">
      <c r="E2433" s="58">
        <v>42754</v>
      </c>
      <c r="F2433" s="59">
        <v>5540.08</v>
      </c>
    </row>
    <row r="2434" ht="16.5" customHeight="1" spans="5:6">
      <c r="E2434" s="58">
        <v>42753</v>
      </c>
      <c r="F2434" s="59">
        <v>5555.65</v>
      </c>
    </row>
    <row r="2435" ht="16.5" customHeight="1" spans="5:6">
      <c r="E2435" s="58">
        <v>42752</v>
      </c>
      <c r="F2435" s="59">
        <v>5538.73</v>
      </c>
    </row>
    <row r="2436" ht="16.5" customHeight="1" spans="5:6">
      <c r="E2436" s="58">
        <v>42748</v>
      </c>
      <c r="F2436" s="59">
        <v>5574.12</v>
      </c>
    </row>
    <row r="2437" ht="16.5" customHeight="1" spans="5:6">
      <c r="E2437" s="58">
        <v>42747</v>
      </c>
      <c r="F2437" s="59">
        <v>5547.49</v>
      </c>
    </row>
    <row r="2438" ht="16.5" customHeight="1" spans="5:6">
      <c r="E2438" s="58">
        <v>42746</v>
      </c>
      <c r="F2438" s="59">
        <v>5563.65</v>
      </c>
    </row>
    <row r="2439" ht="16.5" customHeight="1" spans="5:6">
      <c r="E2439" s="58">
        <v>42745</v>
      </c>
      <c r="F2439" s="59">
        <v>5551.82</v>
      </c>
    </row>
    <row r="2440" ht="16.5" customHeight="1" spans="5:6">
      <c r="E2440" s="58">
        <v>42744</v>
      </c>
      <c r="F2440" s="59">
        <v>5531.82</v>
      </c>
    </row>
    <row r="2441" ht="16.5" customHeight="1" spans="5:6">
      <c r="E2441" s="58">
        <v>42741</v>
      </c>
      <c r="F2441" s="59">
        <v>5521.06</v>
      </c>
    </row>
    <row r="2442" ht="16.5" customHeight="1" spans="5:6">
      <c r="E2442" s="58">
        <v>42740</v>
      </c>
      <c r="F2442" s="59">
        <v>5487.94</v>
      </c>
    </row>
    <row r="2443" ht="16.5" customHeight="1" spans="5:6">
      <c r="E2443" s="58">
        <v>42739</v>
      </c>
      <c r="F2443" s="59">
        <v>5477</v>
      </c>
    </row>
    <row r="2444" ht="16.5" customHeight="1" spans="5:6">
      <c r="E2444" s="58">
        <v>42738</v>
      </c>
      <c r="F2444" s="59">
        <v>5429.08</v>
      </c>
    </row>
    <row r="2445" ht="16.5" customHeight="1" spans="5:6">
      <c r="E2445" s="58">
        <v>42734</v>
      </c>
      <c r="F2445" s="59">
        <v>5383.12</v>
      </c>
    </row>
    <row r="2446" ht="16.5" customHeight="1" spans="5:6">
      <c r="E2446" s="58">
        <v>42733</v>
      </c>
      <c r="F2446" s="59">
        <v>5432.09</v>
      </c>
    </row>
    <row r="2447" ht="16.5" customHeight="1" spans="5:6">
      <c r="E2447" s="58">
        <v>42732</v>
      </c>
      <c r="F2447" s="59">
        <v>5438.56</v>
      </c>
    </row>
    <row r="2448" ht="16.5" customHeight="1" spans="5:6">
      <c r="E2448" s="58">
        <v>42731</v>
      </c>
      <c r="F2448" s="59">
        <v>5487.44</v>
      </c>
    </row>
    <row r="2449" ht="16.5" customHeight="1" spans="5:6">
      <c r="E2449" s="58">
        <v>42727</v>
      </c>
      <c r="F2449" s="59">
        <v>5462.69</v>
      </c>
    </row>
    <row r="2450" ht="16.5" customHeight="1" spans="5:6">
      <c r="E2450" s="58">
        <v>42726</v>
      </c>
      <c r="F2450" s="59">
        <v>5447.42</v>
      </c>
    </row>
    <row r="2451" ht="16.5" customHeight="1" spans="5:6">
      <c r="E2451" s="58">
        <v>42725</v>
      </c>
      <c r="F2451" s="59">
        <v>5471.43</v>
      </c>
    </row>
    <row r="2452" ht="16.5" customHeight="1" spans="5:6">
      <c r="E2452" s="58">
        <v>42724</v>
      </c>
      <c r="F2452" s="59">
        <v>5483.94</v>
      </c>
    </row>
    <row r="2453" ht="16.5" customHeight="1" spans="5:6">
      <c r="E2453" s="58">
        <v>42723</v>
      </c>
      <c r="F2453" s="59">
        <v>5457.44</v>
      </c>
    </row>
    <row r="2454" ht="16.5" customHeight="1" spans="5:6">
      <c r="E2454" s="58">
        <v>42720</v>
      </c>
      <c r="F2454" s="59">
        <v>5437.16</v>
      </c>
    </row>
    <row r="2455" ht="16.5" customHeight="1" spans="5:6">
      <c r="E2455" s="58">
        <v>42719</v>
      </c>
      <c r="F2455" s="59">
        <v>5456.85</v>
      </c>
    </row>
    <row r="2456" ht="16.5" customHeight="1" spans="5:6">
      <c r="E2456" s="58">
        <v>42718</v>
      </c>
      <c r="F2456" s="59">
        <v>5436.67</v>
      </c>
    </row>
    <row r="2457" ht="16.5" customHeight="1" spans="5:6">
      <c r="E2457" s="58">
        <v>42717</v>
      </c>
      <c r="F2457" s="59">
        <v>5463.83</v>
      </c>
    </row>
    <row r="2458" ht="16.5" customHeight="1" spans="5:6">
      <c r="E2458" s="58">
        <v>42716</v>
      </c>
      <c r="F2458" s="59">
        <v>5412.54</v>
      </c>
    </row>
    <row r="2459" ht="16.5" customHeight="1" spans="5:6">
      <c r="E2459" s="58">
        <v>42713</v>
      </c>
      <c r="F2459" s="59">
        <v>5444.5</v>
      </c>
    </row>
    <row r="2460" ht="16.5" customHeight="1" spans="5:6">
      <c r="E2460" s="58">
        <v>42712</v>
      </c>
      <c r="F2460" s="59">
        <v>5417.36</v>
      </c>
    </row>
    <row r="2461" ht="16.5" customHeight="1" spans="5:6">
      <c r="E2461" s="58">
        <v>42711</v>
      </c>
      <c r="F2461" s="59">
        <v>5393.76</v>
      </c>
    </row>
    <row r="2462" ht="16.5" customHeight="1" spans="5:6">
      <c r="E2462" s="58">
        <v>42710</v>
      </c>
      <c r="F2462" s="59">
        <v>5333</v>
      </c>
    </row>
    <row r="2463" ht="16.5" customHeight="1" spans="5:6">
      <c r="E2463" s="58">
        <v>42709</v>
      </c>
      <c r="F2463" s="59">
        <v>5308.89</v>
      </c>
    </row>
    <row r="2464" ht="16.5" customHeight="1" spans="5:6">
      <c r="E2464" s="58">
        <v>42706</v>
      </c>
      <c r="F2464" s="59">
        <v>5255.65</v>
      </c>
    </row>
    <row r="2465" ht="16.5" customHeight="1" spans="5:6">
      <c r="E2465" s="58">
        <v>42705</v>
      </c>
      <c r="F2465" s="59">
        <v>5251.11</v>
      </c>
    </row>
    <row r="2466" ht="16.5" customHeight="1" spans="5:6">
      <c r="E2466" s="58">
        <v>42704</v>
      </c>
      <c r="F2466" s="59">
        <v>5323.68</v>
      </c>
    </row>
    <row r="2467" ht="16.5" customHeight="1" spans="5:6">
      <c r="E2467" s="58">
        <v>42703</v>
      </c>
      <c r="F2467" s="59">
        <v>5379.92</v>
      </c>
    </row>
    <row r="2468" ht="16.5" customHeight="1" spans="5:6">
      <c r="E2468" s="58">
        <v>42702</v>
      </c>
      <c r="F2468" s="59">
        <v>5368.81</v>
      </c>
    </row>
    <row r="2469" ht="16.5" customHeight="1" spans="5:6">
      <c r="E2469" s="58">
        <v>42699</v>
      </c>
      <c r="F2469" s="59">
        <v>5398.92</v>
      </c>
    </row>
    <row r="2470" ht="16.5" customHeight="1" spans="5:6">
      <c r="E2470" s="58">
        <v>42697</v>
      </c>
      <c r="F2470" s="59">
        <v>5380.68</v>
      </c>
    </row>
    <row r="2471" ht="16.5" customHeight="1" spans="5:6">
      <c r="E2471" s="58">
        <v>42696</v>
      </c>
      <c r="F2471" s="59">
        <v>5386.35</v>
      </c>
    </row>
    <row r="2472" ht="16.5" customHeight="1" spans="5:6">
      <c r="E2472" s="58">
        <v>42695</v>
      </c>
      <c r="F2472" s="59">
        <v>5368.86</v>
      </c>
    </row>
    <row r="2473" ht="16.5" customHeight="1" spans="5:6">
      <c r="E2473" s="58">
        <v>42692</v>
      </c>
      <c r="F2473" s="59">
        <v>5321.51</v>
      </c>
    </row>
    <row r="2474" ht="16.5" customHeight="1" spans="5:6">
      <c r="E2474" s="58">
        <v>42691</v>
      </c>
      <c r="F2474" s="59">
        <v>5333.97</v>
      </c>
    </row>
    <row r="2475" ht="16.5" customHeight="1" spans="5:6">
      <c r="E2475" s="58">
        <v>42690</v>
      </c>
      <c r="F2475" s="59">
        <v>5294.58</v>
      </c>
    </row>
    <row r="2476" ht="16.5" customHeight="1" spans="5:6">
      <c r="E2476" s="58">
        <v>42689</v>
      </c>
      <c r="F2476" s="59">
        <v>5275.62</v>
      </c>
    </row>
    <row r="2477" ht="16.5" customHeight="1" spans="5:6">
      <c r="E2477" s="58">
        <v>42688</v>
      </c>
      <c r="F2477" s="59">
        <v>5218.4</v>
      </c>
    </row>
    <row r="2478" ht="16.5" customHeight="1" spans="5:6">
      <c r="E2478" s="58">
        <v>42685</v>
      </c>
      <c r="F2478" s="59">
        <v>5237.11</v>
      </c>
    </row>
    <row r="2479" ht="16.5" customHeight="1" spans="5:6">
      <c r="E2479" s="58">
        <v>42684</v>
      </c>
      <c r="F2479" s="59">
        <v>5208.8</v>
      </c>
    </row>
    <row r="2480" ht="16.5" customHeight="1" spans="5:6">
      <c r="E2480" s="58">
        <v>42683</v>
      </c>
      <c r="F2480" s="59">
        <v>5251.07</v>
      </c>
    </row>
    <row r="2481" ht="16.5" customHeight="1" spans="5:6">
      <c r="E2481" s="58">
        <v>42682</v>
      </c>
      <c r="F2481" s="59">
        <v>5193.49</v>
      </c>
    </row>
    <row r="2482" ht="16.5" customHeight="1" spans="5:6">
      <c r="E2482" s="58">
        <v>42681</v>
      </c>
      <c r="F2482" s="59">
        <v>5166.17</v>
      </c>
    </row>
    <row r="2483" ht="16.5" customHeight="1" spans="5:6">
      <c r="E2483" s="58">
        <v>42678</v>
      </c>
      <c r="F2483" s="59">
        <v>5046.37</v>
      </c>
    </row>
    <row r="2484" ht="16.5" customHeight="1" spans="5:6">
      <c r="E2484" s="58">
        <v>42677</v>
      </c>
      <c r="F2484" s="59">
        <v>5058.41</v>
      </c>
    </row>
    <row r="2485" ht="16.5" customHeight="1" spans="5:6">
      <c r="E2485" s="58">
        <v>42676</v>
      </c>
      <c r="F2485" s="59">
        <v>5105.57</v>
      </c>
    </row>
    <row r="2486" ht="16.5" customHeight="1" spans="5:6">
      <c r="E2486" s="58">
        <v>42675</v>
      </c>
      <c r="F2486" s="59">
        <v>5153.58</v>
      </c>
    </row>
    <row r="2487" ht="16.5" customHeight="1" spans="5:6">
      <c r="E2487" s="58">
        <v>42674</v>
      </c>
      <c r="F2487" s="59">
        <v>5189.13</v>
      </c>
    </row>
    <row r="2488" ht="16.5" customHeight="1" spans="5:6">
      <c r="E2488" s="58">
        <v>42671</v>
      </c>
      <c r="F2488" s="59">
        <v>5190.1</v>
      </c>
    </row>
    <row r="2489" ht="16.5" customHeight="1" spans="5:6">
      <c r="E2489" s="58">
        <v>42670</v>
      </c>
      <c r="F2489" s="59">
        <v>5215.97</v>
      </c>
    </row>
    <row r="2490" ht="16.5" customHeight="1" spans="5:6">
      <c r="E2490" s="58">
        <v>42669</v>
      </c>
      <c r="F2490" s="59">
        <v>5250.27</v>
      </c>
    </row>
    <row r="2491" ht="16.5" customHeight="1" spans="5:6">
      <c r="E2491" s="58">
        <v>42668</v>
      </c>
      <c r="F2491" s="59">
        <v>5283.4</v>
      </c>
    </row>
    <row r="2492" ht="16.5" customHeight="1" spans="5:6">
      <c r="E2492" s="58">
        <v>42667</v>
      </c>
      <c r="F2492" s="59">
        <v>5309.83</v>
      </c>
    </row>
    <row r="2493" ht="16.5" customHeight="1" spans="5:6">
      <c r="E2493" s="58">
        <v>42664</v>
      </c>
      <c r="F2493" s="59">
        <v>5257.4</v>
      </c>
    </row>
    <row r="2494" ht="16.5" customHeight="1" spans="5:6">
      <c r="E2494" s="58">
        <v>42663</v>
      </c>
      <c r="F2494" s="59">
        <v>5241.83</v>
      </c>
    </row>
    <row r="2495" ht="16.5" customHeight="1" spans="5:6">
      <c r="E2495" s="58">
        <v>42662</v>
      </c>
      <c r="F2495" s="59">
        <v>5246.41</v>
      </c>
    </row>
    <row r="2496" ht="16.5" customHeight="1" spans="5:6">
      <c r="E2496" s="58">
        <v>42661</v>
      </c>
      <c r="F2496" s="59">
        <v>5243.84</v>
      </c>
    </row>
    <row r="2497" ht="16.5" customHeight="1" spans="5:6">
      <c r="E2497" s="58">
        <v>42660</v>
      </c>
      <c r="F2497" s="59">
        <v>5199.82</v>
      </c>
    </row>
    <row r="2498" ht="16.5" customHeight="1" spans="5:6">
      <c r="E2498" s="58">
        <v>42657</v>
      </c>
      <c r="F2498" s="59">
        <v>5214.16</v>
      </c>
    </row>
    <row r="2499" ht="16.5" customHeight="1" spans="5:6">
      <c r="E2499" s="58">
        <v>42656</v>
      </c>
      <c r="F2499" s="59">
        <v>5213.33</v>
      </c>
    </row>
    <row r="2500" ht="16.5" customHeight="1" spans="5:6">
      <c r="E2500" s="58">
        <v>42655</v>
      </c>
      <c r="F2500" s="59">
        <v>5239.02</v>
      </c>
    </row>
    <row r="2501" ht="16.5" customHeight="1" spans="5:6">
      <c r="E2501" s="58">
        <v>42654</v>
      </c>
      <c r="F2501" s="59">
        <v>5246.79</v>
      </c>
    </row>
    <row r="2502" ht="16.5" customHeight="1" spans="5:6">
      <c r="E2502" s="58">
        <v>42653</v>
      </c>
      <c r="F2502" s="59">
        <v>5328.67</v>
      </c>
    </row>
    <row r="2503" ht="16.5" customHeight="1" spans="5:6">
      <c r="E2503" s="58">
        <v>42650</v>
      </c>
      <c r="F2503" s="59">
        <v>5292.4</v>
      </c>
    </row>
    <row r="2504" ht="16.5" customHeight="1" spans="5:6">
      <c r="E2504" s="58">
        <v>42649</v>
      </c>
      <c r="F2504" s="59">
        <v>5306.85</v>
      </c>
    </row>
    <row r="2505" ht="16.5" customHeight="1" spans="5:6">
      <c r="E2505" s="58">
        <v>42648</v>
      </c>
      <c r="F2505" s="59">
        <v>5316.02</v>
      </c>
    </row>
    <row r="2506" ht="16.5" customHeight="1" spans="5:6">
      <c r="E2506" s="58">
        <v>42647</v>
      </c>
      <c r="F2506" s="59">
        <v>5289.66</v>
      </c>
    </row>
    <row r="2507" ht="16.5" customHeight="1" spans="5:6">
      <c r="E2507" s="58">
        <v>42646</v>
      </c>
      <c r="F2507" s="59">
        <v>5300.87</v>
      </c>
    </row>
    <row r="2508" ht="16.5" customHeight="1" spans="5:6">
      <c r="E2508" s="58">
        <v>42643</v>
      </c>
      <c r="F2508" s="59">
        <v>5312</v>
      </c>
    </row>
    <row r="2509" ht="16.5" customHeight="1" spans="5:6">
      <c r="E2509" s="58">
        <v>42642</v>
      </c>
      <c r="F2509" s="59">
        <v>5269.15</v>
      </c>
    </row>
    <row r="2510" ht="16.5" customHeight="1" spans="5:6">
      <c r="E2510" s="58">
        <v>42641</v>
      </c>
      <c r="F2510" s="59">
        <v>5318.55</v>
      </c>
    </row>
    <row r="2511" ht="16.5" customHeight="1" spans="5:6">
      <c r="E2511" s="58">
        <v>42640</v>
      </c>
      <c r="F2511" s="59">
        <v>5305.71</v>
      </c>
    </row>
    <row r="2512" ht="16.5" customHeight="1" spans="5:6">
      <c r="E2512" s="58">
        <v>42639</v>
      </c>
      <c r="F2512" s="59">
        <v>5257.49</v>
      </c>
    </row>
    <row r="2513" ht="16.5" customHeight="1" spans="5:6">
      <c r="E2513" s="58">
        <v>42636</v>
      </c>
      <c r="F2513" s="59">
        <v>5305.75</v>
      </c>
    </row>
    <row r="2514" ht="16.5" customHeight="1" spans="5:6">
      <c r="E2514" s="58">
        <v>42635</v>
      </c>
      <c r="F2514" s="59">
        <v>5339.52</v>
      </c>
    </row>
    <row r="2515" ht="16.5" customHeight="1" spans="5:6">
      <c r="E2515" s="58">
        <v>42634</v>
      </c>
      <c r="F2515" s="59">
        <v>5295.18</v>
      </c>
    </row>
    <row r="2516" ht="16.5" customHeight="1" spans="5:6">
      <c r="E2516" s="58">
        <v>42633</v>
      </c>
      <c r="F2516" s="59">
        <v>5241.35</v>
      </c>
    </row>
    <row r="2517" ht="16.5" customHeight="1" spans="5:6">
      <c r="E2517" s="58">
        <v>42632</v>
      </c>
      <c r="F2517" s="59">
        <v>5235.03</v>
      </c>
    </row>
    <row r="2518" ht="16.5" customHeight="1" spans="5:6">
      <c r="E2518" s="58">
        <v>42629</v>
      </c>
      <c r="F2518" s="59">
        <v>5244.57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showGridLines="0" workbookViewId="0">
      <selection activeCell="D14" sqref="D14"/>
    </sheetView>
  </sheetViews>
  <sheetFormatPr defaultColWidth="8.67857142857143" defaultRowHeight="16.8"/>
  <cols>
    <col min="1" max="3" width="1.24107142857143" style="1" customWidth="1"/>
    <col min="4" max="4" width="40.6428571428571" style="1" customWidth="1"/>
    <col min="5" max="6" width="8.67857142857143" style="1"/>
    <col min="7" max="7" width="2.64285714285714" style="1" customWidth="1"/>
    <col min="8" max="21" width="12.6428571428571" style="1" customWidth="1"/>
    <col min="22" max="16384" width="8.67857142857143" style="1"/>
  </cols>
  <sheetData>
    <row r="1" ht="34.4" spans="1: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15" customHeight="1" spans="1:15">
      <c r="A2" s="3" t="s">
        <v>269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15" customHeight="1"/>
    <row r="4" ht="15" customHeight="1" spans="1:15">
      <c r="C4" s="3"/>
      <c r="D4" s="45" t="s">
        <v>270</v>
      </c>
      <c r="E4" s="3"/>
      <c r="F4" s="3"/>
      <c r="G4" s="3"/>
      <c r="H4" s="45" t="s">
        <v>271</v>
      </c>
      <c r="I4" s="45" t="s">
        <v>272</v>
      </c>
      <c r="J4" s="45" t="s">
        <v>273</v>
      </c>
      <c r="K4" s="45" t="s">
        <v>237</v>
      </c>
      <c r="L4" s="45" t="s">
        <v>274</v>
      </c>
      <c r="M4" s="45" t="s">
        <v>275</v>
      </c>
      <c r="N4" s="45" t="s">
        <v>100</v>
      </c>
      <c r="O4" s="45" t="s">
        <v>276</v>
      </c>
    </row>
    <row r="5" ht="15" customHeight="1" spans="1:15">
      <c r="D5" s="1" t="s">
        <v>246</v>
      </c>
      <c r="H5" s="1" t="s">
        <v>277</v>
      </c>
      <c r="I5" s="46">
        <v>77.9</v>
      </c>
      <c r="J5" s="47">
        <v>4163.94</v>
      </c>
      <c r="K5" s="48">
        <f>Model!L58/1000</f>
        <v>14462.836</v>
      </c>
      <c r="L5" s="48">
        <f>Model!L39/1000</f>
        <v>9033.681</v>
      </c>
      <c r="M5" s="48">
        <f>Model!L22/1000</f>
        <v>45183.036</v>
      </c>
      <c r="N5" s="48">
        <f>Model!L26/1000</f>
        <v>13326.603</v>
      </c>
      <c r="O5" s="48">
        <f>Model!L33/1000</f>
        <v>10647.812</v>
      </c>
    </row>
    <row r="6" ht="16.5" customHeight="1" spans="1:15"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7" ht="15" customHeight="1" spans="1:15">
      <c r="D7" s="1" t="s">
        <v>241</v>
      </c>
      <c r="H7" s="1" t="s">
        <v>278</v>
      </c>
      <c r="I7" s="50">
        <v>108.77</v>
      </c>
      <c r="J7" s="51">
        <v>1790</v>
      </c>
      <c r="K7" s="52">
        <v>42030</v>
      </c>
      <c r="L7" s="52">
        <v>5700</v>
      </c>
      <c r="M7" s="52">
        <v>94420</v>
      </c>
      <c r="N7" s="52">
        <v>19210</v>
      </c>
      <c r="O7" s="52">
        <v>12400</v>
      </c>
    </row>
    <row r="8" ht="15" customHeight="1" spans="1:15">
      <c r="D8" s="1" t="s">
        <v>242</v>
      </c>
      <c r="H8" s="1" t="s">
        <v>279</v>
      </c>
      <c r="I8" s="50">
        <v>33.78</v>
      </c>
      <c r="J8" s="51">
        <v>3780</v>
      </c>
      <c r="K8" s="52">
        <v>99090</v>
      </c>
      <c r="L8" s="52">
        <v>7320</v>
      </c>
      <c r="M8" s="52">
        <v>123730</v>
      </c>
      <c r="N8" s="52">
        <v>38100</v>
      </c>
      <c r="O8" s="52">
        <v>16190</v>
      </c>
    </row>
    <row r="9" ht="15" customHeight="1" spans="1:15">
      <c r="D9" s="1" t="s">
        <v>243</v>
      </c>
      <c r="H9" s="1" t="s">
        <v>280</v>
      </c>
      <c r="I9" s="50">
        <v>25.67</v>
      </c>
      <c r="J9" s="51">
        <v>674.22</v>
      </c>
      <c r="K9" s="52">
        <v>14520</v>
      </c>
      <c r="L9" s="52">
        <v>2740</v>
      </c>
      <c r="M9" s="52">
        <v>28760</v>
      </c>
      <c r="N9" s="52">
        <v>15670</v>
      </c>
      <c r="O9" s="52">
        <v>-14</v>
      </c>
    </row>
    <row r="10" ht="15" customHeight="1" spans="1:15">
      <c r="D10" s="1" t="s">
        <v>244</v>
      </c>
      <c r="H10" s="1" t="s">
        <v>281</v>
      </c>
      <c r="I10" s="50">
        <v>73.8</v>
      </c>
      <c r="J10" s="51">
        <v>443.94</v>
      </c>
      <c r="K10" s="52">
        <v>6600</v>
      </c>
      <c r="L10" s="52">
        <v>4370</v>
      </c>
      <c r="M10" s="52">
        <v>16470</v>
      </c>
      <c r="N10" s="52">
        <v>3650</v>
      </c>
      <c r="O10" s="52">
        <v>2040</v>
      </c>
    </row>
    <row r="12" ht="16.5" customHeight="1" spans="1:15">
      <c r="D12" s="53" t="s">
        <v>282</v>
      </c>
    </row>
    <row r="18" ht="15" customHeight="1"/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showGridLines="0" zoomScale="64" zoomScaleNormal="64" workbookViewId="0">
      <selection activeCell="H19" sqref="H19"/>
    </sheetView>
  </sheetViews>
  <sheetFormatPr defaultColWidth="8.67857142857143" defaultRowHeight="16.8"/>
  <cols>
    <col min="1" max="3" width="1.24107142857143" style="1" customWidth="1"/>
    <col min="4" max="4" width="40.6428571428571" style="1" customWidth="1"/>
    <col min="5" max="6" width="8.67857142857143" style="1"/>
    <col min="7" max="7" width="2.64285714285714" style="1" customWidth="1"/>
    <col min="8" max="11" width="12.6428571428571" style="1" customWidth="1"/>
    <col min="12" max="12" width="11.5714285714286" style="1" customWidth="1"/>
    <col min="13" max="22" width="12.6428571428571" style="1" customWidth="1"/>
    <col min="23" max="16384" width="8.67857142857143" style="1"/>
  </cols>
  <sheetData>
    <row r="1" ht="51" customHeight="1" spans="1:22">
      <c r="A1" s="2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5" customHeight="1" spans="1:22">
      <c r="A2" s="22" t="s">
        <v>283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5" customHeight="1"/>
    <row r="5" ht="17.25" customHeight="1" spans="1:22">
      <c r="D5" s="23"/>
      <c r="E5" s="23"/>
      <c r="F5" s="23"/>
      <c r="G5" s="23"/>
      <c r="H5" s="23"/>
      <c r="I5" s="24" t="s">
        <v>284</v>
      </c>
      <c r="J5" s="24"/>
      <c r="K5" s="24"/>
      <c r="L5" s="24"/>
      <c r="M5" s="24"/>
      <c r="N5" s="24"/>
      <c r="O5" s="23"/>
      <c r="P5" s="24" t="s">
        <v>285</v>
      </c>
      <c r="Q5" s="24"/>
      <c r="R5" s="24"/>
      <c r="S5" s="23"/>
      <c r="T5" s="24" t="s">
        <v>286</v>
      </c>
      <c r="U5" s="24"/>
      <c r="V5" s="24"/>
    </row>
    <row r="6" ht="17.25" customHeight="1" spans="1:22">
      <c r="D6" s="23"/>
      <c r="E6" s="23"/>
      <c r="F6" s="23"/>
      <c r="G6" s="23"/>
      <c r="H6" s="23"/>
      <c r="I6" s="25" t="s">
        <v>272</v>
      </c>
      <c r="J6" s="25" t="s">
        <v>273</v>
      </c>
      <c r="K6" s="25" t="s">
        <v>252</v>
      </c>
      <c r="L6" s="25" t="s">
        <v>237</v>
      </c>
      <c r="M6" s="25" t="s">
        <v>274</v>
      </c>
      <c r="N6" s="25" t="s">
        <v>287</v>
      </c>
      <c r="O6" s="23"/>
      <c r="P6" s="25" t="s">
        <v>275</v>
      </c>
      <c r="Q6" s="25" t="s">
        <v>100</v>
      </c>
      <c r="R6" s="25" t="s">
        <v>288</v>
      </c>
      <c r="S6" s="23"/>
      <c r="T6" s="25" t="s">
        <v>289</v>
      </c>
      <c r="U6" s="26" t="s">
        <v>171</v>
      </c>
      <c r="V6" s="26" t="s">
        <v>290</v>
      </c>
    </row>
    <row r="7" ht="17.25" customHeight="1" spans="1:22">
      <c r="D7" s="23" t="s">
        <v>235</v>
      </c>
      <c r="E7" s="23"/>
      <c r="F7" s="23"/>
      <c r="G7" s="23" t="s">
        <v>271</v>
      </c>
      <c r="H7" s="23"/>
      <c r="I7" s="27" t="s">
        <v>291</v>
      </c>
      <c r="J7" s="27" t="s">
        <v>292</v>
      </c>
      <c r="K7" s="27" t="s">
        <v>293</v>
      </c>
      <c r="L7" s="27"/>
      <c r="M7" s="27" t="s">
        <v>294</v>
      </c>
      <c r="N7" s="27" t="s">
        <v>293</v>
      </c>
      <c r="O7" s="23"/>
      <c r="P7" s="27" t="s">
        <v>293</v>
      </c>
      <c r="Q7" s="27" t="s">
        <v>293</v>
      </c>
      <c r="R7" s="27" t="s">
        <v>293</v>
      </c>
      <c r="S7" s="23"/>
      <c r="T7" s="28" t="s">
        <v>295</v>
      </c>
      <c r="U7" s="28" t="s">
        <v>295</v>
      </c>
      <c r="V7" s="28" t="s">
        <v>295</v>
      </c>
    </row>
    <row r="8" ht="15" customHeight="1" spans="1:22">
      <c r="D8" s="1" t="s">
        <v>241</v>
      </c>
      <c r="G8" s="1" t="s">
        <v>278</v>
      </c>
      <c r="I8" s="29">
        <f>'Comps Data'!I7</f>
        <v>108.77</v>
      </c>
      <c r="J8" s="30">
        <f>'Comps Data'!J7</f>
        <v>1790</v>
      </c>
      <c r="K8" s="31">
        <f>I8*J8</f>
        <v>194698.3</v>
      </c>
      <c r="L8" s="32">
        <f>'Comps Data'!K7</f>
        <v>42030</v>
      </c>
      <c r="M8" s="32">
        <f>'Comps Data'!L7</f>
        <v>5700</v>
      </c>
      <c r="N8" s="33">
        <f>K8+L8-M8</f>
        <v>231028.3</v>
      </c>
      <c r="P8" s="34">
        <f>'Comps Data'!M7</f>
        <v>94420</v>
      </c>
      <c r="Q8" s="34">
        <f>'Comps Data'!N7</f>
        <v>19210</v>
      </c>
      <c r="R8" s="34">
        <f>'Comps Data'!O7</f>
        <v>12400</v>
      </c>
      <c r="T8" s="35">
        <f>N8/P8</f>
        <v>2.44681529337005</v>
      </c>
      <c r="U8" s="35">
        <f>N8/Q8</f>
        <v>12.0264601769911</v>
      </c>
      <c r="V8" s="35">
        <f>K8/R8</f>
        <v>15.7014758064516</v>
      </c>
    </row>
    <row r="9" ht="15" customHeight="1" spans="1:22">
      <c r="D9" s="1" t="s">
        <v>242</v>
      </c>
      <c r="G9" s="1" t="s">
        <v>279</v>
      </c>
      <c r="I9" s="29">
        <f>'Comps Data'!I8</f>
        <v>33.78</v>
      </c>
      <c r="J9" s="30">
        <f>'Comps Data'!J8</f>
        <v>3780</v>
      </c>
      <c r="K9" s="31">
        <f>I9*J9</f>
        <v>127688.4</v>
      </c>
      <c r="L9" s="32">
        <f>'Comps Data'!K8</f>
        <v>99090</v>
      </c>
      <c r="M9" s="32">
        <f>'Comps Data'!L8</f>
        <v>7320</v>
      </c>
      <c r="N9" s="33">
        <f>K9+L9-M9</f>
        <v>219458.4</v>
      </c>
      <c r="P9" s="34">
        <f>'Comps Data'!M8</f>
        <v>123730</v>
      </c>
      <c r="Q9" s="34">
        <f>'Comps Data'!N8</f>
        <v>38100</v>
      </c>
      <c r="R9" s="34">
        <f>'Comps Data'!O8</f>
        <v>16190</v>
      </c>
      <c r="T9" s="35">
        <f>N9/P9</f>
        <v>1.77368786874646</v>
      </c>
      <c r="U9" s="35">
        <f>N9/Q9</f>
        <v>5.76006299212598</v>
      </c>
      <c r="V9" s="35">
        <f>K9/R9</f>
        <v>7.88686843730698</v>
      </c>
    </row>
    <row r="10" ht="15" customHeight="1" spans="1:22">
      <c r="D10" s="1" t="s">
        <v>243</v>
      </c>
      <c r="G10" s="1" t="s">
        <v>280</v>
      </c>
      <c r="I10" s="29">
        <f>'Comps Data'!I9</f>
        <v>25.67</v>
      </c>
      <c r="J10" s="30">
        <f>'Comps Data'!J9</f>
        <v>674.22</v>
      </c>
      <c r="K10" s="31">
        <f>I10*J10</f>
        <v>17307.2274</v>
      </c>
      <c r="L10" s="32">
        <f>'Comps Data'!K9</f>
        <v>14520</v>
      </c>
      <c r="M10" s="32">
        <f>'Comps Data'!L9</f>
        <v>2740</v>
      </c>
      <c r="N10" s="33">
        <f>K10+L10-M10</f>
        <v>29087.2274</v>
      </c>
      <c r="P10" s="34">
        <f>'Comps Data'!M9</f>
        <v>28760</v>
      </c>
      <c r="Q10" s="34">
        <f>'Comps Data'!N9</f>
        <v>15670</v>
      </c>
      <c r="R10" s="34">
        <f>'Comps Data'!O9</f>
        <v>-14</v>
      </c>
      <c r="T10" s="35">
        <f>N10/P10</f>
        <v>1.0113778650904</v>
      </c>
      <c r="U10" s="35">
        <f>N10/Q10</f>
        <v>1.85623659221442</v>
      </c>
      <c r="V10" s="35">
        <f>K10/R10</f>
        <v>-1236.23052857143</v>
      </c>
    </row>
    <row r="11" ht="15" customHeight="1" spans="1:22">
      <c r="D11" s="1" t="s">
        <v>244</v>
      </c>
      <c r="G11" s="1" t="s">
        <v>281</v>
      </c>
      <c r="I11" s="29">
        <f>'Comps Data'!I10</f>
        <v>73.8</v>
      </c>
      <c r="J11" s="30">
        <f>'Comps Data'!J10</f>
        <v>443.94</v>
      </c>
      <c r="K11" s="31">
        <f>I11*J11</f>
        <v>32762.772</v>
      </c>
      <c r="L11" s="32">
        <f>'Comps Data'!K10</f>
        <v>6600</v>
      </c>
      <c r="M11" s="32">
        <f>'Comps Data'!L10</f>
        <v>4370</v>
      </c>
      <c r="N11" s="33">
        <f>K11+L11-M11</f>
        <v>34992.772</v>
      </c>
      <c r="P11" s="34">
        <f>'Comps Data'!M10</f>
        <v>16470</v>
      </c>
      <c r="Q11" s="34">
        <f>'Comps Data'!N10</f>
        <v>3650</v>
      </c>
      <c r="R11" s="34">
        <f>'Comps Data'!O10</f>
        <v>2040</v>
      </c>
      <c r="T11" s="35">
        <f>N11/P11</f>
        <v>2.12463703703704</v>
      </c>
      <c r="U11" s="35">
        <f>N11/Q11</f>
        <v>9.58706082191781</v>
      </c>
      <c r="V11" s="35">
        <f>K11/R11</f>
        <v>16.0601823529412</v>
      </c>
    </row>
    <row r="12" ht="16.5" customHeight="1" spans="1:22">
      <c r="P12" s="36"/>
      <c r="Q12" s="36"/>
      <c r="R12" s="36"/>
      <c r="T12" s="35"/>
      <c r="U12" s="35"/>
      <c r="V12" s="35"/>
    </row>
    <row r="13" ht="15" customHeight="1" spans="1:22">
      <c r="D13" s="37" t="s">
        <v>177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38">
        <f>AVERAGE(T8:T11)</f>
        <v>1.83912951606099</v>
      </c>
      <c r="U13" s="38">
        <f>AVERAGE(U8:U11)</f>
        <v>7.30745514581234</v>
      </c>
      <c r="V13" s="38">
        <f>AVERAGE(V8:V11)</f>
        <v>-299.145500493682</v>
      </c>
    </row>
    <row r="14" ht="15" customHeight="1" spans="1:22">
      <c r="D14" s="37" t="s">
        <v>245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38">
        <f>MEDIAN(T8:T11)</f>
        <v>1.94916245289175</v>
      </c>
      <c r="U14" s="38">
        <f>MEDIAN(U8:U11)</f>
        <v>7.6735619070219</v>
      </c>
      <c r="V14" s="38">
        <f>MEDIAN(V8:V11)</f>
        <v>11.7941721218793</v>
      </c>
    </row>
    <row r="16" ht="15" customHeight="1" spans="1:22">
      <c r="D16" s="1" t="s">
        <v>246</v>
      </c>
      <c r="F16" s="36"/>
      <c r="G16" s="36" t="s">
        <v>277</v>
      </c>
      <c r="I16" s="29">
        <f>'Comps Data'!I5</f>
        <v>77.9</v>
      </c>
      <c r="J16" s="39">
        <f>'Comps Data'!J5</f>
        <v>4163.94</v>
      </c>
      <c r="K16" s="36">
        <f>I16*J16</f>
        <v>324370.926</v>
      </c>
      <c r="L16" s="40">
        <f>'Comps Data'!K5</f>
        <v>14462.836</v>
      </c>
      <c r="M16" s="41">
        <f>'Comps Data'!L5</f>
        <v>9033.681</v>
      </c>
      <c r="N16" s="36">
        <f>K16+L16-M16</f>
        <v>329800.081</v>
      </c>
      <c r="O16" s="36"/>
      <c r="P16" s="42">
        <f>'Comps Data'!M5</f>
        <v>45183.036</v>
      </c>
      <c r="Q16" s="42">
        <f>'Comps Data'!N5</f>
        <v>13326.603</v>
      </c>
      <c r="R16" s="42">
        <f>'Comps Data'!O5</f>
        <v>10647.812</v>
      </c>
    </row>
    <row r="17" ht="16.5" customHeight="1" spans="4:18"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</row>
    <row r="18" ht="17.25" customHeight="1" spans="4:18">
      <c r="D18" s="37" t="s">
        <v>296</v>
      </c>
      <c r="E18" s="37" t="s">
        <v>297</v>
      </c>
      <c r="F18" s="27"/>
      <c r="G18" s="27"/>
      <c r="H18" s="43" t="s">
        <v>287</v>
      </c>
      <c r="I18" s="43" t="s">
        <v>298</v>
      </c>
      <c r="J18" s="43" t="s">
        <v>199</v>
      </c>
      <c r="K18" s="43" t="s">
        <v>273</v>
      </c>
      <c r="L18" s="43" t="s">
        <v>299</v>
      </c>
      <c r="M18" s="36"/>
      <c r="N18" s="36"/>
      <c r="O18" s="36"/>
      <c r="P18" s="36"/>
      <c r="Q18" s="36"/>
      <c r="R18" s="36"/>
    </row>
    <row r="19" ht="15" customHeight="1" spans="4:18">
      <c r="D19" s="1" t="s">
        <v>289</v>
      </c>
      <c r="E19" s="35">
        <f>T14</f>
        <v>1.94916245289175</v>
      </c>
      <c r="F19" s="36"/>
      <c r="G19" s="36"/>
      <c r="H19" s="32">
        <f>E19*P16</f>
        <v>88069.0772788563</v>
      </c>
      <c r="I19" s="32">
        <f>$L$16-$M$16</f>
        <v>5429.155</v>
      </c>
      <c r="J19" s="32">
        <f>H19-I19</f>
        <v>82639.9222788563</v>
      </c>
      <c r="K19" s="44">
        <f>J16</f>
        <v>4163.94</v>
      </c>
      <c r="L19" s="31">
        <f>J19/K19</f>
        <v>19.8465689416409</v>
      </c>
      <c r="M19" s="36"/>
      <c r="N19" s="36"/>
      <c r="O19" s="36"/>
      <c r="P19" s="36"/>
      <c r="Q19" s="36"/>
      <c r="R19" s="36"/>
    </row>
    <row r="20" ht="15" customHeight="1" spans="4:18">
      <c r="D20" s="1" t="s">
        <v>171</v>
      </c>
      <c r="E20" s="35">
        <f>U14</f>
        <v>7.6735619070219</v>
      </c>
      <c r="F20" s="36"/>
      <c r="G20" s="36"/>
      <c r="H20" s="32">
        <f>E20*Q16</f>
        <v>102262.513130804</v>
      </c>
      <c r="I20" s="32">
        <f>$L$16-$M$16</f>
        <v>5429.155</v>
      </c>
      <c r="J20" s="32">
        <f>H20-I20</f>
        <v>96833.358130804</v>
      </c>
      <c r="K20" s="44">
        <f>K19</f>
        <v>4163.94</v>
      </c>
      <c r="L20" s="31">
        <f>J20/K20</f>
        <v>23.2552241700899</v>
      </c>
      <c r="M20" s="36"/>
      <c r="N20" s="36"/>
      <c r="O20" s="36"/>
      <c r="P20" s="36"/>
      <c r="Q20" s="36"/>
      <c r="R20" s="36"/>
    </row>
    <row r="21" ht="15" customHeight="1" spans="4:18">
      <c r="D21" s="1" t="s">
        <v>300</v>
      </c>
      <c r="E21" s="35">
        <f>V14</f>
        <v>11.7941721218793</v>
      </c>
      <c r="F21" s="36"/>
      <c r="G21" s="36"/>
      <c r="H21" s="32">
        <f>E21*R16</f>
        <v>125582.127449412</v>
      </c>
      <c r="I21" s="32">
        <f>$L$16-$M$16</f>
        <v>5429.155</v>
      </c>
      <c r="J21" s="32">
        <f>H21-I21</f>
        <v>120152.972449412</v>
      </c>
      <c r="K21" s="44">
        <f>K20</f>
        <v>4163.94</v>
      </c>
      <c r="L21" s="31">
        <f>J21/K21</f>
        <v>28.8555964902021</v>
      </c>
      <c r="M21" s="36"/>
      <c r="N21" s="36"/>
      <c r="O21" s="36"/>
      <c r="P21" s="36"/>
      <c r="Q21" s="36"/>
      <c r="R21" s="36"/>
    </row>
    <row r="22" ht="16.5" customHeight="1" spans="4:18"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</row>
  </sheetData>
  <mergeCells count="3">
    <mergeCell ref="I5:N5"/>
    <mergeCell ref="P5:R5"/>
    <mergeCell ref="T5:V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showGridLines="0" workbookViewId="0">
      <selection activeCell="H10" sqref="H10"/>
    </sheetView>
  </sheetViews>
  <sheetFormatPr defaultColWidth="8.67857142857143" defaultRowHeight="16.8"/>
  <cols>
    <col min="1" max="3" width="1.24107142857143" style="1" customWidth="1"/>
    <col min="4" max="4" width="40.6428571428571" style="1" customWidth="1"/>
    <col min="5" max="6" width="8.67857142857143" style="1"/>
    <col min="7" max="7" width="16.7142857142857" style="1" customWidth="1"/>
    <col min="8" max="17" width="12.6428571428571" style="1" customWidth="1"/>
    <col min="18" max="16384" width="8.67857142857143" style="1"/>
  </cols>
  <sheetData>
    <row r="1" ht="33.75" customHeight="1" spans="1: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15" customHeight="1" spans="1:15">
      <c r="A2" s="3" t="s">
        <v>301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5"/>
    </row>
    <row r="4" ht="15" customHeight="1" spans="1:15">
      <c r="A4" s="6" t="s">
        <v>302</v>
      </c>
      <c r="B4" s="7"/>
      <c r="C4" s="7"/>
      <c r="D4" s="7"/>
      <c r="E4" s="7"/>
      <c r="F4" s="7"/>
      <c r="G4" s="7"/>
      <c r="H4" s="7"/>
      <c r="I4" s="7"/>
      <c r="J4" s="8"/>
      <c r="K4" s="5"/>
    </row>
    <row r="5" ht="15" customHeight="1" spans="1:15">
      <c r="A5" s="4"/>
      <c r="B5" s="4"/>
      <c r="C5" s="4"/>
      <c r="D5" s="4"/>
      <c r="E5" s="4"/>
      <c r="F5" s="4"/>
      <c r="G5" s="4"/>
      <c r="H5" s="4"/>
      <c r="I5" s="8"/>
      <c r="J5" s="8"/>
      <c r="K5" s="5"/>
    </row>
    <row r="6" ht="15" customHeight="1" spans="1:15">
      <c r="A6" s="4"/>
      <c r="B6" s="4"/>
      <c r="C6" s="4"/>
      <c r="D6" s="4"/>
      <c r="E6" s="9" t="s">
        <v>297</v>
      </c>
      <c r="F6" s="9" t="s">
        <v>303</v>
      </c>
      <c r="G6" s="9" t="s">
        <v>304</v>
      </c>
      <c r="H6" s="10" t="s">
        <v>305</v>
      </c>
      <c r="I6" s="8"/>
      <c r="J6" s="8"/>
      <c r="K6" s="5"/>
    </row>
    <row r="7" ht="15" customHeight="1" spans="1:15">
      <c r="A7" s="4"/>
      <c r="B7" s="4"/>
      <c r="C7" s="4"/>
      <c r="D7" s="11" t="s">
        <v>306</v>
      </c>
      <c r="E7" s="12"/>
      <c r="F7" s="13"/>
      <c r="G7" s="14"/>
      <c r="H7" s="14"/>
      <c r="I7" s="15"/>
      <c r="J7" s="8"/>
      <c r="K7" s="5"/>
    </row>
    <row r="8" ht="15" customHeight="1" spans="1:15">
      <c r="A8" s="4"/>
      <c r="B8" s="4"/>
      <c r="C8" s="4"/>
      <c r="D8" s="11" t="s">
        <v>306</v>
      </c>
      <c r="E8" s="16"/>
      <c r="F8" s="16"/>
      <c r="G8" s="17"/>
      <c r="H8" s="17"/>
      <c r="I8" s="4"/>
      <c r="J8" s="18"/>
      <c r="K8" s="5"/>
    </row>
    <row r="9" spans="1:15">
      <c r="A9" s="4"/>
      <c r="B9" s="4"/>
      <c r="C9" s="4"/>
      <c r="D9" s="11" t="s">
        <v>307</v>
      </c>
      <c r="E9" s="16"/>
      <c r="F9" s="16"/>
      <c r="G9" s="17"/>
      <c r="H9" s="17"/>
      <c r="I9" s="4"/>
      <c r="J9" s="18"/>
      <c r="K9" s="5"/>
    </row>
    <row r="10" spans="1:15">
      <c r="A10" s="4"/>
      <c r="B10" s="4"/>
      <c r="C10" s="4"/>
      <c r="D10" s="11" t="s">
        <v>307</v>
      </c>
      <c r="E10" s="19"/>
      <c r="F10" s="16"/>
      <c r="G10" s="17"/>
      <c r="H10" s="17"/>
      <c r="I10" s="8"/>
      <c r="J10" s="8"/>
      <c r="K10" s="5"/>
    </row>
    <row r="11" spans="1:15">
      <c r="A11" s="4"/>
      <c r="B11" s="4"/>
      <c r="C11" s="4"/>
      <c r="D11" s="4"/>
      <c r="E11" s="4"/>
      <c r="F11" s="4"/>
      <c r="G11" s="4"/>
      <c r="H11" s="8"/>
      <c r="I11" s="8"/>
      <c r="J11" s="8"/>
      <c r="K11" s="5"/>
    </row>
    <row r="12" spans="1:15">
      <c r="A12" s="20" t="s">
        <v>308</v>
      </c>
      <c r="B12" s="7"/>
      <c r="C12" s="7"/>
      <c r="D12" s="7"/>
      <c r="E12" s="7"/>
      <c r="F12" s="7"/>
      <c r="G12" s="7"/>
      <c r="H12" s="7"/>
      <c r="I12" s="7"/>
      <c r="J12" s="8"/>
      <c r="K12" s="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Historical Data</vt:lpstr>
      <vt:lpstr>Model</vt:lpstr>
      <vt:lpstr>Re-Payment</vt:lpstr>
      <vt:lpstr>Scenario</vt:lpstr>
      <vt:lpstr>WACC</vt:lpstr>
      <vt:lpstr>Market Data</vt:lpstr>
      <vt:lpstr>Comps Data</vt:lpstr>
      <vt:lpstr>Comps</vt:lpstr>
      <vt:lpstr>Foot Ball Field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Swyam Sanchit</cp:lastModifiedBy>
  <cp:revision>7</cp:revision>
  <dcterms:created xsi:type="dcterms:W3CDTF">2026-09-17T16:22:00Z</dcterms:created>
  <dcterms:modified xsi:type="dcterms:W3CDTF">2026-09-23T15:57:49Z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1D9BD374D79840144D1AA86AD3EC45FA_42</vt:lpwstr>
  </property>
  <property fmtid="{D5CDD505-2E9C-101B-9397-08002B2CF9AE}" pid="4" name="KSOProductBuildVer">
    <vt:lpwstr>1033-12.1.26050.26050</vt:lpwstr>
  </property>
</Properties>
</file>