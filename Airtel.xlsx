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660" tabRatio="500" firstSheet="3" activeTab="8"/>
  </bookViews>
  <sheets>
    <sheet name="Historical Data" sheetId="1" r:id="rId1"/>
    <sheet name="Model" sheetId="2" r:id="rId2"/>
    <sheet name="Re-Payment" sheetId="3" state="hidden" r:id="rId3"/>
    <sheet name="Scenario" sheetId="4" r:id="rId4"/>
    <sheet name="Market Data" sheetId="5" r:id="rId5"/>
    <sheet name="WACC" sheetId="6" r:id="rId6"/>
    <sheet name="Comp Data" sheetId="7" r:id="rId7"/>
    <sheet name="Comp" sheetId="8" r:id="rId8"/>
    <sheet name="Football Field" sheetId="9" r:id="rId9"/>
  </sheets>
  <definedNames>
    <definedName name="IQ_AVG_PRICE_TARGET" hidden="1">"c82"</definedName>
    <definedName name="IQ_DNTM" hidden="1">700000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<sst xmlns="http://schemas.openxmlformats.org/spreadsheetml/2006/main" count="459" uniqueCount="366">
  <si>
    <t>Bharti Airtel Limited</t>
  </si>
  <si>
    <t>Historical Data</t>
  </si>
  <si>
    <t>( Rs. In Cr )</t>
  </si>
  <si>
    <t>Income</t>
  </si>
  <si>
    <t>Revenue from operations</t>
  </si>
  <si>
    <t>Other income</t>
  </si>
  <si>
    <t>Total income</t>
  </si>
  <si>
    <t>Expenses</t>
  </si>
  <si>
    <t>Network operating expenses</t>
  </si>
  <si>
    <t>Access charges</t>
  </si>
  <si>
    <t>License fee / Spectrum charges</t>
  </si>
  <si>
    <t>Employee benefits expense</t>
  </si>
  <si>
    <t>Sales and marketing expenses</t>
  </si>
  <si>
    <t>Other expenses</t>
  </si>
  <si>
    <t>Total expenses</t>
  </si>
  <si>
    <t>EBITDA* (Profit before D&amp;A, finance costs, share of associates'/JVs'
profit or loss, exceptional items and tax)</t>
  </si>
  <si>
    <t>Depreciation and amortisation expenses</t>
  </si>
  <si>
    <t>Finance costs</t>
  </si>
  <si>
    <t>Share of profit / (loss) of associates and joint ventures (net)</t>
  </si>
  <si>
    <t>Profit before exceptional items and tax</t>
  </si>
  <si>
    <t>Exceptional items (net)</t>
  </si>
  <si>
    <t>Profit before tax</t>
  </si>
  <si>
    <t>Tax expense / (credit)</t>
  </si>
  <si>
    <t>Current tax</t>
  </si>
  <si>
    <t>Deferred tax</t>
  </si>
  <si>
    <t>Total tax expense</t>
  </si>
  <si>
    <t>Profit for the year</t>
  </si>
  <si>
    <t>Balance Sheet</t>
  </si>
  <si>
    <t>ASSETS</t>
  </si>
  <si>
    <t>Non-current assets</t>
  </si>
  <si>
    <t>Property, plant and equipment</t>
  </si>
  <si>
    <t>Capital work-in-progress</t>
  </si>
  <si>
    <t>Right-of-use assets</t>
  </si>
  <si>
    <t>Goodwill</t>
  </si>
  <si>
    <t>Other intangible assets</t>
  </si>
  <si>
    <t>Intangible assets under development</t>
  </si>
  <si>
    <t>Investment in joint ventures and associates</t>
  </si>
  <si>
    <t>Financial assets - Investments</t>
  </si>
  <si>
    <t>Financial assets - Derivative instruments</t>
  </si>
  <si>
    <t>Financial assets - Trade receivables</t>
  </si>
  <si>
    <t>Financial assets - Loans</t>
  </si>
  <si>
    <t>Financial assets - Other financial assets</t>
  </si>
  <si>
    <t>Income tax assets (net)</t>
  </si>
  <si>
    <t>Deferred tax assets (net)</t>
  </si>
  <si>
    <t>Other non-current assets</t>
  </si>
  <si>
    <t>Total non-current assets</t>
  </si>
  <si>
    <t>Current assets</t>
  </si>
  <si>
    <t>Inventories</t>
  </si>
  <si>
    <t>Financial assets - Cash and cash equivalents</t>
  </si>
  <si>
    <t>Financial assets - Other bank balances</t>
  </si>
  <si>
    <t>Other current assets</t>
  </si>
  <si>
    <t>Assets held for sale</t>
  </si>
  <si>
    <t>Total current assets</t>
  </si>
  <si>
    <t>TOTAL ASSETS</t>
  </si>
  <si>
    <t>EQUITY AND LIABILITIES</t>
  </si>
  <si>
    <t>Equity</t>
  </si>
  <si>
    <t>Share capital</t>
  </si>
  <si>
    <t>Other equity</t>
  </si>
  <si>
    <t>Equity attributable to owners of the Parent</t>
  </si>
  <si>
    <t>Non-controlling interests (NCI)</t>
  </si>
  <si>
    <t>Total equity</t>
  </si>
  <si>
    <t>Non-current liabilities</t>
  </si>
  <si>
    <t>Financial liabilities - Borrowings</t>
  </si>
  <si>
    <t>Financial liabilities - Lease liabilities</t>
  </si>
  <si>
    <t>Financial liabilities - Derivative instruments</t>
  </si>
  <si>
    <t>Financial liabilities - Other financial liabilities</t>
  </si>
  <si>
    <t>Deferred revenue</t>
  </si>
  <si>
    <t>Provisions</t>
  </si>
  <si>
    <t>Deferred tax liabilities (net)</t>
  </si>
  <si>
    <t>Other non-current liabilities</t>
  </si>
  <si>
    <t>Total non-current liabilities</t>
  </si>
  <si>
    <t>Current liabilities</t>
  </si>
  <si>
    <t>Financial liabilities - Trade payables</t>
  </si>
  <si>
    <t>Current tax liabilities (net)</t>
  </si>
  <si>
    <t>Other current liabilities</t>
  </si>
  <si>
    <t>Total current liabilities</t>
  </si>
  <si>
    <t>Total liabilities</t>
  </si>
  <si>
    <t>TOTAL EQUITY AND LIABILITIES</t>
  </si>
  <si>
    <t>Cash Flow</t>
  </si>
  <si>
    <t>Cash flows from operating activities</t>
  </si>
  <si>
    <t>Adjustments for:</t>
  </si>
  <si>
    <t>Dividend income</t>
  </si>
  <si>
    <t>Net gain on fair value through profit or loss (FVTPL) instruments</t>
  </si>
  <si>
    <t>Gain on deemed disposal of subsidiary</t>
  </si>
  <si>
    <t>Interest income</t>
  </si>
  <si>
    <t>Net loss / (gain) on derivative financial instruments</t>
  </si>
  <si>
    <t>Share of profit of associates and joint ventures (net)</t>
  </si>
  <si>
    <t>Employee share based payment expense</t>
  </si>
  <si>
    <t>(Profit) / loss on sale of property, plant and equipment</t>
  </si>
  <si>
    <t>Provision for doubtful debts / bad debts written off</t>
  </si>
  <si>
    <t>Other non-cash items</t>
  </si>
  <si>
    <t>Operating cash flows before changes in assets and liabilities</t>
  </si>
  <si>
    <t>Changes in assets and liabilities:</t>
  </si>
  <si>
    <t>Trade receivables</t>
  </si>
  <si>
    <t>Trade payables</t>
  </si>
  <si>
    <t>Other financial and non-financial liabilities</t>
  </si>
  <si>
    <t>Other financial and non-financial assets</t>
  </si>
  <si>
    <t>Net cash generated from operations before tax</t>
  </si>
  <si>
    <t>Income tax paid (net)</t>
  </si>
  <si>
    <t>Net cash generated from operating activities (a)</t>
  </si>
  <si>
    <t>Cash flows from investing activities</t>
  </si>
  <si>
    <t>Purchase of property, plant and equipment and capital work-in-progress</t>
  </si>
  <si>
    <t>Proceeds from sale of property, plant and equipment</t>
  </si>
  <si>
    <t>Purchase of intangible assets and intangible assets under development</t>
  </si>
  <si>
    <t>Payment towards spectrum (including deferred payment liability)</t>
  </si>
  <si>
    <t>Proceeds from sale of spectrum</t>
  </si>
  <si>
    <t>Proceeds from sale of business</t>
  </si>
  <si>
    <t>(Purchase of) / proceeds from sale of current investments (net)</t>
  </si>
  <si>
    <t>Purchase of non-current investments</t>
  </si>
  <si>
    <t>Proceeds from sale of non-current investments</t>
  </si>
  <si>
    <t>Cash disposed off on sale of subsidiary</t>
  </si>
  <si>
    <t>Cash acquired on acquisition of subsidiary</t>
  </si>
  <si>
    <t>Acquisition of a subsidiary, net of cash proceeds</t>
  </si>
  <si>
    <t>Proceeds from sale of tower subsidiary (net of cash acquired)</t>
  </si>
  <si>
    <t>Investment in joint venture and associate</t>
  </si>
  <si>
    <t>Proceeds from sale of investment in joint venture</t>
  </si>
  <si>
    <t>Repayment of loan given to joint venture</t>
  </si>
  <si>
    <t>Dividend received</t>
  </si>
  <si>
    <t>Interest received</t>
  </si>
  <si>
    <t>Net cash used in investing activities (b)</t>
  </si>
  <si>
    <t>Cash flows from financing activities</t>
  </si>
  <si>
    <t>Net proceeds from issue of shares</t>
  </si>
  <si>
    <t>Proceeds from borrowings</t>
  </si>
  <si>
    <t>Repayment of borrowings</t>
  </si>
  <si>
    <t>Payment of lease liabilities</t>
  </si>
  <si>
    <t>Proceeds from / (repayment of) short-term borrowings (net)</t>
  </si>
  <si>
    <t>Purchase of treasury shares</t>
  </si>
  <si>
    <t>Interest and other finance charges paid</t>
  </si>
  <si>
    <t>Proceeds from exercise of share options</t>
  </si>
  <si>
    <t>Dividend paid</t>
  </si>
  <si>
    <t>Net proceeds from issuance of perpetual bonds to NCI</t>
  </si>
  <si>
    <t>Proceeds from issuance of compulsorily convertible preference shares</t>
  </si>
  <si>
    <t>Redemption of perpetual bonds</t>
  </si>
  <si>
    <t>Buyback of perpetual bonds from NCI</t>
  </si>
  <si>
    <t>Purchase of shares from NCI</t>
  </si>
  <si>
    <t>Proceeds / (payments) on maturity of derivatives (net)</t>
  </si>
  <si>
    <t>Proceeds from sale of shares of subsidiary to NCI</t>
  </si>
  <si>
    <t>Net proceeds from issuance of equity shares to NCI</t>
  </si>
  <si>
    <t>Net cash used in financing activities (c)</t>
  </si>
  <si>
    <t>Net increase / (decrease) in cash and cash equivalents during the year (a+b+c)</t>
  </si>
  <si>
    <t>Effect of exchange rate on cash and cash equivalents</t>
  </si>
  <si>
    <t>Cash and cash equivalents as at beginning of the year</t>
  </si>
  <si>
    <t>Cash and cash equivalents as at end of the year</t>
  </si>
  <si>
    <t>Historical Period</t>
  </si>
  <si>
    <t>Forecasted Period</t>
  </si>
  <si>
    <t>Financial Statement Analysis &amp; Valuation</t>
  </si>
  <si>
    <t>LIVE SCENARIO</t>
  </si>
  <si>
    <t>Bull Case</t>
  </si>
  <si>
    <t>Revenue Growth as %</t>
  </si>
  <si>
    <t>COGS as % of Revenue</t>
  </si>
  <si>
    <t>Operating Expense as % of Revenue</t>
  </si>
  <si>
    <t>Depreciation &amp; Amortization as % of PP&amp;E</t>
  </si>
  <si>
    <t>Interest as % of Debt</t>
  </si>
  <si>
    <t>Tax as % of Pre-Tax Income</t>
  </si>
  <si>
    <t>Other Income as % of Revenue</t>
  </si>
  <si>
    <t>Dividend Payout Ratio</t>
  </si>
  <si>
    <t>Day's Sales Outstanding</t>
  </si>
  <si>
    <t>Day's Inventory Outstanding</t>
  </si>
  <si>
    <t>Days's Payable Outstanding</t>
  </si>
  <si>
    <t>Capital Asset Turnover Ratio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</si>
  <si>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</si>
  <si>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</si>
  <si>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</si>
  <si>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</si>
  <si>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</si>
  <si>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</si>
  <si>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</si>
  <si>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</si>
  <si>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</si>
  <si>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</si>
  <si>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Profit Before Tax</t>
  </si>
  <si>
    <t>Less: Tax</t>
  </si>
  <si>
    <t>Profit After Tax</t>
  </si>
  <si>
    <t>BALANCE SHEET</t>
  </si>
  <si>
    <t>Current Assets</t>
  </si>
  <si>
    <t>Cash &amp; Bank</t>
  </si>
  <si>
    <t>Trade Recevivable</t>
  </si>
  <si>
    <t>Other Current Assets</t>
  </si>
  <si>
    <t>Non Current Assets</t>
  </si>
  <si>
    <t>Plant, Property &amp; Equipment</t>
  </si>
  <si>
    <t>Intangible Assets</t>
  </si>
  <si>
    <t>Financial Asset</t>
  </si>
  <si>
    <t>Other Non Current Assets</t>
  </si>
  <si>
    <t>Current Liabilities</t>
  </si>
  <si>
    <t>Trade Payable</t>
  </si>
  <si>
    <t>Other Current Liabilities</t>
  </si>
  <si>
    <t>Borrowing</t>
  </si>
  <si>
    <t>Other Non Current Liabilities</t>
  </si>
  <si>
    <t>TOTAL LAIBILITIES</t>
  </si>
  <si>
    <t>Other Equity</t>
  </si>
  <si>
    <t>Total Shareholder Fund</t>
  </si>
  <si>
    <t>Non-Controlling Interest</t>
  </si>
  <si>
    <t>TOTAL EQUITY &amp; LIABILITIES</t>
  </si>
  <si>
    <t>CHECK</t>
  </si>
  <si>
    <t>CASH FLOW</t>
  </si>
  <si>
    <t>Cash Flow from Operations</t>
  </si>
  <si>
    <t>Profit after Tax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</si>
  <si>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</si>
  <si>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</si>
  <si>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</si>
  <si>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</si>
  <si>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</si>
  <si>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</si>
  <si>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</si>
  <si>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</si>
  <si>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</si>
  <si>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Cash Flow from Financing Activities</t>
  </si>
  <si>
    <t>Issuance/repayment of debt</t>
  </si>
  <si>
    <t>Proceeds from issue of preferance shares</t>
  </si>
  <si>
    <t>Interest paid</t>
  </si>
  <si>
    <t>Net decrease in Cash and Cash Equivalents</t>
  </si>
  <si>
    <t>Opening Cash Balance</t>
  </si>
  <si>
    <t>Closing Cash Balance</t>
  </si>
  <si>
    <t>Supporting Schedule</t>
  </si>
  <si>
    <t>Working capital</t>
  </si>
  <si>
    <t>Trade Receivable</t>
  </si>
  <si>
    <t>Invenrories</t>
  </si>
  <si>
    <t>Other adjustment</t>
  </si>
  <si>
    <t>TOTAL</t>
  </si>
  <si>
    <t>Depreciation &amp; Amortization</t>
  </si>
  <si>
    <t>Opening Balance</t>
  </si>
  <si>
    <t>Add/Less: Purchase's &amp; Sale</t>
  </si>
  <si>
    <t>Closing Balance</t>
  </si>
  <si>
    <t>Debt Schedule</t>
  </si>
  <si>
    <t>Opeing Balance</t>
  </si>
  <si>
    <t>Less: Issuance/repayment</t>
  </si>
  <si>
    <t>Interest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</si>
  <si>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</si>
  <si>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</si>
  <si>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</si>
  <si>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</si>
  <si>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</si>
  <si>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</si>
  <si>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</si>
  <si>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</si>
  <si>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</si>
  <si>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</si>
  <si>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</si>
  <si>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</si>
  <si>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</si>
  <si>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</si>
  <si>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Perpetuity</t>
  </si>
  <si>
    <t>Time Period</t>
  </si>
  <si>
    <t>Yearfrac.</t>
  </si>
  <si>
    <t>less: Taxes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</si>
  <si>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</si>
  <si>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</si>
  <si>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</si>
  <si>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</si>
  <si>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</si>
  <si>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</si>
  <si>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</si>
  <si>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</si>
  <si>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</si>
  <si>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</si>
  <si>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</si>
  <si>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</si>
  <si>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</si>
  <si>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Less: Non-Controlling Interest</t>
  </si>
  <si>
    <t>Equity Value</t>
  </si>
  <si>
    <t>Intrinsic Value per Share</t>
  </si>
  <si>
    <t>Sensitivity Analysis</t>
  </si>
  <si>
    <t>Exit Multiple</t>
  </si>
  <si>
    <t>Perpetual Growth Rate</t>
  </si>
  <si>
    <t>Loan Repayment &amp; Lease Liabilities</t>
  </si>
  <si>
    <t>Instrument</t>
  </si>
  <si>
    <t>2026</t>
  </si>
  <si>
    <t>2027</t>
  </si>
  <si>
    <t>2028*</t>
  </si>
  <si>
    <t>2031+</t>
  </si>
  <si>
    <t>Total</t>
  </si>
  <si>
    <t>Term loans — One time</t>
  </si>
  <si>
    <t>Term loans — Monthly</t>
  </si>
  <si>
    <t>Term loans — Quarterly</t>
  </si>
  <si>
    <t>Term loans — Half yearly</t>
  </si>
  <si>
    <t>Term loans — Annually</t>
  </si>
  <si>
    <t>Non-convertible bonds</t>
  </si>
  <si>
    <t>Deferred payment liability — Spectrum</t>
  </si>
  <si>
    <t>Deferred payment liability — Adjusted Gross Revenue (AGR)</t>
  </si>
  <si>
    <t>Bank overdraft</t>
  </si>
  <si>
    <t>Total borrowings repayment</t>
  </si>
  <si>
    <t>LIVE SCEANRIO</t>
  </si>
  <si>
    <t>Scenarios</t>
  </si>
  <si>
    <t>Growth %</t>
  </si>
  <si>
    <t>Base Case</t>
  </si>
  <si>
    <t>Bear Case</t>
  </si>
  <si>
    <t>Annual growth tapering</t>
  </si>
  <si>
    <t>Market Data</t>
  </si>
  <si>
    <t>Index</t>
  </si>
  <si>
    <t>Close Price</t>
  </si>
  <si>
    <t>Period (yrs)</t>
  </si>
  <si>
    <t>Returns</t>
  </si>
  <si>
    <t>Weighted-Average Cost of Capital (WACC)</t>
  </si>
  <si>
    <t>(All Amounts Denominated in INR Crore Unless Otherwise Stated)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</si>
  <si>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</si>
  <si>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</si>
  <si>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</si>
  <si>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</si>
  <si>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</si>
  <si>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</si>
  <si>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</si>
  <si>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Debt</t>
  </si>
  <si>
    <t>Capital</t>
  </si>
  <si>
    <t>Rate %</t>
  </si>
  <si>
    <t>Beta</t>
  </si>
  <si>
    <t>Vodafone Idea Limited</t>
  </si>
  <si>
    <t>Bharti Hexacom Limited</t>
  </si>
  <si>
    <t>Tata Communications Limited</t>
  </si>
  <si>
    <t>Railtel Corporation of India Limited</t>
  </si>
  <si>
    <t>Average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</si>
  <si>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</si>
  <si>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</si>
  <si>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</si>
  <si>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</si>
  <si>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</si>
  <si>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</si>
  <si>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</si>
  <si>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</si>
  <si>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</si>
  <si>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</si>
  <si>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</si>
  <si>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</si>
  <si>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</si>
  <si>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</si>
  <si>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</si>
  <si>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</si>
  <si>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</si>
  <si>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</si>
  <si>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\</t>
  </si>
  <si>
    <t>Comp Data</t>
  </si>
  <si>
    <t>Company</t>
  </si>
  <si>
    <t>Ticker</t>
  </si>
  <si>
    <t>Price</t>
  </si>
  <si>
    <t>Shares</t>
  </si>
  <si>
    <t>Cash</t>
  </si>
  <si>
    <t>Sales</t>
  </si>
  <si>
    <t>Net Income</t>
  </si>
  <si>
    <t>BHARTIARTL</t>
  </si>
  <si>
    <t>IDEA</t>
  </si>
  <si>
    <t>BHARTIHEXA</t>
  </si>
  <si>
    <t>TATACOMM</t>
  </si>
  <si>
    <t>RAILTEL</t>
  </si>
  <si>
    <t>Source: www.screener.in</t>
  </si>
  <si>
    <t>Comp Valuation</t>
  </si>
  <si>
    <t>Financial Data</t>
  </si>
  <si>
    <t>Valuation</t>
  </si>
  <si>
    <t>EV</t>
  </si>
  <si>
    <t>Earnings</t>
  </si>
  <si>
    <t>EV/Sales</t>
  </si>
  <si>
    <t>P/E</t>
  </si>
  <si>
    <r>
      <rPr>
        <sz val="11"/>
        <color theme="0"/>
        <rFont val="Times New Roman Regular"/>
        <charset val="1"/>
      </rPr>
      <t>(</t>
    </r>
    <r>
      <rPr>
        <sz val="11"/>
        <color theme="0"/>
        <rFont val="Calibri"/>
        <charset val="1"/>
      </rPr>
      <t>₹</t>
    </r>
    <r>
      <rPr>
        <sz val="11"/>
        <color theme="0"/>
        <rFont val="Times New Roman Regular"/>
        <charset val="1"/>
      </rPr>
      <t>/share)</t>
    </r>
  </si>
  <si>
    <r>
      <rPr>
        <sz val="11"/>
        <color theme="0"/>
        <rFont val="Times New Roman"/>
        <charset val="1"/>
      </rPr>
      <t>₹</t>
    </r>
    <r>
      <rPr>
        <sz val="11"/>
        <color theme="0"/>
        <rFont val="Times New Roman Regular"/>
        <charset val="1"/>
      </rPr>
      <t xml:space="preserve"> In CR</t>
    </r>
  </si>
  <si>
    <t>&amp; Equivalents</t>
  </si>
  <si>
    <t>x</t>
  </si>
  <si>
    <t>Metric</t>
  </si>
  <si>
    <t>Comps</t>
  </si>
  <si>
    <t>Net Debt</t>
  </si>
  <si>
    <t>Share Price</t>
  </si>
  <si>
    <t>FootBall Field Chart</t>
  </si>
  <si>
    <t>DCF</t>
  </si>
  <si>
    <t>52-week high/low</t>
  </si>
  <si>
    <t>Market Consensus</t>
  </si>
  <si>
    <t>High</t>
  </si>
  <si>
    <t>(ICICI Securities)</t>
  </si>
  <si>
    <t>Low</t>
  </si>
  <si>
    <t>(Prabhudas Lilladher)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</si>
</sst>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&quot;x&quot;"/>
    <numFmt numFmtId="177" formatCode="0\x"/>
    <numFmt numFmtId="178" formatCode="0.00_);[Red]\(0.00\)"/>
    <numFmt numFmtId="179" formatCode="0\F"/>
    <numFmt numFmtId="180" formatCode="#,##0;\(#,##0\);\-"/>
    <numFmt numFmtId="181" formatCode="0.0%"/>
    <numFmt numFmtId="182" formatCode="0\A"/>
    <numFmt numFmtId="183" formatCode=";;;"/>
    <numFmt numFmtId="184" formatCode="0\D"/>
    <numFmt numFmtId="185" formatCode="0.0\x"/>
    <numFmt numFmtId="186" formatCode="0_);\(0\)"/>
    <numFmt numFmtId="187" formatCode="m/d/yyyy;@"/>
    <numFmt numFmtId="188" formatCode="0&quot;x&quot;"/>
  </numFmts>
  <fonts count="73">
    <font>
      <sz val="11"/>
      <color theme="1"/>
      <name val="Calibri"/>
      <charset val="1"/>
    </font>
    <font>
      <b/>
      <sz val="26"/>
      <color theme="0"/>
      <name val="Times New Roman Regular"/>
      <charset val="1"/>
    </font>
    <font>
      <sz val="11"/>
      <color theme="1"/>
      <name val="Calibri"/>
      <charset val="134"/>
    </font>
    <font>
      <b/>
      <sz val="11"/>
      <color theme="0"/>
      <name val="Times New Roman Regular"/>
      <charset val="134"/>
    </font>
    <font>
      <sz val="8"/>
      <color theme="0"/>
      <name val="Times New Roman Regular"/>
      <charset val="134"/>
    </font>
    <font>
      <sz val="11"/>
      <color theme="1"/>
      <name val="Book Antiqua"/>
      <charset val="134"/>
    </font>
    <font>
      <b/>
      <sz val="11"/>
      <color theme="1"/>
      <name val="Book Antiqua"/>
      <charset val="134"/>
    </font>
    <font>
      <b/>
      <i/>
      <sz val="6"/>
      <color theme="1"/>
      <name val="Times New Roman Regular"/>
      <charset val="1"/>
    </font>
    <font>
      <b/>
      <i/>
      <sz val="6"/>
      <color rgb="FF000000"/>
      <name val="Times New Roman Regular"/>
      <charset val="1"/>
    </font>
    <font>
      <b/>
      <i/>
      <sz val="11"/>
      <color theme="1"/>
      <name val="Calibri"/>
      <charset val="1"/>
    </font>
    <font>
      <sz val="11"/>
      <color theme="0"/>
      <name val="Times New Roman Regular"/>
      <charset val="1"/>
    </font>
    <font>
      <sz val="11"/>
      <color theme="0"/>
      <name val="Calibri"/>
      <charset val="1"/>
    </font>
    <font>
      <sz val="11"/>
      <color theme="1"/>
      <name val="Times New Roman Regular"/>
      <charset val="1"/>
    </font>
    <font>
      <sz val="11"/>
      <color theme="0"/>
      <name val="Times New Roman Regular"/>
      <charset val="134"/>
    </font>
    <font>
      <sz val="11"/>
      <color theme="0"/>
      <name val="Times New Roman"/>
      <charset val="1"/>
    </font>
    <font>
      <sz val="11"/>
      <color rgb="FF00B050"/>
      <name val="Times New Roman Regular"/>
      <charset val="1"/>
    </font>
    <font>
      <sz val="11"/>
      <name val="Times New Roman Regular"/>
      <charset val="134"/>
    </font>
    <font>
      <b/>
      <sz val="12"/>
      <color theme="0"/>
      <name val="Book Antiqua"/>
      <charset val="134"/>
    </font>
    <font>
      <sz val="12"/>
      <color theme="1"/>
      <name val="Times New Roman Regular"/>
      <charset val="1"/>
    </font>
    <font>
      <sz val="11"/>
      <color theme="1"/>
      <name val="Times New Roman Regular"/>
      <charset val="134"/>
    </font>
    <font>
      <sz val="12"/>
      <color theme="1"/>
      <name val="Times New Roman Regular"/>
      <charset val="134"/>
    </font>
    <font>
      <b/>
      <sz val="12"/>
      <color theme="0"/>
      <name val="Times New Roman Regular"/>
      <charset val="134"/>
    </font>
    <font>
      <sz val="12"/>
      <color rgb="FF0070C0"/>
      <name val="Times New Roman Regular"/>
      <charset val="1"/>
    </font>
    <font>
      <i/>
      <u/>
      <sz val="11"/>
      <color theme="1"/>
      <name val="Book Antiqua"/>
      <charset val="134"/>
    </font>
    <font>
      <sz val="24"/>
      <color theme="0"/>
      <name val="Times New Roman Regular"/>
      <charset val="1"/>
    </font>
    <font>
      <b/>
      <i/>
      <sz val="6"/>
      <color theme="0"/>
      <name val="Times New Roman Regular"/>
      <charset val="1"/>
    </font>
    <font>
      <b/>
      <sz val="11"/>
      <color theme="1"/>
      <name val="Times New Roman Regular"/>
      <charset val="1"/>
    </font>
    <font>
      <b/>
      <sz val="11"/>
      <name val="Times New Roman Regular"/>
      <charset val="134"/>
    </font>
    <font>
      <sz val="11"/>
      <color rgb="FF0070C0"/>
      <name val="Times New Roman Regular"/>
      <charset val="134"/>
    </font>
    <font>
      <b/>
      <sz val="11"/>
      <color theme="1"/>
      <name val="Times New Roman Regular"/>
      <charset val="134"/>
    </font>
    <font>
      <sz val="12"/>
      <color theme="0"/>
      <name val="Times New Roman Regular"/>
      <charset val="1"/>
    </font>
    <font>
      <b/>
      <i/>
      <sz val="11"/>
      <color theme="0"/>
      <name val="Times New Roman Regular"/>
      <charset val="1"/>
    </font>
    <font>
      <sz val="11"/>
      <color rgb="FF00B0F0"/>
      <name val="Times New Roman Regular"/>
      <charset val="134"/>
    </font>
    <font>
      <b/>
      <sz val="11"/>
      <color theme="0"/>
      <name val="Times New Roman Regular"/>
      <charset val="1"/>
    </font>
    <font>
      <sz val="11"/>
      <name val="Times New Roman Regular"/>
      <charset val="1"/>
    </font>
    <font>
      <b/>
      <sz val="11"/>
      <name val="Times New Roman Regular"/>
      <charset val="1"/>
    </font>
    <font>
      <i/>
      <sz val="9"/>
      <name val="Times New Roman Regular"/>
      <charset val="1"/>
    </font>
    <font>
      <b/>
      <sz val="16"/>
      <color theme="0"/>
      <name val="Times New Roman Regular"/>
      <charset val="1"/>
    </font>
    <font>
      <sz val="10"/>
      <name val="Arial"/>
      <charset val="134"/>
    </font>
    <font>
      <i/>
      <sz val="11"/>
      <color theme="1"/>
      <name val="Times New Roman Regular"/>
      <charset val="1"/>
    </font>
    <font>
      <b/>
      <i/>
      <sz val="11"/>
      <color theme="1"/>
      <name val="Times New Roman Regular"/>
      <charset val="1"/>
    </font>
    <font>
      <i/>
      <sz val="11"/>
      <color theme="1"/>
      <name val="Calibri"/>
      <charset val="1"/>
    </font>
    <font>
      <b/>
      <sz val="14"/>
      <color theme="1"/>
      <name val="Times New Roman Regular"/>
      <charset val="134"/>
    </font>
    <font>
      <sz val="14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sz val="14"/>
      <name val="Times New Roman Regular"/>
      <charset val="134"/>
    </font>
    <font>
      <sz val="11"/>
      <color rgb="FF00B0F0"/>
      <name val="Times New Roman Regular"/>
      <charset val="1"/>
    </font>
    <font>
      <b/>
      <sz val="11"/>
      <color theme="1"/>
      <name val="Calibri"/>
      <charset val="1"/>
    </font>
    <font>
      <u/>
      <sz val="11"/>
      <color theme="1"/>
      <name val="Times New Roman Regular"/>
      <charset val="1"/>
    </font>
    <font>
      <b/>
      <sz val="10"/>
      <name val="Times New Roman Regular"/>
      <charset val="1"/>
    </font>
    <font>
      <sz val="10"/>
      <name val="Times New Roman Regular"/>
      <charset val="1"/>
    </font>
    <font>
      <b/>
      <u/>
      <sz val="11"/>
      <color theme="1"/>
      <name val="Times New Roman Regular"/>
      <charset val="1"/>
    </font>
    <font>
      <i/>
      <sz val="10"/>
      <name val="Times New Roman Regular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rgb="FF241F1F"/>
      </patternFill>
    </fill>
    <fill>
      <patternFill patternType="solid">
        <fgColor theme="1" tint="0.05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2" tint="-0.1"/>
        <bgColor rgb="FFCCCCFF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8" fillId="0" borderId="0"/>
    <xf numFmtId="44" fontId="38" fillId="0" borderId="0"/>
    <xf numFmtId="9" fontId="38" fillId="0" borderId="0"/>
    <xf numFmtId="41" fontId="38" fillId="0" borderId="0"/>
    <xf numFmtId="42" fontId="38" fillId="0" borderId="0"/>
    <xf numFmtId="0" fontId="53" fillId="0" borderId="0">
      <alignment vertical="center"/>
    </xf>
    <xf numFmtId="0" fontId="54" fillId="0" borderId="0">
      <alignment vertical="center"/>
    </xf>
    <xf numFmtId="0" fontId="55" fillId="8" borderId="1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9" fillId="0" borderId="11">
      <alignment vertical="center"/>
    </xf>
    <xf numFmtId="0" fontId="60" fillId="0" borderId="11">
      <alignment vertical="center"/>
    </xf>
    <xf numFmtId="0" fontId="61" fillId="0" borderId="12">
      <alignment vertical="center"/>
    </xf>
    <xf numFmtId="0" fontId="61" fillId="0" borderId="0">
      <alignment vertical="center"/>
    </xf>
    <xf numFmtId="0" fontId="62" fillId="9" borderId="13">
      <alignment vertical="center"/>
    </xf>
    <xf numFmtId="0" fontId="63" fillId="10" borderId="14">
      <alignment vertical="center"/>
    </xf>
    <xf numFmtId="0" fontId="64" fillId="10" borderId="13">
      <alignment vertical="center"/>
    </xf>
    <xf numFmtId="0" fontId="65" fillId="11" borderId="15">
      <alignment vertical="center"/>
    </xf>
    <xf numFmtId="0" fontId="66" fillId="0" borderId="16">
      <alignment vertical="center"/>
    </xf>
    <xf numFmtId="0" fontId="67" fillId="0" borderId="17">
      <alignment vertical="center"/>
    </xf>
    <xf numFmtId="0" fontId="68" fillId="12" borderId="0">
      <alignment vertical="center"/>
    </xf>
    <xf numFmtId="0" fontId="69" fillId="13" borderId="0">
      <alignment vertical="center"/>
    </xf>
    <xf numFmtId="0" fontId="70" fillId="14" borderId="0">
      <alignment vertical="center"/>
    </xf>
    <xf numFmtId="0" fontId="71" fillId="15" borderId="0">
      <alignment vertical="center"/>
    </xf>
    <xf numFmtId="0" fontId="72" fillId="16" borderId="0">
      <alignment vertical="center"/>
    </xf>
    <xf numFmtId="0" fontId="72" fillId="17" borderId="0">
      <alignment vertical="center"/>
    </xf>
    <xf numFmtId="0" fontId="71" fillId="18" borderId="0">
      <alignment vertical="center"/>
    </xf>
    <xf numFmtId="0" fontId="71" fillId="19" borderId="0">
      <alignment vertical="center"/>
    </xf>
    <xf numFmtId="0" fontId="72" fillId="20" borderId="0">
      <alignment vertical="center"/>
    </xf>
    <xf numFmtId="0" fontId="72" fillId="21" borderId="0">
      <alignment vertical="center"/>
    </xf>
    <xf numFmtId="0" fontId="71" fillId="22" borderId="0">
      <alignment vertical="center"/>
    </xf>
    <xf numFmtId="0" fontId="71" fillId="23" borderId="0">
      <alignment vertical="center"/>
    </xf>
    <xf numFmtId="0" fontId="72" fillId="24" borderId="0">
      <alignment vertical="center"/>
    </xf>
    <xf numFmtId="0" fontId="72" fillId="25" borderId="0">
      <alignment vertical="center"/>
    </xf>
    <xf numFmtId="0" fontId="71" fillId="26" borderId="0">
      <alignment vertical="center"/>
    </xf>
    <xf numFmtId="0" fontId="71" fillId="27" borderId="0">
      <alignment vertical="center"/>
    </xf>
    <xf numFmtId="0" fontId="72" fillId="28" borderId="0">
      <alignment vertical="center"/>
    </xf>
    <xf numFmtId="0" fontId="72" fillId="29" borderId="0">
      <alignment vertical="center"/>
    </xf>
    <xf numFmtId="0" fontId="71" fillId="30" borderId="0">
      <alignment vertical="center"/>
    </xf>
    <xf numFmtId="0" fontId="71" fillId="31" borderId="0">
      <alignment vertical="center"/>
    </xf>
    <xf numFmtId="0" fontId="72" fillId="32" borderId="0">
      <alignment vertical="center"/>
    </xf>
    <xf numFmtId="0" fontId="72" fillId="33" borderId="0">
      <alignment vertical="center"/>
    </xf>
    <xf numFmtId="0" fontId="71" fillId="34" borderId="0">
      <alignment vertical="center"/>
    </xf>
    <xf numFmtId="0" fontId="71" fillId="35" borderId="0">
      <alignment vertical="center"/>
    </xf>
    <xf numFmtId="0" fontId="72" fillId="36" borderId="0">
      <alignment vertical="center"/>
    </xf>
    <xf numFmtId="0" fontId="72" fillId="37" borderId="0">
      <alignment vertical="center"/>
    </xf>
    <xf numFmtId="0" fontId="71" fillId="38" borderId="0">
      <alignment vertical="center"/>
    </xf>
    <xf numFmtId="0" fontId="55" fillId="0" borderId="0"/>
  </cellStyleXfs>
  <cellXfs count="183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Fill="1" applyAlignment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5" fillId="0" borderId="0" xfId="0" applyFont="1" applyFill="1" applyAlignment="1">
      <alignment horizontal="left"/>
    </xf>
    <xf numFmtId="4" fontId="5" fillId="0" borderId="0" xfId="0" applyNumberFormat="1" applyFont="1" applyFill="1" applyAlignment="1">
      <alignment horizontal="center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/>
    <xf numFmtId="0" fontId="10" fillId="4" borderId="0" xfId="0" applyFont="1" applyFill="1"/>
    <xf numFmtId="0" fontId="11" fillId="4" borderId="0" xfId="0" applyFont="1" applyFill="1"/>
    <xf numFmtId="0" fontId="0" fillId="2" borderId="0" xfId="0" applyFill="1"/>
    <xf numFmtId="0" fontId="12" fillId="0" borderId="0" xfId="0" applyFont="1"/>
    <xf numFmtId="0" fontId="10" fillId="2" borderId="0" xfId="0" applyFont="1" applyFill="1"/>
    <xf numFmtId="0" fontId="13" fillId="2" borderId="0" xfId="0" applyFont="1" applyFill="1" applyAlignment="1">
      <alignment horizontal="centerContinuous"/>
    </xf>
    <xf numFmtId="0" fontId="10" fillId="2" borderId="0" xfId="0" applyFont="1" applyFill="1" applyAlignment="1">
      <alignment horizontal="centerContinuous"/>
    </xf>
    <xf numFmtId="0" fontId="13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0" fontId="15" fillId="0" borderId="0" xfId="0" applyFont="1"/>
    <xf numFmtId="0" fontId="13" fillId="2" borderId="3" xfId="0" applyFont="1" applyFill="1" applyBorder="1"/>
    <xf numFmtId="0" fontId="10" fillId="2" borderId="3" xfId="0" applyFont="1" applyFill="1" applyBorder="1"/>
    <xf numFmtId="0" fontId="15" fillId="2" borderId="3" xfId="0" applyFont="1" applyFill="1" applyBorder="1"/>
    <xf numFmtId="176" fontId="10" fillId="2" borderId="3" xfId="0" applyNumberFormat="1" applyFont="1" applyFill="1" applyBorder="1"/>
    <xf numFmtId="0" fontId="13" fillId="2" borderId="0" xfId="0" applyFont="1" applyFill="1"/>
    <xf numFmtId="0" fontId="15" fillId="2" borderId="0" xfId="0" applyFont="1" applyFill="1"/>
    <xf numFmtId="176" fontId="10" fillId="2" borderId="0" xfId="0" applyNumberFormat="1" applyFont="1" applyFill="1"/>
    <xf numFmtId="0" fontId="16" fillId="0" borderId="0" xfId="0" applyFont="1"/>
    <xf numFmtId="0" fontId="12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7" fillId="2" borderId="0" xfId="49" applyFont="1" applyFill="1"/>
    <xf numFmtId="0" fontId="11" fillId="2" borderId="0" xfId="0" applyFont="1" applyFill="1"/>
    <xf numFmtId="0" fontId="17" fillId="2" borderId="0" xfId="49" applyFont="1" applyFill="1" applyAlignment="1">
      <alignment horizontal="right"/>
    </xf>
    <xf numFmtId="0" fontId="17" fillId="2" borderId="0" xfId="49" applyFont="1" applyFill="1" applyAlignment="1">
      <alignment horizontal="center"/>
    </xf>
    <xf numFmtId="1" fontId="12" fillId="0" borderId="0" xfId="0" applyNumberFormat="1" applyFont="1"/>
    <xf numFmtId="177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78" fontId="12" fillId="0" borderId="0" xfId="0" applyNumberFormat="1" applyFont="1"/>
    <xf numFmtId="0" fontId="18" fillId="0" borderId="0" xfId="0" applyFont="1"/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2" fillId="0" borderId="0" xfId="0" applyFont="1" applyFill="1"/>
    <xf numFmtId="0" fontId="3" fillId="2" borderId="0" xfId="0" applyFont="1" applyFill="1"/>
    <xf numFmtId="0" fontId="21" fillId="2" borderId="0" xfId="0" applyFont="1" applyFill="1"/>
    <xf numFmtId="0" fontId="22" fillId="0" borderId="0" xfId="0" applyFont="1"/>
    <xf numFmtId="4" fontId="22" fillId="0" borderId="0" xfId="0" applyNumberFormat="1" applyFont="1"/>
    <xf numFmtId="3" fontId="22" fillId="0" borderId="0" xfId="0" applyNumberFormat="1" applyFont="1"/>
    <xf numFmtId="0" fontId="12" fillId="5" borderId="0" xfId="0" applyFont="1" applyFill="1"/>
    <xf numFmtId="0" fontId="18" fillId="5" borderId="0" xfId="0" applyFont="1" applyFill="1"/>
    <xf numFmtId="0" fontId="23" fillId="0" borderId="0" xfId="0" applyFont="1" applyFill="1" applyAlignment="1"/>
    <xf numFmtId="0" fontId="24" fillId="4" borderId="0" xfId="0" applyFont="1" applyFill="1"/>
    <xf numFmtId="0" fontId="25" fillId="4" borderId="0" xfId="0" applyFont="1" applyFill="1"/>
    <xf numFmtId="0" fontId="13" fillId="4" borderId="0" xfId="0" applyFont="1" applyFill="1"/>
    <xf numFmtId="0" fontId="12" fillId="4" borderId="0" xfId="0" applyFont="1" applyFill="1"/>
    <xf numFmtId="0" fontId="26" fillId="0" borderId="0" xfId="0" applyFont="1"/>
    <xf numFmtId="0" fontId="27" fillId="0" borderId="0" xfId="0" applyFont="1"/>
    <xf numFmtId="0" fontId="12" fillId="0" borderId="3" xfId="0" applyFont="1" applyBorder="1"/>
    <xf numFmtId="3" fontId="12" fillId="0" borderId="3" xfId="0" applyNumberFormat="1" applyFont="1" applyBorder="1"/>
    <xf numFmtId="10" fontId="12" fillId="0" borderId="3" xfId="0" applyNumberFormat="1" applyFont="1" applyBorder="1"/>
    <xf numFmtId="4" fontId="12" fillId="0" borderId="3" xfId="0" applyNumberFormat="1" applyFont="1" applyBorder="1"/>
    <xf numFmtId="3" fontId="12" fillId="0" borderId="0" xfId="0" applyNumberFormat="1" applyFont="1"/>
    <xf numFmtId="10" fontId="12" fillId="0" borderId="0" xfId="0" applyNumberFormat="1" applyFont="1"/>
    <xf numFmtId="4" fontId="12" fillId="0" borderId="0" xfId="0" applyNumberFormat="1" applyFont="1"/>
    <xf numFmtId="10" fontId="10" fillId="2" borderId="3" xfId="0" applyNumberFormat="1" applyFont="1" applyFill="1" applyBorder="1"/>
    <xf numFmtId="4" fontId="10" fillId="2" borderId="3" xfId="0" applyNumberFormat="1" applyFont="1" applyFill="1" applyBorder="1"/>
    <xf numFmtId="10" fontId="10" fillId="2" borderId="0" xfId="0" applyNumberFormat="1" applyFont="1" applyFill="1"/>
    <xf numFmtId="4" fontId="10" fillId="2" borderId="0" xfId="0" applyNumberFormat="1" applyFont="1" applyFill="1"/>
    <xf numFmtId="10" fontId="16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Font="1"/>
    <xf numFmtId="0" fontId="13" fillId="3" borderId="0" xfId="0" applyFont="1" applyFill="1" applyAlignment="1">
      <alignment horizontal="center" vertical="center"/>
    </xf>
    <xf numFmtId="58" fontId="28" fillId="0" borderId="0" xfId="0" applyNumberFormat="1" applyFont="1" applyAlignment="1">
      <alignment horizontal="center" vertical="center" wrapText="1"/>
    </xf>
    <xf numFmtId="4" fontId="28" fillId="0" borderId="0" xfId="0" applyNumberFormat="1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19" fillId="6" borderId="4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10" fontId="19" fillId="6" borderId="4" xfId="0" applyNumberFormat="1" applyFont="1" applyFill="1" applyBorder="1" applyAlignment="1">
      <alignment vertical="center"/>
    </xf>
    <xf numFmtId="0" fontId="30" fillId="2" borderId="0" xfId="0" applyFont="1" applyFill="1"/>
    <xf numFmtId="0" fontId="31" fillId="2" borderId="0" xfId="0" applyFont="1" applyFill="1" applyAlignment="1">
      <alignment horizontal="center"/>
    </xf>
    <xf numFmtId="0" fontId="12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9" fillId="0" borderId="0" xfId="0" applyFont="1"/>
    <xf numFmtId="179" fontId="29" fillId="0" borderId="0" xfId="0" applyNumberFormat="1" applyFont="1" applyAlignment="1">
      <alignment horizontal="center"/>
    </xf>
    <xf numFmtId="0" fontId="19" fillId="0" borderId="3" xfId="0" applyFont="1" applyBorder="1"/>
    <xf numFmtId="10" fontId="19" fillId="0" borderId="5" xfId="3" applyNumberFormat="1" applyFont="1" applyBorder="1"/>
    <xf numFmtId="0" fontId="19" fillId="0" borderId="3" xfId="0" applyFont="1" applyBorder="1" applyAlignment="1">
      <alignment vertical="center"/>
    </xf>
    <xf numFmtId="10" fontId="19" fillId="0" borderId="3" xfId="3" applyNumberFormat="1" applyFont="1" applyBorder="1" applyAlignment="1">
      <alignment horizontal="center"/>
    </xf>
    <xf numFmtId="10" fontId="19" fillId="0" borderId="6" xfId="3" applyNumberFormat="1" applyFont="1" applyBorder="1"/>
    <xf numFmtId="10" fontId="19" fillId="0" borderId="0" xfId="3" applyNumberFormat="1" applyFont="1" applyAlignment="1">
      <alignment horizontal="center"/>
    </xf>
    <xf numFmtId="10" fontId="19" fillId="0" borderId="4" xfId="3" applyNumberFormat="1" applyFont="1" applyBorder="1"/>
    <xf numFmtId="10" fontId="32" fillId="0" borderId="7" xfId="3" applyNumberFormat="1" applyFont="1" applyBorder="1"/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4" fontId="19" fillId="0" borderId="0" xfId="0" applyNumberFormat="1" applyFont="1"/>
    <xf numFmtId="4" fontId="29" fillId="0" borderId="0" xfId="0" applyNumberFormat="1" applyFont="1"/>
    <xf numFmtId="0" fontId="33" fillId="2" borderId="0" xfId="0" applyFont="1" applyFill="1"/>
    <xf numFmtId="0" fontId="33" fillId="2" borderId="0" xfId="0" applyFont="1" applyFill="1" applyAlignment="1">
      <alignment horizontal="center"/>
    </xf>
    <xf numFmtId="0" fontId="34" fillId="0" borderId="0" xfId="0" applyFont="1"/>
    <xf numFmtId="180" fontId="34" fillId="0" borderId="0" xfId="0" applyNumberFormat="1" applyFont="1"/>
    <xf numFmtId="0" fontId="35" fillId="0" borderId="0" xfId="0" applyFont="1"/>
    <xf numFmtId="180" fontId="35" fillId="0" borderId="0" xfId="0" applyNumberFormat="1" applyFont="1"/>
    <xf numFmtId="0" fontId="36" fillId="0" borderId="0" xfId="0" applyFont="1"/>
    <xf numFmtId="181" fontId="36" fillId="0" borderId="0" xfId="0" applyNumberFormat="1" applyFont="1"/>
    <xf numFmtId="0" fontId="37" fillId="2" borderId="0" xfId="0" applyFont="1" applyFill="1" applyAlignment="1">
      <alignment horizontal="centerContinuous"/>
    </xf>
    <xf numFmtId="0" fontId="12" fillId="2" borderId="0" xfId="0" applyFill="1" applyAlignment="1">
      <alignment horizontal="centerContinuous"/>
    </xf>
    <xf numFmtId="182" fontId="30" fillId="2" borderId="0" xfId="0" applyNumberFormat="1" applyFont="1" applyFill="1"/>
    <xf numFmtId="179" fontId="30" fillId="2" borderId="0" xfId="0" applyNumberFormat="1" applyFont="1" applyFill="1"/>
    <xf numFmtId="183" fontId="0" fillId="0" borderId="0" xfId="0" applyNumberFormat="1"/>
    <xf numFmtId="0" fontId="12" fillId="0" borderId="3" xfId="0" applyBorder="1"/>
    <xf numFmtId="10" fontId="34" fillId="0" borderId="0" xfId="0" applyNumberFormat="1" applyFont="1"/>
    <xf numFmtId="10" fontId="12" fillId="0" borderId="0" xfId="0" applyNumberFormat="1"/>
    <xf numFmtId="9" fontId="38" fillId="0" borderId="0" xfId="3"/>
    <xf numFmtId="184" fontId="12" fillId="0" borderId="0" xfId="0" applyNumberFormat="1"/>
    <xf numFmtId="185" fontId="12" fillId="0" borderId="0" xfId="0" applyNumberFormat="1"/>
    <xf numFmtId="186" fontId="12" fillId="0" borderId="0" xfId="0" applyNumberFormat="1"/>
    <xf numFmtId="186" fontId="0" fillId="0" borderId="0" xfId="0" applyNumberFormat="1"/>
    <xf numFmtId="0" fontId="26" fillId="0" borderId="3" xfId="0" applyFont="1" applyBorder="1"/>
    <xf numFmtId="186" fontId="12" fillId="0" borderId="3" xfId="0" applyNumberFormat="1" applyBorder="1"/>
    <xf numFmtId="186" fontId="26" fillId="0" borderId="3" xfId="0" applyNumberFormat="1" applyFont="1" applyBorder="1"/>
    <xf numFmtId="186" fontId="0" fillId="0" borderId="3" xfId="0" applyNumberFormat="1" applyBorder="1"/>
    <xf numFmtId="0" fontId="0" fillId="0" borderId="3" xfId="0" applyBorder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0" fillId="0" borderId="0" xfId="0" applyFont="1" applyAlignment="1">
      <alignment horizontal="center"/>
    </xf>
    <xf numFmtId="0" fontId="42" fillId="0" borderId="0" xfId="0" applyFont="1"/>
    <xf numFmtId="0" fontId="43" fillId="0" borderId="0" xfId="0" applyFont="1"/>
    <xf numFmtId="4" fontId="20" fillId="0" borderId="0" xfId="0" applyNumberFormat="1" applyFont="1" applyAlignment="1">
      <alignment vertical="center"/>
    </xf>
    <xf numFmtId="0" fontId="42" fillId="0" borderId="3" xfId="0" applyFont="1" applyBorder="1"/>
    <xf numFmtId="4" fontId="44" fillId="0" borderId="3" xfId="0" applyNumberFormat="1" applyFont="1" applyBorder="1" applyAlignment="1">
      <alignment vertical="center"/>
    </xf>
    <xf numFmtId="180" fontId="12" fillId="0" borderId="0" xfId="0" applyNumberFormat="1"/>
    <xf numFmtId="4" fontId="45" fillId="0" borderId="0" xfId="0" applyNumberFormat="1" applyFont="1"/>
    <xf numFmtId="4" fontId="43" fillId="0" borderId="0" xfId="0" applyNumberFormat="1" applyFont="1" applyAlignment="1">
      <alignment vertical="center"/>
    </xf>
    <xf numFmtId="186" fontId="26" fillId="0" borderId="0" xfId="0" applyNumberFormat="1" applyFont="1"/>
    <xf numFmtId="187" fontId="12" fillId="0" borderId="3" xfId="0" applyNumberFormat="1" applyFont="1" applyBorder="1"/>
    <xf numFmtId="187" fontId="12" fillId="0" borderId="0" xfId="0" applyNumberFormat="1" applyFont="1"/>
    <xf numFmtId="176" fontId="12" fillId="0" borderId="0" xfId="0" applyNumberFormat="1" applyFont="1"/>
    <xf numFmtId="10" fontId="46" fillId="0" borderId="0" xfId="0" applyNumberFormat="1" applyFont="1"/>
    <xf numFmtId="186" fontId="12" fillId="0" borderId="0" xfId="0" applyNumberFormat="1" applyFont="1"/>
    <xf numFmtId="0" fontId="47" fillId="0" borderId="0" xfId="0" applyFont="1"/>
    <xf numFmtId="186" fontId="26" fillId="0" borderId="0" xfId="0" applyNumberFormat="1" applyFont="1" applyAlignment="1">
      <alignment horizontal="center"/>
    </xf>
    <xf numFmtId="186" fontId="12" fillId="0" borderId="3" xfId="0" applyNumberFormat="1" applyFont="1" applyBorder="1"/>
    <xf numFmtId="186" fontId="12" fillId="0" borderId="3" xfId="0" applyNumberFormat="1" applyFont="1" applyBorder="1"/>
    <xf numFmtId="186" fontId="12" fillId="0" borderId="0" xfId="0" applyNumberFormat="1" applyFont="1" applyBorder="1"/>
    <xf numFmtId="186" fontId="12" fillId="0" borderId="0" xfId="0" applyNumberFormat="1" applyFont="1" applyBorder="1"/>
    <xf numFmtId="0" fontId="47" fillId="0" borderId="3" xfId="0" applyFont="1" applyBorder="1"/>
    <xf numFmtId="0" fontId="27" fillId="0" borderId="3" xfId="0" applyFont="1" applyBorder="1"/>
    <xf numFmtId="186" fontId="27" fillId="0" borderId="3" xfId="0" applyNumberFormat="1" applyFont="1" applyBorder="1"/>
    <xf numFmtId="4" fontId="3" fillId="2" borderId="0" xfId="0" applyNumberFormat="1" applyFont="1" applyFill="1"/>
    <xf numFmtId="0" fontId="12" fillId="2" borderId="0" xfId="0" applyFont="1" applyFill="1"/>
    <xf numFmtId="0" fontId="27" fillId="0" borderId="0" xfId="0" applyNumberFormat="1" applyFont="1" applyAlignment="1">
      <alignment horizontal="centerContinuous"/>
    </xf>
    <xf numFmtId="0" fontId="12" fillId="0" borderId="0" xfId="0" applyNumberFormat="1" applyFont="1" applyAlignment="1">
      <alignment horizontal="centerContinuous"/>
    </xf>
    <xf numFmtId="0" fontId="27" fillId="0" borderId="0" xfId="0" applyFont="1" applyAlignment="1">
      <alignment horizontal="center" vertical="center" textRotation="90"/>
    </xf>
    <xf numFmtId="183" fontId="12" fillId="0" borderId="0" xfId="0" applyNumberFormat="1" applyFont="1"/>
    <xf numFmtId="188" fontId="26" fillId="0" borderId="0" xfId="0" applyNumberFormat="1" applyFont="1"/>
    <xf numFmtId="10" fontId="26" fillId="0" borderId="0" xfId="0" applyNumberFormat="1" applyFont="1"/>
    <xf numFmtId="4" fontId="12" fillId="0" borderId="8" xfId="0" applyNumberFormat="1" applyFont="1" applyBorder="1"/>
    <xf numFmtId="4" fontId="12" fillId="0" borderId="9" xfId="0" applyNumberFormat="1" applyFont="1" applyBorder="1"/>
    <xf numFmtId="4" fontId="10" fillId="7" borderId="0" xfId="0" applyNumberFormat="1" applyFont="1" applyFill="1"/>
    <xf numFmtId="0" fontId="12" fillId="0" borderId="0" xfId="0" applyFont="1" applyAlignment="1">
      <alignment horizontal="centerContinuous"/>
    </xf>
    <xf numFmtId="0" fontId="27" fillId="0" borderId="0" xfId="0" applyFont="1" applyAlignment="1">
      <alignment horizontal="centerContinuous"/>
    </xf>
    <xf numFmtId="0" fontId="10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180" fontId="50" fillId="0" borderId="0" xfId="0" applyNumberFormat="1" applyFont="1" applyAlignment="1">
      <alignment horizontal="right"/>
    </xf>
    <xf numFmtId="180" fontId="49" fillId="0" borderId="0" xfId="0" applyNumberFormat="1" applyFont="1" applyAlignment="1">
      <alignment horizontal="right"/>
    </xf>
    <xf numFmtId="0" fontId="51" fillId="0" borderId="0" xfId="0" applyFont="1"/>
    <xf numFmtId="180" fontId="50" fillId="0" borderId="0" xfId="0" applyNumberFormat="1" applyFont="1"/>
    <xf numFmtId="180" fontId="49" fillId="0" borderId="0" xfId="0" applyNumberFormat="1" applyFont="1"/>
    <xf numFmtId="0" fontId="52" fillId="0" borderId="0" xfId="0" applyFont="1"/>
    <xf numFmtId="180" fontId="52" fillId="0" borderId="0" xfId="0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1F3864"/>
      <rgbColor rgb="00339966"/>
      <rgbColor rgb="00003300"/>
      <rgbColor rgb="00333300"/>
      <rgbColor rgb="00993300"/>
      <rgbColor rgb="00993366"/>
      <rgbColor rgb="002E5395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FootBall Field Chart</a:t>
            </a:r>
            <a:endParaRPr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tockChart>
        <c:ser>
          <c:idx val="0"/>
          <c:order val="0"/>
          <c:tx>
            <c:strRef>
              <c:f>'Football Field'!$D$5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Field'!$E$4:$H$4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Field'!$E$5:$H$5</c:f>
              <c:numCache>
                <c:formatCode>#,##0.00</c:formatCode>
                <c:ptCount val="4"/>
                <c:pt idx="0">
                  <c:v>2745.29647130139</c:v>
                </c:pt>
                <c:pt idx="1">
                  <c:v>3225.72734914333</c:v>
                </c:pt>
                <c:pt idx="2">
                  <c:v>2175</c:v>
                </c:pt>
                <c:pt idx="3">
                  <c:v>2410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'Football Field'!$D$6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Field'!$E$4:$H$4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Field'!$E$6:$H$6</c:f>
              <c:numCache>
                <c:formatCode>#,##0.00</c:formatCode>
                <c:ptCount val="4"/>
                <c:pt idx="0">
                  <c:v>2745.29647130139</c:v>
                </c:pt>
                <c:pt idx="1">
                  <c:v>3225.72734914333</c:v>
                </c:pt>
                <c:pt idx="2">
                  <c:v>2175</c:v>
                </c:pt>
                <c:pt idx="3">
                  <c:v>2410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'Football Field'!$D$7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Field'!$E$4:$H$4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Field'!$E$7:$H$7</c:f>
              <c:numCache>
                <c:formatCode>#,##0.00</c:formatCode>
                <c:ptCount val="4"/>
                <c:pt idx="0">
                  <c:v>1479.33650609853</c:v>
                </c:pt>
                <c:pt idx="1">
                  <c:v>2817.97191566729</c:v>
                </c:pt>
                <c:pt idx="2">
                  <c:v>1740</c:v>
                </c:pt>
                <c:pt idx="3">
                  <c:v>2180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'Football Field'!$D$8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'Football Field'!$E$4:$H$4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'Football Field'!$E$8:$H$8</c:f>
              <c:numCache>
                <c:formatCode>#,##0.00</c:formatCode>
                <c:ptCount val="4"/>
                <c:pt idx="0">
                  <c:v>1479.33650609853</c:v>
                </c:pt>
                <c:pt idx="1">
                  <c:v>2817.97191566729</c:v>
                </c:pt>
                <c:pt idx="2">
                  <c:v>1740</c:v>
                </c:pt>
                <c:pt idx="3">
                  <c:v>2180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50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bg1"/>
              </a:solidFill>
              <a:ln w="19050" cap="flat" cmpd="sng" algn="ctr">
                <a:solidFill>
                  <a:schemeClr val="accent1"/>
                </a:solidFill>
                <a:round/>
              </a:ln>
              <a:effectLst/>
            </c:spPr>
          </c:upBars>
          <c:downBars>
            <c:spPr>
              <a:solidFill>
                <a:schemeClr val="tx1"/>
              </a:solidFill>
              <a:ln w="9525" cap="flat" cmpd="sng" algn="ctr">
                <a:noFill/>
                <a:round/>
              </a:ln>
              <a:effectLst/>
            </c:spPr>
          </c:downBars>
        </c:upDownBars>
        <c:axId val="157090982"/>
        <c:axId val="155185188"/>
      </c:stockChart>
      <c:catAx>
        <c:axId val="1570909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155185188"/>
        <c:crosses val="autoZero"/>
        <c:auto val="1"/>
        <c:lblAlgn val="ctr"/>
        <c:lblOffset val="100"/>
        <c:noMultiLvlLbl val="0"/>
      </c:catAx>
      <c:valAx>
        <c:axId val="1551851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solid"/>
              <a:round/>
              <a:headEnd type="none"/>
              <a:tailEnd type="none"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1570909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</c:chart>
  <c:spPr>
    <a:pattFill prst="pct5">
      <a:fgClr>
        <a:schemeClr val="accent1"/>
      </a:fgClr>
      <a:bgClr>
        <a:schemeClr val="bg1"/>
      </a:bgClr>
    </a:pattFill>
    <a:ln w="9525" cap="flat" cmpd="sng" algn="ctr">
      <a:noFill/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 cap="flat" cmpd="sng" algn="ctr">
        <a:noFill/>
        <a:round/>
      </a:ln>
      <a:effectLst/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tx1"/>
        </a:solidFill>
        <a:round/>
      </a:ln>
      <a:effectLst/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19050" cap="flat" cmpd="sng" algn="ctr">
        <a:solidFill>
          <a:schemeClr val="phClr"/>
        </a:solidFill>
        <a:round/>
      </a:ln>
      <a:effectLst/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325755</xdr:colOff>
      <xdr:row>11</xdr:row>
      <xdr:rowOff>119380</xdr:rowOff>
    </xdr:from>
    <xdr:to>
      <xdr:col>8</xdr:col>
      <xdr:colOff>595630</xdr:colOff>
      <xdr:row>23</xdr:row>
      <xdr:rowOff>210185</xdr:rowOff>
    </xdr:to>
    <xdr:graphicFrame>
      <xdr:nvGraphicFramePr>
        <xdr:cNvPr id="2" name="Chart 1"/>
        <xdr:cNvGraphicFramePr/>
      </xdr:nvGraphicFramePr>
      <xdr:xfrm>
        <a:off x="588645" y="3159760"/>
        <a:ext cx="5989320" cy="2651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1"/>
  <sheetViews>
    <sheetView showGridLines="0" zoomScale="110" zoomScaleNormal="110" workbookViewId="0">
      <selection activeCell="D61" sqref="D61"/>
    </sheetView>
  </sheetViews>
  <sheetFormatPr defaultColWidth="9.14285714285714" defaultRowHeight="16.8"/>
  <cols>
    <col min="1" max="3" width="1.23214285714286" style="89" customWidth="1"/>
    <col min="4" max="4" width="40.6428571428571" style="89" customWidth="1"/>
    <col min="5" max="6" width="9.14285714285714" style="89" customWidth="1"/>
    <col min="7" max="7" width="2.64285714285714" style="89" customWidth="1"/>
    <col min="8" max="19" width="12.6428571428571" style="89" customWidth="1"/>
    <col min="20" max="16384" width="9.14285714285714" style="89" customWidth="1"/>
  </cols>
  <sheetData>
    <row r="1" s="172" customFormat="1" ht="37.2" customHeight="1" spans="1:12">
      <c r="A1" s="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="172" customFormat="1" ht="17.6" customHeight="1" spans="1:12">
      <c r="A2" s="8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88" t="s">
        <v>2</v>
      </c>
    </row>
    <row r="3" s="172" customFormat="1"/>
    <row r="4" s="172" customFormat="1" spans="1:12">
      <c r="C4" s="174" t="s">
        <v>3</v>
      </c>
      <c r="H4" s="108">
        <v>2022</v>
      </c>
      <c r="I4" s="108">
        <f>H4+1</f>
        <v>2023</v>
      </c>
      <c r="J4" s="108">
        <f>I4+1</f>
        <v>2024</v>
      </c>
      <c r="K4" s="108">
        <f>J4+1</f>
        <v>2025</v>
      </c>
      <c r="L4" s="108">
        <f>K4+1</f>
        <v>2026</v>
      </c>
    </row>
    <row r="5" s="172" customFormat="1" spans="1:12">
      <c r="D5" s="175" t="s">
        <v>4</v>
      </c>
      <c r="E5" s="172"/>
      <c r="F5" s="172"/>
      <c r="G5" s="172"/>
      <c r="H5" s="176">
        <v>1165469</v>
      </c>
      <c r="I5" s="176">
        <v>1391448</v>
      </c>
      <c r="J5" s="176">
        <v>1499824</v>
      </c>
      <c r="K5" s="176">
        <v>1729852</v>
      </c>
      <c r="L5" s="176">
        <v>2109728</v>
      </c>
    </row>
    <row r="6" s="172" customFormat="1" spans="1:12">
      <c r="D6" s="175" t="s">
        <v>5</v>
      </c>
      <c r="E6" s="172"/>
      <c r="F6" s="172"/>
      <c r="G6" s="172"/>
      <c r="H6" s="176">
        <v>5343</v>
      </c>
      <c r="I6" s="176">
        <v>9366</v>
      </c>
      <c r="J6" s="176">
        <v>14354</v>
      </c>
      <c r="K6" s="176">
        <v>15737</v>
      </c>
      <c r="L6" s="176">
        <v>28173</v>
      </c>
    </row>
    <row r="7" s="89" customFormat="1" spans="1:12">
      <c r="D7" s="174" t="s">
        <v>6</v>
      </c>
      <c r="E7" s="89"/>
      <c r="F7" s="89"/>
      <c r="G7" s="89"/>
      <c r="H7" s="177">
        <v>1170812</v>
      </c>
      <c r="I7" s="177">
        <v>1400814</v>
      </c>
      <c r="J7" s="177">
        <v>1514178</v>
      </c>
      <c r="K7" s="177">
        <v>1745589</v>
      </c>
      <c r="L7" s="177">
        <v>2137901</v>
      </c>
    </row>
    <row r="9" s="89" customFormat="1" spans="1:12">
      <c r="C9" s="174" t="s">
        <v>7</v>
      </c>
      <c r="D9" s="89"/>
      <c r="E9" s="89"/>
      <c r="F9" s="89"/>
      <c r="G9" s="89"/>
      <c r="H9" s="177"/>
      <c r="I9" s="177"/>
      <c r="J9" s="177"/>
      <c r="K9" s="177"/>
      <c r="L9" s="177"/>
    </row>
    <row r="10" s="89" customFormat="1" spans="1:12">
      <c r="D10" s="175" t="s">
        <v>8</v>
      </c>
      <c r="E10" s="89"/>
      <c r="F10" s="89"/>
      <c r="G10" s="89"/>
      <c r="H10" s="176">
        <v>250205</v>
      </c>
      <c r="I10" s="176">
        <v>285433</v>
      </c>
      <c r="J10" s="176">
        <v>300188</v>
      </c>
      <c r="K10" s="176">
        <v>335043</v>
      </c>
      <c r="L10" s="176">
        <v>397500</v>
      </c>
    </row>
    <row r="11" s="89" customFormat="1" spans="1:12">
      <c r="D11" s="175" t="s">
        <v>9</v>
      </c>
      <c r="E11" s="89"/>
      <c r="F11" s="89"/>
      <c r="G11" s="89"/>
      <c r="H11" s="176">
        <v>67611</v>
      </c>
      <c r="I11" s="176">
        <v>76207</v>
      </c>
      <c r="J11" s="176">
        <v>75185</v>
      </c>
      <c r="K11" s="176">
        <v>71713</v>
      </c>
      <c r="L11" s="176">
        <v>55416</v>
      </c>
    </row>
    <row r="12" s="89" customFormat="1" spans="1:12">
      <c r="D12" s="175" t="s">
        <v>10</v>
      </c>
      <c r="E12" s="89"/>
      <c r="F12" s="89"/>
      <c r="G12" s="89"/>
      <c r="H12" s="176">
        <v>110636</v>
      </c>
      <c r="I12" s="176">
        <v>117517</v>
      </c>
      <c r="J12" s="176">
        <v>120358</v>
      </c>
      <c r="K12" s="176">
        <v>138290</v>
      </c>
      <c r="L12" s="176">
        <v>153729</v>
      </c>
    </row>
    <row r="13" s="89" customFormat="1" spans="1:12">
      <c r="D13" s="175" t="s">
        <v>11</v>
      </c>
      <c r="E13" s="89"/>
      <c r="F13" s="89"/>
      <c r="G13" s="89"/>
      <c r="H13" s="176">
        <v>44333</v>
      </c>
      <c r="I13" s="176">
        <v>48308</v>
      </c>
      <c r="J13" s="176">
        <v>53231</v>
      </c>
      <c r="K13" s="176">
        <v>63089</v>
      </c>
      <c r="L13" s="176">
        <v>75813</v>
      </c>
    </row>
    <row r="14" s="89" customFormat="1" spans="1:12">
      <c r="D14" s="175" t="s">
        <v>12</v>
      </c>
      <c r="E14" s="89"/>
      <c r="F14" s="89"/>
      <c r="G14" s="89"/>
      <c r="H14" s="176">
        <v>53035</v>
      </c>
      <c r="I14" s="176">
        <v>72454</v>
      </c>
      <c r="J14" s="176">
        <v>81326</v>
      </c>
      <c r="K14" s="176">
        <v>114601</v>
      </c>
      <c r="L14" s="176">
        <v>131073</v>
      </c>
    </row>
    <row r="15" s="89" customFormat="1" spans="1:12">
      <c r="D15" s="175" t="s">
        <v>13</v>
      </c>
      <c r="E15" s="89"/>
      <c r="F15" s="89"/>
      <c r="G15" s="89"/>
      <c r="H15" s="176">
        <v>64310</v>
      </c>
      <c r="I15" s="176">
        <v>78794</v>
      </c>
      <c r="J15" s="176">
        <v>86618</v>
      </c>
      <c r="K15" s="176">
        <v>75524</v>
      </c>
      <c r="L15" s="176">
        <v>99452</v>
      </c>
    </row>
    <row r="16" s="89" customFormat="1" spans="1:12">
      <c r="D16" s="174" t="s">
        <v>14</v>
      </c>
      <c r="E16" s="89"/>
      <c r="F16" s="89"/>
      <c r="G16" s="89"/>
      <c r="H16" s="177">
        <v>590130</v>
      </c>
      <c r="I16" s="177">
        <v>678713</v>
      </c>
      <c r="J16" s="177">
        <v>716906</v>
      </c>
      <c r="K16" s="177">
        <v>798260</v>
      </c>
      <c r="L16" s="177">
        <v>912983</v>
      </c>
    </row>
    <row r="18" s="89" customFormat="1" spans="1:12">
      <c r="C18" s="174" t="s">
        <v>15</v>
      </c>
      <c r="H18" s="177">
        <v>580682</v>
      </c>
      <c r="I18" s="177">
        <v>722101</v>
      </c>
      <c r="J18" s="177">
        <v>797272</v>
      </c>
      <c r="K18" s="177">
        <v>947329</v>
      </c>
      <c r="L18" s="177">
        <v>1224918</v>
      </c>
    </row>
    <row r="19" s="89" customFormat="1" spans="1:12">
      <c r="D19" s="175" t="s">
        <v>16</v>
      </c>
      <c r="E19" s="89"/>
      <c r="F19" s="89"/>
      <c r="G19" s="89"/>
      <c r="H19" s="176">
        <v>330907</v>
      </c>
      <c r="I19" s="176">
        <v>364318</v>
      </c>
      <c r="J19" s="176">
        <v>395376</v>
      </c>
      <c r="K19" s="176">
        <v>455703</v>
      </c>
      <c r="L19" s="176">
        <v>527108</v>
      </c>
    </row>
    <row r="20" s="89" customFormat="1" spans="1:12">
      <c r="D20" s="175" t="s">
        <v>17</v>
      </c>
      <c r="E20" s="89"/>
      <c r="F20" s="89"/>
      <c r="G20" s="89"/>
      <c r="H20" s="176">
        <v>166162</v>
      </c>
      <c r="I20" s="176">
        <v>192999</v>
      </c>
      <c r="J20" s="176">
        <v>226477</v>
      </c>
      <c r="K20" s="176">
        <v>217539</v>
      </c>
      <c r="L20" s="176">
        <v>215553</v>
      </c>
    </row>
    <row r="21" s="89" customFormat="1" spans="1:12">
      <c r="D21" s="175" t="s">
        <v>18</v>
      </c>
      <c r="E21" s="89"/>
      <c r="F21" s="89"/>
      <c r="G21" s="89"/>
      <c r="H21" s="176">
        <v>24232</v>
      </c>
      <c r="I21" s="176">
        <v>7521</v>
      </c>
      <c r="J21" s="176">
        <v>27094</v>
      </c>
      <c r="K21" s="176">
        <v>37030</v>
      </c>
      <c r="L21" s="176">
        <v>3645</v>
      </c>
    </row>
    <row r="22" s="89" customFormat="1" spans="1:12">
      <c r="C22" s="174" t="s">
        <v>19</v>
      </c>
      <c r="H22" s="177">
        <v>107845</v>
      </c>
      <c r="I22" s="177">
        <v>172305</v>
      </c>
      <c r="J22" s="177">
        <v>202513</v>
      </c>
      <c r="K22" s="177">
        <v>311117</v>
      </c>
      <c r="L22" s="177">
        <v>485902</v>
      </c>
    </row>
    <row r="23" s="89" customFormat="1" spans="1:12">
      <c r="D23" s="175" t="s">
        <v>20</v>
      </c>
      <c r="E23" s="89"/>
      <c r="F23" s="89"/>
      <c r="G23" s="89"/>
      <c r="H23" s="176">
        <v>16986</v>
      </c>
      <c r="I23" s="176">
        <v>-6698</v>
      </c>
      <c r="J23" s="176">
        <v>-75723</v>
      </c>
      <c r="K23" s="176">
        <v>72868</v>
      </c>
      <c r="L23" s="176">
        <v>-34175</v>
      </c>
    </row>
    <row r="24" s="89" customFormat="1" spans="1:12">
      <c r="C24" s="174" t="s">
        <v>21</v>
      </c>
      <c r="D24" s="89"/>
      <c r="E24" s="89"/>
      <c r="F24" s="89"/>
      <c r="G24" s="89"/>
      <c r="H24" s="177">
        <v>124831</v>
      </c>
      <c r="I24" s="177">
        <v>165607</v>
      </c>
      <c r="J24" s="177">
        <v>126790</v>
      </c>
      <c r="K24" s="177">
        <v>383985</v>
      </c>
      <c r="L24" s="177">
        <v>451727</v>
      </c>
    </row>
    <row r="26" s="89" customFormat="1" spans="1:12">
      <c r="D26" s="174" t="s">
        <v>22</v>
      </c>
      <c r="E26" s="89"/>
      <c r="F26" s="89"/>
      <c r="G26" s="89"/>
      <c r="H26" s="177"/>
      <c r="I26" s="177"/>
      <c r="J26" s="177"/>
      <c r="K26" s="177"/>
      <c r="L26" s="177"/>
    </row>
    <row r="27" s="89" customFormat="1" spans="1:12">
      <c r="D27" s="175" t="s">
        <v>23</v>
      </c>
      <c r="E27" s="89"/>
      <c r="F27" s="89"/>
      <c r="G27" s="89"/>
      <c r="H27" s="176">
        <v>30331</v>
      </c>
      <c r="I27" s="176">
        <v>34831</v>
      </c>
      <c r="J27" s="176">
        <v>41498</v>
      </c>
      <c r="K27" s="176">
        <v>41121</v>
      </c>
      <c r="L27" s="176">
        <v>78812</v>
      </c>
    </row>
    <row r="28" s="89" customFormat="1" spans="1:12">
      <c r="D28" s="175" t="s">
        <v>24</v>
      </c>
      <c r="E28" s="89"/>
      <c r="F28" s="89"/>
      <c r="G28" s="89"/>
      <c r="H28" s="176">
        <v>11448</v>
      </c>
      <c r="I28" s="176">
        <v>7902</v>
      </c>
      <c r="J28" s="176">
        <v>-288</v>
      </c>
      <c r="K28" s="176">
        <v>-31949</v>
      </c>
      <c r="L28" s="176">
        <v>34687</v>
      </c>
    </row>
    <row r="29" s="89" customFormat="1" spans="1:12">
      <c r="D29" s="174" t="s">
        <v>25</v>
      </c>
      <c r="E29" s="89"/>
      <c r="F29" s="89"/>
      <c r="G29" s="89"/>
      <c r="H29" s="177">
        <v>41779</v>
      </c>
      <c r="I29" s="177">
        <v>42733</v>
      </c>
      <c r="J29" s="177">
        <v>41210</v>
      </c>
      <c r="K29" s="177">
        <v>9172</v>
      </c>
      <c r="L29" s="177">
        <v>113499</v>
      </c>
    </row>
    <row r="30" s="89" customFormat="1" spans="1:12">
      <c r="C30" s="174" t="s">
        <v>26</v>
      </c>
      <c r="D30" s="89"/>
      <c r="E30" s="89"/>
      <c r="F30" s="89"/>
      <c r="G30" s="89"/>
      <c r="H30" s="177">
        <v>83052</v>
      </c>
      <c r="I30" s="177">
        <v>122874</v>
      </c>
      <c r="J30" s="177">
        <v>85580</v>
      </c>
      <c r="K30" s="177">
        <v>374813</v>
      </c>
      <c r="L30" s="177">
        <v>338228</v>
      </c>
    </row>
    <row r="32" s="173" customFormat="1" spans="1:12">
      <c r="A32" s="178" t="s">
        <v>27</v>
      </c>
    </row>
    <row r="33" spans="2:12">
      <c r="B33" s="174" t="s">
        <v>28</v>
      </c>
    </row>
    <row r="34" spans="2:12">
      <c r="C34" s="174" t="s">
        <v>29</v>
      </c>
    </row>
    <row r="35" spans="2:12">
      <c r="D35" s="175" t="s">
        <v>30</v>
      </c>
      <c r="H35" s="179">
        <v>905725</v>
      </c>
      <c r="I35" s="179">
        <v>952241</v>
      </c>
      <c r="J35" s="179">
        <v>1066121</v>
      </c>
      <c r="K35" s="179">
        <v>1432724</v>
      </c>
      <c r="L35" s="179">
        <v>1570659</v>
      </c>
    </row>
    <row r="36" spans="2:12">
      <c r="D36" s="175" t="s">
        <v>31</v>
      </c>
      <c r="H36" s="179">
        <v>42386</v>
      </c>
      <c r="I36" s="179">
        <v>110293</v>
      </c>
      <c r="J36" s="179">
        <v>89077</v>
      </c>
      <c r="K36" s="179">
        <v>105962</v>
      </c>
      <c r="L36" s="179">
        <v>126131</v>
      </c>
    </row>
    <row r="37" spans="2:12">
      <c r="D37" s="175" t="s">
        <v>32</v>
      </c>
      <c r="H37" s="179">
        <v>322286</v>
      </c>
      <c r="I37" s="179">
        <v>546466</v>
      </c>
      <c r="J37" s="179">
        <v>559367</v>
      </c>
      <c r="K37" s="179">
        <v>602415</v>
      </c>
      <c r="L37" s="179">
        <v>673244</v>
      </c>
    </row>
    <row r="38" spans="2:12">
      <c r="D38" s="175" t="s">
        <v>33</v>
      </c>
      <c r="H38" s="179">
        <v>338313</v>
      </c>
      <c r="I38" s="179">
        <v>337741</v>
      </c>
      <c r="J38" s="179">
        <v>265017</v>
      </c>
      <c r="K38" s="179">
        <v>516974</v>
      </c>
      <c r="L38" s="179">
        <v>566859</v>
      </c>
    </row>
    <row r="39" spans="2:12">
      <c r="D39" s="175" t="s">
        <v>34</v>
      </c>
      <c r="H39" s="179">
        <v>874509</v>
      </c>
      <c r="I39" s="179">
        <v>937490</v>
      </c>
      <c r="J39" s="179">
        <v>1142526</v>
      </c>
      <c r="K39" s="179">
        <v>1332569</v>
      </c>
      <c r="L39" s="179">
        <v>1252604</v>
      </c>
    </row>
    <row r="40" spans="2:12">
      <c r="D40" s="175" t="s">
        <v>35</v>
      </c>
      <c r="H40" s="179">
        <v>17161</v>
      </c>
      <c r="I40" s="179">
        <v>383961</v>
      </c>
      <c r="J40" s="179">
        <v>79964</v>
      </c>
      <c r="K40" s="179">
        <v>4027</v>
      </c>
      <c r="L40" s="179">
        <v>3250</v>
      </c>
    </row>
    <row r="41" spans="2:12">
      <c r="D41" s="175" t="s">
        <v>36</v>
      </c>
      <c r="H41" s="179">
        <v>284268</v>
      </c>
      <c r="I41" s="179">
        <v>281838</v>
      </c>
      <c r="J41" s="179">
        <v>312404</v>
      </c>
      <c r="K41" s="179">
        <v>36416</v>
      </c>
      <c r="L41" s="179">
        <v>40622</v>
      </c>
    </row>
    <row r="42" spans="2:12">
      <c r="D42" s="175" t="s">
        <v>37</v>
      </c>
      <c r="H42" s="179">
        <v>609</v>
      </c>
      <c r="I42" s="179">
        <v>656</v>
      </c>
      <c r="J42" s="179">
        <v>924</v>
      </c>
      <c r="K42" s="179">
        <v>5435</v>
      </c>
      <c r="L42" s="179">
        <v>11385</v>
      </c>
    </row>
    <row r="43" spans="2:12">
      <c r="D43" s="175" t="s">
        <v>38</v>
      </c>
      <c r="H43" s="179">
        <v>218</v>
      </c>
      <c r="I43" s="179">
        <v>854</v>
      </c>
      <c r="J43" s="179">
        <v>65</v>
      </c>
      <c r="K43" s="179"/>
      <c r="L43" s="179"/>
    </row>
    <row r="44" spans="2:12">
      <c r="D44" s="175" t="s">
        <v>39</v>
      </c>
      <c r="H44" s="179"/>
      <c r="I44" s="179"/>
      <c r="J44" s="179">
        <v>1805</v>
      </c>
      <c r="K44" s="179">
        <v>2131</v>
      </c>
      <c r="L44" s="179">
        <v>2544</v>
      </c>
    </row>
    <row r="45" spans="2:12">
      <c r="D45" s="175" t="s">
        <v>40</v>
      </c>
      <c r="H45" s="179"/>
      <c r="I45" s="179"/>
      <c r="J45" s="179"/>
      <c r="K45" s="179">
        <v>865</v>
      </c>
      <c r="L45" s="179"/>
    </row>
    <row r="46" spans="2:12">
      <c r="D46" s="175" t="s">
        <v>41</v>
      </c>
      <c r="H46" s="179">
        <v>22515</v>
      </c>
      <c r="I46" s="179">
        <v>25963</v>
      </c>
      <c r="J46" s="179">
        <v>26557</v>
      </c>
      <c r="K46" s="179">
        <v>37471</v>
      </c>
      <c r="L46" s="179">
        <v>35700</v>
      </c>
    </row>
    <row r="47" spans="2:12">
      <c r="D47" s="175" t="s">
        <v>42</v>
      </c>
      <c r="H47" s="179">
        <v>17479</v>
      </c>
      <c r="I47" s="179">
        <v>20399</v>
      </c>
      <c r="J47" s="179">
        <v>14135</v>
      </c>
      <c r="K47" s="179">
        <v>24978</v>
      </c>
      <c r="L47" s="179">
        <v>20181</v>
      </c>
    </row>
    <row r="48" spans="2:12">
      <c r="D48" s="175" t="s">
        <v>43</v>
      </c>
      <c r="H48" s="179">
        <v>199250</v>
      </c>
      <c r="I48" s="179">
        <v>189519</v>
      </c>
      <c r="J48" s="179">
        <v>192428</v>
      </c>
      <c r="K48" s="179">
        <v>249111</v>
      </c>
      <c r="L48" s="179">
        <v>191413</v>
      </c>
    </row>
    <row r="49" spans="3:12">
      <c r="D49" s="175" t="s">
        <v>44</v>
      </c>
      <c r="H49" s="179">
        <v>91562</v>
      </c>
      <c r="I49" s="179">
        <v>103898</v>
      </c>
      <c r="J49" s="179">
        <v>112159</v>
      </c>
      <c r="K49" s="179">
        <v>116638</v>
      </c>
      <c r="L49" s="179">
        <v>124770</v>
      </c>
    </row>
    <row r="50" spans="3:12">
      <c r="C50" s="174" t="s">
        <v>45</v>
      </c>
      <c r="H50" s="180">
        <v>3116281</v>
      </c>
      <c r="I50" s="180">
        <v>3891319</v>
      </c>
      <c r="J50" s="180">
        <v>3862549</v>
      </c>
      <c r="K50" s="180">
        <v>4467716</v>
      </c>
      <c r="L50" s="180">
        <v>4619362</v>
      </c>
    </row>
    <row r="52" spans="3:12">
      <c r="C52" s="174" t="s">
        <v>46</v>
      </c>
      <c r="H52" s="180"/>
      <c r="I52" s="180"/>
      <c r="J52" s="180"/>
      <c r="K52" s="180"/>
      <c r="L52" s="180"/>
    </row>
    <row r="53" spans="3:12">
      <c r="D53" s="175" t="s">
        <v>47</v>
      </c>
      <c r="H53" s="179">
        <v>3750</v>
      </c>
      <c r="I53" s="179">
        <v>2576</v>
      </c>
      <c r="J53" s="179">
        <v>3639</v>
      </c>
      <c r="K53" s="179">
        <v>4517</v>
      </c>
      <c r="L53" s="179">
        <v>6009</v>
      </c>
    </row>
    <row r="54" spans="3:12">
      <c r="D54" s="175" t="s">
        <v>37</v>
      </c>
      <c r="H54" s="179">
        <v>8614</v>
      </c>
      <c r="I54" s="179">
        <v>47045</v>
      </c>
      <c r="J54" s="179">
        <v>2695</v>
      </c>
      <c r="K54" s="179">
        <v>16532</v>
      </c>
      <c r="L54" s="179">
        <v>137006</v>
      </c>
    </row>
    <row r="55" spans="3:12">
      <c r="D55" s="175" t="s">
        <v>38</v>
      </c>
      <c r="H55" s="179">
        <v>561</v>
      </c>
      <c r="I55" s="179">
        <v>1283</v>
      </c>
      <c r="J55" s="179">
        <v>1168</v>
      </c>
      <c r="K55" s="179">
        <v>813</v>
      </c>
      <c r="L55" s="179">
        <v>5040</v>
      </c>
    </row>
    <row r="56" spans="3:12">
      <c r="D56" s="175" t="s">
        <v>39</v>
      </c>
      <c r="H56" s="179">
        <v>40562</v>
      </c>
      <c r="I56" s="179">
        <v>39815</v>
      </c>
      <c r="J56" s="179">
        <v>47277</v>
      </c>
      <c r="K56" s="179">
        <v>74557</v>
      </c>
      <c r="L56" s="179">
        <v>79776</v>
      </c>
    </row>
    <row r="57" spans="3:12">
      <c r="D57" s="175" t="s">
        <v>48</v>
      </c>
      <c r="H57" s="179">
        <v>60959</v>
      </c>
      <c r="I57" s="179">
        <v>71794</v>
      </c>
      <c r="J57" s="179">
        <v>69155</v>
      </c>
      <c r="K57" s="179">
        <v>61056</v>
      </c>
      <c r="L57" s="179">
        <v>137222</v>
      </c>
    </row>
    <row r="58" spans="3:12">
      <c r="D58" s="175" t="s">
        <v>49</v>
      </c>
      <c r="H58" s="179">
        <v>73984</v>
      </c>
      <c r="I58" s="179">
        <v>62392</v>
      </c>
      <c r="J58" s="179">
        <v>94244</v>
      </c>
      <c r="K58" s="179">
        <v>106143</v>
      </c>
      <c r="L58" s="179">
        <v>166546</v>
      </c>
    </row>
    <row r="59" spans="3:12">
      <c r="D59" s="175" t="s">
        <v>41</v>
      </c>
      <c r="H59" s="179">
        <v>214697</v>
      </c>
      <c r="I59" s="179">
        <v>220865</v>
      </c>
      <c r="J59" s="179">
        <v>249544</v>
      </c>
      <c r="K59" s="179">
        <v>267662</v>
      </c>
      <c r="L59" s="179">
        <v>244264</v>
      </c>
    </row>
    <row r="60" spans="3:12">
      <c r="D60" s="175" t="s">
        <v>50</v>
      </c>
      <c r="H60" s="179">
        <v>117152</v>
      </c>
      <c r="I60" s="179">
        <v>129243</v>
      </c>
      <c r="J60" s="179">
        <v>115039</v>
      </c>
      <c r="K60" s="179">
        <v>144608</v>
      </c>
      <c r="L60" s="179">
        <v>125718</v>
      </c>
    </row>
    <row r="61" spans="3:12">
      <c r="D61" s="175" t="s">
        <v>51</v>
      </c>
      <c r="H61" s="179"/>
      <c r="I61" s="179"/>
      <c r="J61" s="179"/>
      <c r="K61" s="179"/>
      <c r="L61" s="179">
        <v>573</v>
      </c>
    </row>
    <row r="62" spans="3:12">
      <c r="C62" s="174" t="s">
        <v>52</v>
      </c>
      <c r="H62" s="180">
        <v>520279</v>
      </c>
      <c r="I62" s="180">
        <v>575013</v>
      </c>
      <c r="J62" s="180">
        <v>582761</v>
      </c>
      <c r="K62" s="180">
        <v>675888</v>
      </c>
      <c r="L62" s="180">
        <v>902154</v>
      </c>
    </row>
    <row r="63" spans="3:12">
      <c r="C63" s="174" t="s">
        <v>53</v>
      </c>
      <c r="H63" s="180">
        <v>3636560</v>
      </c>
      <c r="I63" s="180">
        <v>4466332</v>
      </c>
      <c r="J63" s="180">
        <v>4445310</v>
      </c>
      <c r="K63" s="180">
        <v>5143604</v>
      </c>
      <c r="L63" s="180">
        <v>5521516</v>
      </c>
    </row>
    <row r="65" spans="3:12">
      <c r="C65" s="174" t="s">
        <v>54</v>
      </c>
      <c r="H65" s="180"/>
      <c r="I65" s="180"/>
      <c r="J65" s="180"/>
      <c r="K65" s="180"/>
      <c r="L65" s="180"/>
    </row>
    <row r="66" spans="3:12">
      <c r="D66" s="174" t="s">
        <v>55</v>
      </c>
      <c r="H66" s="180"/>
      <c r="I66" s="180"/>
      <c r="J66" s="180"/>
      <c r="K66" s="180"/>
      <c r="L66" s="180"/>
    </row>
    <row r="67" spans="3:12">
      <c r="D67" s="175" t="s">
        <v>56</v>
      </c>
      <c r="H67" s="179">
        <v>27950</v>
      </c>
      <c r="I67" s="179">
        <v>28366</v>
      </c>
      <c r="J67" s="179">
        <v>28766</v>
      </c>
      <c r="K67" s="179">
        <v>29001</v>
      </c>
      <c r="L67" s="179">
        <v>30468</v>
      </c>
    </row>
    <row r="68" spans="3:12">
      <c r="D68" s="175" t="s">
        <v>57</v>
      </c>
      <c r="H68" s="179">
        <v>637593</v>
      </c>
      <c r="I68" s="179">
        <v>747263</v>
      </c>
      <c r="J68" s="179">
        <v>791422</v>
      </c>
      <c r="K68" s="179">
        <v>1107718</v>
      </c>
      <c r="L68" s="179">
        <v>1460098</v>
      </c>
    </row>
    <row r="69" spans="3:12">
      <c r="C69" s="174" t="s">
        <v>58</v>
      </c>
      <c r="H69" s="180">
        <v>665543</v>
      </c>
      <c r="I69" s="180">
        <v>775629</v>
      </c>
      <c r="J69" s="180">
        <v>820188</v>
      </c>
      <c r="K69" s="180">
        <v>1136719</v>
      </c>
      <c r="L69" s="180">
        <v>1490566</v>
      </c>
    </row>
    <row r="70" spans="3:12">
      <c r="D70" s="175" t="s">
        <v>59</v>
      </c>
      <c r="H70" s="179">
        <v>253807</v>
      </c>
      <c r="I70" s="179">
        <v>288814</v>
      </c>
      <c r="J70" s="179">
        <v>235451</v>
      </c>
      <c r="K70" s="179">
        <v>397958</v>
      </c>
      <c r="L70" s="179">
        <v>469068</v>
      </c>
    </row>
    <row r="71" spans="3:12">
      <c r="C71" s="174" t="s">
        <v>60</v>
      </c>
      <c r="H71" s="180">
        <v>919350</v>
      </c>
      <c r="I71" s="180">
        <v>1064443</v>
      </c>
      <c r="J71" s="180">
        <v>1055639</v>
      </c>
      <c r="K71" s="180">
        <v>1534677</v>
      </c>
      <c r="L71" s="180">
        <v>1959634</v>
      </c>
    </row>
    <row r="73" spans="3:12">
      <c r="C73" s="174" t="s">
        <v>61</v>
      </c>
      <c r="H73" s="180"/>
      <c r="I73" s="180"/>
      <c r="J73" s="180"/>
      <c r="K73" s="180"/>
      <c r="L73" s="180"/>
    </row>
    <row r="74" spans="3:12">
      <c r="D74" s="175" t="s">
        <v>62</v>
      </c>
      <c r="H74" s="179">
        <v>1135350</v>
      </c>
      <c r="I74" s="179">
        <v>1515686</v>
      </c>
      <c r="J74" s="179">
        <v>1309626</v>
      </c>
      <c r="K74" s="179">
        <v>1048638</v>
      </c>
      <c r="L74" s="179">
        <v>1000849</v>
      </c>
    </row>
    <row r="75" spans="3:12">
      <c r="D75" s="175" t="s">
        <v>63</v>
      </c>
      <c r="H75" s="179">
        <v>290562</v>
      </c>
      <c r="I75" s="179">
        <v>508295</v>
      </c>
      <c r="J75" s="179">
        <v>539271</v>
      </c>
      <c r="K75" s="179">
        <v>556701</v>
      </c>
      <c r="L75" s="179">
        <v>644996</v>
      </c>
    </row>
    <row r="76" spans="3:12">
      <c r="D76" s="175" t="s">
        <v>64</v>
      </c>
      <c r="H76" s="179">
        <v>174</v>
      </c>
      <c r="I76" s="179">
        <v>3523</v>
      </c>
      <c r="J76" s="179">
        <v>2890</v>
      </c>
      <c r="K76" s="179"/>
      <c r="L76" s="179"/>
    </row>
    <row r="77" spans="3:12">
      <c r="D77" s="175" t="s">
        <v>65</v>
      </c>
      <c r="H77" s="179">
        <v>90116</v>
      </c>
      <c r="I77" s="179">
        <v>97311</v>
      </c>
      <c r="J77" s="179">
        <v>85036</v>
      </c>
      <c r="K77" s="179">
        <v>38642</v>
      </c>
      <c r="L77" s="179">
        <v>26320</v>
      </c>
    </row>
    <row r="78" spans="3:12">
      <c r="D78" s="175" t="s">
        <v>66</v>
      </c>
      <c r="H78" s="179">
        <v>30258</v>
      </c>
      <c r="I78" s="179">
        <v>30901</v>
      </c>
      <c r="J78" s="179">
        <v>34139</v>
      </c>
      <c r="K78" s="179">
        <v>35185</v>
      </c>
      <c r="L78" s="179">
        <v>40185</v>
      </c>
    </row>
    <row r="79" spans="3:12">
      <c r="D79" s="175" t="s">
        <v>67</v>
      </c>
      <c r="H79" s="179">
        <v>4639</v>
      </c>
      <c r="I79" s="179">
        <v>4744</v>
      </c>
      <c r="J79" s="179">
        <v>5443</v>
      </c>
      <c r="K79" s="179">
        <v>30396</v>
      </c>
      <c r="L79" s="179">
        <v>35189</v>
      </c>
    </row>
    <row r="80" spans="3:12">
      <c r="D80" s="175" t="s">
        <v>68</v>
      </c>
      <c r="H80" s="179">
        <v>24488</v>
      </c>
      <c r="I80" s="179">
        <v>20762</v>
      </c>
      <c r="J80" s="179">
        <v>25118</v>
      </c>
      <c r="K80" s="179">
        <v>93549</v>
      </c>
      <c r="L80" s="179">
        <v>67789</v>
      </c>
    </row>
    <row r="81" spans="3:12">
      <c r="D81" s="175" t="s">
        <v>69</v>
      </c>
      <c r="H81" s="179">
        <v>1363</v>
      </c>
      <c r="I81" s="179">
        <v>1029</v>
      </c>
      <c r="J81" s="179">
        <v>1470</v>
      </c>
      <c r="K81" s="179">
        <v>1414</v>
      </c>
      <c r="L81" s="179">
        <v>1497</v>
      </c>
    </row>
    <row r="82" spans="3:12">
      <c r="D82" s="174" t="s">
        <v>70</v>
      </c>
      <c r="H82" s="180">
        <v>1576950</v>
      </c>
      <c r="I82" s="180">
        <v>2182251</v>
      </c>
      <c r="J82" s="180">
        <v>2002993</v>
      </c>
      <c r="K82" s="180">
        <v>1804525</v>
      </c>
      <c r="L82" s="180">
        <v>1816825</v>
      </c>
    </row>
    <row r="84" spans="3:12">
      <c r="C84" s="174" t="s">
        <v>71</v>
      </c>
      <c r="H84" s="180"/>
      <c r="I84" s="180"/>
      <c r="J84" s="180"/>
      <c r="K84" s="180"/>
      <c r="L84" s="180"/>
    </row>
    <row r="85" spans="3:12">
      <c r="D85" s="175" t="s">
        <v>62</v>
      </c>
      <c r="H85" s="179">
        <v>193795</v>
      </c>
      <c r="I85" s="179">
        <v>139762</v>
      </c>
      <c r="J85" s="179">
        <v>209539</v>
      </c>
      <c r="K85" s="179">
        <v>434485</v>
      </c>
      <c r="L85" s="179">
        <v>215865</v>
      </c>
    </row>
    <row r="86" spans="3:12">
      <c r="D86" s="175" t="s">
        <v>63</v>
      </c>
      <c r="H86" s="179">
        <v>77072</v>
      </c>
      <c r="I86" s="179">
        <v>96460</v>
      </c>
      <c r="J86" s="179">
        <v>97487</v>
      </c>
      <c r="K86" s="179">
        <v>96597</v>
      </c>
      <c r="L86" s="179">
        <v>92407</v>
      </c>
    </row>
    <row r="87" spans="3:12">
      <c r="D87" s="175" t="s">
        <v>64</v>
      </c>
      <c r="H87" s="179">
        <v>995</v>
      </c>
      <c r="I87" s="179">
        <v>1117</v>
      </c>
      <c r="J87" s="179">
        <v>12207</v>
      </c>
      <c r="K87" s="179">
        <v>1921</v>
      </c>
      <c r="L87" s="179">
        <v>1918</v>
      </c>
    </row>
    <row r="88" spans="3:12">
      <c r="D88" s="175" t="s">
        <v>72</v>
      </c>
      <c r="H88" s="179">
        <v>292741</v>
      </c>
      <c r="I88" s="179">
        <v>328946</v>
      </c>
      <c r="J88" s="179">
        <v>351325</v>
      </c>
      <c r="K88" s="179">
        <v>381537</v>
      </c>
      <c r="L88" s="179">
        <v>450152</v>
      </c>
    </row>
    <row r="89" spans="3:12">
      <c r="D89" s="175" t="s">
        <v>65</v>
      </c>
      <c r="H89" s="179">
        <v>194415</v>
      </c>
      <c r="I89" s="179">
        <v>241951</v>
      </c>
      <c r="J89" s="179">
        <v>253456</v>
      </c>
      <c r="K89" s="179">
        <v>333024</v>
      </c>
      <c r="L89" s="179">
        <v>408659</v>
      </c>
    </row>
    <row r="90" spans="3:12">
      <c r="D90" s="175" t="s">
        <v>66</v>
      </c>
      <c r="H90" s="179">
        <v>75929</v>
      </c>
      <c r="I90" s="179">
        <v>84995</v>
      </c>
      <c r="J90" s="179">
        <v>87262</v>
      </c>
      <c r="K90" s="179">
        <v>97729</v>
      </c>
      <c r="L90" s="179">
        <v>109487</v>
      </c>
    </row>
    <row r="91" spans="3:12">
      <c r="D91" s="175" t="s">
        <v>67</v>
      </c>
      <c r="H91" s="179">
        <v>243449</v>
      </c>
      <c r="I91" s="179">
        <v>257292</v>
      </c>
      <c r="J91" s="179">
        <v>283282</v>
      </c>
      <c r="K91" s="179">
        <v>361552</v>
      </c>
      <c r="L91" s="179">
        <v>357828</v>
      </c>
    </row>
    <row r="92" spans="3:12">
      <c r="D92" s="175" t="s">
        <v>73</v>
      </c>
      <c r="H92" s="179">
        <v>20725</v>
      </c>
      <c r="I92" s="179">
        <v>17972</v>
      </c>
      <c r="J92" s="179">
        <v>33031</v>
      </c>
      <c r="K92" s="179">
        <v>20035</v>
      </c>
      <c r="L92" s="179">
        <v>31400</v>
      </c>
    </row>
    <row r="93" spans="3:12">
      <c r="D93" s="175" t="s">
        <v>74</v>
      </c>
      <c r="H93" s="179">
        <v>41139</v>
      </c>
      <c r="I93" s="179">
        <v>51143</v>
      </c>
      <c r="J93" s="179">
        <v>59089</v>
      </c>
      <c r="K93" s="179">
        <v>77522</v>
      </c>
      <c r="L93" s="179">
        <v>77341</v>
      </c>
    </row>
    <row r="94" spans="3:12">
      <c r="D94" s="174" t="s">
        <v>75</v>
      </c>
      <c r="H94" s="180">
        <v>1140260</v>
      </c>
      <c r="I94" s="180">
        <v>1219638</v>
      </c>
      <c r="J94" s="180">
        <v>1386678</v>
      </c>
      <c r="K94" s="180">
        <v>1804402</v>
      </c>
      <c r="L94" s="180">
        <v>1745057</v>
      </c>
    </row>
    <row r="95" spans="3:12">
      <c r="D95" s="174" t="s">
        <v>76</v>
      </c>
      <c r="H95" s="180">
        <v>2717210</v>
      </c>
      <c r="I95" s="180">
        <v>3401889</v>
      </c>
      <c r="J95" s="180">
        <v>3389671</v>
      </c>
      <c r="K95" s="180">
        <v>3608927</v>
      </c>
      <c r="L95" s="180">
        <v>3561882</v>
      </c>
    </row>
    <row r="96" spans="3:12">
      <c r="C96" s="174" t="s">
        <v>77</v>
      </c>
      <c r="H96" s="180">
        <v>3636560</v>
      </c>
      <c r="I96" s="180">
        <v>4466332</v>
      </c>
      <c r="J96" s="180">
        <v>4445310</v>
      </c>
      <c r="K96" s="180">
        <v>5143604</v>
      </c>
      <c r="L96" s="180">
        <v>5521516</v>
      </c>
    </row>
    <row r="98" spans="1:12">
      <c r="A98" s="178" t="s">
        <v>78</v>
      </c>
    </row>
    <row r="99" spans="1:12">
      <c r="C99" s="174" t="s">
        <v>79</v>
      </c>
    </row>
    <row r="100" spans="1:12">
      <c r="D100" s="175" t="s">
        <v>21</v>
      </c>
      <c r="H100" s="179">
        <v>124831</v>
      </c>
      <c r="I100" s="179">
        <v>165607</v>
      </c>
      <c r="J100" s="179">
        <v>126790</v>
      </c>
      <c r="K100" s="179">
        <v>383985</v>
      </c>
      <c r="L100" s="179">
        <v>451727</v>
      </c>
    </row>
    <row r="101" spans="1:12">
      <c r="D101" s="181" t="s">
        <v>80</v>
      </c>
      <c r="H101" s="182"/>
      <c r="I101" s="182"/>
      <c r="J101" s="182"/>
      <c r="K101" s="182"/>
      <c r="L101" s="182"/>
    </row>
    <row r="102" spans="1:12">
      <c r="D102" s="175" t="s">
        <v>16</v>
      </c>
      <c r="H102" s="179">
        <v>330907</v>
      </c>
      <c r="I102" s="179">
        <v>364318</v>
      </c>
      <c r="J102" s="179">
        <v>395376</v>
      </c>
      <c r="K102" s="179">
        <v>455703</v>
      </c>
      <c r="L102" s="179">
        <v>527108</v>
      </c>
    </row>
    <row r="103" spans="1:12">
      <c r="D103" s="175" t="s">
        <v>17</v>
      </c>
      <c r="H103" s="179">
        <v>165241</v>
      </c>
      <c r="I103" s="179">
        <v>188434</v>
      </c>
      <c r="J103" s="179">
        <v>219337</v>
      </c>
      <c r="K103" s="179">
        <v>216258</v>
      </c>
      <c r="L103" s="179">
        <v>214485</v>
      </c>
    </row>
    <row r="104" spans="1:12">
      <c r="D104" s="175" t="s">
        <v>81</v>
      </c>
      <c r="H104" s="179"/>
      <c r="I104" s="179"/>
      <c r="J104" s="179"/>
      <c r="K104" s="179"/>
      <c r="L104" s="179">
        <v>-272</v>
      </c>
    </row>
    <row r="105" spans="1:12">
      <c r="D105" s="175" t="s">
        <v>82</v>
      </c>
      <c r="H105" s="179">
        <v>-1067</v>
      </c>
      <c r="I105" s="179">
        <v>-2474</v>
      </c>
      <c r="J105" s="179">
        <v>-2645</v>
      </c>
      <c r="K105" s="179">
        <v>-2048</v>
      </c>
      <c r="L105" s="179">
        <v>-3369</v>
      </c>
    </row>
    <row r="106" spans="1:12">
      <c r="D106" s="175" t="s">
        <v>83</v>
      </c>
      <c r="H106" s="179"/>
      <c r="I106" s="179"/>
      <c r="J106" s="179"/>
      <c r="K106" s="179"/>
      <c r="L106" s="179"/>
    </row>
    <row r="107" spans="1:12">
      <c r="D107" s="175" t="s">
        <v>84</v>
      </c>
      <c r="H107" s="179">
        <v>-2206</v>
      </c>
      <c r="I107" s="179">
        <v>-3080</v>
      </c>
      <c r="J107" s="179">
        <v>-6493</v>
      </c>
      <c r="K107" s="179">
        <v>-5306</v>
      </c>
      <c r="L107" s="179">
        <v>-11158</v>
      </c>
    </row>
    <row r="108" spans="1:12">
      <c r="D108" s="175" t="s">
        <v>85</v>
      </c>
      <c r="H108" s="179">
        <v>947</v>
      </c>
      <c r="I108" s="179">
        <v>3013</v>
      </c>
      <c r="J108" s="179">
        <v>6319</v>
      </c>
      <c r="K108" s="179">
        <v>420</v>
      </c>
      <c r="L108" s="179">
        <v>-2017</v>
      </c>
    </row>
    <row r="109" spans="1:12">
      <c r="D109" s="175" t="s">
        <v>86</v>
      </c>
      <c r="H109" s="179">
        <v>-24232</v>
      </c>
      <c r="I109" s="179">
        <v>-7521</v>
      </c>
      <c r="J109" s="179">
        <v>-27094</v>
      </c>
      <c r="K109" s="179">
        <v>-37030</v>
      </c>
      <c r="L109" s="179">
        <v>-3645</v>
      </c>
    </row>
    <row r="110" spans="1:12">
      <c r="D110" s="175" t="s">
        <v>20</v>
      </c>
      <c r="H110" s="179">
        <v>-11705</v>
      </c>
      <c r="I110" s="179">
        <v>6698</v>
      </c>
      <c r="J110" s="179">
        <v>75723</v>
      </c>
      <c r="K110" s="179">
        <v>-72868</v>
      </c>
      <c r="L110" s="179">
        <v>34175</v>
      </c>
    </row>
    <row r="111" spans="1:12">
      <c r="D111" s="175" t="s">
        <v>87</v>
      </c>
      <c r="H111" s="179">
        <v>776</v>
      </c>
      <c r="I111" s="179">
        <v>1115</v>
      </c>
      <c r="J111" s="179">
        <v>1194</v>
      </c>
      <c r="K111" s="179">
        <v>1669</v>
      </c>
      <c r="L111" s="179">
        <v>3157</v>
      </c>
    </row>
    <row r="112" spans="1:12">
      <c r="D112" s="175" t="s">
        <v>88</v>
      </c>
      <c r="H112" s="179">
        <v>74</v>
      </c>
      <c r="I112" s="179">
        <v>22</v>
      </c>
      <c r="J112" s="179">
        <v>44</v>
      </c>
      <c r="K112" s="179">
        <v>-1031</v>
      </c>
      <c r="L112" s="179">
        <v>-2985</v>
      </c>
    </row>
    <row r="113" spans="3:12">
      <c r="D113" s="175" t="s">
        <v>89</v>
      </c>
      <c r="H113" s="179"/>
      <c r="I113" s="179">
        <v>5664</v>
      </c>
      <c r="J113" s="179">
        <v>4278</v>
      </c>
      <c r="K113" s="179">
        <v>3741</v>
      </c>
      <c r="L113" s="179">
        <v>3586</v>
      </c>
    </row>
    <row r="114" spans="3:12">
      <c r="D114" s="175" t="s">
        <v>90</v>
      </c>
      <c r="H114" s="179">
        <v>2826</v>
      </c>
      <c r="I114" s="179">
        <v>485</v>
      </c>
      <c r="J114" s="179">
        <v>823</v>
      </c>
      <c r="K114" s="179">
        <v>396</v>
      </c>
      <c r="L114" s="179">
        <v>2301</v>
      </c>
    </row>
    <row r="115" spans="3:12">
      <c r="D115" s="174" t="s">
        <v>91</v>
      </c>
      <c r="H115" s="180">
        <v>586392</v>
      </c>
      <c r="I115" s="180">
        <v>722281</v>
      </c>
      <c r="J115" s="180">
        <v>793652</v>
      </c>
      <c r="K115" s="180">
        <v>943889</v>
      </c>
      <c r="L115" s="180">
        <v>1213093</v>
      </c>
    </row>
    <row r="116" spans="3:12">
      <c r="D116" s="181" t="s">
        <v>92</v>
      </c>
      <c r="H116" s="182"/>
      <c r="I116" s="182"/>
      <c r="J116" s="182"/>
      <c r="K116" s="182"/>
      <c r="L116" s="182"/>
    </row>
    <row r="117" spans="3:12">
      <c r="D117" s="175" t="s">
        <v>93</v>
      </c>
      <c r="H117" s="179">
        <v>-7131</v>
      </c>
      <c r="I117" s="179">
        <v>-5583</v>
      </c>
      <c r="J117" s="179">
        <v>-14941</v>
      </c>
      <c r="K117" s="179">
        <v>29658</v>
      </c>
      <c r="L117" s="179">
        <v>-5654</v>
      </c>
    </row>
    <row r="118" spans="3:12">
      <c r="D118" s="175" t="s">
        <v>94</v>
      </c>
      <c r="H118" s="179">
        <v>-4877</v>
      </c>
      <c r="I118" s="179">
        <v>12671</v>
      </c>
      <c r="J118" s="179">
        <v>6398</v>
      </c>
      <c r="K118" s="179">
        <v>8586</v>
      </c>
      <c r="L118" s="179">
        <v>24977</v>
      </c>
    </row>
    <row r="119" spans="3:12">
      <c r="D119" s="175" t="s">
        <v>47</v>
      </c>
      <c r="H119" s="179">
        <v>-1181</v>
      </c>
      <c r="I119" s="179">
        <v>-1157</v>
      </c>
      <c r="J119" s="179">
        <v>-771</v>
      </c>
      <c r="K119" s="179">
        <v>-1416</v>
      </c>
      <c r="L119" s="179">
        <v>-1982</v>
      </c>
    </row>
    <row r="120" spans="3:12">
      <c r="D120" s="175" t="s">
        <v>67</v>
      </c>
      <c r="H120" s="179">
        <v>2736</v>
      </c>
      <c r="I120" s="179">
        <v>6494</v>
      </c>
      <c r="J120" s="179">
        <v>17332</v>
      </c>
      <c r="K120" s="179">
        <v>22699</v>
      </c>
      <c r="L120" s="179">
        <v>18276</v>
      </c>
    </row>
    <row r="121" spans="3:12">
      <c r="D121" s="175" t="s">
        <v>95</v>
      </c>
      <c r="H121" s="179">
        <v>11655</v>
      </c>
      <c r="I121" s="179">
        <v>-11991</v>
      </c>
      <c r="J121" s="179">
        <v>41516</v>
      </c>
      <c r="K121" s="179">
        <v>48154</v>
      </c>
      <c r="L121" s="179">
        <v>33760</v>
      </c>
    </row>
    <row r="122" spans="3:12">
      <c r="D122" s="175" t="s">
        <v>96</v>
      </c>
      <c r="H122" s="179">
        <v>-15674</v>
      </c>
      <c r="I122" s="179">
        <v>-31554</v>
      </c>
      <c r="J122" s="179">
        <v>-25398</v>
      </c>
      <c r="K122" s="179">
        <v>-23868</v>
      </c>
      <c r="L122" s="179">
        <v>2665</v>
      </c>
    </row>
    <row r="123" spans="3:12">
      <c r="D123" s="174" t="s">
        <v>97</v>
      </c>
      <c r="H123" s="180">
        <v>571920</v>
      </c>
      <c r="I123" s="180">
        <v>691161</v>
      </c>
      <c r="J123" s="180">
        <v>817788</v>
      </c>
      <c r="K123" s="180">
        <v>1027702</v>
      </c>
      <c r="L123" s="180">
        <v>1285135</v>
      </c>
    </row>
    <row r="124" spans="3:12">
      <c r="D124" s="175" t="s">
        <v>98</v>
      </c>
      <c r="H124" s="179">
        <v>-21754</v>
      </c>
      <c r="I124" s="179">
        <v>-37915</v>
      </c>
      <c r="J124" s="179">
        <v>-28806</v>
      </c>
      <c r="K124" s="179">
        <v>-44380</v>
      </c>
      <c r="L124" s="179">
        <v>-62839</v>
      </c>
    </row>
    <row r="125" spans="3:12">
      <c r="D125" s="174" t="s">
        <v>99</v>
      </c>
      <c r="H125" s="180">
        <v>550166</v>
      </c>
      <c r="I125" s="180">
        <v>653246</v>
      </c>
      <c r="J125" s="180">
        <v>788982</v>
      </c>
      <c r="K125" s="180">
        <v>983322</v>
      </c>
      <c r="L125" s="180">
        <v>1222296</v>
      </c>
    </row>
    <row r="127" spans="3:12">
      <c r="C127" s="174" t="s">
        <v>100</v>
      </c>
      <c r="H127" s="180"/>
      <c r="I127" s="180"/>
      <c r="J127" s="180"/>
      <c r="K127" s="180"/>
      <c r="L127" s="180"/>
    </row>
    <row r="128" spans="3:12">
      <c r="D128" s="175" t="s">
        <v>101</v>
      </c>
      <c r="H128" s="179">
        <v>-265406</v>
      </c>
      <c r="I128" s="179">
        <v>-260566</v>
      </c>
      <c r="J128" s="179">
        <v>-381915</v>
      </c>
      <c r="K128" s="179">
        <v>-379077</v>
      </c>
      <c r="L128" s="179">
        <v>-451756</v>
      </c>
    </row>
    <row r="129" spans="4:12">
      <c r="D129" s="175" t="s">
        <v>102</v>
      </c>
      <c r="H129" s="179">
        <v>13791</v>
      </c>
      <c r="I129" s="179">
        <v>885</v>
      </c>
      <c r="J129" s="179">
        <v>1228</v>
      </c>
      <c r="K129" s="179">
        <v>3382</v>
      </c>
      <c r="L129" s="179">
        <v>11680</v>
      </c>
    </row>
    <row r="130" spans="4:12">
      <c r="D130" s="175" t="s">
        <v>103</v>
      </c>
      <c r="H130" s="179">
        <v>-8593</v>
      </c>
      <c r="I130" s="179">
        <v>-4819</v>
      </c>
      <c r="J130" s="179">
        <v>-18600</v>
      </c>
      <c r="K130" s="179">
        <v>-17722</v>
      </c>
      <c r="L130" s="179">
        <v>-15386</v>
      </c>
    </row>
    <row r="131" spans="4:12">
      <c r="D131" s="175" t="s">
        <v>104</v>
      </c>
      <c r="H131" s="179">
        <v>-174482</v>
      </c>
      <c r="I131" s="179">
        <v>-123684</v>
      </c>
      <c r="J131" s="179">
        <v>-121547</v>
      </c>
      <c r="K131" s="179">
        <v>-213487</v>
      </c>
      <c r="L131" s="179">
        <v>-8546</v>
      </c>
    </row>
    <row r="132" spans="4:12">
      <c r="D132" s="175" t="s">
        <v>105</v>
      </c>
      <c r="H132" s="179">
        <v>10048</v>
      </c>
      <c r="I132" s="179"/>
      <c r="J132" s="179"/>
      <c r="K132" s="179"/>
      <c r="L132" s="179"/>
    </row>
    <row r="133" spans="4:12">
      <c r="D133" s="175" t="s">
        <v>106</v>
      </c>
      <c r="H133" s="179">
        <v>998</v>
      </c>
      <c r="I133" s="179"/>
      <c r="J133" s="179"/>
      <c r="K133" s="179"/>
      <c r="L133" s="179"/>
    </row>
    <row r="134" spans="4:12">
      <c r="D134" s="175" t="s">
        <v>107</v>
      </c>
      <c r="H134" s="179">
        <v>21298</v>
      </c>
      <c r="I134" s="179">
        <v>-12000</v>
      </c>
      <c r="J134" s="179">
        <v>19015</v>
      </c>
      <c r="K134" s="179">
        <v>7100</v>
      </c>
      <c r="L134" s="179">
        <v>-126994</v>
      </c>
    </row>
    <row r="135" spans="4:12">
      <c r="D135" s="175" t="s">
        <v>108</v>
      </c>
      <c r="H135" s="179">
        <v>-89</v>
      </c>
      <c r="I135" s="179">
        <v>-323</v>
      </c>
      <c r="J135" s="179">
        <v>-304</v>
      </c>
      <c r="K135" s="179">
        <v>-734</v>
      </c>
      <c r="L135" s="179">
        <v>-1241</v>
      </c>
    </row>
    <row r="136" spans="4:12">
      <c r="D136" s="175" t="s">
        <v>109</v>
      </c>
      <c r="H136" s="179"/>
      <c r="I136" s="179">
        <v>311</v>
      </c>
      <c r="J136" s="179">
        <v>69</v>
      </c>
      <c r="K136" s="179">
        <v>300</v>
      </c>
      <c r="L136" s="179">
        <v>90</v>
      </c>
    </row>
    <row r="137" spans="4:12">
      <c r="D137" s="175" t="s">
        <v>110</v>
      </c>
      <c r="H137" s="179"/>
      <c r="I137" s="179"/>
      <c r="J137" s="179"/>
      <c r="K137" s="179">
        <v>-69</v>
      </c>
      <c r="L137" s="179"/>
    </row>
    <row r="138" spans="4:12">
      <c r="D138" s="175" t="s">
        <v>111</v>
      </c>
      <c r="H138" s="179"/>
      <c r="I138" s="179"/>
      <c r="J138" s="179"/>
      <c r="K138" s="179">
        <v>1023</v>
      </c>
      <c r="L138" s="179"/>
    </row>
    <row r="139" spans="4:12">
      <c r="D139" s="175" t="s">
        <v>112</v>
      </c>
      <c r="H139" s="179"/>
      <c r="I139" s="179"/>
      <c r="J139" s="179">
        <v>-6428</v>
      </c>
      <c r="K139" s="179"/>
      <c r="L139" s="179"/>
    </row>
    <row r="140" spans="4:12">
      <c r="D140" s="175" t="s">
        <v>113</v>
      </c>
      <c r="H140" s="179">
        <v>5887</v>
      </c>
      <c r="I140" s="179"/>
      <c r="J140" s="179"/>
      <c r="K140" s="179"/>
      <c r="L140" s="179"/>
    </row>
    <row r="141" spans="4:12">
      <c r="D141" s="175" t="s">
        <v>114</v>
      </c>
      <c r="H141" s="179">
        <v>-26208</v>
      </c>
      <c r="I141" s="179">
        <v>-8106</v>
      </c>
      <c r="J141" s="179">
        <v>-300</v>
      </c>
      <c r="K141" s="179">
        <v>-8788</v>
      </c>
      <c r="L141" s="179"/>
    </row>
    <row r="142" spans="4:12">
      <c r="D142" s="175" t="s">
        <v>115</v>
      </c>
      <c r="H142" s="179"/>
      <c r="I142" s="179"/>
      <c r="J142" s="179"/>
      <c r="K142" s="179">
        <v>45</v>
      </c>
      <c r="L142" s="179"/>
    </row>
    <row r="143" spans="4:12">
      <c r="D143" s="175" t="s">
        <v>116</v>
      </c>
      <c r="H143" s="179">
        <v>8</v>
      </c>
      <c r="I143" s="179"/>
      <c r="J143" s="179"/>
      <c r="K143" s="179"/>
      <c r="L143" s="179">
        <v>907</v>
      </c>
    </row>
    <row r="144" spans="4:12">
      <c r="D144" s="175" t="s">
        <v>117</v>
      </c>
      <c r="H144" s="179"/>
      <c r="I144" s="179">
        <v>13992</v>
      </c>
      <c r="J144" s="179">
        <v>1072</v>
      </c>
      <c r="K144" s="179">
        <v>1090</v>
      </c>
      <c r="L144" s="179">
        <v>1813</v>
      </c>
    </row>
    <row r="145" spans="3:12">
      <c r="D145" s="175" t="s">
        <v>118</v>
      </c>
      <c r="H145" s="179">
        <v>4052</v>
      </c>
      <c r="I145" s="179">
        <v>3508</v>
      </c>
      <c r="J145" s="179">
        <v>5671</v>
      </c>
      <c r="K145" s="179">
        <v>4239</v>
      </c>
      <c r="L145" s="179">
        <v>4088</v>
      </c>
    </row>
    <row r="146" spans="3:12">
      <c r="D146" s="174" t="s">
        <v>119</v>
      </c>
      <c r="H146" s="180">
        <v>-418696</v>
      </c>
      <c r="I146" s="180">
        <v>-390802</v>
      </c>
      <c r="J146" s="180">
        <v>-502039</v>
      </c>
      <c r="K146" s="180">
        <v>-602698</v>
      </c>
      <c r="L146" s="180">
        <v>-585345</v>
      </c>
    </row>
    <row r="148" spans="3:12">
      <c r="C148" s="174" t="s">
        <v>120</v>
      </c>
      <c r="H148" s="180"/>
      <c r="I148" s="180"/>
      <c r="J148" s="180"/>
      <c r="K148" s="180"/>
      <c r="L148" s="180"/>
    </row>
    <row r="149" spans="3:12">
      <c r="D149" s="175" t="s">
        <v>121</v>
      </c>
      <c r="H149" s="179">
        <v>52226</v>
      </c>
      <c r="I149" s="179">
        <v>52242</v>
      </c>
      <c r="J149" s="179"/>
      <c r="K149" s="179"/>
      <c r="L149" s="179">
        <v>156949</v>
      </c>
    </row>
    <row r="150" spans="3:12">
      <c r="D150" s="175" t="s">
        <v>122</v>
      </c>
      <c r="H150" s="179">
        <v>254785</v>
      </c>
      <c r="I150" s="179">
        <v>136077</v>
      </c>
      <c r="J150" s="179">
        <v>67123</v>
      </c>
      <c r="K150" s="179">
        <v>235597</v>
      </c>
      <c r="L150" s="179">
        <v>140131</v>
      </c>
    </row>
    <row r="151" spans="3:12">
      <c r="D151" s="175" t="s">
        <v>123</v>
      </c>
      <c r="H151" s="179">
        <v>-337212</v>
      </c>
      <c r="I151" s="179">
        <v>-178227</v>
      </c>
      <c r="J151" s="179">
        <v>-100803</v>
      </c>
      <c r="K151" s="179">
        <v>-178594</v>
      </c>
      <c r="L151" s="179">
        <v>-420773</v>
      </c>
    </row>
    <row r="152" spans="3:12">
      <c r="D152" s="175" t="s">
        <v>124</v>
      </c>
      <c r="H152" s="179">
        <v>-76427</v>
      </c>
      <c r="I152" s="179">
        <v>-75986</v>
      </c>
      <c r="J152" s="179">
        <v>-78552</v>
      </c>
      <c r="K152" s="179">
        <v>-71538</v>
      </c>
      <c r="L152" s="179">
        <v>-67197</v>
      </c>
    </row>
    <row r="153" spans="3:12">
      <c r="D153" s="175" t="s">
        <v>125</v>
      </c>
      <c r="H153" s="179">
        <v>63649</v>
      </c>
      <c r="I153" s="179">
        <v>-70972</v>
      </c>
      <c r="J153" s="179">
        <v>15516</v>
      </c>
      <c r="K153" s="179">
        <v>36927</v>
      </c>
      <c r="L153" s="179">
        <v>-44087</v>
      </c>
    </row>
    <row r="154" spans="3:12">
      <c r="D154" s="175" t="s">
        <v>126</v>
      </c>
      <c r="H154" s="179">
        <v>-598</v>
      </c>
      <c r="I154" s="179">
        <v>-499</v>
      </c>
      <c r="J154" s="179">
        <v>-1368</v>
      </c>
      <c r="K154" s="179">
        <v>-3675</v>
      </c>
      <c r="L154" s="179">
        <v>-1467</v>
      </c>
    </row>
    <row r="155" spans="3:12">
      <c r="D155" s="175" t="s">
        <v>127</v>
      </c>
      <c r="H155" s="179">
        <v>-131588</v>
      </c>
      <c r="I155" s="179">
        <v>-66893</v>
      </c>
      <c r="J155" s="179">
        <v>-140263</v>
      </c>
      <c r="K155" s="179">
        <v>-175476</v>
      </c>
      <c r="L155" s="179">
        <v>-148876</v>
      </c>
    </row>
    <row r="156" spans="3:12">
      <c r="D156" s="175" t="s">
        <v>128</v>
      </c>
      <c r="H156" s="179">
        <v>7</v>
      </c>
      <c r="I156" s="179">
        <v>3</v>
      </c>
      <c r="J156" s="179">
        <v>6</v>
      </c>
      <c r="K156" s="179">
        <v>14</v>
      </c>
      <c r="L156" s="179">
        <v>20</v>
      </c>
    </row>
    <row r="157" spans="3:12">
      <c r="D157" s="175" t="s">
        <v>129</v>
      </c>
      <c r="H157" s="179">
        <v>-14438</v>
      </c>
      <c r="I157" s="179">
        <v>-35898</v>
      </c>
      <c r="J157" s="179">
        <v>-41845</v>
      </c>
      <c r="K157" s="179">
        <v>-69349</v>
      </c>
      <c r="L157" s="179">
        <v>-113277</v>
      </c>
    </row>
    <row r="158" spans="3:12">
      <c r="D158" s="175" t="s">
        <v>130</v>
      </c>
      <c r="H158" s="179"/>
      <c r="I158" s="179"/>
      <c r="J158" s="179"/>
      <c r="K158" s="179"/>
      <c r="L158" s="179"/>
    </row>
    <row r="159" spans="3:12">
      <c r="D159" s="175" t="s">
        <v>131</v>
      </c>
      <c r="H159" s="179">
        <v>10880</v>
      </c>
      <c r="I159" s="179"/>
      <c r="J159" s="179"/>
      <c r="K159" s="179"/>
      <c r="L159" s="179"/>
    </row>
    <row r="160" spans="3:12">
      <c r="D160" s="175" t="s">
        <v>132</v>
      </c>
      <c r="H160" s="179"/>
      <c r="I160" s="179"/>
      <c r="J160" s="179"/>
      <c r="K160" s="179">
        <v>-86292</v>
      </c>
      <c r="L160" s="179"/>
    </row>
    <row r="161" spans="3:12">
      <c r="D161" s="175" t="s">
        <v>133</v>
      </c>
      <c r="H161" s="179"/>
      <c r="I161" s="179"/>
      <c r="J161" s="179">
        <v>-1693</v>
      </c>
      <c r="K161" s="179"/>
      <c r="L161" s="179"/>
    </row>
    <row r="162" spans="3:12">
      <c r="D162" s="175" t="s">
        <v>134</v>
      </c>
      <c r="H162" s="179">
        <v>-13523</v>
      </c>
      <c r="I162" s="179">
        <v>-641</v>
      </c>
      <c r="J162" s="179">
        <v>-870</v>
      </c>
      <c r="K162" s="179">
        <v>-37348</v>
      </c>
      <c r="L162" s="179">
        <v>-19056</v>
      </c>
    </row>
    <row r="163" spans="3:12">
      <c r="D163" s="175" t="s">
        <v>135</v>
      </c>
      <c r="H163" s="179">
        <v>-704</v>
      </c>
      <c r="I163" s="179">
        <v>-3901</v>
      </c>
      <c r="J163" s="179">
        <v>573</v>
      </c>
      <c r="K163" s="179">
        <v>-16427</v>
      </c>
      <c r="L163" s="179">
        <v>-5368</v>
      </c>
    </row>
    <row r="164" spans="3:12">
      <c r="D164" s="175" t="s">
        <v>136</v>
      </c>
      <c r="H164" s="179">
        <v>40911</v>
      </c>
      <c r="I164" s="179"/>
      <c r="J164" s="179">
        <v>4391</v>
      </c>
      <c r="K164" s="179">
        <v>829</v>
      </c>
      <c r="L164" s="179"/>
    </row>
    <row r="165" spans="3:12">
      <c r="D165" s="175" t="s">
        <v>137</v>
      </c>
      <c r="H165" s="179"/>
      <c r="I165" s="179"/>
      <c r="J165" s="179"/>
      <c r="K165" s="179"/>
      <c r="L165" s="179">
        <v>75</v>
      </c>
    </row>
    <row r="166" spans="3:12">
      <c r="D166" s="174" t="s">
        <v>138</v>
      </c>
      <c r="H166" s="180">
        <v>-152032</v>
      </c>
      <c r="I166" s="180">
        <v>-244695</v>
      </c>
      <c r="J166" s="180">
        <v>-277785</v>
      </c>
      <c r="K166" s="180">
        <v>-365332</v>
      </c>
      <c r="L166" s="180">
        <v>-522926</v>
      </c>
    </row>
    <row r="168" spans="3:12">
      <c r="C168" s="174" t="s">
        <v>139</v>
      </c>
      <c r="H168" s="180">
        <v>-20562</v>
      </c>
      <c r="I168" s="180">
        <v>17749</v>
      </c>
      <c r="J168" s="180">
        <v>9158</v>
      </c>
      <c r="K168" s="180">
        <v>15292</v>
      </c>
      <c r="L168" s="180">
        <v>114025</v>
      </c>
    </row>
    <row r="169" spans="3:12">
      <c r="D169" s="175" t="s">
        <v>140</v>
      </c>
      <c r="H169" s="179">
        <v>3919</v>
      </c>
      <c r="I169" s="179">
        <v>-1522</v>
      </c>
      <c r="J169" s="179">
        <v>-8851</v>
      </c>
      <c r="K169" s="179">
        <v>718</v>
      </c>
      <c r="L169" s="179">
        <v>23291</v>
      </c>
    </row>
    <row r="170" spans="3:12">
      <c r="D170" s="175" t="s">
        <v>141</v>
      </c>
      <c r="H170" s="179">
        <v>90630</v>
      </c>
      <c r="I170" s="179">
        <v>73987</v>
      </c>
      <c r="J170" s="179">
        <v>90214</v>
      </c>
      <c r="K170" s="179">
        <v>90521</v>
      </c>
      <c r="L170" s="179">
        <v>106531</v>
      </c>
    </row>
    <row r="171" spans="3:12">
      <c r="C171" s="174" t="s">
        <v>142</v>
      </c>
      <c r="H171" s="180">
        <v>73987</v>
      </c>
      <c r="I171" s="180">
        <v>90214</v>
      </c>
      <c r="J171" s="180">
        <v>90521</v>
      </c>
      <c r="K171" s="180">
        <v>106531</v>
      </c>
      <c r="L171" s="180">
        <v>243847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5"/>
  <sheetViews>
    <sheetView showGridLines="0" zoomScale="73" zoomScaleNormal="73" workbookViewId="0">
      <pane xSplit="7" ySplit="2" topLeftCell="H122" activePane="bottomRight" state="frozen"/>
      <selection/>
      <selection pane="topRight"/>
      <selection pane="bottomLeft"/>
      <selection pane="bottomRight" activeCell="F149" sqref="F149"/>
    </sheetView>
  </sheetViews>
  <sheetFormatPr defaultColWidth="9.14285714285714" defaultRowHeight="16.8"/>
  <cols>
    <col min="1" max="3" width="1.23214285714286" customWidth="1"/>
    <col min="4" max="4" width="40.6428571428571" customWidth="1"/>
    <col min="5" max="5" width="12.3571428571429"/>
    <col min="6" max="6" width="12.5714285714286" customWidth="1"/>
    <col min="7" max="7" width="2.64285714285714" customWidth="1"/>
    <col min="8" max="19" width="12.6428571428571" customWidth="1"/>
    <col min="20" max="20" width="12.7857142857143" customWidth="1"/>
  </cols>
  <sheetData>
    <row r="1" ht="37.2" customHeight="1" spans="1:20">
      <c r="A1" s="1" t="s">
        <v>0</v>
      </c>
      <c r="B1" s="17"/>
      <c r="C1" s="15"/>
      <c r="D1" s="15"/>
      <c r="E1" s="15"/>
      <c r="F1" s="15"/>
      <c r="G1" s="15"/>
      <c r="H1" s="114" t="s">
        <v>143</v>
      </c>
      <c r="I1" s="19"/>
      <c r="J1" s="19"/>
      <c r="K1" s="19"/>
      <c r="L1" s="19"/>
      <c r="M1" s="114" t="s">
        <v>144</v>
      </c>
      <c r="N1" s="19"/>
      <c r="O1" s="19"/>
      <c r="P1" s="19"/>
      <c r="Q1" s="115"/>
    </row>
    <row r="2" ht="17.6" customHeight="1" spans="1:20">
      <c r="A2" s="87" t="s">
        <v>145</v>
      </c>
      <c r="B2" s="17"/>
      <c r="C2" s="15"/>
      <c r="D2" s="15"/>
      <c r="E2" s="15"/>
      <c r="F2" s="15"/>
      <c r="G2" s="15"/>
      <c r="H2" s="116">
        <v>2022</v>
      </c>
      <c r="I2" s="116">
        <f t="shared" ref="I2:Q2" si="0">H2+1</f>
        <v>2023</v>
      </c>
      <c r="J2" s="116">
        <f t="shared" si="0"/>
        <v>2024</v>
      </c>
      <c r="K2" s="116">
        <f t="shared" si="0"/>
        <v>2025</v>
      </c>
      <c r="L2" s="116">
        <f t="shared" si="0"/>
        <v>2026</v>
      </c>
      <c r="M2" s="117">
        <f t="shared" si="0"/>
        <v>2027</v>
      </c>
      <c r="N2" s="117">
        <f t="shared" si="0"/>
        <v>2028</v>
      </c>
      <c r="O2" s="117">
        <f t="shared" si="0"/>
        <v>2029</v>
      </c>
      <c r="P2" s="117">
        <f t="shared" si="0"/>
        <v>2030</v>
      </c>
      <c r="Q2" s="117">
        <f t="shared" si="0"/>
        <v>2031</v>
      </c>
    </row>
    <row r="3" spans="1:20">
      <c r="G3" s="118">
        <f>IF(E4=Scenario!D6,1,IF(E4=Scenario!D7,2,3))</f>
        <v>2</v>
      </c>
    </row>
    <row r="4" outlineLevel="1" spans="1:20">
      <c r="A4" s="89"/>
      <c r="B4" s="64" t="s">
        <v>146</v>
      </c>
      <c r="C4" s="89"/>
      <c r="D4" s="89"/>
      <c r="E4" s="17" t="s">
        <v>147</v>
      </c>
      <c r="F4" s="89"/>
      <c r="G4" s="89"/>
      <c r="H4" s="89"/>
    </row>
    <row r="5" outlineLevel="1" spans="1:20">
      <c r="A5" s="89"/>
      <c r="B5" s="119"/>
      <c r="C5" s="119" t="s">
        <v>148</v>
      </c>
      <c r="D5" s="119"/>
      <c r="E5" s="89"/>
      <c r="F5" s="89"/>
      <c r="G5" s="89"/>
      <c r="H5" s="89"/>
      <c r="I5" s="120">
        <f>(I20-H20)/H20</f>
        <v>0.193895333123404</v>
      </c>
      <c r="J5" s="121">
        <f>(J20-I20)/I20</f>
        <v>0.0778872081457589</v>
      </c>
      <c r="K5" s="121">
        <f>(K20-J20)/J20</f>
        <v>0.153369995412795</v>
      </c>
      <c r="L5" s="121">
        <f>(L20-K20)/K20</f>
        <v>0.219600289504536</v>
      </c>
      <c r="M5" s="121">
        <f t="array" ref="M5:Q5">CHOOSE(G3,Scenario!H6:L6,Scenario!H7:L7,Scenario!H8:L8)</f>
        <v>0.22305340496034</v>
      </c>
      <c r="N5" s="121">
        <v>0.200899069805391</v>
      </c>
      <c r="O5" s="121">
        <v>0.180945169861217</v>
      </c>
      <c r="P5" s="121">
        <v>0.162973151283481</v>
      </c>
      <c r="Q5" s="121">
        <v>0.146786167653106</v>
      </c>
      <c r="S5" s="122"/>
    </row>
    <row r="6" outlineLevel="1" spans="1:20">
      <c r="A6" s="89"/>
      <c r="B6" s="89"/>
      <c r="C6" s="89" t="s">
        <v>149</v>
      </c>
      <c r="D6" s="89"/>
      <c r="E6" s="89"/>
      <c r="F6" s="89"/>
      <c r="G6" s="89"/>
      <c r="H6" s="121">
        <f>H21/-H20</f>
        <v>0.367621961630897</v>
      </c>
      <c r="I6" s="121">
        <f>I21/-I20</f>
        <v>0.344358538730876</v>
      </c>
      <c r="J6" s="121">
        <f>J21/-J20</f>
        <v>0.330526115064168</v>
      </c>
      <c r="K6" s="121">
        <f>K21/-K20</f>
        <v>0.315082446359573</v>
      </c>
      <c r="L6" s="121">
        <f>L21/-L20</f>
        <v>0.28754654628464</v>
      </c>
      <c r="M6" s="121">
        <f t="shared" ref="M6:M16" si="1">AVERAGE(H6:L6)</f>
        <v>0.329027121614031</v>
      </c>
      <c r="N6" s="121">
        <f t="shared" ref="N6:N16" si="2">M6</f>
        <v>0.329027121614031</v>
      </c>
      <c r="O6" s="121">
        <f t="shared" ref="O6:O16" si="3">N6</f>
        <v>0.329027121614031</v>
      </c>
      <c r="P6" s="121">
        <f t="shared" ref="P6:P16" si="4">O6</f>
        <v>0.329027121614031</v>
      </c>
      <c r="Q6" s="121">
        <f t="shared" ref="Q6:Q16" si="5">P6</f>
        <v>0.329027121614031</v>
      </c>
    </row>
    <row r="7" outlineLevel="1" spans="1:20">
      <c r="A7" s="89"/>
      <c r="B7" s="89"/>
      <c r="C7" s="89" t="s">
        <v>150</v>
      </c>
      <c r="D7" s="89"/>
      <c r="E7" s="89"/>
      <c r="F7" s="89"/>
      <c r="G7" s="89"/>
      <c r="H7" s="121">
        <f>H23/-H20</f>
        <v>0.138723552492602</v>
      </c>
      <c r="I7" s="121">
        <f>I23/-I20</f>
        <v>0.143416067291052</v>
      </c>
      <c r="J7" s="121">
        <f>J23/-J20</f>
        <v>0.147467302830199</v>
      </c>
      <c r="K7" s="121">
        <f>K23/-K20</f>
        <v>0.146378996584679</v>
      </c>
      <c r="L7" s="121">
        <f>L23/-L20</f>
        <v>0.145202604316765</v>
      </c>
      <c r="M7" s="121">
        <f t="shared" si="1"/>
        <v>0.144237704703059</v>
      </c>
      <c r="N7" s="121">
        <f t="shared" si="2"/>
        <v>0.144237704703059</v>
      </c>
      <c r="O7" s="121">
        <f t="shared" si="3"/>
        <v>0.144237704703059</v>
      </c>
      <c r="P7" s="121">
        <f t="shared" si="4"/>
        <v>0.144237704703059</v>
      </c>
      <c r="Q7" s="121">
        <f t="shared" si="5"/>
        <v>0.144237704703059</v>
      </c>
    </row>
    <row r="8" outlineLevel="1" spans="1:20">
      <c r="A8" s="89"/>
      <c r="B8" s="89"/>
      <c r="C8" s="89" t="s">
        <v>151</v>
      </c>
      <c r="D8" s="89"/>
      <c r="E8" s="89"/>
      <c r="F8" s="89"/>
      <c r="G8" s="89"/>
      <c r="H8" s="121">
        <f>H25/-H42</f>
        <v>0.349017150945406</v>
      </c>
      <c r="I8" s="121">
        <f>I25/-I42</f>
        <v>0.342876557361929</v>
      </c>
      <c r="J8" s="121">
        <f>J25/-J42</f>
        <v>0.342258210280835</v>
      </c>
      <c r="K8" s="121">
        <f>K25/-K42</f>
        <v>0.296163739710376</v>
      </c>
      <c r="L8" s="121">
        <f>L25/-L42</f>
        <v>0.310650109913425</v>
      </c>
      <c r="M8" s="121">
        <f t="shared" si="1"/>
        <v>0.328193153642394</v>
      </c>
      <c r="N8" s="121">
        <f t="shared" si="2"/>
        <v>0.328193153642394</v>
      </c>
      <c r="O8" s="121">
        <f t="shared" si="3"/>
        <v>0.328193153642394</v>
      </c>
      <c r="P8" s="121">
        <f t="shared" si="4"/>
        <v>0.328193153642394</v>
      </c>
      <c r="Q8" s="121">
        <f t="shared" si="5"/>
        <v>0.328193153642394</v>
      </c>
    </row>
    <row r="9" outlineLevel="1" spans="1:20">
      <c r="A9" s="89"/>
      <c r="B9" s="89"/>
      <c r="C9" s="89" t="s">
        <v>152</v>
      </c>
      <c r="D9" s="89"/>
      <c r="E9" s="89"/>
      <c r="F9" s="89"/>
      <c r="G9" s="89"/>
      <c r="H9" s="121">
        <f>H27/-H54</f>
        <v>0.0979278975046249</v>
      </c>
      <c r="I9" s="121">
        <f>I27/-I54</f>
        <v>0.0853901176133294</v>
      </c>
      <c r="J9" s="121">
        <f>J27/-J54</f>
        <v>0.105048742464364</v>
      </c>
      <c r="K9" s="121">
        <f>K27/-K54</f>
        <v>0.101824031873868</v>
      </c>
      <c r="L9" s="121">
        <f>L27/-L54</f>
        <v>0.110307110577309</v>
      </c>
      <c r="M9" s="121">
        <f t="shared" si="1"/>
        <v>0.100099580006699</v>
      </c>
      <c r="N9" s="121">
        <f t="shared" si="2"/>
        <v>0.100099580006699</v>
      </c>
      <c r="O9" s="121">
        <f t="shared" si="3"/>
        <v>0.100099580006699</v>
      </c>
      <c r="P9" s="121">
        <f t="shared" si="4"/>
        <v>0.100099580006699</v>
      </c>
      <c r="Q9" s="121">
        <f t="shared" si="5"/>
        <v>0.100099580006699</v>
      </c>
    </row>
    <row r="10" outlineLevel="1" spans="1:20">
      <c r="A10" s="89"/>
      <c r="B10" s="89"/>
      <c r="C10" s="89" t="s">
        <v>153</v>
      </c>
      <c r="D10" s="89"/>
      <c r="E10" s="89"/>
      <c r="F10" s="89"/>
      <c r="G10" s="89"/>
      <c r="H10" s="121">
        <f>H30/-H29</f>
        <v>0.334684493435124</v>
      </c>
      <c r="I10" s="121">
        <f>I30/-I29</f>
        <v>0.258038609479068</v>
      </c>
      <c r="J10" s="121">
        <f>J30/-J29</f>
        <v>0.325025632936351</v>
      </c>
      <c r="K10" s="121">
        <f>K30/-K29</f>
        <v>0.0238863497272029</v>
      </c>
      <c r="L10" s="121">
        <f>L30/-L29</f>
        <v>0.251255736318617</v>
      </c>
      <c r="M10" s="121">
        <f t="shared" si="1"/>
        <v>0.238578164379273</v>
      </c>
      <c r="N10" s="121">
        <f t="shared" si="2"/>
        <v>0.238578164379273</v>
      </c>
      <c r="O10" s="121">
        <f t="shared" si="3"/>
        <v>0.238578164379273</v>
      </c>
      <c r="P10" s="121">
        <f t="shared" si="4"/>
        <v>0.238578164379273</v>
      </c>
      <c r="Q10" s="121">
        <f t="shared" si="5"/>
        <v>0.238578164379273</v>
      </c>
    </row>
    <row r="11" outlineLevel="1" spans="1:20">
      <c r="A11" s="89"/>
      <c r="B11" s="89"/>
      <c r="C11" s="89" t="s">
        <v>154</v>
      </c>
      <c r="D11" s="89"/>
      <c r="E11" s="89"/>
      <c r="F11" s="89"/>
      <c r="G11" s="89"/>
      <c r="H11" s="121">
        <f>H28/H20</f>
        <v>0.0399504405522584</v>
      </c>
      <c r="I11" s="121">
        <f>I28/I20</f>
        <v>0.00732258769282072</v>
      </c>
      <c r="J11" s="121">
        <f>J28/J20</f>
        <v>-0.0228526813812821</v>
      </c>
      <c r="K11" s="121">
        <f>K28/K20</f>
        <v>0.0726276005114888</v>
      </c>
      <c r="L11" s="121">
        <f>L28/L20</f>
        <v>-0.00111720563029926</v>
      </c>
      <c r="M11" s="121">
        <f t="shared" si="1"/>
        <v>0.0191861483489973</v>
      </c>
      <c r="N11" s="121">
        <f t="shared" si="2"/>
        <v>0.0191861483489973</v>
      </c>
      <c r="O11" s="121">
        <f t="shared" si="3"/>
        <v>0.0191861483489973</v>
      </c>
      <c r="P11" s="121">
        <f t="shared" si="4"/>
        <v>0.0191861483489973</v>
      </c>
      <c r="Q11" s="121">
        <f t="shared" si="5"/>
        <v>0.0191861483489973</v>
      </c>
      <c r="T11" s="122"/>
    </row>
    <row r="12" outlineLevel="1" spans="1:20">
      <c r="A12" s="89"/>
      <c r="B12" s="89"/>
      <c r="C12" s="89" t="s">
        <v>155</v>
      </c>
      <c r="D12" s="89"/>
      <c r="E12" s="89"/>
      <c r="F12" s="89"/>
      <c r="G12" s="89"/>
      <c r="H12" s="121">
        <f>H86/-H31</f>
        <v>0.173842893608823</v>
      </c>
      <c r="I12" s="121">
        <f>I86/-I31</f>
        <v>0.292152937155135</v>
      </c>
      <c r="J12" s="121">
        <f>J86/-J31</f>
        <v>0.488957700397289</v>
      </c>
      <c r="K12" s="121">
        <f>K86/-K31</f>
        <v>0.185022931435142</v>
      </c>
      <c r="L12" s="121">
        <f>L86/-L31</f>
        <v>0.334913135518053</v>
      </c>
      <c r="M12" s="121">
        <f t="shared" si="1"/>
        <v>0.294977919622888</v>
      </c>
      <c r="N12" s="121">
        <f t="shared" si="2"/>
        <v>0.294977919622888</v>
      </c>
      <c r="O12" s="121">
        <f t="shared" si="3"/>
        <v>0.294977919622888</v>
      </c>
      <c r="P12" s="121">
        <f t="shared" si="4"/>
        <v>0.294977919622888</v>
      </c>
      <c r="Q12" s="121">
        <f t="shared" si="5"/>
        <v>0.294977919622888</v>
      </c>
    </row>
    <row r="13" outlineLevel="1" spans="1:20">
      <c r="A13" s="89"/>
      <c r="B13" s="89"/>
      <c r="C13" s="89" t="s">
        <v>156</v>
      </c>
      <c r="D13" s="89"/>
      <c r="E13" s="89"/>
      <c r="F13" s="89"/>
      <c r="G13" s="89"/>
      <c r="H13" s="123">
        <f>H38/H20*365</f>
        <v>12.7031521215923</v>
      </c>
      <c r="I13" s="123">
        <f>I38/I20*365</f>
        <v>10.4441380489964</v>
      </c>
      <c r="J13" s="123">
        <f>J38/J20*365</f>
        <v>11.5054199692764</v>
      </c>
      <c r="K13" s="123">
        <f>K38/K20*365</f>
        <v>15.7315799270689</v>
      </c>
      <c r="L13" s="123">
        <f>L38/L20*365</f>
        <v>13.8018929454413</v>
      </c>
      <c r="M13" s="123">
        <f t="shared" si="1"/>
        <v>12.8372366024751</v>
      </c>
      <c r="N13" s="123">
        <f t="shared" si="2"/>
        <v>12.8372366024751</v>
      </c>
      <c r="O13" s="123">
        <f t="shared" si="3"/>
        <v>12.8372366024751</v>
      </c>
      <c r="P13" s="123">
        <f t="shared" si="4"/>
        <v>12.8372366024751</v>
      </c>
      <c r="Q13" s="123">
        <f t="shared" si="5"/>
        <v>12.8372366024751</v>
      </c>
    </row>
    <row r="14" outlineLevel="1" spans="1:20">
      <c r="A14" s="89"/>
      <c r="B14" s="89"/>
      <c r="C14" s="89" t="s">
        <v>157</v>
      </c>
      <c r="D14" s="89"/>
      <c r="E14" s="89"/>
      <c r="F14" s="89"/>
      <c r="G14" s="89"/>
      <c r="H14" s="123">
        <f>H37/-H21*365</f>
        <v>3.19464023974681</v>
      </c>
      <c r="I14" s="123">
        <f>I37/-I21*365</f>
        <v>1.96227958685775</v>
      </c>
      <c r="J14" s="123">
        <f>J37/-J21*365</f>
        <v>2.67934625835382</v>
      </c>
      <c r="K14" s="123">
        <f>K37/-K21*365</f>
        <v>3.02489147704964</v>
      </c>
      <c r="L14" s="123">
        <f>L37/-L21*365</f>
        <v>3.61543406770022</v>
      </c>
      <c r="M14" s="123">
        <f t="shared" si="1"/>
        <v>2.89531832594165</v>
      </c>
      <c r="N14" s="123">
        <f t="shared" si="2"/>
        <v>2.89531832594165</v>
      </c>
      <c r="O14" s="123">
        <f t="shared" si="3"/>
        <v>2.89531832594165</v>
      </c>
      <c r="P14" s="123">
        <f t="shared" si="4"/>
        <v>2.89531832594165</v>
      </c>
      <c r="Q14" s="123">
        <f t="shared" si="5"/>
        <v>2.89531832594165</v>
      </c>
    </row>
    <row r="15" outlineLevel="1" spans="1:20">
      <c r="A15" s="89"/>
      <c r="B15" s="89"/>
      <c r="C15" s="89" t="s">
        <v>158</v>
      </c>
      <c r="D15" s="89"/>
      <c r="E15" s="89"/>
      <c r="F15" s="89"/>
      <c r="G15" s="89"/>
      <c r="H15" s="123">
        <f>H50/-H21*365</f>
        <v>249.387247579659</v>
      </c>
      <c r="I15" s="123">
        <f>I50/-I21*365</f>
        <v>250.576095100353</v>
      </c>
      <c r="J15" s="123">
        <f>J50/-J21*365</f>
        <v>258.675824186908</v>
      </c>
      <c r="K15" s="123">
        <f>K50/-K21*365</f>
        <v>255.503214407591</v>
      </c>
      <c r="L15" s="123">
        <f>L50/-L21*365</f>
        <v>270.842881751271</v>
      </c>
      <c r="M15" s="123">
        <f t="shared" si="1"/>
        <v>256.997052605157</v>
      </c>
      <c r="N15" s="123">
        <f t="shared" si="2"/>
        <v>256.997052605157</v>
      </c>
      <c r="O15" s="123">
        <f t="shared" si="3"/>
        <v>256.997052605157</v>
      </c>
      <c r="P15" s="123">
        <f t="shared" si="4"/>
        <v>256.997052605157</v>
      </c>
      <c r="Q15" s="123">
        <f t="shared" si="5"/>
        <v>256.997052605157</v>
      </c>
    </row>
    <row r="16" outlineLevel="1" spans="1:20">
      <c r="A16" s="89"/>
      <c r="B16" s="89"/>
      <c r="C16" s="89" t="s">
        <v>159</v>
      </c>
      <c r="D16" s="89"/>
      <c r="E16" s="89"/>
      <c r="F16" s="89"/>
      <c r="G16" s="89"/>
      <c r="H16" s="124">
        <f>H20/(H42+H43)</f>
        <v>0.633482463401894</v>
      </c>
      <c r="I16" s="124">
        <f>I20/(I42+I43)</f>
        <v>0.583664746212749</v>
      </c>
      <c r="J16" s="124">
        <f>J20/(J42+J43)</f>
        <v>0.630790919582384</v>
      </c>
      <c r="K16" s="124">
        <f>K20/(K42+K43)</f>
        <v>0.601628640251634</v>
      </c>
      <c r="L16" s="124">
        <f>L20/(L42+L43)</f>
        <v>0.714521628750368</v>
      </c>
      <c r="M16" s="124">
        <f t="shared" si="1"/>
        <v>0.632817679639806</v>
      </c>
      <c r="N16" s="124">
        <f t="shared" si="2"/>
        <v>0.632817679639806</v>
      </c>
      <c r="O16" s="124">
        <f t="shared" si="3"/>
        <v>0.632817679639806</v>
      </c>
      <c r="P16" s="124">
        <f t="shared" si="4"/>
        <v>0.632817679639806</v>
      </c>
      <c r="Q16" s="124">
        <f t="shared" si="5"/>
        <v>0.632817679639806</v>
      </c>
    </row>
    <row r="17" spans="1:17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</row>
    <row r="18" spans="1:17">
      <c r="A18" s="17" t="s">
        <v>160</v>
      </c>
      <c r="B18" s="17"/>
      <c r="C18" s="17"/>
      <c r="D18" s="17"/>
      <c r="E18" s="17"/>
      <c r="F18" s="17"/>
      <c r="G18" s="17"/>
      <c r="H18" s="17"/>
      <c r="I18" s="40"/>
      <c r="J18" s="40"/>
      <c r="K18" s="40"/>
      <c r="L18" s="40"/>
      <c r="M18" s="40"/>
      <c r="N18" s="40"/>
      <c r="O18" s="40"/>
      <c r="P18" s="40"/>
      <c r="Q18" s="40"/>
    </row>
    <row r="19" outlineLevel="1" spans="1:17">
      <c r="A19" s="89"/>
      <c r="B19" s="89"/>
      <c r="C19" s="89"/>
      <c r="D19" s="89"/>
      <c r="E19" s="89"/>
      <c r="F19" s="89"/>
      <c r="G19" s="89"/>
      <c r="H19" s="125"/>
      <c r="I19" s="126"/>
      <c r="J19" s="126"/>
      <c r="K19" s="126"/>
      <c r="L19" s="126"/>
      <c r="M19" s="125"/>
      <c r="N19" s="125"/>
      <c r="O19" s="125"/>
      <c r="P19" s="125"/>
      <c r="Q19" s="125"/>
    </row>
    <row r="20" outlineLevel="1" spans="1:17">
      <c r="A20" s="89"/>
      <c r="B20" s="89"/>
      <c r="C20" s="64" t="s">
        <v>161</v>
      </c>
      <c r="D20" s="89"/>
      <c r="E20" s="89"/>
      <c r="F20" s="89"/>
      <c r="G20" s="89"/>
      <c r="H20" s="125">
        <f>'Historical Data'!H5</f>
        <v>1165469</v>
      </c>
      <c r="I20" s="125">
        <f>'Historical Data'!I5</f>
        <v>1391448</v>
      </c>
      <c r="J20" s="125">
        <f>'Historical Data'!J5</f>
        <v>1499824</v>
      </c>
      <c r="K20" s="125">
        <f>'Historical Data'!K5</f>
        <v>1729852</v>
      </c>
      <c r="L20" s="125">
        <f>'Historical Data'!L5</f>
        <v>2109728</v>
      </c>
      <c r="M20" s="125">
        <f>L20*(1+M5)</f>
        <v>2580310.01394017</v>
      </c>
      <c r="N20" s="125">
        <f>M20*(1+N5)</f>
        <v>3098691.89555028</v>
      </c>
      <c r="O20" s="125">
        <f>N20*(1+O5)</f>
        <v>3659385.22693821</v>
      </c>
      <c r="P20" s="125">
        <f>O20*(1+P5)</f>
        <v>4255766.76913254</v>
      </c>
      <c r="Q20" s="125">
        <f>P20*(1+Q5)</f>
        <v>4880454.46359895</v>
      </c>
    </row>
    <row r="21" outlineLevel="1" spans="1:17">
      <c r="A21" s="89"/>
      <c r="B21" s="89"/>
      <c r="C21" s="89" t="s">
        <v>162</v>
      </c>
      <c r="D21" s="89"/>
      <c r="E21" s="89"/>
      <c r="F21" s="89"/>
      <c r="G21" s="89"/>
      <c r="H21" s="125">
        <f>-SUM('Historical Data'!H10:H12)</f>
        <v>-428452</v>
      </c>
      <c r="I21" s="125">
        <f>-SUM('Historical Data'!I10:I12)</f>
        <v>-479157</v>
      </c>
      <c r="J21" s="125">
        <f>-SUM('Historical Data'!J10:J12)</f>
        <v>-495731</v>
      </c>
      <c r="K21" s="125">
        <f>-SUM('Historical Data'!K10:K12)</f>
        <v>-545046</v>
      </c>
      <c r="L21" s="125">
        <f>-SUM('Historical Data'!L10:L12)</f>
        <v>-606645</v>
      </c>
      <c r="M21" s="125">
        <f>M20*-M6</f>
        <v>-848991.976758594</v>
      </c>
      <c r="N21" s="125">
        <f>N20*-N6</f>
        <v>-1019553.67516164</v>
      </c>
      <c r="O21" s="125">
        <f>O20*-O6</f>
        <v>-1204036.98809639</v>
      </c>
      <c r="P21" s="125">
        <f>P20*-P6</f>
        <v>-1400262.69030832</v>
      </c>
      <c r="Q21" s="125">
        <f>Q20*-Q6</f>
        <v>-1605801.88432631</v>
      </c>
    </row>
    <row r="22" outlineLevel="1" spans="1:17">
      <c r="A22" s="89"/>
      <c r="B22" s="119"/>
      <c r="C22" s="127" t="s">
        <v>163</v>
      </c>
      <c r="D22" s="119"/>
      <c r="E22" s="119"/>
      <c r="F22" s="119"/>
      <c r="G22" s="119"/>
      <c r="H22" s="128">
        <f t="shared" ref="H22:Q22" si="6">SUM(H20:H21)</f>
        <v>737017</v>
      </c>
      <c r="I22" s="128">
        <f t="shared" si="6"/>
        <v>912291</v>
      </c>
      <c r="J22" s="128">
        <f t="shared" si="6"/>
        <v>1004093</v>
      </c>
      <c r="K22" s="128">
        <f t="shared" si="6"/>
        <v>1184806</v>
      </c>
      <c r="L22" s="128">
        <f t="shared" si="6"/>
        <v>1503083</v>
      </c>
      <c r="M22" s="129">
        <f t="shared" si="6"/>
        <v>1731318.03718157</v>
      </c>
      <c r="N22" s="129">
        <f t="shared" si="6"/>
        <v>2079138.22038865</v>
      </c>
      <c r="O22" s="129">
        <f t="shared" si="6"/>
        <v>2455348.23884182</v>
      </c>
      <c r="P22" s="129">
        <f t="shared" si="6"/>
        <v>2855504.07882422</v>
      </c>
      <c r="Q22" s="129">
        <f t="shared" si="6"/>
        <v>3274652.57927264</v>
      </c>
    </row>
    <row r="23" outlineLevel="1" spans="1:17">
      <c r="A23" s="89"/>
      <c r="B23" s="89"/>
      <c r="C23" s="89" t="s">
        <v>164</v>
      </c>
      <c r="D23" s="89"/>
      <c r="E23" s="89"/>
      <c r="F23" s="89"/>
      <c r="G23" s="89"/>
      <c r="H23" s="125">
        <f>-SUM('Historical Data'!H13:H15)</f>
        <v>-161678</v>
      </c>
      <c r="I23" s="125">
        <f>-SUM('Historical Data'!I13:I15)</f>
        <v>-199556</v>
      </c>
      <c r="J23" s="125">
        <f>-SUM('Historical Data'!J13:J15)</f>
        <v>-221175</v>
      </c>
      <c r="K23" s="125">
        <f>-SUM('Historical Data'!K13:K15)</f>
        <v>-253214</v>
      </c>
      <c r="L23" s="125">
        <f>-SUM('Historical Data'!L13:L15)</f>
        <v>-306338</v>
      </c>
      <c r="M23" s="125">
        <f>M20*-M7</f>
        <v>-372177.993833048</v>
      </c>
      <c r="N23" s="125">
        <f>N20*-N7</f>
        <v>-446948.206596144</v>
      </c>
      <c r="O23" s="125">
        <f>O20*-O7</f>
        <v>-527821.325757849</v>
      </c>
      <c r="P23" s="125">
        <f>P20*-P7</f>
        <v>-613842.030531231</v>
      </c>
      <c r="Q23" s="125">
        <f>Q20*-Q7</f>
        <v>-703945.549737311</v>
      </c>
    </row>
    <row r="24" outlineLevel="1" spans="1:17">
      <c r="A24" s="89"/>
      <c r="B24" s="119"/>
      <c r="C24" s="127" t="s">
        <v>165</v>
      </c>
      <c r="D24" s="119"/>
      <c r="E24" s="119"/>
      <c r="F24" s="119"/>
      <c r="G24" s="119"/>
      <c r="H24" s="130">
        <f t="shared" ref="H24:Q24" si="7">SUM(H22:H23)</f>
        <v>575339</v>
      </c>
      <c r="I24" s="130">
        <f t="shared" si="7"/>
        <v>712735</v>
      </c>
      <c r="J24" s="130">
        <f t="shared" si="7"/>
        <v>782918</v>
      </c>
      <c r="K24" s="130">
        <f t="shared" si="7"/>
        <v>931592</v>
      </c>
      <c r="L24" s="130">
        <f t="shared" si="7"/>
        <v>1196745</v>
      </c>
      <c r="M24" s="129">
        <f t="shared" si="7"/>
        <v>1359140.04334853</v>
      </c>
      <c r="N24" s="129">
        <f t="shared" si="7"/>
        <v>1632190.0137925</v>
      </c>
      <c r="O24" s="129">
        <f t="shared" si="7"/>
        <v>1927526.91308397</v>
      </c>
      <c r="P24" s="129">
        <f t="shared" si="7"/>
        <v>2241662.04829299</v>
      </c>
      <c r="Q24" s="129">
        <f t="shared" si="7"/>
        <v>2570707.02953533</v>
      </c>
    </row>
    <row r="25" outlineLevel="1" spans="1:17">
      <c r="A25" s="89"/>
      <c r="B25" s="89"/>
      <c r="C25" s="89" t="s">
        <v>166</v>
      </c>
      <c r="D25" s="89"/>
      <c r="E25" s="89"/>
      <c r="F25" s="89"/>
      <c r="G25" s="89"/>
      <c r="H25" s="125">
        <f>-'Historical Data'!H19</f>
        <v>-330907</v>
      </c>
      <c r="I25" s="125">
        <f>-'Historical Data'!I19</f>
        <v>-364318</v>
      </c>
      <c r="J25" s="125">
        <f>-'Historical Data'!J19</f>
        <v>-395376</v>
      </c>
      <c r="K25" s="125">
        <f>-'Historical Data'!K19</f>
        <v>-455703</v>
      </c>
      <c r="L25" s="125">
        <f>-'Historical Data'!L19</f>
        <v>-527108</v>
      </c>
      <c r="M25" s="125">
        <f>M106</f>
        <v>-969037.545943294</v>
      </c>
      <c r="N25" s="125">
        <f>N106</f>
        <v>-895060.230328479</v>
      </c>
      <c r="O25" s="125">
        <f>O106</f>
        <v>-870151.824909332</v>
      </c>
      <c r="P25" s="125">
        <f>P106</f>
        <v>-875361.835186391</v>
      </c>
      <c r="Q25" s="125">
        <f>Q106</f>
        <v>-897370.646065791</v>
      </c>
    </row>
    <row r="26" outlineLevel="1" spans="1:17">
      <c r="A26" s="89"/>
      <c r="B26" s="119"/>
      <c r="C26" s="127" t="s">
        <v>167</v>
      </c>
      <c r="D26" s="119"/>
      <c r="E26" s="119"/>
      <c r="F26" s="119"/>
      <c r="G26" s="119"/>
      <c r="H26" s="129">
        <f t="shared" ref="H26:Q26" si="8">SUM(H24:H25)</f>
        <v>244432</v>
      </c>
      <c r="I26" s="129">
        <f t="shared" si="8"/>
        <v>348417</v>
      </c>
      <c r="J26" s="129">
        <f t="shared" si="8"/>
        <v>387542</v>
      </c>
      <c r="K26" s="129">
        <f t="shared" si="8"/>
        <v>475889</v>
      </c>
      <c r="L26" s="129">
        <f t="shared" si="8"/>
        <v>669637</v>
      </c>
      <c r="M26" s="130">
        <f t="shared" si="8"/>
        <v>390102.497405233</v>
      </c>
      <c r="N26" s="130">
        <f t="shared" si="8"/>
        <v>737129.783464025</v>
      </c>
      <c r="O26" s="130">
        <f t="shared" si="8"/>
        <v>1057375.08817464</v>
      </c>
      <c r="P26" s="130">
        <f t="shared" si="8"/>
        <v>1366300.2131066</v>
      </c>
      <c r="Q26" s="130">
        <f t="shared" si="8"/>
        <v>1673336.38346953</v>
      </c>
    </row>
    <row r="27" outlineLevel="1" spans="1:17">
      <c r="A27" s="89"/>
      <c r="B27" s="89"/>
      <c r="C27" s="89" t="s">
        <v>168</v>
      </c>
      <c r="D27" s="89"/>
      <c r="E27" s="89"/>
      <c r="F27" s="89"/>
      <c r="G27" s="89"/>
      <c r="H27" s="125">
        <f>-'Historical Data'!H20</f>
        <v>-166162</v>
      </c>
      <c r="I27" s="125">
        <f>-'Historical Data'!I20</f>
        <v>-192999</v>
      </c>
      <c r="J27" s="125">
        <f>-'Historical Data'!J20</f>
        <v>-226477</v>
      </c>
      <c r="K27" s="125">
        <f>-'Historical Data'!K20</f>
        <v>-217539</v>
      </c>
      <c r="L27" s="125">
        <f>-'Historical Data'!L20</f>
        <v>-215553</v>
      </c>
      <c r="M27" s="125">
        <f>M113</f>
        <v>-195606.290983951</v>
      </c>
      <c r="N27" s="125">
        <f>N113</f>
        <v>-175291.014488538</v>
      </c>
      <c r="O27" s="125">
        <f>O113</f>
        <v>-154975.737993125</v>
      </c>
      <c r="P27" s="125">
        <f>P113</f>
        <v>-134660.461497712</v>
      </c>
      <c r="Q27" s="125">
        <f>Q113</f>
        <v>-114345.185002299</v>
      </c>
    </row>
    <row r="28" outlineLevel="1" spans="1:17">
      <c r="A28" s="89"/>
      <c r="B28" s="89"/>
      <c r="C28" s="89" t="s">
        <v>169</v>
      </c>
      <c r="H28" s="125">
        <f>SUM('Historical Data'!H6,'Historical Data'!H21,'Historical Data'!H23)</f>
        <v>46561</v>
      </c>
      <c r="I28" s="125">
        <f>SUM('Historical Data'!I6,'Historical Data'!I21,'Historical Data'!I23)</f>
        <v>10189</v>
      </c>
      <c r="J28" s="125">
        <f>SUM('Historical Data'!J6,'Historical Data'!J21,'Historical Data'!J23)</f>
        <v>-34275</v>
      </c>
      <c r="K28" s="125">
        <f>SUM('Historical Data'!K6,'Historical Data'!K21,'Historical Data'!K23)</f>
        <v>125635</v>
      </c>
      <c r="L28" s="125">
        <f>SUM('Historical Data'!L6,'Historical Data'!L21,'Historical Data'!L23)</f>
        <v>-2357</v>
      </c>
      <c r="M28" s="125">
        <f>M20*M11</f>
        <v>49506.2107138594</v>
      </c>
      <c r="N28" s="125">
        <f>N20*N11</f>
        <v>59451.9623958634</v>
      </c>
      <c r="O28" s="125">
        <f>O20*O11</f>
        <v>70209.5078301656</v>
      </c>
      <c r="P28" s="125">
        <f>P20*P11</f>
        <v>81651.7725713099</v>
      </c>
      <c r="Q28" s="125">
        <f>Q20*Q11</f>
        <v>93637.1233491355</v>
      </c>
    </row>
    <row r="29" outlineLevel="1" spans="1:17">
      <c r="A29" s="89"/>
      <c r="B29" s="119"/>
      <c r="C29" s="127" t="s">
        <v>170</v>
      </c>
      <c r="D29" s="119"/>
      <c r="E29" s="119"/>
      <c r="F29" s="119"/>
      <c r="G29" s="119"/>
      <c r="H29" s="129">
        <f t="shared" ref="H29:Q29" si="9">SUM(H26:H28)</f>
        <v>124831</v>
      </c>
      <c r="I29" s="129">
        <f t="shared" si="9"/>
        <v>165607</v>
      </c>
      <c r="J29" s="129">
        <f t="shared" si="9"/>
        <v>126790</v>
      </c>
      <c r="K29" s="129">
        <f t="shared" si="9"/>
        <v>383985</v>
      </c>
      <c r="L29" s="129">
        <f t="shared" si="9"/>
        <v>451727</v>
      </c>
      <c r="M29" s="129">
        <f t="shared" si="9"/>
        <v>244002.417135141</v>
      </c>
      <c r="N29" s="129">
        <f t="shared" si="9"/>
        <v>621290.731371351</v>
      </c>
      <c r="O29" s="129">
        <f t="shared" si="9"/>
        <v>972608.85801168</v>
      </c>
      <c r="P29" s="129">
        <f t="shared" si="9"/>
        <v>1313291.52418019</v>
      </c>
      <c r="Q29" s="129">
        <f t="shared" si="9"/>
        <v>1652628.32181637</v>
      </c>
    </row>
    <row r="30" outlineLevel="1" spans="1:17">
      <c r="A30" s="89"/>
      <c r="B30" s="89"/>
      <c r="C30" s="89" t="s">
        <v>171</v>
      </c>
      <c r="D30" s="89"/>
      <c r="E30" s="89"/>
      <c r="F30" s="89"/>
      <c r="G30" s="89"/>
      <c r="H30" s="125">
        <f>-SUM('Historical Data'!H27:H28)</f>
        <v>-41779</v>
      </c>
      <c r="I30" s="125">
        <f>-SUM('Historical Data'!I27:I28)</f>
        <v>-42733</v>
      </c>
      <c r="J30" s="125">
        <f>-SUM('Historical Data'!J27:J28)</f>
        <v>-41210</v>
      </c>
      <c r="K30" s="125">
        <f>-SUM('Historical Data'!K27:K28)</f>
        <v>-9172</v>
      </c>
      <c r="L30" s="125">
        <f>-SUM('Historical Data'!L27:L28)</f>
        <v>-113499</v>
      </c>
      <c r="M30" s="125">
        <f>M29*-M10</f>
        <v>-58213.6487842076</v>
      </c>
      <c r="N30" s="125">
        <f>N29*-N10</f>
        <v>-148226.402236433</v>
      </c>
      <c r="O30" s="125">
        <f>O29*-O10</f>
        <v>-232043.236003448</v>
      </c>
      <c r="P30" s="125">
        <f>P29*-P10</f>
        <v>-313322.681133768</v>
      </c>
      <c r="Q30" s="125">
        <f>Q29*-Q10</f>
        <v>-394281.031420148</v>
      </c>
    </row>
    <row r="31" outlineLevel="1" spans="1:17">
      <c r="A31" s="89"/>
      <c r="B31" s="119"/>
      <c r="C31" s="127" t="s">
        <v>172</v>
      </c>
      <c r="D31" s="119"/>
      <c r="E31" s="119"/>
      <c r="F31" s="119"/>
      <c r="G31" s="119"/>
      <c r="H31" s="129">
        <f t="shared" ref="H31:Q31" si="10">SUM(H29:H30)</f>
        <v>83052</v>
      </c>
      <c r="I31" s="129">
        <f t="shared" si="10"/>
        <v>122874</v>
      </c>
      <c r="J31" s="129">
        <f t="shared" si="10"/>
        <v>85580</v>
      </c>
      <c r="K31" s="129">
        <f t="shared" si="10"/>
        <v>374813</v>
      </c>
      <c r="L31" s="129">
        <f t="shared" si="10"/>
        <v>338228</v>
      </c>
      <c r="M31" s="129">
        <f t="shared" si="10"/>
        <v>185788.768350933</v>
      </c>
      <c r="N31" s="129">
        <f t="shared" si="10"/>
        <v>473064.329134918</v>
      </c>
      <c r="O31" s="129">
        <f t="shared" si="10"/>
        <v>740565.622008232</v>
      </c>
      <c r="P31" s="129">
        <f t="shared" si="10"/>
        <v>999968.843046425</v>
      </c>
      <c r="Q31" s="129">
        <f t="shared" si="10"/>
        <v>1258347.29039622</v>
      </c>
    </row>
    <row r="32" spans="1:17">
      <c r="A32" s="89"/>
      <c r="B32" s="89"/>
      <c r="C32" s="89"/>
      <c r="D32" s="89"/>
      <c r="E32" s="89"/>
      <c r="F32" s="89"/>
      <c r="G32" s="89"/>
      <c r="H32" s="125"/>
      <c r="I32" s="126"/>
      <c r="J32" s="126"/>
      <c r="K32" s="126"/>
      <c r="L32" s="126"/>
    </row>
    <row r="33" spans="1:17">
      <c r="A33" s="17" t="s">
        <v>173</v>
      </c>
      <c r="B33" s="17"/>
      <c r="C33" s="17"/>
      <c r="D33" s="17"/>
      <c r="E33" s="17"/>
      <c r="F33" s="17"/>
      <c r="G33" s="17"/>
      <c r="H33" s="17"/>
      <c r="I33" s="40"/>
      <c r="J33" s="40"/>
      <c r="K33" s="40"/>
      <c r="L33" s="40"/>
      <c r="M33" s="40"/>
      <c r="N33" s="40"/>
      <c r="O33" s="40"/>
      <c r="P33" s="40"/>
      <c r="Q33" s="40"/>
    </row>
    <row r="34" ht="15" customHeight="1" outlineLevel="1" spans="1:17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</row>
    <row r="35" outlineLevel="1" spans="1:17">
      <c r="A35" s="64" t="s">
        <v>174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125"/>
      <c r="N35" s="125"/>
      <c r="O35" s="125"/>
      <c r="P35" s="125"/>
      <c r="Q35" s="125"/>
    </row>
    <row r="36" outlineLevel="1" spans="1:17">
      <c r="A36" s="89"/>
      <c r="B36" s="89" t="s">
        <v>175</v>
      </c>
      <c r="C36" s="89"/>
      <c r="D36" s="89"/>
      <c r="E36" s="89"/>
      <c r="F36" s="89"/>
      <c r="G36" s="89"/>
      <c r="H36" s="89">
        <f>'Historical Data'!H58+'Historical Data'!H57</f>
        <v>134943</v>
      </c>
      <c r="I36" s="89">
        <f>'Historical Data'!I58+'Historical Data'!I57</f>
        <v>134186</v>
      </c>
      <c r="J36" s="89">
        <f>'Historical Data'!J58+'Historical Data'!J57</f>
        <v>163399</v>
      </c>
      <c r="K36" s="89">
        <f>'Historical Data'!K58+'Historical Data'!K57</f>
        <v>167199</v>
      </c>
      <c r="L36" s="89">
        <f>'Historical Data'!L58+'Historical Data'!L57</f>
        <v>303768</v>
      </c>
      <c r="M36" s="125">
        <f>M92</f>
        <v>593134.562570129</v>
      </c>
      <c r="N36" s="125">
        <f>N92</f>
        <v>900108.29444301</v>
      </c>
      <c r="O36" s="125">
        <f>O92</f>
        <v>1312109.63128063</v>
      </c>
      <c r="P36" s="125">
        <f>P92</f>
        <v>1862729.76994212</v>
      </c>
      <c r="Q36" s="125">
        <f>Q92</f>
        <v>2578279.11000558</v>
      </c>
    </row>
    <row r="37" outlineLevel="1" spans="1:17">
      <c r="A37" s="89"/>
      <c r="B37" s="89" t="s">
        <v>47</v>
      </c>
      <c r="C37" s="89"/>
      <c r="D37" s="89"/>
      <c r="E37" s="89"/>
      <c r="F37" s="89"/>
      <c r="G37" s="89"/>
      <c r="H37" s="89">
        <f>'Historical Data'!H53</f>
        <v>3750</v>
      </c>
      <c r="I37" s="89">
        <f>'Historical Data'!I53</f>
        <v>2576</v>
      </c>
      <c r="J37" s="89">
        <f>'Historical Data'!J53</f>
        <v>3639</v>
      </c>
      <c r="K37" s="89">
        <f>'Historical Data'!K53</f>
        <v>4517</v>
      </c>
      <c r="L37" s="89">
        <f>'Historical Data'!L53</f>
        <v>6009</v>
      </c>
      <c r="M37" s="125">
        <f>M21/-365*M14</f>
        <v>6734.52610653859</v>
      </c>
      <c r="N37" s="125">
        <f>N21/-365*N14</f>
        <v>8087.48613692231</v>
      </c>
      <c r="O37" s="125">
        <f>O21/-365*O14</f>
        <v>9550.87768971796</v>
      </c>
      <c r="P37" s="125">
        <f>P21/-365*P14</f>
        <v>11107.4143243344</v>
      </c>
      <c r="Q37" s="125">
        <f>Q21/-365*Q14</f>
        <v>12737.8291055386</v>
      </c>
    </row>
    <row r="38" outlineLevel="1" spans="1:17">
      <c r="A38" s="89"/>
      <c r="B38" s="89" t="s">
        <v>176</v>
      </c>
      <c r="C38" s="89"/>
      <c r="D38" s="89"/>
      <c r="E38" s="89"/>
      <c r="F38" s="89"/>
      <c r="G38" s="89"/>
      <c r="H38" s="89">
        <f>'Historical Data'!H56</f>
        <v>40562</v>
      </c>
      <c r="I38" s="89">
        <f>'Historical Data'!I56</f>
        <v>39815</v>
      </c>
      <c r="J38" s="89">
        <f>'Historical Data'!J56</f>
        <v>47277</v>
      </c>
      <c r="K38" s="89">
        <f>'Historical Data'!K56</f>
        <v>74557</v>
      </c>
      <c r="L38" s="89">
        <f>'Historical Data'!L56</f>
        <v>79776</v>
      </c>
      <c r="M38" s="125">
        <f>M20/365*M13</f>
        <v>90750.8223470843</v>
      </c>
      <c r="N38" s="125">
        <f>N13/365*N20</f>
        <v>108982.578140688</v>
      </c>
      <c r="O38" s="125">
        <f>O13/365*O20</f>
        <v>128702.449254268</v>
      </c>
      <c r="P38" s="125">
        <f>P13/365*P20</f>
        <v>149677.492987138</v>
      </c>
      <c r="Q38" s="125">
        <f>Q13/365*Q20</f>
        <v>171648.078566645</v>
      </c>
    </row>
    <row r="39" outlineLevel="1" spans="1:17">
      <c r="A39" s="89"/>
      <c r="B39" s="89" t="s">
        <v>177</v>
      </c>
      <c r="C39" s="89"/>
      <c r="D39" s="89"/>
      <c r="E39" s="89"/>
      <c r="F39" s="89"/>
      <c r="G39" s="89"/>
      <c r="H39" s="89">
        <f>SUM('Historical Data'!H59:H61,'Historical Data'!H54:H55)</f>
        <v>341024</v>
      </c>
      <c r="I39" s="89">
        <f>SUM('Historical Data'!I59:I61,'Historical Data'!I54:I55)</f>
        <v>398436</v>
      </c>
      <c r="J39" s="89">
        <f>SUM('Historical Data'!J59:J61,'Historical Data'!J54:J55)</f>
        <v>368446</v>
      </c>
      <c r="K39" s="89">
        <f>SUM('Historical Data'!K59:K61,'Historical Data'!K54:K55)</f>
        <v>429615</v>
      </c>
      <c r="L39" s="89">
        <f>SUM('Historical Data'!L59:L61,'Historical Data'!L54:L55)</f>
        <v>512601</v>
      </c>
      <c r="M39" s="125">
        <f>L39</f>
        <v>512601</v>
      </c>
      <c r="N39" s="125">
        <f>M39</f>
        <v>512601</v>
      </c>
      <c r="O39" s="125">
        <f>N39</f>
        <v>512601</v>
      </c>
      <c r="P39" s="125">
        <f>O39</f>
        <v>512601</v>
      </c>
      <c r="Q39" s="125">
        <f>P39</f>
        <v>512601</v>
      </c>
    </row>
    <row r="40" outlineLevel="1" spans="1:17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125"/>
      <c r="N40" s="125"/>
      <c r="O40" s="125"/>
      <c r="P40" s="125"/>
      <c r="Q40" s="125"/>
    </row>
    <row r="41" outlineLevel="1" spans="1:17">
      <c r="A41" s="64" t="s">
        <v>178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125"/>
      <c r="N41" s="125"/>
      <c r="O41" s="125"/>
      <c r="P41" s="125"/>
      <c r="Q41" s="125"/>
    </row>
    <row r="42" outlineLevel="1" spans="1:17">
      <c r="A42" s="89"/>
      <c r="B42" s="89" t="s">
        <v>179</v>
      </c>
      <c r="C42" s="89"/>
      <c r="D42" s="89"/>
      <c r="E42" s="89"/>
      <c r="F42" s="89"/>
      <c r="G42" s="89"/>
      <c r="H42" s="89">
        <f>'Historical Data'!H35+'Historical Data'!H36</f>
        <v>948111</v>
      </c>
      <c r="I42" s="89">
        <f>'Historical Data'!I35+'Historical Data'!I36</f>
        <v>1062534</v>
      </c>
      <c r="J42" s="89">
        <f>'Historical Data'!J35+'Historical Data'!J36</f>
        <v>1155198</v>
      </c>
      <c r="K42" s="89">
        <f>'Historical Data'!K35+'Historical Data'!K36</f>
        <v>1538686</v>
      </c>
      <c r="L42" s="89">
        <f>'Historical Data'!L35+'Historical Data'!L36</f>
        <v>1696790</v>
      </c>
      <c r="M42" s="125">
        <f>M107-M43</f>
        <v>1471382.14248137</v>
      </c>
      <c r="N42" s="125">
        <f>N107-N43</f>
        <v>1395486.57567047</v>
      </c>
      <c r="O42" s="125">
        <f>O107-O43</f>
        <v>1411361.40492646</v>
      </c>
      <c r="P42" s="125">
        <f>P107-P43</f>
        <v>1478421.94727824</v>
      </c>
      <c r="Q42" s="125">
        <f>Q107-Q43</f>
        <v>1568204.02239112</v>
      </c>
    </row>
    <row r="43" outlineLevel="1" spans="1:17">
      <c r="A43" s="89"/>
      <c r="B43" s="89" t="s">
        <v>180</v>
      </c>
      <c r="C43" s="89"/>
      <c r="D43" s="89"/>
      <c r="E43" s="89"/>
      <c r="F43" s="89"/>
      <c r="G43" s="89"/>
      <c r="H43" s="89">
        <f>'Historical Data'!H39+'Historical Data'!H40</f>
        <v>891670</v>
      </c>
      <c r="I43" s="89">
        <f>'Historical Data'!I39+'Historical Data'!I40</f>
        <v>1321451</v>
      </c>
      <c r="J43" s="89">
        <f>'Historical Data'!J39+'Historical Data'!J40</f>
        <v>1222490</v>
      </c>
      <c r="K43" s="89">
        <f>'Historical Data'!K39+'Historical Data'!K40</f>
        <v>1336596</v>
      </c>
      <c r="L43" s="89">
        <f>'Historical Data'!L39+'Historical Data'!L40</f>
        <v>1255854</v>
      </c>
      <c r="M43" s="125">
        <f>L43</f>
        <v>1255854</v>
      </c>
      <c r="N43" s="125">
        <f>M43</f>
        <v>1255854</v>
      </c>
      <c r="O43" s="125">
        <f>N43</f>
        <v>1255854</v>
      </c>
      <c r="P43" s="125">
        <f>O43</f>
        <v>1255854</v>
      </c>
      <c r="Q43" s="125">
        <f>P43</f>
        <v>1255854</v>
      </c>
    </row>
    <row r="44" outlineLevel="1" spans="1:17">
      <c r="A44" s="89"/>
      <c r="B44" s="89" t="s">
        <v>33</v>
      </c>
      <c r="C44" s="89"/>
      <c r="D44" s="89"/>
      <c r="E44" s="89"/>
      <c r="F44" s="89"/>
      <c r="G44" s="89"/>
      <c r="H44" s="89">
        <f>'Historical Data'!H38</f>
        <v>338313</v>
      </c>
      <c r="I44" s="89">
        <f>'Historical Data'!I38</f>
        <v>337741</v>
      </c>
      <c r="J44" s="89">
        <f>'Historical Data'!J38</f>
        <v>265017</v>
      </c>
      <c r="K44" s="89">
        <f>'Historical Data'!K38</f>
        <v>516974</v>
      </c>
      <c r="L44" s="89">
        <f>'Historical Data'!L38</f>
        <v>566859</v>
      </c>
      <c r="M44" s="125">
        <f>L44</f>
        <v>566859</v>
      </c>
      <c r="N44" s="125">
        <f>M44</f>
        <v>566859</v>
      </c>
      <c r="O44" s="125">
        <f>N44</f>
        <v>566859</v>
      </c>
      <c r="P44" s="125">
        <f>O44</f>
        <v>566859</v>
      </c>
      <c r="Q44" s="125">
        <f>P44</f>
        <v>566859</v>
      </c>
    </row>
    <row r="45" outlineLevel="1" spans="1:17">
      <c r="A45" s="89"/>
      <c r="B45" s="89" t="s">
        <v>181</v>
      </c>
      <c r="C45" s="89"/>
      <c r="D45" s="89"/>
      <c r="E45" s="89"/>
      <c r="F45" s="89"/>
      <c r="G45" s="89"/>
      <c r="H45" s="89">
        <f>SUM('Historical Data'!H42:H46)</f>
        <v>23342</v>
      </c>
      <c r="I45" s="89">
        <f>SUM('Historical Data'!I42:I46)</f>
        <v>27473</v>
      </c>
      <c r="J45" s="89">
        <f>SUM('Historical Data'!J42:J46)</f>
        <v>29351</v>
      </c>
      <c r="K45" s="89">
        <f>SUM('Historical Data'!K42:K46)</f>
        <v>45902</v>
      </c>
      <c r="L45" s="89">
        <f>SUM('Historical Data'!L42:L46)</f>
        <v>49629</v>
      </c>
      <c r="M45" s="125">
        <f>L45</f>
        <v>49629</v>
      </c>
      <c r="N45" s="125">
        <f>M45</f>
        <v>49629</v>
      </c>
      <c r="O45" s="125">
        <f>N45</f>
        <v>49629</v>
      </c>
      <c r="P45" s="125">
        <f>O45</f>
        <v>49629</v>
      </c>
      <c r="Q45" s="125">
        <f>P45</f>
        <v>49629</v>
      </c>
    </row>
    <row r="46" outlineLevel="1" spans="1:17">
      <c r="A46" s="89"/>
      <c r="B46" s="89" t="s">
        <v>182</v>
      </c>
      <c r="C46" s="89"/>
      <c r="D46" s="89"/>
      <c r="E46" s="89"/>
      <c r="F46" s="89"/>
      <c r="G46" s="89"/>
      <c r="H46" s="89">
        <f>SUM('Historical Data'!H47:H49,'Historical Data'!H37,'Historical Data'!H41)</f>
        <v>914845</v>
      </c>
      <c r="I46" s="89">
        <f>SUM('Historical Data'!I47:I49,'Historical Data'!I37,'Historical Data'!I41)</f>
        <v>1142120</v>
      </c>
      <c r="J46" s="89">
        <f>SUM('Historical Data'!J47:J49,'Historical Data'!J37,'Historical Data'!J41)</f>
        <v>1190493</v>
      </c>
      <c r="K46" s="89">
        <f>SUM('Historical Data'!K47:K49,'Historical Data'!K37,'Historical Data'!K41)</f>
        <v>1029558</v>
      </c>
      <c r="L46" s="89">
        <f>SUM('Historical Data'!L47:L49,'Historical Data'!L37,'Historical Data'!L41)</f>
        <v>1050230</v>
      </c>
      <c r="M46" s="125">
        <f>L46</f>
        <v>1050230</v>
      </c>
      <c r="N46" s="125">
        <f>M46</f>
        <v>1050230</v>
      </c>
      <c r="O46" s="125">
        <f>N46</f>
        <v>1050230</v>
      </c>
      <c r="P46" s="125">
        <f>O46</f>
        <v>1050230</v>
      </c>
      <c r="Q46" s="125">
        <f>P46</f>
        <v>1050230</v>
      </c>
    </row>
    <row r="47" outlineLevel="1" spans="1:17">
      <c r="A47" s="89"/>
      <c r="B47" s="127" t="s">
        <v>53</v>
      </c>
      <c r="C47" s="127"/>
      <c r="D47" s="127"/>
      <c r="E47" s="127"/>
      <c r="F47" s="127"/>
      <c r="G47" s="127"/>
      <c r="H47" s="127">
        <f>SUM(H36:H39,H42:H46)</f>
        <v>3636560</v>
      </c>
      <c r="I47" s="127">
        <f>SUM(I36:I39,I42:I46)</f>
        <v>4466332</v>
      </c>
      <c r="J47" s="127">
        <f>SUM(J36:J39,J42:J46)</f>
        <v>4445310</v>
      </c>
      <c r="K47" s="127">
        <f>SUM(K36:K39,K42:K46)</f>
        <v>5143604</v>
      </c>
      <c r="L47" s="127">
        <f>SUM(L36:L39,L42:L46)</f>
        <v>5521516</v>
      </c>
      <c r="M47" s="129">
        <f>SUM(M42:M46,M36:M39)</f>
        <v>5597175.05350512</v>
      </c>
      <c r="N47" s="129">
        <f>SUM(N42:N46,N36:N39)</f>
        <v>5847837.93439109</v>
      </c>
      <c r="O47" s="129">
        <f>SUM(O42:O46,O36:O39)</f>
        <v>6296897.36315108</v>
      </c>
      <c r="P47" s="129">
        <f>SUM(P42:P46,P36:P39)</f>
        <v>6937109.62453183</v>
      </c>
      <c r="Q47" s="129">
        <f>SUM(Q42:Q46,Q36:Q39)</f>
        <v>7766042.04006889</v>
      </c>
    </row>
    <row r="48" outlineLevel="1" spans="1:17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125"/>
      <c r="N48" s="125"/>
      <c r="O48" s="125"/>
      <c r="P48" s="125"/>
      <c r="Q48" s="125"/>
    </row>
    <row r="49" outlineLevel="1" spans="1:18">
      <c r="A49" s="64" t="s">
        <v>183</v>
      </c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125"/>
      <c r="N49" s="125"/>
      <c r="O49" s="125"/>
      <c r="P49" s="125"/>
      <c r="Q49" s="125"/>
    </row>
    <row r="50" outlineLevel="1" spans="1:18">
      <c r="A50" s="89"/>
      <c r="B50" s="89" t="s">
        <v>184</v>
      </c>
      <c r="C50" s="89"/>
      <c r="D50" s="89"/>
      <c r="E50" s="89"/>
      <c r="H50" s="89">
        <f>'Historical Data'!H88</f>
        <v>292741</v>
      </c>
      <c r="I50" s="89">
        <f>'Historical Data'!I88</f>
        <v>328946</v>
      </c>
      <c r="J50" s="89">
        <f>'Historical Data'!J88</f>
        <v>351325</v>
      </c>
      <c r="K50" s="89">
        <f>'Historical Data'!K88</f>
        <v>381537</v>
      </c>
      <c r="L50" s="89">
        <f>'Historical Data'!L88</f>
        <v>450152</v>
      </c>
      <c r="M50" s="125">
        <f>M21/365*-M15</f>
        <v>597776.536198314</v>
      </c>
      <c r="N50" s="125">
        <f>N21/365*-N15</f>
        <v>717869.286272044</v>
      </c>
      <c r="O50" s="125">
        <f>O21/365*-O15</f>
        <v>847764.26621469</v>
      </c>
      <c r="P50" s="125">
        <f>P21/365*-P15</f>
        <v>985927.080225225</v>
      </c>
      <c r="Q50" s="125">
        <f>Q21/365*-Q15</f>
        <v>1130647.5379169</v>
      </c>
    </row>
    <row r="51" outlineLevel="1" spans="1:18">
      <c r="A51" s="89"/>
      <c r="B51" s="89" t="s">
        <v>185</v>
      </c>
      <c r="C51" s="89"/>
      <c r="D51" s="89"/>
      <c r="E51" s="89"/>
      <c r="H51" s="89">
        <f>SUM('Historical Data'!H87,'Historical Data'!H89:H93)</f>
        <v>576652</v>
      </c>
      <c r="I51" s="89">
        <f>SUM('Historical Data'!I87,'Historical Data'!I89:I93)</f>
        <v>654470</v>
      </c>
      <c r="J51" s="89">
        <f>SUM('Historical Data'!J87,'Historical Data'!J89:J93)</f>
        <v>728327</v>
      </c>
      <c r="K51" s="89">
        <f>SUM('Historical Data'!K87,'Historical Data'!K89:K93)</f>
        <v>891783</v>
      </c>
      <c r="L51" s="89">
        <f>SUM('Historical Data'!L87,'Historical Data'!L89:L93)</f>
        <v>986633</v>
      </c>
      <c r="M51" s="125">
        <f>L51</f>
        <v>986633</v>
      </c>
      <c r="N51" s="125">
        <f>M51</f>
        <v>986633</v>
      </c>
      <c r="O51" s="125">
        <f>N51</f>
        <v>986633</v>
      </c>
      <c r="P51" s="125">
        <f>O51</f>
        <v>986633</v>
      </c>
      <c r="Q51" s="125">
        <f>P51</f>
        <v>986633</v>
      </c>
    </row>
    <row r="52" outlineLevel="1" spans="1:18">
      <c r="A52" s="89"/>
      <c r="B52" s="89"/>
      <c r="C52" s="89"/>
      <c r="D52" s="89"/>
      <c r="E52" s="89"/>
      <c r="H52" s="89"/>
      <c r="I52" s="89"/>
      <c r="J52" s="89"/>
      <c r="K52" s="89"/>
      <c r="L52" s="89"/>
      <c r="M52" s="125"/>
      <c r="N52" s="125"/>
      <c r="O52" s="125"/>
      <c r="P52" s="125"/>
      <c r="Q52" s="125"/>
    </row>
    <row r="53" outlineLevel="1" spans="1:18">
      <c r="A53" s="64" t="s">
        <v>178</v>
      </c>
      <c r="B53" s="89"/>
      <c r="C53" s="89"/>
      <c r="D53" s="89"/>
      <c r="E53" s="89"/>
      <c r="H53" s="89"/>
      <c r="I53" s="89"/>
      <c r="J53" s="89"/>
      <c r="K53" s="89"/>
      <c r="L53" s="89"/>
      <c r="M53" s="125"/>
      <c r="N53" s="125"/>
      <c r="O53" s="125"/>
      <c r="P53" s="125"/>
      <c r="Q53" s="125"/>
    </row>
    <row r="54" outlineLevel="1" spans="1:18">
      <c r="A54" s="89"/>
      <c r="B54" s="89" t="s">
        <v>186</v>
      </c>
      <c r="C54" s="89"/>
      <c r="D54" s="89"/>
      <c r="E54" s="89"/>
      <c r="H54" s="89">
        <f>'Historical Data'!H74+'Historical Data'!H85+'Historical Data'!H86+'Historical Data'!H75</f>
        <v>1696779</v>
      </c>
      <c r="I54" s="89">
        <f>'Historical Data'!I74+'Historical Data'!I85+'Historical Data'!I86+'Historical Data'!I75</f>
        <v>2260203</v>
      </c>
      <c r="J54" s="89">
        <f>'Historical Data'!J74+'Historical Data'!J85+'Historical Data'!J86+'Historical Data'!J75</f>
        <v>2155923</v>
      </c>
      <c r="K54" s="89">
        <f>'Historical Data'!K74+'Historical Data'!K85+'Historical Data'!K86+'Historical Data'!K75</f>
        <v>2136421</v>
      </c>
      <c r="L54" s="89">
        <f>'Historical Data'!L74+'Historical Data'!L85+'Historical Data'!L86+'Historical Data'!L75</f>
        <v>1954117</v>
      </c>
      <c r="M54" s="125">
        <f>M112</f>
        <v>1751166.33333333</v>
      </c>
      <c r="N54" s="125">
        <f>N112</f>
        <v>1548215.66666667</v>
      </c>
      <c r="O54" s="125">
        <f>O112</f>
        <v>1345265</v>
      </c>
      <c r="P54" s="125">
        <f>P112</f>
        <v>1142314.33333333</v>
      </c>
      <c r="Q54" s="125">
        <f>Q112</f>
        <v>939363.666666666</v>
      </c>
    </row>
    <row r="55" outlineLevel="1" spans="1:18">
      <c r="A55" s="89"/>
      <c r="B55" s="89" t="s">
        <v>187</v>
      </c>
      <c r="C55" s="89"/>
      <c r="D55" s="89"/>
      <c r="E55" s="89"/>
      <c r="H55" s="89">
        <f>SUM('Historical Data'!H76:H81)</f>
        <v>151038</v>
      </c>
      <c r="I55" s="89">
        <f>SUM('Historical Data'!I76:I81)</f>
        <v>158270</v>
      </c>
      <c r="J55" s="89">
        <f>SUM('Historical Data'!J76:J81)</f>
        <v>154096</v>
      </c>
      <c r="K55" s="89">
        <f>SUM('Historical Data'!K76:K81)</f>
        <v>199186</v>
      </c>
      <c r="L55" s="89">
        <f>SUM('Historical Data'!L76:L81)</f>
        <v>170980</v>
      </c>
      <c r="M55" s="125">
        <f>L55</f>
        <v>170980</v>
      </c>
      <c r="N55" s="125">
        <f>M55</f>
        <v>170980</v>
      </c>
      <c r="O55" s="125">
        <f>N55</f>
        <v>170980</v>
      </c>
      <c r="P55" s="125">
        <f>O55</f>
        <v>170980</v>
      </c>
      <c r="Q55" s="125">
        <f>P55</f>
        <v>170980</v>
      </c>
    </row>
    <row r="56" outlineLevel="1" spans="1:18">
      <c r="A56" s="89"/>
      <c r="B56" s="119" t="s">
        <v>188</v>
      </c>
      <c r="C56" s="119"/>
      <c r="D56" s="119"/>
      <c r="E56" s="119"/>
      <c r="F56" s="131"/>
      <c r="G56" s="131"/>
      <c r="H56" s="127">
        <f t="shared" ref="H56:Q56" si="11">SUM(H54:H55,H50:H51)</f>
        <v>2717210</v>
      </c>
      <c r="I56" s="127">
        <f t="shared" si="11"/>
        <v>3401889</v>
      </c>
      <c r="J56" s="127">
        <f t="shared" si="11"/>
        <v>3389671</v>
      </c>
      <c r="K56" s="127">
        <f t="shared" si="11"/>
        <v>3608927</v>
      </c>
      <c r="L56" s="127">
        <f t="shared" si="11"/>
        <v>3561882</v>
      </c>
      <c r="M56" s="129">
        <f t="shared" si="11"/>
        <v>3506555.86953164</v>
      </c>
      <c r="N56" s="129">
        <f t="shared" si="11"/>
        <v>3423697.95293871</v>
      </c>
      <c r="O56" s="129">
        <f t="shared" si="11"/>
        <v>3350642.26621469</v>
      </c>
      <c r="P56" s="129">
        <f t="shared" si="11"/>
        <v>3285854.41355855</v>
      </c>
      <c r="Q56" s="129">
        <f t="shared" si="11"/>
        <v>3227624.20458357</v>
      </c>
    </row>
    <row r="57" outlineLevel="1" spans="1:18">
      <c r="A57" s="89"/>
      <c r="B57" s="89"/>
      <c r="C57" s="89"/>
      <c r="D57" s="89"/>
      <c r="E57" s="89"/>
      <c r="H57" s="89"/>
      <c r="I57" s="89"/>
      <c r="J57" s="89"/>
      <c r="K57" s="89"/>
      <c r="L57" s="89"/>
      <c r="M57" s="125"/>
      <c r="N57" s="125"/>
      <c r="O57" s="125"/>
      <c r="P57" s="125"/>
      <c r="Q57" s="125"/>
    </row>
    <row r="58" outlineLevel="1" spans="1:18">
      <c r="A58" s="89"/>
      <c r="B58" s="89" t="s">
        <v>55</v>
      </c>
      <c r="C58" s="89"/>
      <c r="D58" s="89"/>
      <c r="E58" s="89"/>
      <c r="H58" s="89">
        <f>'Historical Data'!H67</f>
        <v>27950</v>
      </c>
      <c r="I58" s="89">
        <f>'Historical Data'!I67</f>
        <v>28366</v>
      </c>
      <c r="J58" s="89">
        <f>'Historical Data'!J67</f>
        <v>28766</v>
      </c>
      <c r="K58" s="89">
        <f>'Historical Data'!K67</f>
        <v>29001</v>
      </c>
      <c r="L58" s="89">
        <f>'Historical Data'!L67</f>
        <v>30468</v>
      </c>
      <c r="M58" s="125">
        <f>L58</f>
        <v>30468</v>
      </c>
      <c r="N58" s="125">
        <f>M58</f>
        <v>30468</v>
      </c>
      <c r="O58" s="125">
        <f>N58</f>
        <v>30468</v>
      </c>
      <c r="P58" s="125">
        <f>O58</f>
        <v>30468</v>
      </c>
      <c r="Q58" s="125">
        <f>P58</f>
        <v>30468</v>
      </c>
    </row>
    <row r="59" outlineLevel="1" spans="1:18">
      <c r="A59" s="89"/>
      <c r="B59" s="89" t="s">
        <v>189</v>
      </c>
      <c r="C59" s="89"/>
      <c r="D59" s="89"/>
      <c r="E59" s="89"/>
      <c r="H59" s="89">
        <f>'Historical Data'!H68</f>
        <v>637593</v>
      </c>
      <c r="I59" s="89">
        <f>'Historical Data'!I68</f>
        <v>747263</v>
      </c>
      <c r="J59" s="89">
        <f>'Historical Data'!J68</f>
        <v>791422</v>
      </c>
      <c r="K59" s="89">
        <f>'Historical Data'!K68</f>
        <v>1107718</v>
      </c>
      <c r="L59" s="89">
        <f>'Historical Data'!L68</f>
        <v>1460098</v>
      </c>
      <c r="M59" s="125">
        <f>L59+M31+M86</f>
        <v>1591083.18397348</v>
      </c>
      <c r="N59" s="125">
        <f>M59+N31+N86</f>
        <v>1924603.98145238</v>
      </c>
      <c r="O59" s="125">
        <f>N59+O31+O86</f>
        <v>2446719.09693639</v>
      </c>
      <c r="P59" s="125">
        <f>O59+P31+P86</f>
        <v>3151719.21097328</v>
      </c>
      <c r="Q59" s="125">
        <f>P59+Q31+Q86</f>
        <v>4038881.83548532</v>
      </c>
    </row>
    <row r="60" outlineLevel="1" spans="1:18">
      <c r="A60" s="89"/>
      <c r="B60" s="127" t="s">
        <v>190</v>
      </c>
      <c r="C60" s="119"/>
      <c r="D60" s="119"/>
      <c r="E60" s="119"/>
      <c r="F60" s="131"/>
      <c r="G60" s="131"/>
      <c r="H60" s="127">
        <f t="shared" ref="H60:Q60" si="12">SUM(H58:H59)</f>
        <v>665543</v>
      </c>
      <c r="I60" s="127">
        <f t="shared" si="12"/>
        <v>775629</v>
      </c>
      <c r="J60" s="127">
        <f t="shared" si="12"/>
        <v>820188</v>
      </c>
      <c r="K60" s="127">
        <f t="shared" si="12"/>
        <v>1136719</v>
      </c>
      <c r="L60" s="127">
        <f t="shared" si="12"/>
        <v>1490566</v>
      </c>
      <c r="M60" s="129">
        <f t="shared" si="12"/>
        <v>1621551.18397348</v>
      </c>
      <c r="N60" s="129">
        <f t="shared" si="12"/>
        <v>1955071.98145238</v>
      </c>
      <c r="O60" s="129">
        <f t="shared" si="12"/>
        <v>2477187.09693639</v>
      </c>
      <c r="P60" s="129">
        <f t="shared" si="12"/>
        <v>3182187.21097328</v>
      </c>
      <c r="Q60" s="129">
        <f t="shared" si="12"/>
        <v>4069349.83548532</v>
      </c>
    </row>
    <row r="61" outlineLevel="1" spans="1:18">
      <c r="A61" s="89"/>
      <c r="B61" s="89" t="s">
        <v>191</v>
      </c>
      <c r="C61" s="89"/>
      <c r="D61" s="89"/>
      <c r="E61" s="89"/>
      <c r="H61" s="89">
        <f>'Historical Data'!H70</f>
        <v>253807</v>
      </c>
      <c r="I61" s="89">
        <f>'Historical Data'!I70</f>
        <v>288814</v>
      </c>
      <c r="J61" s="89">
        <f>'Historical Data'!J70</f>
        <v>235451</v>
      </c>
      <c r="K61" s="89">
        <f>'Historical Data'!K70</f>
        <v>397958</v>
      </c>
      <c r="L61" s="89">
        <f>'Historical Data'!L70</f>
        <v>469068</v>
      </c>
      <c r="M61" s="125">
        <f>L61</f>
        <v>469068</v>
      </c>
      <c r="N61" s="125">
        <f>M61</f>
        <v>469068</v>
      </c>
      <c r="O61" s="125">
        <f>N61</f>
        <v>469068</v>
      </c>
      <c r="P61" s="125">
        <f>O61</f>
        <v>469068</v>
      </c>
      <c r="Q61" s="125">
        <f>P61</f>
        <v>469068</v>
      </c>
    </row>
    <row r="62" outlineLevel="1" spans="1:18">
      <c r="A62" s="89"/>
      <c r="B62" s="127" t="s">
        <v>192</v>
      </c>
      <c r="C62" s="119"/>
      <c r="D62" s="119"/>
      <c r="E62" s="119"/>
      <c r="F62" s="131"/>
      <c r="G62" s="131"/>
      <c r="H62" s="127">
        <f t="shared" ref="H62:Q62" si="13">SUM(H60:H61,H56)</f>
        <v>3636560</v>
      </c>
      <c r="I62" s="127">
        <f t="shared" si="13"/>
        <v>4466332</v>
      </c>
      <c r="J62" s="127">
        <f t="shared" si="13"/>
        <v>4445310</v>
      </c>
      <c r="K62" s="127">
        <f t="shared" si="13"/>
        <v>5143604</v>
      </c>
      <c r="L62" s="127">
        <f t="shared" si="13"/>
        <v>5521516</v>
      </c>
      <c r="M62" s="129">
        <f t="shared" si="13"/>
        <v>5597175.05350512</v>
      </c>
      <c r="N62" s="129">
        <f t="shared" si="13"/>
        <v>5847837.93439109</v>
      </c>
      <c r="O62" s="129">
        <f t="shared" si="13"/>
        <v>6296897.36315108</v>
      </c>
      <c r="P62" s="129">
        <f t="shared" si="13"/>
        <v>6937109.62453183</v>
      </c>
      <c r="Q62" s="129">
        <f t="shared" si="13"/>
        <v>7766042.04006889</v>
      </c>
      <c r="R62" s="64"/>
    </row>
    <row r="63" outlineLevel="1" spans="1:18">
      <c r="A63" s="89"/>
      <c r="B63" s="89"/>
      <c r="C63" s="89"/>
      <c r="D63" s="89"/>
      <c r="E63" s="89"/>
      <c r="H63" s="89"/>
      <c r="I63" s="89"/>
      <c r="J63" s="89"/>
      <c r="K63" s="89"/>
      <c r="L63" s="89"/>
      <c r="M63" s="125"/>
      <c r="N63" s="126"/>
      <c r="O63" s="126"/>
      <c r="P63" s="126"/>
      <c r="Q63" s="126"/>
    </row>
    <row r="64" outlineLevel="1" spans="1:18">
      <c r="A64" s="89"/>
      <c r="B64" s="132"/>
      <c r="C64" s="132"/>
      <c r="D64" s="133" t="s">
        <v>193</v>
      </c>
      <c r="E64" s="132"/>
      <c r="F64" s="134"/>
      <c r="G64" s="134"/>
      <c r="H64" s="135" t="str">
        <f t="shared" ref="H64:Q64" si="14">IF(H62=H47,"TALLIED","ERROR")</f>
        <v>TALLIED</v>
      </c>
      <c r="I64" s="135" t="str">
        <f t="shared" si="14"/>
        <v>TALLIED</v>
      </c>
      <c r="J64" s="135" t="str">
        <f t="shared" si="14"/>
        <v>TALLIED</v>
      </c>
      <c r="K64" s="135" t="str">
        <f t="shared" si="14"/>
        <v>TALLIED</v>
      </c>
      <c r="L64" s="135" t="str">
        <f t="shared" si="14"/>
        <v>TALLIED</v>
      </c>
      <c r="M64" s="135" t="str">
        <f t="shared" si="14"/>
        <v>TALLIED</v>
      </c>
      <c r="N64" s="135" t="str">
        <f t="shared" si="14"/>
        <v>TALLIED</v>
      </c>
      <c r="O64" s="135" t="str">
        <f t="shared" si="14"/>
        <v>TALLIED</v>
      </c>
      <c r="P64" s="135" t="str">
        <f t="shared" si="14"/>
        <v>ERROR</v>
      </c>
      <c r="Q64" s="135" t="str">
        <f t="shared" si="14"/>
        <v>TALLIED</v>
      </c>
    </row>
    <row r="65" spans="1:17">
      <c r="A65" s="89"/>
      <c r="B65" s="89"/>
      <c r="C65" s="89"/>
      <c r="D65" s="89"/>
      <c r="E65" s="89"/>
      <c r="H65" s="89"/>
      <c r="I65" s="89"/>
      <c r="J65" s="89"/>
      <c r="K65" s="89"/>
      <c r="L65" s="89"/>
      <c r="M65" s="125"/>
      <c r="N65" s="126"/>
      <c r="O65" s="126"/>
      <c r="P65" s="126"/>
      <c r="Q65" s="126"/>
    </row>
    <row r="66" spans="1:17">
      <c r="A66" s="17" t="s">
        <v>194</v>
      </c>
      <c r="B66" s="17"/>
      <c r="C66" s="17"/>
      <c r="D66" s="17"/>
      <c r="E66" s="17"/>
      <c r="F66" s="17"/>
      <c r="G66" s="17"/>
      <c r="H66" s="17"/>
      <c r="I66" s="40"/>
      <c r="J66" s="40"/>
      <c r="K66" s="40"/>
      <c r="L66" s="40"/>
      <c r="M66" s="40"/>
      <c r="N66" s="40"/>
      <c r="O66" s="40"/>
      <c r="P66" s="40"/>
      <c r="Q66" s="40"/>
    </row>
    <row r="67" outlineLevel="1" spans="1:17">
      <c r="A67" s="89"/>
      <c r="B67" s="89"/>
      <c r="C67" s="89"/>
      <c r="D67" s="89"/>
      <c r="E67" s="89"/>
      <c r="H67" s="89"/>
      <c r="I67" s="89"/>
      <c r="J67" s="89"/>
      <c r="K67" s="89"/>
      <c r="L67" s="89"/>
      <c r="M67" s="89"/>
    </row>
    <row r="68" ht="20.4" customHeight="1" outlineLevel="1" spans="1:17">
      <c r="A68" s="89"/>
      <c r="B68" s="136" t="s">
        <v>195</v>
      </c>
      <c r="C68" s="137"/>
      <c r="D68" s="138"/>
      <c r="E68" s="138"/>
      <c r="F68" s="89"/>
      <c r="H68" s="125"/>
      <c r="I68" s="125"/>
      <c r="J68" s="125"/>
      <c r="K68" s="125"/>
      <c r="L68" s="125"/>
      <c r="M68" s="125"/>
      <c r="N68" s="125"/>
      <c r="O68" s="125"/>
      <c r="P68" s="125"/>
      <c r="Q68" s="125"/>
    </row>
    <row r="69" ht="20.4" customHeight="1" outlineLevel="1" spans="1:17">
      <c r="A69" s="89"/>
      <c r="B69" s="137"/>
      <c r="C69" s="137" t="s">
        <v>196</v>
      </c>
      <c r="D69" s="138"/>
      <c r="E69" s="138"/>
      <c r="F69" s="89"/>
      <c r="H69" s="125">
        <f>'Historical Data'!H100+'Historical Data'!H124</f>
        <v>103077</v>
      </c>
      <c r="I69" s="125">
        <f>'Historical Data'!I100+'Historical Data'!I124</f>
        <v>127692</v>
      </c>
      <c r="J69" s="125">
        <f>'Historical Data'!J100+'Historical Data'!J124</f>
        <v>97984</v>
      </c>
      <c r="K69" s="125">
        <f>'Historical Data'!K100+'Historical Data'!K124</f>
        <v>339605</v>
      </c>
      <c r="L69" s="125">
        <f>'Historical Data'!L100+'Historical Data'!L124</f>
        <v>388888</v>
      </c>
      <c r="M69" s="125">
        <f>M31</f>
        <v>185788.768350933</v>
      </c>
      <c r="N69" s="125">
        <f>N31</f>
        <v>473064.329134918</v>
      </c>
      <c r="O69" s="125">
        <f>O31</f>
        <v>740565.622008232</v>
      </c>
      <c r="P69" s="125">
        <f>P31</f>
        <v>999968.843046425</v>
      </c>
      <c r="Q69" s="125">
        <f>Q31</f>
        <v>1258347.29039622</v>
      </c>
    </row>
    <row r="70" ht="20.4" customHeight="1" outlineLevel="1" spans="1:17">
      <c r="A70" s="89"/>
      <c r="B70" s="137"/>
      <c r="C70" s="137" t="s">
        <v>197</v>
      </c>
      <c r="D70" s="138"/>
      <c r="E70" s="138"/>
      <c r="F70" s="89"/>
      <c r="H70" s="125">
        <f>'Historical Data'!H102</f>
        <v>330907</v>
      </c>
      <c r="I70" s="125">
        <f>'Historical Data'!I102</f>
        <v>364318</v>
      </c>
      <c r="J70" s="125">
        <f>'Historical Data'!J102</f>
        <v>395376</v>
      </c>
      <c r="K70" s="125">
        <f>'Historical Data'!K102</f>
        <v>455703</v>
      </c>
      <c r="L70" s="125">
        <f>'Historical Data'!L102</f>
        <v>527108</v>
      </c>
      <c r="M70" s="125">
        <f>-M25</f>
        <v>969037.545943294</v>
      </c>
      <c r="N70" s="125">
        <f>-N25</f>
        <v>895060.230328479</v>
      </c>
      <c r="O70" s="125">
        <f>-O25</f>
        <v>870151.824909332</v>
      </c>
      <c r="P70" s="125">
        <f>-P25</f>
        <v>875361.835186391</v>
      </c>
      <c r="Q70" s="125">
        <f>-Q25</f>
        <v>897370.646065791</v>
      </c>
    </row>
    <row r="71" ht="20.4" customHeight="1" outlineLevel="1" spans="1:17">
      <c r="A71" s="89"/>
      <c r="B71" s="137"/>
      <c r="C71" s="137" t="s">
        <v>198</v>
      </c>
      <c r="D71" s="138"/>
      <c r="E71" s="138"/>
      <c r="F71" s="89"/>
      <c r="H71" s="125">
        <f>SUM('Historical Data'!H103:H114)</f>
        <v>130654</v>
      </c>
      <c r="I71" s="125">
        <f>SUM('Historical Data'!I103:I114)</f>
        <v>192356</v>
      </c>
      <c r="J71" s="125">
        <f>SUM('Historical Data'!J103:J114)</f>
        <v>271486</v>
      </c>
      <c r="K71" s="125">
        <f>SUM('Historical Data'!K103:K114)</f>
        <v>104201</v>
      </c>
      <c r="L71" s="125">
        <f>SUM('Historical Data'!L103:L114)</f>
        <v>234258</v>
      </c>
      <c r="M71" s="125">
        <f>-SUM(M27:M28)</f>
        <v>146100.080270092</v>
      </c>
      <c r="N71" s="125">
        <f>-SUM(N27:N28)</f>
        <v>115839.052092675</v>
      </c>
      <c r="O71" s="125">
        <f>-SUM(O27:O28)</f>
        <v>84766.2301629594</v>
      </c>
      <c r="P71" s="125">
        <f>-SUM(P27:P28)</f>
        <v>53008.6889264021</v>
      </c>
      <c r="Q71" s="125">
        <f>-SUM(Q27:Q28)</f>
        <v>20708.0616531635</v>
      </c>
    </row>
    <row r="72" ht="20.4" customHeight="1" outlineLevel="1" spans="1:17">
      <c r="A72" s="89"/>
      <c r="B72" s="137"/>
      <c r="C72" s="137" t="s">
        <v>199</v>
      </c>
      <c r="D72" s="138"/>
      <c r="E72" s="138"/>
      <c r="F72" s="89"/>
      <c r="H72" s="125">
        <f t="shared" ref="H72:Q72" si="15">H101</f>
        <v>-14472</v>
      </c>
      <c r="I72" s="125">
        <f t="shared" si="15"/>
        <v>-31120</v>
      </c>
      <c r="J72" s="125">
        <f t="shared" si="15"/>
        <v>24136</v>
      </c>
      <c r="K72" s="125">
        <f t="shared" si="15"/>
        <v>83813</v>
      </c>
      <c r="L72" s="125">
        <f t="shared" si="15"/>
        <v>72042</v>
      </c>
      <c r="M72" s="125">
        <f t="shared" si="15"/>
        <v>135924.187744691</v>
      </c>
      <c r="N72" s="125">
        <f t="shared" si="15"/>
        <v>100508.034249743</v>
      </c>
      <c r="O72" s="125">
        <f t="shared" si="15"/>
        <v>108711.71727627</v>
      </c>
      <c r="P72" s="125">
        <f t="shared" si="15"/>
        <v>115631.233643049</v>
      </c>
      <c r="Q72" s="125">
        <f t="shared" si="15"/>
        <v>121119.457330966</v>
      </c>
    </row>
    <row r="73" ht="20.4" customHeight="1" outlineLevel="1" spans="1:17">
      <c r="A73" s="89"/>
      <c r="B73" s="136"/>
      <c r="C73" s="139" t="s">
        <v>200</v>
      </c>
      <c r="D73" s="140"/>
      <c r="E73" s="140"/>
      <c r="F73" s="119"/>
      <c r="G73" s="131"/>
      <c r="H73" s="129">
        <f t="shared" ref="H73:Q73" si="16">SUM(H69:H72)</f>
        <v>550166</v>
      </c>
      <c r="I73" s="129">
        <f t="shared" si="16"/>
        <v>653246</v>
      </c>
      <c r="J73" s="129">
        <f t="shared" si="16"/>
        <v>788982</v>
      </c>
      <c r="K73" s="129">
        <f t="shared" si="16"/>
        <v>983322</v>
      </c>
      <c r="L73" s="129">
        <f t="shared" si="16"/>
        <v>1222296</v>
      </c>
      <c r="M73" s="129">
        <f t="shared" si="16"/>
        <v>1436850.58230901</v>
      </c>
      <c r="N73" s="129">
        <f t="shared" si="16"/>
        <v>1584471.64580581</v>
      </c>
      <c r="O73" s="129">
        <f t="shared" si="16"/>
        <v>1804195.39435679</v>
      </c>
      <c r="P73" s="129">
        <f t="shared" si="16"/>
        <v>2043970.60080227</v>
      </c>
      <c r="Q73" s="129">
        <f t="shared" si="16"/>
        <v>2297545.45544614</v>
      </c>
    </row>
    <row r="74" ht="20.4" customHeight="1" outlineLevel="1" spans="1:17">
      <c r="A74" s="89"/>
      <c r="B74" s="137"/>
      <c r="C74" s="137"/>
      <c r="D74" s="138"/>
      <c r="E74" s="138"/>
      <c r="F74" s="89"/>
      <c r="H74" s="125"/>
      <c r="I74" s="125"/>
      <c r="J74" s="125"/>
      <c r="K74" s="125"/>
      <c r="L74" s="125"/>
      <c r="M74" s="125"/>
      <c r="N74" s="125"/>
      <c r="O74" s="125"/>
      <c r="P74" s="125"/>
      <c r="Q74" s="125"/>
    </row>
    <row r="75" ht="20.4" customHeight="1" outlineLevel="1" spans="1:17">
      <c r="A75" s="89"/>
      <c r="B75" s="136" t="s">
        <v>201</v>
      </c>
      <c r="C75" s="137"/>
      <c r="D75" s="138"/>
      <c r="E75" s="138"/>
      <c r="F75" s="89"/>
      <c r="H75" s="125"/>
      <c r="I75" s="125"/>
      <c r="J75" s="125"/>
      <c r="K75" s="125"/>
      <c r="L75" s="125"/>
      <c r="M75" s="125"/>
      <c r="N75" s="125"/>
      <c r="O75" s="125"/>
      <c r="P75" s="125"/>
      <c r="Q75" s="125"/>
    </row>
    <row r="76" ht="20.4" customHeight="1" outlineLevel="1" spans="1:17">
      <c r="A76" s="89"/>
      <c r="B76" s="137"/>
      <c r="C76" s="137" t="s">
        <v>202</v>
      </c>
      <c r="D76" s="138"/>
      <c r="E76" s="138"/>
      <c r="F76" s="89"/>
      <c r="H76" s="125">
        <f>'Historical Data'!H128</f>
        <v>-265406</v>
      </c>
      <c r="I76" s="125">
        <f>'Historical Data'!I128</f>
        <v>-260566</v>
      </c>
      <c r="J76" s="125">
        <f>'Historical Data'!J128</f>
        <v>-381915</v>
      </c>
      <c r="K76" s="125">
        <f>'Historical Data'!K128</f>
        <v>-379077</v>
      </c>
      <c r="L76" s="125">
        <f>'Historical Data'!L128</f>
        <v>-451756</v>
      </c>
      <c r="M76" s="125">
        <f>-M105</f>
        <v>-743629.688424665</v>
      </c>
      <c r="N76" s="125">
        <f>-N105</f>
        <v>-819164.663517576</v>
      </c>
      <c r="O76" s="125">
        <f>-O105</f>
        <v>-886026.654165326</v>
      </c>
      <c r="P76" s="125">
        <f>-P105</f>
        <v>-942422.377538172</v>
      </c>
      <c r="Q76" s="125">
        <f>-Q105</f>
        <v>-987152.72117867</v>
      </c>
    </row>
    <row r="77" ht="20.4" customHeight="1" outlineLevel="1" spans="1:17">
      <c r="A77" s="89"/>
      <c r="B77" s="137"/>
      <c r="C77" s="137" t="s">
        <v>203</v>
      </c>
      <c r="D77" s="138"/>
      <c r="E77" s="138"/>
      <c r="F77" s="89"/>
      <c r="H77" s="125">
        <f>'Historical Data'!H129</f>
        <v>13791</v>
      </c>
      <c r="I77" s="125">
        <f>'Historical Data'!I129</f>
        <v>885</v>
      </c>
      <c r="J77" s="125">
        <f>'Historical Data'!J129</f>
        <v>1228</v>
      </c>
      <c r="K77" s="125">
        <f>'Historical Data'!K129</f>
        <v>3382</v>
      </c>
      <c r="L77" s="125">
        <f>'Historical Data'!L129</f>
        <v>11680</v>
      </c>
      <c r="M77" s="141">
        <v>0</v>
      </c>
      <c r="N77" s="141">
        <f>M77</f>
        <v>0</v>
      </c>
      <c r="O77" s="141">
        <f>N77</f>
        <v>0</v>
      </c>
      <c r="P77" s="141">
        <f>O77</f>
        <v>0</v>
      </c>
      <c r="Q77" s="141">
        <f>P77</f>
        <v>0</v>
      </c>
    </row>
    <row r="78" ht="20.4" customHeight="1" outlineLevel="1" spans="1:17">
      <c r="A78" s="89"/>
      <c r="B78" s="137"/>
      <c r="C78" s="137" t="s">
        <v>204</v>
      </c>
      <c r="D78" s="138"/>
      <c r="E78" s="138"/>
      <c r="F78" s="89"/>
      <c r="H78" s="125">
        <f>SUM('Historical Data'!H130:H143)</f>
        <v>-171133</v>
      </c>
      <c r="I78" s="125">
        <f>SUM('Historical Data'!I130:I143)</f>
        <v>-148621</v>
      </c>
      <c r="J78" s="125">
        <f>SUM('Historical Data'!J130:J143)</f>
        <v>-128095</v>
      </c>
      <c r="K78" s="125">
        <f>SUM('Historical Data'!K130:K143)</f>
        <v>-232332</v>
      </c>
      <c r="L78" s="125">
        <f>SUM('Historical Data'!L130:L143)</f>
        <v>-151170</v>
      </c>
      <c r="M78" s="141">
        <v>0</v>
      </c>
      <c r="N78" s="141">
        <f>M78</f>
        <v>0</v>
      </c>
      <c r="O78" s="141">
        <f>N78</f>
        <v>0</v>
      </c>
      <c r="P78" s="141">
        <f>O78</f>
        <v>0</v>
      </c>
      <c r="Q78" s="141">
        <f>P78</f>
        <v>0</v>
      </c>
    </row>
    <row r="79" ht="20.4" customHeight="1" outlineLevel="1" spans="1:17">
      <c r="A79" s="89"/>
      <c r="B79" s="137"/>
      <c r="C79" s="137" t="s">
        <v>205</v>
      </c>
      <c r="D79" s="138"/>
      <c r="E79" s="138"/>
      <c r="F79" s="89"/>
      <c r="H79" s="125">
        <f>'Historical Data'!H144</f>
        <v>0</v>
      </c>
      <c r="I79" s="125">
        <f>'Historical Data'!I144</f>
        <v>13992</v>
      </c>
      <c r="J79" s="125">
        <f>'Historical Data'!J144</f>
        <v>1072</v>
      </c>
      <c r="K79" s="125">
        <f>'Historical Data'!K144</f>
        <v>1090</v>
      </c>
      <c r="L79" s="125">
        <f>'Historical Data'!L144</f>
        <v>1813</v>
      </c>
      <c r="M79" s="141">
        <v>0</v>
      </c>
      <c r="N79" s="141">
        <f>M79</f>
        <v>0</v>
      </c>
      <c r="O79" s="141">
        <f>N79</f>
        <v>0</v>
      </c>
      <c r="P79" s="141">
        <f>O79</f>
        <v>0</v>
      </c>
      <c r="Q79" s="141">
        <f>P79</f>
        <v>0</v>
      </c>
    </row>
    <row r="80" ht="20.4" customHeight="1" outlineLevel="1" spans="1:17">
      <c r="B80" s="137"/>
      <c r="C80" s="137" t="s">
        <v>84</v>
      </c>
      <c r="D80" s="138"/>
      <c r="E80" s="138"/>
      <c r="H80" s="125">
        <f>'Historical Data'!H145</f>
        <v>4052</v>
      </c>
      <c r="I80" s="125">
        <f>'Historical Data'!I145</f>
        <v>3508</v>
      </c>
      <c r="J80" s="125">
        <f>'Historical Data'!J145</f>
        <v>5671</v>
      </c>
      <c r="K80" s="125">
        <f>'Historical Data'!K145</f>
        <v>4239</v>
      </c>
      <c r="L80" s="125">
        <f>'Historical Data'!L145</f>
        <v>4088</v>
      </c>
      <c r="M80" s="125">
        <f>M28</f>
        <v>49506.2107138594</v>
      </c>
      <c r="N80" s="125">
        <f>N28</f>
        <v>59451.9623958634</v>
      </c>
      <c r="O80" s="125">
        <f>O28</f>
        <v>70209.5078301656</v>
      </c>
      <c r="P80" s="125">
        <f>P28</f>
        <v>81651.7725713099</v>
      </c>
      <c r="Q80" s="125">
        <f>Q28</f>
        <v>93637.1233491355</v>
      </c>
    </row>
    <row r="81" ht="20.4" customHeight="1" outlineLevel="1" spans="1:17">
      <c r="B81" s="136"/>
      <c r="C81" s="139" t="s">
        <v>201</v>
      </c>
      <c r="D81" s="140"/>
      <c r="E81" s="140"/>
      <c r="F81" s="131"/>
      <c r="G81" s="131"/>
      <c r="H81" s="129">
        <f t="shared" ref="H81:Q81" si="17">SUM(H76:H80)</f>
        <v>-418696</v>
      </c>
      <c r="I81" s="129">
        <f t="shared" si="17"/>
        <v>-390802</v>
      </c>
      <c r="J81" s="129">
        <f t="shared" si="17"/>
        <v>-502039</v>
      </c>
      <c r="K81" s="129">
        <f t="shared" si="17"/>
        <v>-602698</v>
      </c>
      <c r="L81" s="129">
        <f t="shared" si="17"/>
        <v>-585345</v>
      </c>
      <c r="M81" s="129">
        <f t="shared" si="17"/>
        <v>-694123.477710806</v>
      </c>
      <c r="N81" s="129">
        <f t="shared" si="17"/>
        <v>-759712.701121713</v>
      </c>
      <c r="O81" s="129">
        <f t="shared" si="17"/>
        <v>-815817.146335161</v>
      </c>
      <c r="P81" s="129">
        <f t="shared" si="17"/>
        <v>-860770.604966862</v>
      </c>
      <c r="Q81" s="129">
        <f t="shared" si="17"/>
        <v>-893515.597829535</v>
      </c>
    </row>
    <row r="82" outlineLevel="1" spans="1:17">
      <c r="H82" s="125"/>
      <c r="I82" s="125"/>
      <c r="J82" s="125"/>
      <c r="K82" s="125"/>
      <c r="L82" s="125"/>
      <c r="M82" s="125"/>
      <c r="N82" s="125"/>
      <c r="O82" s="125"/>
      <c r="P82" s="125"/>
      <c r="Q82" s="125"/>
    </row>
    <row r="83" ht="20.4" customHeight="1" outlineLevel="1" spans="1:17">
      <c r="B83" s="136" t="s">
        <v>206</v>
      </c>
      <c r="C83" s="137"/>
      <c r="D83" s="138"/>
      <c r="H83" s="125"/>
      <c r="I83" s="125"/>
      <c r="J83" s="125"/>
      <c r="K83" s="125"/>
      <c r="L83" s="125"/>
      <c r="M83" s="125"/>
      <c r="N83" s="125"/>
      <c r="O83" s="125"/>
      <c r="P83" s="125"/>
      <c r="Q83" s="125"/>
    </row>
    <row r="84" ht="20.4" customHeight="1" outlineLevel="1" spans="1:17">
      <c r="B84" s="137"/>
      <c r="C84" s="137" t="s">
        <v>207</v>
      </c>
      <c r="D84" s="138"/>
      <c r="H84" s="125">
        <f>SUM('Historical Data'!H150:H154,'Historical Data'!H156,'Historical Data'!H158:H165)</f>
        <v>-58232</v>
      </c>
      <c r="I84" s="125">
        <f>SUM('Historical Data'!I150:I154,'Historical Data'!I156,'Historical Data'!I158:I165)</f>
        <v>-194146</v>
      </c>
      <c r="J84" s="125">
        <f>SUM('Historical Data'!J150:J154,'Historical Data'!J156,'Historical Data'!J158:J165)</f>
        <v>-95677</v>
      </c>
      <c r="K84" s="125">
        <f>SUM('Historical Data'!K150:K154,'Historical Data'!K156,'Historical Data'!K158:K165)</f>
        <v>-120507</v>
      </c>
      <c r="L84" s="125">
        <f>SUM('Historical Data'!L150:L154,'Historical Data'!L156,'Historical Data'!L158:L165)</f>
        <v>-417722</v>
      </c>
      <c r="M84" s="125">
        <f>M111</f>
        <v>-202950.666666667</v>
      </c>
      <c r="N84" s="125">
        <f>N111</f>
        <v>-202950.666666667</v>
      </c>
      <c r="O84" s="125">
        <f>O111</f>
        <v>-202950.666666667</v>
      </c>
      <c r="P84" s="125">
        <f>P111</f>
        <v>-202950.666666667</v>
      </c>
      <c r="Q84" s="125">
        <f>Q111</f>
        <v>-202950.666666667</v>
      </c>
    </row>
    <row r="85" ht="20.4" customHeight="1" outlineLevel="1" spans="1:17">
      <c r="B85" s="137"/>
      <c r="C85" s="142" t="s">
        <v>208</v>
      </c>
      <c r="D85" s="138"/>
      <c r="H85" s="125">
        <f>'Historical Data'!H149</f>
        <v>52226</v>
      </c>
      <c r="I85" s="125">
        <f>'Historical Data'!I149</f>
        <v>52242</v>
      </c>
      <c r="J85" s="125">
        <f>'Historical Data'!J149</f>
        <v>0</v>
      </c>
      <c r="K85" s="125">
        <f>'Historical Data'!K149</f>
        <v>0</v>
      </c>
      <c r="L85" s="125">
        <f>'Historical Data'!L149</f>
        <v>156949</v>
      </c>
      <c r="M85" s="125"/>
      <c r="N85" s="125"/>
      <c r="O85" s="125"/>
      <c r="P85" s="125"/>
      <c r="Q85" s="125"/>
    </row>
    <row r="86" ht="20.4" customHeight="1" outlineLevel="1" spans="1:17">
      <c r="B86" s="137"/>
      <c r="C86" s="137" t="s">
        <v>129</v>
      </c>
      <c r="D86" s="138"/>
      <c r="H86" s="125">
        <f>'Historical Data'!H157</f>
        <v>-14438</v>
      </c>
      <c r="I86" s="125">
        <f>'Historical Data'!I157</f>
        <v>-35898</v>
      </c>
      <c r="J86" s="125">
        <f>'Historical Data'!J157</f>
        <v>-41845</v>
      </c>
      <c r="K86" s="125">
        <f>'Historical Data'!K157</f>
        <v>-69349</v>
      </c>
      <c r="L86" s="125">
        <f>'Historical Data'!L157</f>
        <v>-113277</v>
      </c>
      <c r="M86" s="125">
        <f>M31*-M12</f>
        <v>-54803.584377457</v>
      </c>
      <c r="N86" s="125">
        <f>N31*-N12</f>
        <v>-139543.531656015</v>
      </c>
      <c r="O86" s="125">
        <f>O31*-O12</f>
        <v>-218450.506524218</v>
      </c>
      <c r="P86" s="125">
        <f>P31*-P12</f>
        <v>-294968.729009541</v>
      </c>
      <c r="Q86" s="125">
        <f>Q31*-Q12</f>
        <v>-371184.665884176</v>
      </c>
    </row>
    <row r="87" ht="20.4" customHeight="1" outlineLevel="1" spans="1:17">
      <c r="B87" s="137"/>
      <c r="C87" s="137" t="s">
        <v>209</v>
      </c>
      <c r="D87" s="138"/>
      <c r="H87" s="125">
        <f>'Historical Data'!H155</f>
        <v>-131588</v>
      </c>
      <c r="I87" s="125">
        <f>'Historical Data'!I155</f>
        <v>-66893</v>
      </c>
      <c r="J87" s="125">
        <f>'Historical Data'!J155</f>
        <v>-140263</v>
      </c>
      <c r="K87" s="125">
        <f>'Historical Data'!K155</f>
        <v>-175476</v>
      </c>
      <c r="L87" s="125">
        <f>'Historical Data'!L155</f>
        <v>-148876</v>
      </c>
      <c r="M87" s="125">
        <f>M113</f>
        <v>-195606.290983951</v>
      </c>
      <c r="N87" s="125">
        <f>N113</f>
        <v>-175291.014488538</v>
      </c>
      <c r="O87" s="125">
        <f>O113</f>
        <v>-154975.737993125</v>
      </c>
      <c r="P87" s="125">
        <f>P113</f>
        <v>-134660.461497712</v>
      </c>
      <c r="Q87" s="125">
        <f>Q113</f>
        <v>-114345.185002299</v>
      </c>
    </row>
    <row r="88" ht="20.4" customHeight="1" outlineLevel="1" spans="1:17">
      <c r="B88" s="139"/>
      <c r="C88" s="139" t="s">
        <v>206</v>
      </c>
      <c r="D88" s="140"/>
      <c r="E88" s="131"/>
      <c r="F88" s="131"/>
      <c r="G88" s="131"/>
      <c r="H88" s="129">
        <f t="shared" ref="H88:Q88" si="18">SUM(H84:H87)</f>
        <v>-152032</v>
      </c>
      <c r="I88" s="129">
        <f t="shared" si="18"/>
        <v>-244695</v>
      </c>
      <c r="J88" s="129">
        <f t="shared" si="18"/>
        <v>-277785</v>
      </c>
      <c r="K88" s="129">
        <f t="shared" si="18"/>
        <v>-365332</v>
      </c>
      <c r="L88" s="129">
        <f t="shared" si="18"/>
        <v>-522926</v>
      </c>
      <c r="M88" s="129">
        <f t="shared" si="18"/>
        <v>-453360.542028075</v>
      </c>
      <c r="N88" s="129">
        <f t="shared" si="18"/>
        <v>-517785.21281122</v>
      </c>
      <c r="O88" s="129">
        <f t="shared" si="18"/>
        <v>-576376.91118401</v>
      </c>
      <c r="P88" s="129">
        <f t="shared" si="18"/>
        <v>-632579.85717392</v>
      </c>
      <c r="Q88" s="129">
        <f t="shared" si="18"/>
        <v>-688480.517553142</v>
      </c>
    </row>
    <row r="89" ht="20.4" customHeight="1" outlineLevel="1" spans="1:17">
      <c r="B89" s="136"/>
      <c r="C89" s="136"/>
      <c r="D89" s="138"/>
      <c r="H89" s="125"/>
      <c r="I89" s="125"/>
      <c r="J89" s="125"/>
      <c r="K89" s="125"/>
      <c r="L89" s="125"/>
      <c r="M89" s="125"/>
      <c r="N89" s="125"/>
      <c r="O89" s="125"/>
      <c r="P89" s="125"/>
      <c r="Q89" s="125"/>
    </row>
    <row r="90" ht="20.4" customHeight="1" outlineLevel="1" spans="1:17">
      <c r="B90" s="136" t="s">
        <v>210</v>
      </c>
      <c r="C90" s="143"/>
      <c r="D90" s="138"/>
      <c r="H90" s="144">
        <f t="shared" ref="H90:Q90" si="19">SUM(H88,H81,H73)</f>
        <v>-20562</v>
      </c>
      <c r="I90" s="144">
        <f t="shared" si="19"/>
        <v>17749</v>
      </c>
      <c r="J90" s="144">
        <f t="shared" si="19"/>
        <v>9158</v>
      </c>
      <c r="K90" s="144">
        <f t="shared" si="19"/>
        <v>15292</v>
      </c>
      <c r="L90" s="144">
        <f t="shared" si="19"/>
        <v>114025</v>
      </c>
      <c r="M90" s="144">
        <f t="shared" si="19"/>
        <v>289366.562570129</v>
      </c>
      <c r="N90" s="144">
        <f t="shared" si="19"/>
        <v>306973.731872881</v>
      </c>
      <c r="O90" s="144">
        <f t="shared" si="19"/>
        <v>412001.336837622</v>
      </c>
      <c r="P90" s="144">
        <f t="shared" si="19"/>
        <v>550620.138661485</v>
      </c>
      <c r="Q90" s="144">
        <f t="shared" si="19"/>
        <v>715549.340063467</v>
      </c>
    </row>
    <row r="91" ht="20.4" customHeight="1" outlineLevel="1" spans="1:17">
      <c r="B91" s="137"/>
      <c r="C91" s="137" t="s">
        <v>211</v>
      </c>
      <c r="D91" s="138"/>
      <c r="H91" s="125">
        <f>'Historical Data'!H170+'Historical Data'!H169</f>
        <v>94549</v>
      </c>
      <c r="I91" s="125">
        <f>'Historical Data'!I170+'Historical Data'!I169</f>
        <v>72465</v>
      </c>
      <c r="J91" s="125">
        <f>'Historical Data'!J170+'Historical Data'!J169</f>
        <v>81363</v>
      </c>
      <c r="K91" s="125">
        <f>'Historical Data'!K170+'Historical Data'!K169</f>
        <v>91239</v>
      </c>
      <c r="L91" s="125">
        <f>'Historical Data'!L170+'Historical Data'!L169</f>
        <v>129822</v>
      </c>
      <c r="M91" s="125">
        <f>L36</f>
        <v>303768</v>
      </c>
      <c r="N91" s="125">
        <f>M36</f>
        <v>593134.562570129</v>
      </c>
      <c r="O91" s="125">
        <f>N36</f>
        <v>900108.29444301</v>
      </c>
      <c r="P91" s="125">
        <f>O36</f>
        <v>1312109.63128063</v>
      </c>
      <c r="Q91" s="125">
        <f>P36</f>
        <v>1862729.76994212</v>
      </c>
    </row>
    <row r="92" ht="20.4" customHeight="1" outlineLevel="1" spans="1:17">
      <c r="B92" s="136"/>
      <c r="C92" s="139" t="s">
        <v>212</v>
      </c>
      <c r="D92" s="140"/>
      <c r="E92" s="131"/>
      <c r="F92" s="131"/>
      <c r="G92" s="131"/>
      <c r="H92" s="129">
        <f>SUM(H90:H91)+'Historical Data'!H57</f>
        <v>134946</v>
      </c>
      <c r="I92" s="129">
        <f>SUM(I90:I91)+'Historical Data'!I57</f>
        <v>162008</v>
      </c>
      <c r="J92" s="129">
        <f>SUM(J90:J91)+'Historical Data'!J57</f>
        <v>159676</v>
      </c>
      <c r="K92" s="129">
        <f>SUM(K90:K91)+'Historical Data'!K57</f>
        <v>167587</v>
      </c>
      <c r="L92" s="129">
        <f>SUM(L90:L91)+'Historical Data'!L57</f>
        <v>381069</v>
      </c>
      <c r="M92" s="129">
        <f>SUM(M90:M91)</f>
        <v>593134.562570129</v>
      </c>
      <c r="N92" s="129">
        <f>SUM(N90:N91)</f>
        <v>900108.29444301</v>
      </c>
      <c r="O92" s="129">
        <f>SUM(O90:O91)</f>
        <v>1312109.63128063</v>
      </c>
      <c r="P92" s="129">
        <f>SUM(P90:P91)</f>
        <v>1862729.76994212</v>
      </c>
      <c r="Q92" s="129">
        <f>SUM(Q90:Q91)</f>
        <v>2578279.11000558</v>
      </c>
    </row>
    <row r="93" spans="1:17">
      <c r="H93" s="89"/>
      <c r="I93" s="89"/>
      <c r="J93" s="89"/>
      <c r="K93" s="89"/>
      <c r="L93" s="89"/>
      <c r="M93" s="89"/>
    </row>
    <row r="94" spans="1:17">
      <c r="A94" s="17" t="s">
        <v>213</v>
      </c>
      <c r="B94" s="17"/>
      <c r="C94" s="17"/>
      <c r="D94" s="17"/>
      <c r="E94" s="17"/>
      <c r="F94" s="17"/>
      <c r="G94" s="17"/>
      <c r="H94" s="17"/>
      <c r="I94" s="40"/>
      <c r="J94" s="40"/>
      <c r="K94" s="40"/>
      <c r="L94" s="40"/>
      <c r="M94" s="40"/>
      <c r="N94" s="40"/>
      <c r="O94" s="40"/>
      <c r="P94" s="40"/>
      <c r="Q94" s="40"/>
    </row>
    <row r="95" outlineLevel="1" spans="1:17">
      <c r="H95" s="125"/>
      <c r="I95" s="125"/>
      <c r="J95" s="125"/>
      <c r="K95" s="125"/>
      <c r="L95" s="125"/>
      <c r="M95" s="125"/>
      <c r="N95" s="126"/>
      <c r="O95" s="126"/>
      <c r="P95" s="126"/>
      <c r="Q95" s="126"/>
    </row>
    <row r="96" outlineLevel="1" spans="1:17">
      <c r="A96" s="89"/>
      <c r="B96" s="64" t="s">
        <v>214</v>
      </c>
      <c r="C96" s="89"/>
      <c r="D96" s="89"/>
      <c r="E96" s="89"/>
      <c r="F96" s="89"/>
      <c r="H96" s="125"/>
      <c r="I96" s="125"/>
      <c r="J96" s="125"/>
      <c r="K96" s="125"/>
      <c r="L96" s="125"/>
      <c r="M96" s="125"/>
      <c r="N96" s="125"/>
      <c r="O96" s="125"/>
      <c r="P96" s="125"/>
      <c r="Q96" s="125"/>
    </row>
    <row r="97" outlineLevel="1" spans="1:17">
      <c r="A97" s="89"/>
      <c r="B97" s="89"/>
      <c r="C97" s="89" t="s">
        <v>184</v>
      </c>
      <c r="D97" s="89"/>
      <c r="E97" s="89"/>
      <c r="F97" s="89"/>
      <c r="H97" s="125">
        <f>'Historical Data'!H118</f>
        <v>-4877</v>
      </c>
      <c r="I97" s="125">
        <f>'Historical Data'!I118</f>
        <v>12671</v>
      </c>
      <c r="J97" s="125">
        <f>'Historical Data'!J118</f>
        <v>6398</v>
      </c>
      <c r="K97" s="125">
        <f>'Historical Data'!K118</f>
        <v>8586</v>
      </c>
      <c r="L97" s="125">
        <f>'Historical Data'!L118</f>
        <v>24977</v>
      </c>
      <c r="M97" s="125">
        <f>M50-L50</f>
        <v>147624.536198314</v>
      </c>
      <c r="N97" s="125">
        <f>N50-M50</f>
        <v>120092.75007373</v>
      </c>
      <c r="O97" s="125">
        <f>O50-N50</f>
        <v>129894.979942646</v>
      </c>
      <c r="P97" s="125">
        <f>P50-O50</f>
        <v>138162.814010535</v>
      </c>
      <c r="Q97" s="125">
        <f>Q50-P50</f>
        <v>144720.457691677</v>
      </c>
    </row>
    <row r="98" outlineLevel="1" spans="1:17">
      <c r="A98" s="89"/>
      <c r="B98" s="89"/>
      <c r="C98" s="89" t="s">
        <v>215</v>
      </c>
      <c r="D98" s="89"/>
      <c r="E98" s="89"/>
      <c r="F98" s="89"/>
      <c r="H98" s="125">
        <f>'Historical Data'!H117</f>
        <v>-7131</v>
      </c>
      <c r="I98" s="125">
        <f>'Historical Data'!I117</f>
        <v>-5583</v>
      </c>
      <c r="J98" s="125">
        <f>'Historical Data'!J117</f>
        <v>-14941</v>
      </c>
      <c r="K98" s="125">
        <f>'Historical Data'!K117</f>
        <v>29658</v>
      </c>
      <c r="L98" s="125">
        <f>'Historical Data'!L117</f>
        <v>-5654</v>
      </c>
      <c r="M98" s="125">
        <f>L38-M38</f>
        <v>-10974.8223470843</v>
      </c>
      <c r="N98" s="125">
        <f>M38-N38</f>
        <v>-18231.7557936035</v>
      </c>
      <c r="O98" s="125">
        <f>N38-O38</f>
        <v>-19719.8711135801</v>
      </c>
      <c r="P98" s="125">
        <f>O38-P38</f>
        <v>-20975.0437328703</v>
      </c>
      <c r="Q98" s="125">
        <f>P38-Q38</f>
        <v>-21970.5855795067</v>
      </c>
    </row>
    <row r="99" outlineLevel="1" spans="1:17">
      <c r="A99" s="89"/>
      <c r="B99" s="89"/>
      <c r="C99" s="89" t="s">
        <v>216</v>
      </c>
      <c r="D99" s="89"/>
      <c r="E99" s="89"/>
      <c r="F99" s="89"/>
      <c r="H99" s="125">
        <f>'Historical Data'!H119</f>
        <v>-1181</v>
      </c>
      <c r="I99" s="125">
        <f>'Historical Data'!I119</f>
        <v>-1157</v>
      </c>
      <c r="J99" s="125">
        <f>'Historical Data'!J119</f>
        <v>-771</v>
      </c>
      <c r="K99" s="125">
        <f>'Historical Data'!K119</f>
        <v>-1416</v>
      </c>
      <c r="L99" s="125">
        <f>'Historical Data'!L119</f>
        <v>-1982</v>
      </c>
      <c r="M99" s="125">
        <f>L37-M37</f>
        <v>-725.526106538588</v>
      </c>
      <c r="N99" s="125">
        <f>M37-N37</f>
        <v>-1352.96003038372</v>
      </c>
      <c r="O99" s="125">
        <f>N37-O37</f>
        <v>-1463.39155279565</v>
      </c>
      <c r="P99" s="125">
        <f>O37-P37</f>
        <v>-1556.53663461642</v>
      </c>
      <c r="Q99" s="125">
        <f>P37-Q37</f>
        <v>-1630.41478120426</v>
      </c>
    </row>
    <row r="100" outlineLevel="1" spans="1:17">
      <c r="A100" s="89"/>
      <c r="B100" s="89"/>
      <c r="C100" s="89" t="s">
        <v>217</v>
      </c>
      <c r="D100" s="89"/>
      <c r="E100" s="89"/>
      <c r="F100" s="89"/>
      <c r="H100" s="125">
        <f>SUM('Historical Data'!H120:H122)</f>
        <v>-1283</v>
      </c>
      <c r="I100" s="125">
        <f>SUM('Historical Data'!I120:I122)</f>
        <v>-37051</v>
      </c>
      <c r="J100" s="125">
        <f>SUM('Historical Data'!J120:J122)</f>
        <v>33450</v>
      </c>
      <c r="K100" s="125">
        <f>SUM('Historical Data'!K120:K122)</f>
        <v>46985</v>
      </c>
      <c r="L100" s="125">
        <f>SUM('Historical Data'!L120:L122)</f>
        <v>54701</v>
      </c>
      <c r="M100" s="141">
        <v>0</v>
      </c>
      <c r="N100" s="141">
        <f>M100</f>
        <v>0</v>
      </c>
      <c r="O100" s="141">
        <f>N100</f>
        <v>0</v>
      </c>
      <c r="P100" s="141">
        <f>O100</f>
        <v>0</v>
      </c>
      <c r="Q100" s="141">
        <f>P100</f>
        <v>0</v>
      </c>
    </row>
    <row r="101" outlineLevel="1" spans="1:17">
      <c r="A101" s="89"/>
      <c r="B101" s="89"/>
      <c r="C101" s="127" t="s">
        <v>218</v>
      </c>
      <c r="D101" s="119"/>
      <c r="E101" s="119"/>
      <c r="F101" s="119"/>
      <c r="G101" s="131"/>
      <c r="H101" s="129">
        <f t="shared" ref="H101:Q101" si="20">SUM(H97:H100)</f>
        <v>-14472</v>
      </c>
      <c r="I101" s="129">
        <f t="shared" si="20"/>
        <v>-31120</v>
      </c>
      <c r="J101" s="129">
        <f t="shared" si="20"/>
        <v>24136</v>
      </c>
      <c r="K101" s="129">
        <f t="shared" si="20"/>
        <v>83813</v>
      </c>
      <c r="L101" s="129">
        <f t="shared" si="20"/>
        <v>72042</v>
      </c>
      <c r="M101" s="129">
        <f t="shared" si="20"/>
        <v>135924.187744691</v>
      </c>
      <c r="N101" s="129">
        <f t="shared" si="20"/>
        <v>100508.034249743</v>
      </c>
      <c r="O101" s="129">
        <f t="shared" si="20"/>
        <v>108711.71727627</v>
      </c>
      <c r="P101" s="129">
        <f t="shared" si="20"/>
        <v>115631.233643049</v>
      </c>
      <c r="Q101" s="129">
        <f t="shared" si="20"/>
        <v>121119.457330966</v>
      </c>
    </row>
    <row r="102" outlineLevel="1" spans="1:17">
      <c r="A102" s="89"/>
      <c r="B102" s="89"/>
      <c r="C102" s="89"/>
      <c r="D102" s="89"/>
      <c r="E102" s="89"/>
      <c r="F102" s="89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</row>
    <row r="103" outlineLevel="1" spans="1:17">
      <c r="A103" s="89"/>
      <c r="B103" s="64" t="s">
        <v>219</v>
      </c>
      <c r="C103" s="89"/>
      <c r="D103" s="89"/>
      <c r="E103" s="89"/>
      <c r="F103" s="89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</row>
    <row r="104" outlineLevel="1" spans="1:17">
      <c r="A104" s="89"/>
      <c r="B104" s="89"/>
      <c r="C104" s="89" t="s">
        <v>220</v>
      </c>
      <c r="D104" s="89"/>
      <c r="E104" s="89"/>
      <c r="F104" s="89"/>
      <c r="H104" s="125"/>
      <c r="I104" s="125">
        <f t="shared" ref="I104:Q104" si="21">H107</f>
        <v>1839781</v>
      </c>
      <c r="J104" s="125">
        <f t="shared" si="21"/>
        <v>2383985</v>
      </c>
      <c r="K104" s="125">
        <f t="shared" si="21"/>
        <v>2377688</v>
      </c>
      <c r="L104" s="125">
        <f t="shared" si="21"/>
        <v>2875282</v>
      </c>
      <c r="M104" s="125">
        <f t="shared" si="21"/>
        <v>2952644</v>
      </c>
      <c r="N104" s="125">
        <f t="shared" si="21"/>
        <v>2727236.14248137</v>
      </c>
      <c r="O104" s="125">
        <f t="shared" si="21"/>
        <v>2651340.57567047</v>
      </c>
      <c r="P104" s="125">
        <f t="shared" si="21"/>
        <v>2667215.40492646</v>
      </c>
      <c r="Q104" s="125">
        <f t="shared" si="21"/>
        <v>2734275.94727824</v>
      </c>
    </row>
    <row r="105" outlineLevel="1" spans="1:17">
      <c r="A105" s="89"/>
      <c r="B105" s="89"/>
      <c r="C105" s="89" t="s">
        <v>221</v>
      </c>
      <c r="D105" s="89"/>
      <c r="E105" s="89"/>
      <c r="F105" s="89"/>
      <c r="H105" s="125"/>
      <c r="I105" s="125">
        <f>I107-I104-I106</f>
        <v>908522</v>
      </c>
      <c r="J105" s="125">
        <f>J107-J104-J106</f>
        <v>389079</v>
      </c>
      <c r="K105" s="125">
        <f>K107-K104-K106</f>
        <v>953297</v>
      </c>
      <c r="L105" s="125">
        <f>L107-L104-L106</f>
        <v>604470</v>
      </c>
      <c r="M105" s="125">
        <f>(M20-L20)/M16</f>
        <v>743629.688424665</v>
      </c>
      <c r="N105" s="125">
        <f>(N20-M20)/N16</f>
        <v>819164.663517576</v>
      </c>
      <c r="O105" s="125">
        <f>(O20-N20)/O16</f>
        <v>886026.654165326</v>
      </c>
      <c r="P105" s="125">
        <f>(P20-O20)/P16</f>
        <v>942422.377538172</v>
      </c>
      <c r="Q105" s="125">
        <f>(Q20-P20)/Q16</f>
        <v>987152.72117867</v>
      </c>
    </row>
    <row r="106" outlineLevel="1" spans="1:17">
      <c r="A106" s="89"/>
      <c r="B106" s="89"/>
      <c r="C106" s="89" t="s">
        <v>166</v>
      </c>
      <c r="D106" s="89"/>
      <c r="E106" s="89"/>
      <c r="F106" s="89"/>
      <c r="H106" s="125">
        <f>H25</f>
        <v>-330907</v>
      </c>
      <c r="I106" s="125">
        <f>I25</f>
        <v>-364318</v>
      </c>
      <c r="J106" s="125">
        <f>J25</f>
        <v>-395376</v>
      </c>
      <c r="K106" s="125">
        <f>K25</f>
        <v>-455703</v>
      </c>
      <c r="L106" s="125">
        <f>L25</f>
        <v>-527108</v>
      </c>
      <c r="M106" s="125">
        <f>M104*-M8</f>
        <v>-969037.545943294</v>
      </c>
      <c r="N106" s="125">
        <f>N104*-N8</f>
        <v>-895060.230328479</v>
      </c>
      <c r="O106" s="125">
        <f>O104*-O8</f>
        <v>-870151.824909332</v>
      </c>
      <c r="P106" s="125">
        <f>P104*-P8</f>
        <v>-875361.835186391</v>
      </c>
      <c r="Q106" s="125">
        <f>Q104*-Q8</f>
        <v>-897370.646065791</v>
      </c>
    </row>
    <row r="107" outlineLevel="1" spans="1:17">
      <c r="A107" s="89"/>
      <c r="B107" s="89"/>
      <c r="C107" s="127" t="s">
        <v>222</v>
      </c>
      <c r="D107" s="119"/>
      <c r="E107" s="119"/>
      <c r="F107" s="119"/>
      <c r="G107" s="131"/>
      <c r="H107" s="129">
        <f>H42+H43</f>
        <v>1839781</v>
      </c>
      <c r="I107" s="129">
        <f>I42+I43</f>
        <v>2383985</v>
      </c>
      <c r="J107" s="129">
        <f>J42+J43</f>
        <v>2377688</v>
      </c>
      <c r="K107" s="129">
        <f>K42+K43</f>
        <v>2875282</v>
      </c>
      <c r="L107" s="129">
        <f>L42+L43</f>
        <v>2952644</v>
      </c>
      <c r="M107" s="129">
        <f>SUM(M104:M106)</f>
        <v>2727236.14248137</v>
      </c>
      <c r="N107" s="129">
        <f>SUM(N104:N106)</f>
        <v>2651340.57567047</v>
      </c>
      <c r="O107" s="129">
        <f>SUM(O104:O106)</f>
        <v>2667215.40492646</v>
      </c>
      <c r="P107" s="129">
        <f>SUM(P104:P106)</f>
        <v>2734275.94727824</v>
      </c>
      <c r="Q107" s="129">
        <f>SUM(Q104:Q106)</f>
        <v>2824058.02239112</v>
      </c>
    </row>
    <row r="108" outlineLevel="1" spans="1:17">
      <c r="A108" s="89"/>
      <c r="B108" s="89"/>
      <c r="C108" s="89"/>
      <c r="D108" s="89"/>
      <c r="E108" s="89"/>
      <c r="F108" s="89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</row>
    <row r="109" outlineLevel="1" spans="1:17">
      <c r="A109" s="89"/>
      <c r="B109" s="64" t="s">
        <v>223</v>
      </c>
      <c r="C109" s="89"/>
      <c r="D109" s="89"/>
      <c r="E109" s="89"/>
      <c r="F109" s="89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</row>
    <row r="110" outlineLevel="1" spans="1:17">
      <c r="A110" s="89"/>
      <c r="B110" s="89"/>
      <c r="C110" s="89" t="s">
        <v>224</v>
      </c>
      <c r="D110" s="89"/>
      <c r="E110" s="89"/>
      <c r="F110" s="89"/>
      <c r="H110" s="125"/>
      <c r="I110" s="125">
        <f t="shared" ref="I110:Q110" si="22">H112</f>
        <v>1696779</v>
      </c>
      <c r="J110" s="125">
        <f t="shared" si="22"/>
        <v>2260203</v>
      </c>
      <c r="K110" s="125">
        <f t="shared" si="22"/>
        <v>2155923</v>
      </c>
      <c r="L110" s="125">
        <f t="shared" si="22"/>
        <v>2136421</v>
      </c>
      <c r="M110" s="125">
        <f t="shared" si="22"/>
        <v>1954117</v>
      </c>
      <c r="N110" s="125">
        <f t="shared" si="22"/>
        <v>1751166.33333333</v>
      </c>
      <c r="O110" s="125">
        <f t="shared" si="22"/>
        <v>1548215.66666667</v>
      </c>
      <c r="P110" s="125">
        <f t="shared" si="22"/>
        <v>1345265</v>
      </c>
      <c r="Q110" s="125">
        <f t="shared" si="22"/>
        <v>1142314.33333333</v>
      </c>
    </row>
    <row r="111" outlineLevel="1" spans="1:17">
      <c r="A111" s="89"/>
      <c r="B111" s="89"/>
      <c r="C111" s="89" t="s">
        <v>225</v>
      </c>
      <c r="D111" s="89"/>
      <c r="H111" s="125"/>
      <c r="I111" s="125">
        <f>I112-I110</f>
        <v>563424</v>
      </c>
      <c r="J111" s="125">
        <f>J112-J110</f>
        <v>-104280</v>
      </c>
      <c r="K111" s="125">
        <f>K112-K110</f>
        <v>-19502</v>
      </c>
      <c r="L111" s="125">
        <f>L112-L110</f>
        <v>-182304</v>
      </c>
      <c r="M111" s="125">
        <f>-AVERAGE('Re-Payment'!H14:M14)</f>
        <v>-202950.666666667</v>
      </c>
      <c r="N111" s="125">
        <f>M111</f>
        <v>-202950.666666667</v>
      </c>
      <c r="O111" s="125">
        <f>N111</f>
        <v>-202950.666666667</v>
      </c>
      <c r="P111" s="125">
        <f>O111</f>
        <v>-202950.666666667</v>
      </c>
      <c r="Q111" s="125">
        <f>P111</f>
        <v>-202950.666666667</v>
      </c>
    </row>
    <row r="112" outlineLevel="1" spans="1:17">
      <c r="A112" s="89"/>
      <c r="B112" s="119"/>
      <c r="C112" s="127" t="s">
        <v>222</v>
      </c>
      <c r="D112" s="119"/>
      <c r="E112" s="131"/>
      <c r="F112" s="131"/>
      <c r="G112" s="131"/>
      <c r="H112" s="129">
        <f>H54</f>
        <v>1696779</v>
      </c>
      <c r="I112" s="129">
        <f>I54</f>
        <v>2260203</v>
      </c>
      <c r="J112" s="129">
        <f>J54</f>
        <v>2155923</v>
      </c>
      <c r="K112" s="129">
        <f>K54</f>
        <v>2136421</v>
      </c>
      <c r="L112" s="129">
        <f>L54</f>
        <v>1954117</v>
      </c>
      <c r="M112" s="129">
        <f>SUM(M110:M111)</f>
        <v>1751166.33333333</v>
      </c>
      <c r="N112" s="129">
        <f>SUM(N110:N111)</f>
        <v>1548215.66666667</v>
      </c>
      <c r="O112" s="129">
        <f>SUM(O110:O111)</f>
        <v>1345265</v>
      </c>
      <c r="P112" s="129">
        <f>SUM(P110:P111)</f>
        <v>1142314.33333333</v>
      </c>
      <c r="Q112" s="129">
        <f>SUM(Q110:Q111)</f>
        <v>939363.666666666</v>
      </c>
    </row>
    <row r="113" outlineLevel="1" spans="1:18">
      <c r="A113" s="89"/>
      <c r="B113" s="89"/>
      <c r="C113" s="89" t="s">
        <v>226</v>
      </c>
      <c r="D113" s="89"/>
      <c r="H113" s="125">
        <f>H27</f>
        <v>-166162</v>
      </c>
      <c r="I113" s="125">
        <f>I27</f>
        <v>-192999</v>
      </c>
      <c r="J113" s="125">
        <f>J27</f>
        <v>-226477</v>
      </c>
      <c r="K113" s="125">
        <f>K27</f>
        <v>-217539</v>
      </c>
      <c r="L113" s="125">
        <f>L27</f>
        <v>-215553</v>
      </c>
      <c r="M113" s="125">
        <f>M110*-M9</f>
        <v>-195606.290983951</v>
      </c>
      <c r="N113" s="125">
        <f>N110*-N9</f>
        <v>-175291.014488538</v>
      </c>
      <c r="O113" s="125">
        <f>O110*-O9</f>
        <v>-154975.737993125</v>
      </c>
      <c r="P113" s="125">
        <f>P110*-P9</f>
        <v>-134660.461497712</v>
      </c>
      <c r="Q113" s="125">
        <f>Q110*-Q9</f>
        <v>-114345.185002299</v>
      </c>
    </row>
    <row r="114" spans="1:18">
      <c r="A114" s="89"/>
      <c r="B114" s="89"/>
      <c r="C114" s="89"/>
      <c r="D114" s="89"/>
    </row>
    <row r="115" spans="1:18">
      <c r="A115" s="17" t="s">
        <v>227</v>
      </c>
      <c r="B115" s="17"/>
      <c r="C115" s="17"/>
      <c r="D115" s="17"/>
      <c r="E115" s="17"/>
      <c r="F115" s="17"/>
      <c r="G115" s="17"/>
      <c r="H115" s="17"/>
      <c r="I115" s="40"/>
      <c r="J115" s="40"/>
      <c r="K115" s="40"/>
      <c r="L115" s="40"/>
      <c r="M115" s="40"/>
      <c r="N115" s="40"/>
      <c r="O115" s="40"/>
      <c r="P115" s="40"/>
      <c r="Q115" s="40"/>
    </row>
    <row r="116" spans="1:18">
      <c r="A116" s="89"/>
      <c r="B116" s="89"/>
      <c r="C116" s="89"/>
      <c r="D116" s="89"/>
    </row>
    <row r="117" spans="1:18">
      <c r="A117" s="16"/>
      <c r="B117" s="65" t="s">
        <v>228</v>
      </c>
      <c r="C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spans="1:18">
      <c r="A118" s="16"/>
      <c r="B118" s="66" t="s">
        <v>229</v>
      </c>
      <c r="C118" s="66"/>
      <c r="D118" s="131"/>
      <c r="E118" s="131"/>
      <c r="F118" s="145">
        <f>DATE(2026,9,26)</f>
        <v>46291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spans="1:18">
      <c r="A119" s="16"/>
      <c r="B119" s="16" t="s">
        <v>230</v>
      </c>
      <c r="C119" s="16"/>
      <c r="F119" s="146">
        <f>DATE(2027,3,31)</f>
        <v>46477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spans="1:18">
      <c r="A120" s="16"/>
      <c r="B120" s="16" t="s">
        <v>231</v>
      </c>
      <c r="C120" s="16"/>
      <c r="F120" s="71">
        <f>M10</f>
        <v>0.238578164379273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spans="1:18">
      <c r="A121" s="16"/>
      <c r="B121" s="16" t="s">
        <v>232</v>
      </c>
      <c r="C121" s="16"/>
      <c r="F121" s="147">
        <f>Comp!U14</f>
        <v>15.3575637061547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spans="1:18">
      <c r="A122" s="16"/>
      <c r="B122" s="16" t="s">
        <v>233</v>
      </c>
      <c r="C122" s="16"/>
      <c r="F122" s="148">
        <v>0.05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spans="1:18">
      <c r="A123" s="16"/>
      <c r="B123" s="16" t="s">
        <v>234</v>
      </c>
      <c r="C123" s="16"/>
      <c r="F123" s="71">
        <f>WACC!I42</f>
        <v>0.10170745771297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1:18">
      <c r="A124" s="16"/>
      <c r="B124" s="16" t="s">
        <v>235</v>
      </c>
      <c r="C124" s="16"/>
      <c r="F124" s="72">
        <f>'Comp Data'!J5</f>
        <v>6093.6</v>
      </c>
      <c r="G124" s="16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6"/>
    </row>
    <row r="125" spans="1:18">
      <c r="A125" s="16"/>
      <c r="B125" s="16"/>
      <c r="C125" s="16"/>
      <c r="E125" s="16"/>
      <c r="F125" s="16"/>
      <c r="G125" s="16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6"/>
    </row>
    <row r="126" spans="1:18">
      <c r="A126" s="16"/>
      <c r="B126" s="16"/>
      <c r="C126" s="16"/>
      <c r="E126" s="16"/>
      <c r="F126" s="16"/>
      <c r="G126" s="16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6"/>
    </row>
    <row r="127" spans="1:18">
      <c r="A127" s="16"/>
      <c r="B127" s="65" t="s">
        <v>236</v>
      </c>
      <c r="C127" s="16"/>
      <c r="D127" s="150"/>
      <c r="E127" s="64"/>
      <c r="F127" s="64"/>
      <c r="G127" s="64"/>
      <c r="H127" s="151" t="s">
        <v>237</v>
      </c>
      <c r="I127" s="151">
        <f>YEAR(F118)</f>
        <v>2026</v>
      </c>
      <c r="J127" s="151">
        <f>I127+1</f>
        <v>2027</v>
      </c>
      <c r="K127" s="151">
        <f>J127+1</f>
        <v>2028</v>
      </c>
      <c r="L127" s="151">
        <f>K127+1</f>
        <v>2029</v>
      </c>
      <c r="M127" s="151">
        <f>L127+1</f>
        <v>2030</v>
      </c>
      <c r="N127" s="151" t="s">
        <v>238</v>
      </c>
      <c r="O127" s="149"/>
      <c r="P127" s="144" t="s">
        <v>239</v>
      </c>
      <c r="Q127" s="149"/>
      <c r="R127" s="16"/>
    </row>
    <row r="128" spans="1:18">
      <c r="A128" s="16"/>
      <c r="B128" s="66" t="s">
        <v>240</v>
      </c>
      <c r="C128" s="66"/>
      <c r="D128" s="131"/>
      <c r="E128" s="66"/>
      <c r="F128" s="66"/>
      <c r="G128" s="66"/>
      <c r="H128" s="152">
        <f>F118</f>
        <v>46291</v>
      </c>
      <c r="I128" s="152">
        <f>F119</f>
        <v>46477</v>
      </c>
      <c r="J128" s="152">
        <f>DATE(YEAR(I128)+1,3,31)</f>
        <v>46843</v>
      </c>
      <c r="K128" s="152">
        <f>DATE(YEAR(J128)+1,3,31)</f>
        <v>47208</v>
      </c>
      <c r="L128" s="152">
        <f>DATE(YEAR(K128)+1,3,31)</f>
        <v>47573</v>
      </c>
      <c r="M128" s="152">
        <f>DATE(YEAR(L128)+1,3,31)</f>
        <v>47938</v>
      </c>
      <c r="N128" s="152">
        <f>M128</f>
        <v>47938</v>
      </c>
      <c r="O128" s="149"/>
      <c r="P128" s="153" t="s">
        <v>241</v>
      </c>
      <c r="Q128" s="153">
        <f>M138*(1+F122)/(F123-F122)</f>
        <v>26509229.3395253</v>
      </c>
      <c r="R128" s="16"/>
    </row>
    <row r="129" spans="1:18">
      <c r="A129" s="16"/>
      <c r="B129" s="16" t="s">
        <v>242</v>
      </c>
      <c r="C129" s="16"/>
      <c r="E129" s="16"/>
      <c r="F129" s="16"/>
      <c r="G129" s="16"/>
      <c r="H129" s="149"/>
      <c r="I129" s="149">
        <v>0</v>
      </c>
      <c r="J129" s="149">
        <v>1</v>
      </c>
      <c r="K129" s="149">
        <v>2</v>
      </c>
      <c r="L129" s="149">
        <v>3</v>
      </c>
      <c r="M129" s="149">
        <v>4</v>
      </c>
      <c r="N129" s="149"/>
      <c r="O129" s="154"/>
      <c r="R129" s="16"/>
    </row>
    <row r="130" spans="1:18">
      <c r="A130" s="16"/>
      <c r="B130" s="16" t="s">
        <v>243</v>
      </c>
      <c r="C130" s="16"/>
      <c r="E130" s="16"/>
      <c r="F130" s="16"/>
      <c r="G130" s="16"/>
      <c r="H130" s="149"/>
      <c r="I130" s="149">
        <f>YEARFRAC(H128,I128)</f>
        <v>0.513888888888889</v>
      </c>
      <c r="J130" s="149">
        <f>YEARFRAC(I128,J128)</f>
        <v>1</v>
      </c>
      <c r="K130" s="149">
        <f>YEARFRAC(J128,K128)</f>
        <v>1</v>
      </c>
      <c r="L130" s="149">
        <f>YEARFRAC(K128,L128)</f>
        <v>1</v>
      </c>
      <c r="M130" s="149">
        <f>YEARFRAC(L128,M128)</f>
        <v>1</v>
      </c>
      <c r="N130" s="149">
        <f>M130</f>
        <v>1</v>
      </c>
      <c r="O130" s="154"/>
      <c r="P130" s="155"/>
      <c r="Q130" s="155"/>
      <c r="R130" s="16"/>
    </row>
    <row r="131" spans="1:18">
      <c r="A131" s="16"/>
      <c r="B131" s="16"/>
      <c r="C131" s="16"/>
      <c r="E131" s="16"/>
      <c r="F131" s="16"/>
      <c r="G131" s="16"/>
      <c r="H131" s="149"/>
      <c r="I131" s="149"/>
      <c r="J131" s="149"/>
      <c r="K131" s="149"/>
      <c r="L131" s="149"/>
      <c r="M131" s="149"/>
      <c r="N131" s="149"/>
      <c r="O131" s="154"/>
      <c r="P131" s="154"/>
      <c r="Q131" s="154"/>
      <c r="R131" s="16"/>
    </row>
    <row r="132" spans="1:18">
      <c r="A132" s="16"/>
      <c r="B132" s="64" t="s">
        <v>167</v>
      </c>
      <c r="C132" s="64"/>
      <c r="D132" s="150"/>
      <c r="E132" s="64"/>
      <c r="F132" s="64"/>
      <c r="G132" s="64"/>
      <c r="H132" s="144"/>
      <c r="I132" s="144">
        <f>M26</f>
        <v>390102.497405233</v>
      </c>
      <c r="J132" s="144">
        <f>N26</f>
        <v>737129.783464025</v>
      </c>
      <c r="K132" s="144">
        <f>O26</f>
        <v>1057375.08817464</v>
      </c>
      <c r="L132" s="144">
        <f>P26</f>
        <v>1366300.2131066</v>
      </c>
      <c r="M132" s="144">
        <f>Q26</f>
        <v>1673336.38346953</v>
      </c>
      <c r="N132" s="144"/>
      <c r="O132" s="154"/>
      <c r="P132" s="154"/>
      <c r="Q132" s="154"/>
      <c r="R132" s="16"/>
    </row>
    <row r="133" spans="1:18">
      <c r="A133" s="16"/>
      <c r="B133" s="16" t="s">
        <v>244</v>
      </c>
      <c r="C133" s="16"/>
      <c r="E133" s="16"/>
      <c r="F133" s="16"/>
      <c r="G133" s="16"/>
      <c r="H133" s="149"/>
      <c r="I133" s="149">
        <f>I132*-$F$120</f>
        <v>-93069.9377507105</v>
      </c>
      <c r="J133" s="149">
        <f>J132*-$F$120</f>
        <v>-175863.070648138</v>
      </c>
      <c r="K133" s="149">
        <f>K132*-$F$120</f>
        <v>-252266.607597077</v>
      </c>
      <c r="L133" s="149">
        <f>L132*-$F$120</f>
        <v>-325969.396833981</v>
      </c>
      <c r="M133" s="149">
        <f>M132*-$F$120</f>
        <v>-399221.522757213</v>
      </c>
      <c r="N133" s="149"/>
      <c r="O133" s="149"/>
      <c r="P133" s="149"/>
      <c r="Q133" s="149"/>
      <c r="R133" s="16"/>
    </row>
    <row r="134" spans="1:18">
      <c r="A134" s="16"/>
      <c r="B134" s="127" t="s">
        <v>245</v>
      </c>
      <c r="C134" s="127"/>
      <c r="D134" s="156"/>
      <c r="E134" s="127"/>
      <c r="F134" s="127"/>
      <c r="G134" s="127"/>
      <c r="H134" s="129"/>
      <c r="I134" s="129">
        <f>SUM(I132:I133)</f>
        <v>297032.559654522</v>
      </c>
      <c r="J134" s="129">
        <f>SUM(J132:J133)</f>
        <v>561266.712815887</v>
      </c>
      <c r="K134" s="129">
        <f>SUM(K132:K133)</f>
        <v>805108.480577562</v>
      </c>
      <c r="L134" s="129">
        <f>SUM(L132:L133)</f>
        <v>1040330.81627261</v>
      </c>
      <c r="M134" s="129">
        <f>SUM(M132:M133)</f>
        <v>1274114.86071232</v>
      </c>
      <c r="N134" s="152"/>
      <c r="O134" s="149"/>
      <c r="P134" s="149"/>
      <c r="Q134" s="149"/>
      <c r="R134" s="16"/>
    </row>
    <row r="135" spans="1:18">
      <c r="A135" s="16"/>
      <c r="B135" s="16" t="s">
        <v>197</v>
      </c>
      <c r="C135" s="16"/>
      <c r="E135" s="16"/>
      <c r="F135" s="16"/>
      <c r="G135" s="16"/>
      <c r="H135" s="149"/>
      <c r="I135" s="149">
        <f>-M106</f>
        <v>969037.545943294</v>
      </c>
      <c r="J135" s="149">
        <f>-N106</f>
        <v>895060.230328479</v>
      </c>
      <c r="K135" s="149">
        <f>-O106</f>
        <v>870151.824909332</v>
      </c>
      <c r="L135" s="149">
        <f>-P106</f>
        <v>875361.835186391</v>
      </c>
      <c r="M135" s="149">
        <f>-Q106</f>
        <v>897370.646065791</v>
      </c>
      <c r="N135" s="149"/>
      <c r="O135" s="149"/>
      <c r="P135" s="149"/>
      <c r="Q135" s="149"/>
      <c r="R135" s="16"/>
    </row>
    <row r="136" spans="1:18">
      <c r="A136" s="16"/>
      <c r="B136" s="16" t="s">
        <v>246</v>
      </c>
      <c r="C136" s="16"/>
      <c r="E136" s="16"/>
      <c r="F136" s="16"/>
      <c r="G136" s="16"/>
      <c r="H136" s="149"/>
      <c r="I136" s="149">
        <f>-M105</f>
        <v>-743629.688424665</v>
      </c>
      <c r="J136" s="149">
        <f>-N105</f>
        <v>-819164.663517576</v>
      </c>
      <c r="K136" s="149">
        <f>-O105</f>
        <v>-886026.654165326</v>
      </c>
      <c r="L136" s="149">
        <f>-P105</f>
        <v>-942422.377538172</v>
      </c>
      <c r="M136" s="149">
        <f>-Q105</f>
        <v>-987152.72117867</v>
      </c>
      <c r="N136" s="149"/>
      <c r="O136" s="149"/>
      <c r="P136" s="149"/>
      <c r="Q136" s="149"/>
      <c r="R136" s="16"/>
    </row>
    <row r="137" spans="1:18">
      <c r="A137" s="16"/>
      <c r="B137" s="16" t="s">
        <v>247</v>
      </c>
      <c r="C137" s="16"/>
      <c r="E137" s="16"/>
      <c r="F137" s="16"/>
      <c r="G137" s="16"/>
      <c r="H137" s="149"/>
      <c r="I137" s="149">
        <f>M101</f>
        <v>135924.187744691</v>
      </c>
      <c r="J137" s="149">
        <f>N101</f>
        <v>100508.034249743</v>
      </c>
      <c r="K137" s="149">
        <f>O101</f>
        <v>108711.71727627</v>
      </c>
      <c r="L137" s="149">
        <f>P101</f>
        <v>115631.233643049</v>
      </c>
      <c r="M137" s="149">
        <f>Q101</f>
        <v>121119.457330966</v>
      </c>
      <c r="N137" s="149"/>
      <c r="O137" s="149"/>
      <c r="P137" s="149"/>
      <c r="Q137" s="149"/>
      <c r="R137" s="16"/>
    </row>
    <row r="138" spans="1:18">
      <c r="A138" s="16"/>
      <c r="B138" s="157" t="s">
        <v>248</v>
      </c>
      <c r="C138" s="127"/>
      <c r="D138" s="156"/>
      <c r="E138" s="127"/>
      <c r="F138" s="127"/>
      <c r="G138" s="127"/>
      <c r="H138" s="129"/>
      <c r="I138" s="129">
        <f>SUM(I134:I137)</f>
        <v>658364.604917842</v>
      </c>
      <c r="J138" s="129">
        <f>SUM(J134:J137)</f>
        <v>737670.313876532</v>
      </c>
      <c r="K138" s="129">
        <f>SUM(K134:K137)</f>
        <v>897945.368597837</v>
      </c>
      <c r="L138" s="129">
        <f>SUM(L134:L137)</f>
        <v>1088901.50756388</v>
      </c>
      <c r="M138" s="129">
        <f>SUM(M134:M137)</f>
        <v>1305452.24293041</v>
      </c>
      <c r="N138" s="129"/>
      <c r="O138" s="149"/>
      <c r="P138" s="149"/>
      <c r="Q138" s="149"/>
      <c r="R138" s="16"/>
    </row>
    <row r="139" spans="1:18">
      <c r="A139" s="16"/>
      <c r="B139" s="16"/>
      <c r="C139" s="16"/>
      <c r="E139" s="16"/>
      <c r="F139" s="16"/>
      <c r="G139" s="16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6"/>
    </row>
    <row r="140" spans="1:18">
      <c r="A140" s="16"/>
      <c r="B140" s="64" t="s">
        <v>249</v>
      </c>
      <c r="C140" s="64"/>
      <c r="D140" s="150"/>
      <c r="E140" s="64"/>
      <c r="F140" s="64"/>
      <c r="G140" s="64"/>
      <c r="H140" s="144"/>
      <c r="I140" s="144">
        <f>I138*I130</f>
        <v>338326.255305002</v>
      </c>
      <c r="J140" s="144">
        <f>J138*J130</f>
        <v>737670.313876532</v>
      </c>
      <c r="K140" s="144">
        <f>K138*K130</f>
        <v>897945.368597837</v>
      </c>
      <c r="L140" s="144">
        <f>L138*L130</f>
        <v>1088901.50756388</v>
      </c>
      <c r="M140" s="144">
        <f>M138*M130</f>
        <v>1305452.24293041</v>
      </c>
      <c r="N140" s="144">
        <f>Q128</f>
        <v>26509229.3395253</v>
      </c>
      <c r="O140" s="149"/>
      <c r="P140" s="149"/>
      <c r="Q140" s="149"/>
      <c r="R140" s="16"/>
    </row>
    <row r="141" spans="1:18">
      <c r="A141" s="16"/>
      <c r="B141" s="16"/>
      <c r="C141" s="16"/>
      <c r="E141" s="16"/>
      <c r="F141" s="16"/>
      <c r="G141" s="16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6"/>
    </row>
    <row r="142" spans="1:18">
      <c r="A142" s="16"/>
      <c r="B142" s="65" t="s">
        <v>250</v>
      </c>
      <c r="C142" s="16"/>
      <c r="E142" s="16"/>
      <c r="F142" s="16"/>
      <c r="G142" s="16"/>
      <c r="H142" s="16"/>
      <c r="I142" s="65" t="s">
        <v>251</v>
      </c>
      <c r="J142" s="16"/>
      <c r="K142" s="16"/>
      <c r="M142" s="16"/>
      <c r="N142" s="16"/>
      <c r="O142" s="16"/>
      <c r="P142" s="16"/>
      <c r="Q142" s="16"/>
      <c r="R142" s="16"/>
    </row>
    <row r="143" spans="1:18">
      <c r="A143" s="16"/>
      <c r="B143" s="66" t="s">
        <v>252</v>
      </c>
      <c r="C143" s="66"/>
      <c r="D143" s="131"/>
      <c r="E143" s="152"/>
      <c r="F143" s="152">
        <f>XNPV(F123,I140:N140,I128:N128)</f>
        <v>21436713.6121697</v>
      </c>
      <c r="G143" s="16"/>
      <c r="H143" s="16"/>
      <c r="I143" s="66" t="s">
        <v>253</v>
      </c>
      <c r="J143" s="66"/>
      <c r="K143" s="69">
        <v>1850</v>
      </c>
      <c r="M143" s="16"/>
      <c r="N143" s="16"/>
      <c r="O143" s="16"/>
      <c r="P143" s="16"/>
      <c r="Q143" s="16"/>
      <c r="R143" s="16"/>
    </row>
    <row r="144" spans="1:18">
      <c r="A144" s="16"/>
      <c r="B144" s="16" t="s">
        <v>254</v>
      </c>
      <c r="C144" s="16"/>
      <c r="E144" s="149"/>
      <c r="F144" s="149">
        <f>M36+M45</f>
        <v>642763.562570129</v>
      </c>
      <c r="G144" s="16"/>
      <c r="H144" s="16"/>
      <c r="I144" s="16" t="s">
        <v>255</v>
      </c>
      <c r="J144" s="16"/>
      <c r="K144" s="72">
        <f>F149</f>
        <v>3225.72734914333</v>
      </c>
      <c r="M144" s="16"/>
      <c r="N144" s="16"/>
      <c r="O144" s="16"/>
      <c r="P144" s="16"/>
      <c r="Q144" s="16"/>
      <c r="R144" s="16"/>
    </row>
    <row r="145" spans="1:18">
      <c r="A145" s="16"/>
      <c r="B145" s="16" t="s">
        <v>256</v>
      </c>
      <c r="C145" s="16"/>
      <c r="E145" s="149"/>
      <c r="F145" s="149">
        <f>-L112</f>
        <v>-1954117</v>
      </c>
      <c r="G145" s="16"/>
      <c r="H145" s="16"/>
      <c r="I145" s="16" t="s">
        <v>257</v>
      </c>
      <c r="J145" s="16"/>
      <c r="K145" s="71">
        <f>K144/K143-1</f>
        <v>0.743636404942341</v>
      </c>
      <c r="M145" s="16"/>
      <c r="N145" s="16"/>
      <c r="O145" s="16"/>
      <c r="P145" s="16"/>
      <c r="Q145" s="16"/>
      <c r="R145" s="16"/>
    </row>
    <row r="146" spans="1:18">
      <c r="A146" s="16"/>
      <c r="B146" s="16" t="s">
        <v>258</v>
      </c>
      <c r="C146" s="16"/>
      <c r="E146" s="149"/>
      <c r="F146" s="149">
        <f>-L61</f>
        <v>-469068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spans="1:18">
      <c r="A147" s="16"/>
      <c r="B147" s="157" t="s">
        <v>259</v>
      </c>
      <c r="C147" s="66"/>
      <c r="D147" s="131"/>
      <c r="E147" s="152"/>
      <c r="F147" s="158">
        <f>SUM(F143:F146)</f>
        <v>19656292.1747398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1:18">
      <c r="A148" s="16"/>
      <c r="B148" s="16"/>
      <c r="C148" s="16"/>
      <c r="E148" s="149"/>
      <c r="F148" s="149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spans="1:18">
      <c r="A149" s="16"/>
      <c r="B149" s="65" t="s">
        <v>260</v>
      </c>
      <c r="C149" s="16"/>
      <c r="E149" s="16"/>
      <c r="F149" s="159">
        <f>F147/F124</f>
        <v>3225.72734914333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spans="1:18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1:18">
      <c r="A151" s="52" t="s">
        <v>261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6"/>
    </row>
    <row r="152" spans="1:18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1:18">
      <c r="A153" s="16"/>
      <c r="B153" s="160"/>
      <c r="C153" s="160"/>
      <c r="D153" s="160"/>
      <c r="E153" s="160"/>
      <c r="F153" s="160"/>
      <c r="G153" s="16"/>
      <c r="H153" s="16"/>
      <c r="I153" s="65"/>
      <c r="J153" s="16"/>
      <c r="K153" s="16"/>
      <c r="L153" s="16"/>
      <c r="M153" s="16"/>
      <c r="N153" s="16"/>
      <c r="O153" s="16"/>
      <c r="P153" s="16"/>
      <c r="Q153" s="16"/>
      <c r="R153" s="16"/>
    </row>
    <row r="154" spans="1:18">
      <c r="A154" s="16"/>
      <c r="B154" s="160"/>
      <c r="C154" s="160"/>
      <c r="D154" s="160"/>
      <c r="E154" s="160"/>
      <c r="F154" s="160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spans="1:18">
      <c r="A155" s="16"/>
      <c r="B155" s="160"/>
      <c r="C155" s="160"/>
      <c r="D155" s="160"/>
      <c r="E155" s="160"/>
      <c r="F155" s="160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spans="1:18">
      <c r="A156" s="16"/>
      <c r="B156" s="160"/>
      <c r="C156" s="160"/>
      <c r="D156" s="160"/>
      <c r="E156" s="160"/>
      <c r="F156" s="160"/>
      <c r="G156" s="16"/>
      <c r="H156" s="16"/>
      <c r="I156" s="16"/>
      <c r="J156" s="16"/>
      <c r="K156" s="161" t="s">
        <v>262</v>
      </c>
      <c r="L156" s="162"/>
      <c r="M156" s="162"/>
      <c r="N156" s="162"/>
      <c r="O156" s="162"/>
      <c r="P156" s="16"/>
      <c r="Q156" s="16"/>
      <c r="R156" s="16"/>
    </row>
    <row r="157" spans="1:18">
      <c r="A157" s="16"/>
      <c r="B157" s="160"/>
      <c r="C157" s="160"/>
      <c r="D157" s="160"/>
      <c r="E157" s="160"/>
      <c r="F157" s="160"/>
      <c r="G157" s="16"/>
      <c r="H157" s="16"/>
      <c r="I157" s="163" t="s">
        <v>234</v>
      </c>
      <c r="J157" s="164">
        <f>F149</f>
        <v>3225.72734914333</v>
      </c>
      <c r="K157" s="165">
        <v>20</v>
      </c>
      <c r="L157" s="165">
        <v>25</v>
      </c>
      <c r="M157" s="165">
        <f>F121</f>
        <v>15.3575637061547</v>
      </c>
      <c r="N157" s="165">
        <v>30</v>
      </c>
      <c r="O157" s="165">
        <v>35</v>
      </c>
      <c r="P157" s="16"/>
      <c r="Q157" s="16"/>
      <c r="R157" s="16"/>
    </row>
    <row r="158" spans="1:18">
      <c r="A158" s="16"/>
      <c r="B158" s="160"/>
      <c r="C158" s="160"/>
      <c r="D158" s="160"/>
      <c r="E158" s="160"/>
      <c r="F158" s="160"/>
      <c r="G158" s="16"/>
      <c r="H158" s="16"/>
      <c r="I158" s="163"/>
      <c r="J158" s="166">
        <f>J159-1%</f>
        <v>0.08170745771297</v>
      </c>
      <c r="K158" s="167">
        <f>($I$140+$J$140/(1+$J158)^(($J$128-$I$128)/365)+$K$140/(1+$J158)^(($K$128-$I$128)/365)+$L$140/(1+$J158)^(($L$128-$I$128)/365)+$M$140/(1+$J158)^(($M$128-$I$128)/365)+(($M$132+$M$135)*K157+$Q$128)/2/(1+$J158)^(($N$128-$I$128)/365)+$F$144+$F$145+$F$146)/$F$124</f>
        <v>4967.81474493727</v>
      </c>
      <c r="L158" s="69">
        <f>($I$140+$J$140/(1+$J158)^(($J$128-$I$128)/365)+$K$140/(1+$J158)^(($K$128-$I$128)/365)+$L$140/(1+$J158)^(($L$128-$I$128)/365)+$M$140/(1+$J158)^(($M$128-$I$128)/365)+(($M$132+$M$135)*L157+$Q$128)/2/(1+$J158)^(($N$128-$I$128)/365)+$F$144+$F$145+$F$146)/$F$124</f>
        <v>5737.9835145541</v>
      </c>
      <c r="M158" s="69">
        <f>($I$140+$J$140/(1+$J158)^(($J$128-$I$128)/365)+$K$140/(1+$J158)^(($K$128-$I$128)/365)+$L$140/(1+$J158)^(($L$128-$I$128)/365)+$M$140/(1+$J158)^(($M$128-$I$128)/365)+(($M$132+$M$135)*M157+$Q$128)/2/(1+$J158)^(($N$128-$I$128)/365)+$F$144+$F$145+$F$146)/$F$124</f>
        <v>4252.7228552462</v>
      </c>
      <c r="N158" s="69">
        <f>($I$140+$J$140/(1+$J158)^(($J$128-$I$128)/365)+$K$140/(1+$J158)^(($K$128-$I$128)/365)+$L$140/(1+$J158)^(($L$128-$I$128)/365)+$M$140/(1+$J158)^(($M$128-$I$128)/365)+(($M$132+$M$135)*N157+$Q$128)/2/(1+$J158)^(($N$128-$I$128)/365)+$F$144+$F$145+$F$146)/$F$124</f>
        <v>6508.15228417094</v>
      </c>
      <c r="O158" s="69">
        <f>($I$140+$J$140/(1+$J158)^(($J$128-$I$128)/365)+$K$140/(1+$J158)^(($K$128-$I$128)/365)+$L$140/(1+$J158)^(($L$128-$I$128)/365)+$M$140/(1+$J158)^(($M$128-$I$128)/365)+(($M$132+$M$135)*O157+$Q$128)/2/(1+$J158)^(($N$128-$I$128)/365)+$F$144+$F$145+$F$146)/$F$124</f>
        <v>7278.32105378777</v>
      </c>
      <c r="P158" s="16"/>
      <c r="Q158" s="16"/>
      <c r="R158" s="16"/>
    </row>
    <row r="159" spans="1:18">
      <c r="A159" s="16"/>
      <c r="B159" s="160"/>
      <c r="C159" s="160"/>
      <c r="D159" s="160"/>
      <c r="E159" s="160"/>
      <c r="F159" s="160"/>
      <c r="G159" s="16"/>
      <c r="H159" s="16"/>
      <c r="I159" s="163"/>
      <c r="J159" s="166">
        <f>J160-1%</f>
        <v>0.09170745771297</v>
      </c>
      <c r="K159" s="168">
        <f>($I$140+$J$140/(1+$J159)^(($J$128-$I$128)/365)+$K$140/(1+$J159)^(($K$128-$I$128)/365)+$L$140/(1+$J159)^(($L$128-$I$128)/365)+$M$140/(1+$J159)^(($M$128-$I$128)/365)+(($M$132+$M$135)*K157+$Q$128)/2/(1+$J159)^(($N$128-$I$128)/365)+$F$144+$F$145+$F$146)/$F$124</f>
        <v>4786.13183567718</v>
      </c>
      <c r="L159" s="76">
        <f>($I$140+$J$140/(1+$J159)^(($J$128-$I$128)/365)+$K$140/(1+$J159)^(($K$128-$I$128)/365)+$L$140/(1+$J159)^(($L$128-$I$128)/365)+$M$140/(1+$J159)^(($M$128-$I$128)/365)+(($M$132+$M$135)*L157+$Q$128)/2/(1+$J159)^(($N$128-$I$128)/365)+$F$144+$F$145+$F$146)/$F$124</f>
        <v>5528.44838366238</v>
      </c>
      <c r="M159" s="76">
        <f>($I$140+$J$140/(1+$J159)^(($J$128-$I$128)/365)+$K$140/(1+$J159)^(($K$128-$I$128)/365)+$L$140/(1+$J159)^(($L$128-$I$128)/365)+$M$140/(1+$J159)^(($M$128-$I$128)/365)+(($M$132+$M$135)*M157+$Q$128)/2/(1+$J159)^(($N$128-$I$128)/365)+$F$144+$F$145+$F$146)/$F$124</f>
        <v>4096.90037889949</v>
      </c>
      <c r="N159" s="76">
        <f>($I$140+$J$140/(1+$J159)^(($J$128-$I$128)/365)+$K$140/(1+$J159)^(($K$128-$I$128)/365)+$L$140/(1+$J159)^(($L$128-$I$128)/365)+$M$140/(1+$J159)^(($M$128-$I$128)/365)+(($M$132+$M$135)*N157+$Q$128)/2/(1+$J159)^(($N$128-$I$128)/365)+$F$144+$F$145+$F$146)/$F$124</f>
        <v>6270.76493164758</v>
      </c>
      <c r="O159" s="72">
        <f>($I$140+$J$140/(1+$J159)^(($J$128-$I$128)/365)+$K$140/(1+$J159)^(($K$128-$I$128)/365)+$L$140/(1+$J159)^(($L$128-$I$128)/365)+$M$140/(1+$J159)^(($M$128-$I$128)/365)+(($M$132+$M$135)*O157+$Q$128)/2/(1+$J159)^(($N$128-$I$128)/365)+$F$144+$F$145+$F$146)/$F$124</f>
        <v>7013.08147963277</v>
      </c>
      <c r="P159" s="16"/>
      <c r="Q159" s="16"/>
      <c r="R159" s="16"/>
    </row>
    <row r="160" spans="1:18">
      <c r="A160" s="16"/>
      <c r="B160" s="160"/>
      <c r="C160" s="160"/>
      <c r="D160" s="160"/>
      <c r="E160" s="160"/>
      <c r="F160" s="160"/>
      <c r="G160" s="16"/>
      <c r="H160" s="16"/>
      <c r="I160" s="163"/>
      <c r="J160" s="166">
        <f>F123</f>
        <v>0.10170745771297</v>
      </c>
      <c r="K160" s="168">
        <f>($I$140+$J$140/(1+$J160)^(($J$128-$I$128)/365)+$K$140/(1+$J160)^(($K$128-$I$128)/365)+$L$140/(1+$J160)^(($L$128-$I$128)/365)+$M$140/(1+$J160)^(($M$128-$I$128)/365)+(($M$132+$M$135)*K157+$Q$128)/2/(1+$J160)^(($N$128-$I$128)/365)+$F$144+$F$145+$F$146)/$F$124</f>
        <v>4612.48526304558</v>
      </c>
      <c r="L160" s="76">
        <f>($I$140+$J$140/(1+$J160)^(($J$128-$I$128)/365)+$K$140/(1+$J160)^(($K$128-$I$128)/365)+$L$140/(1+$J160)^(($L$128-$I$128)/365)+$M$140/(1+$J160)^(($M$128-$I$128)/365)+(($M$132+$M$135)*L157+$Q$128)/2/(1+$J160)^(($N$128-$I$128)/365)+$F$144+$F$145+$F$146)/$F$124</f>
        <v>5328.19717255162</v>
      </c>
      <c r="M160" s="169">
        <f>($I$140+$J$140/(1+$J160)^(($J$128-$I$128)/365)+$K$140/(1+$J160)^(($K$128-$I$128)/365)+$L$140/(1+$J160)^(($L$128-$I$128)/365)+$M$140/(1+$J160)^(($M$128-$I$128)/365)+(($M$132+$M$135)*M157+$Q$128)/2/(1+$J160)^(($N$128-$I$128)/365)+$F$144+$F$145+$F$146)/$F$124</f>
        <v>3947.95587411995</v>
      </c>
      <c r="N160" s="76">
        <f>($I$140+$J$140/(1+$J160)^(($J$128-$I$128)/365)+$K$140/(1+$J160)^(($K$128-$I$128)/365)+$L$140/(1+$J160)^(($L$128-$I$128)/365)+$M$140/(1+$J160)^(($M$128-$I$128)/365)+(($M$132+$M$135)*N157+$Q$128)/2/(1+$J160)^(($N$128-$I$128)/365)+$F$144+$F$145+$F$146)/$F$124</f>
        <v>6043.90908205765</v>
      </c>
      <c r="O160" s="72">
        <f>($I$140+$J$140/(1+$J160)^(($J$128-$I$128)/365)+$K$140/(1+$J160)^(($K$128-$I$128)/365)+$L$140/(1+$J160)^(($L$128-$I$128)/365)+$M$140/(1+$J160)^(($M$128-$I$128)/365)+(($M$132+$M$135)*O157+$Q$128)/2/(1+$J160)^(($N$128-$I$128)/365)+$F$144+$F$145+$F$146)/$F$124</f>
        <v>6759.62099156368</v>
      </c>
      <c r="P160" s="16"/>
      <c r="Q160" s="16"/>
      <c r="R160" s="16"/>
    </row>
    <row r="161" spans="1:18">
      <c r="A161" s="16"/>
      <c r="B161" s="160"/>
      <c r="C161" s="160"/>
      <c r="D161" s="160"/>
      <c r="E161" s="160"/>
      <c r="F161" s="160"/>
      <c r="G161" s="16"/>
      <c r="H161" s="16"/>
      <c r="I161" s="163"/>
      <c r="J161" s="166">
        <f>J160+1%</f>
        <v>0.11170745771297</v>
      </c>
      <c r="K161" s="168">
        <f>($I$140+$J$140/(1+$J161)^(($J$128-$I$128)/365)+$K$140/(1+$J161)^(($K$128-$I$128)/365)+$L$140/(1+$J161)^(($L$128-$I$128)/365)+$M$140/(1+$J161)^(($M$128-$I$128)/365)+(($M$132+$M$135)*K157+$Q$128)/2/(1+$J161)^(($N$128-$I$128)/365)+$F$144+$F$145+$F$146)/$F$124</f>
        <v>4446.44972132288</v>
      </c>
      <c r="L161" s="76">
        <f>($I$140+$J$140/(1+$J161)^(($J$128-$I$128)/365)+$K$140/(1+$J161)^(($K$128-$I$128)/365)+$L$140/(1+$J161)^(($L$128-$I$128)/365)+$M$140/(1+$J161)^(($M$128-$I$128)/365)+(($M$132+$M$135)*L157+$Q$128)/2/(1+$J161)^(($N$128-$I$128)/365)+$F$144+$F$145+$F$146)/$F$124</f>
        <v>5136.7381184644</v>
      </c>
      <c r="M161" s="76">
        <f>($I$140+$J$140/(1+$J161)^(($J$128-$I$128)/365)+$K$140/(1+$J161)^(($K$128-$I$128)/365)+$L$140/(1+$J161)^(($L$128-$I$128)/365)+$M$140/(1+$J161)^(($M$128-$I$128)/365)+(($M$132+$M$135)*M157+$Q$128)/2/(1+$J161)^(($N$128-$I$128)/365)+$F$144+$F$145+$F$146)/$F$124</f>
        <v>3805.52573970086</v>
      </c>
      <c r="N161" s="76">
        <f>($I$140+$J$140/(1+$J161)^(($J$128-$I$128)/365)+$K$140/(1+$J161)^(($K$128-$I$128)/365)+$L$140/(1+$J161)^(($L$128-$I$128)/365)+$M$140/(1+$J161)^(($M$128-$I$128)/365)+(($M$132+$M$135)*N157+$Q$128)/2/(1+$J161)^(($N$128-$I$128)/365)+$F$144+$F$145+$F$146)/$F$124</f>
        <v>5827.02651560592</v>
      </c>
      <c r="O161" s="72">
        <f>($I$140+$J$140/(1+$J161)^(($J$128-$I$128)/365)+$K$140/(1+$J161)^(($K$128-$I$128)/365)+$L$140/(1+$J161)^(($L$128-$I$128)/365)+$M$140/(1+$J161)^(($M$128-$I$128)/365)+(($M$132+$M$135)*O157+$Q$128)/2/(1+$J161)^(($N$128-$I$128)/365)+$F$144+$F$145+$F$146)/$F$124</f>
        <v>6517.31491274743</v>
      </c>
      <c r="P161" s="16"/>
      <c r="Q161" s="16"/>
      <c r="R161" s="16"/>
    </row>
    <row r="162" spans="1:18">
      <c r="A162" s="16"/>
      <c r="B162" s="160"/>
      <c r="C162" s="160"/>
      <c r="D162" s="160"/>
      <c r="E162" s="160"/>
      <c r="F162" s="160"/>
      <c r="G162" s="16"/>
      <c r="H162" s="16"/>
      <c r="I162" s="163"/>
      <c r="J162" s="166">
        <f>J161+1%</f>
        <v>0.12170745771297</v>
      </c>
      <c r="K162" s="168">
        <f>($I$140+$J$140/(1+$J162)^(($J$128-$I$128)/365)+$K$140/(1+$J162)^(($K$128-$I$128)/365)+$L$140/(1+$J162)^(($L$128-$I$128)/365)+$M$140/(1+$J162)^(($M$128-$I$128)/365)+(($M$132+$M$135)*K157+$Q$128)/2/(1+$J162)^(($N$128-$I$128)/365)+$F$144+$F$145+$F$146)/$F$124</f>
        <v>4287.62599705734</v>
      </c>
      <c r="L162" s="72">
        <f>($I$140+$J$140/(1+$J162)^(($J$128-$I$128)/365)+$K$140/(1+$J162)^(($K$128-$I$128)/365)+$L$140/(1+$J162)^(($L$128-$I$128)/365)+$M$140/(1+$J162)^(($M$128-$I$128)/365)+(($M$132+$M$135)*L157+$Q$128)/2/(1+$J162)^(($N$128-$I$128)/365)+$F$144+$F$145+$F$146)/$F$124</f>
        <v>4953.60964432424</v>
      </c>
      <c r="M162" s="72">
        <f>($I$140+$J$140/(1+$J162)^(($J$128-$I$128)/365)+$K$140/(1+$J162)^(($K$128-$I$128)/365)+$L$140/(1+$J162)^(($L$128-$I$128)/365)+$M$140/(1+$J162)^(($M$128-$I$128)/365)+(($M$132+$M$135)*M157+$Q$128)/2/(1+$J162)^(($N$128-$I$128)/365)+$F$144+$F$145+$F$146)/$F$124</f>
        <v>3669.26866602147</v>
      </c>
      <c r="N162" s="72">
        <f>($I$140+$J$140/(1+$J162)^(($J$128-$I$128)/365)+$K$140/(1+$J162)^(($K$128-$I$128)/365)+$L$140/(1+$J162)^(($L$128-$I$128)/365)+$M$140/(1+$J162)^(($M$128-$I$128)/365)+(($M$132+$M$135)*N157+$Q$128)/2/(1+$J162)^(($N$128-$I$128)/365)+$F$144+$F$145+$F$146)/$F$124</f>
        <v>5619.59329159115</v>
      </c>
      <c r="O162" s="72">
        <f>($I$140+$J$140/(1+$J162)^(($J$128-$I$128)/365)+$K$140/(1+$J162)^(($K$128-$I$128)/365)+$L$140/(1+$J162)^(($L$128-$I$128)/365)+$M$140/(1+$J162)^(($M$128-$I$128)/365)+(($M$132+$M$135)*O157+$Q$128)/2/(1+$J162)^(($N$128-$I$128)/365)+$F$144+$F$145+$F$146)/$F$124</f>
        <v>6285.57693885805</v>
      </c>
      <c r="P162" s="16"/>
      <c r="Q162" s="16"/>
      <c r="R162" s="16"/>
    </row>
    <row r="163" spans="1:18">
      <c r="A163" s="16"/>
      <c r="B163" s="160"/>
      <c r="C163" s="160"/>
      <c r="D163" s="160"/>
      <c r="E163" s="160"/>
      <c r="F163" s="160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spans="1:18">
      <c r="A164" s="16"/>
      <c r="B164" s="160"/>
      <c r="C164" s="160"/>
      <c r="D164" s="160"/>
      <c r="E164" s="160"/>
      <c r="F164" s="160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spans="1:18">
      <c r="A165" s="16"/>
      <c r="B165" s="160"/>
      <c r="C165" s="160"/>
      <c r="D165" s="160"/>
      <c r="E165" s="160"/>
      <c r="F165" s="160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spans="1:18">
      <c r="A166" s="16"/>
      <c r="B166" s="160"/>
      <c r="C166" s="160"/>
      <c r="D166" s="160"/>
      <c r="E166" s="160"/>
      <c r="F166" s="160"/>
      <c r="G166" s="16"/>
      <c r="H166" s="16"/>
      <c r="I166" s="16"/>
      <c r="J166" s="170"/>
      <c r="K166" s="171" t="s">
        <v>263</v>
      </c>
      <c r="L166" s="170"/>
      <c r="M166" s="170"/>
      <c r="N166" s="170"/>
      <c r="O166" s="170"/>
      <c r="P166" s="16"/>
      <c r="Q166" s="16"/>
      <c r="R166" s="16"/>
    </row>
    <row r="167" spans="1:18">
      <c r="A167" s="16"/>
      <c r="B167" s="160"/>
      <c r="C167" s="160"/>
      <c r="D167" s="160"/>
      <c r="E167" s="160"/>
      <c r="F167" s="160"/>
      <c r="G167" s="16"/>
      <c r="H167" s="16"/>
      <c r="I167" s="163" t="s">
        <v>234</v>
      </c>
      <c r="J167" s="16"/>
      <c r="K167" s="166">
        <f>$F$122-0.01</f>
        <v>0.04</v>
      </c>
      <c r="L167" s="166">
        <f>$F$122-0.005</f>
        <v>0.045</v>
      </c>
      <c r="M167" s="166">
        <f>$F$122</f>
        <v>0.05</v>
      </c>
      <c r="N167" s="166">
        <f>$F$122+0.005</f>
        <v>0.055</v>
      </c>
      <c r="O167" s="166">
        <f>$F$122+0.01</f>
        <v>0.06</v>
      </c>
      <c r="P167" s="16"/>
      <c r="Q167" s="16"/>
      <c r="R167" s="16"/>
    </row>
    <row r="168" spans="1:18">
      <c r="A168" s="16"/>
      <c r="B168" s="160"/>
      <c r="C168" s="160"/>
      <c r="D168" s="160"/>
      <c r="E168" s="160"/>
      <c r="F168" s="160"/>
      <c r="G168" s="16"/>
      <c r="H168" s="16"/>
      <c r="I168" s="163"/>
      <c r="J168" s="166">
        <f>J169-1%</f>
        <v>0.08170745771297</v>
      </c>
      <c r="K168" s="167" t="e">
        <f>($I$140+$J$140/(1+$J168)^(($J$128-$I$128)/365)+$K$140/(1+$J168)^(($K$128-$I$128)/365)+$L$140/(1+$J168)^(($L$128-$I$128)/365)+$M$140/(1+$J168)^(($M$128-$I$128)/365)+((#REF!+($M$138*(1+K$167)/($J168-K$167)))/2)/(1+$J168)^(($N$128-$I$128)/365)+$F$144+$F$145+$F$146)/$F$124</f>
        <v>#REF!</v>
      </c>
      <c r="L168" s="69" t="e">
        <f>($I$140+$J$140/(1+$J168)^(($J$128-$I$128)/365)+$K$140/(1+$J168)^(($K$128-$I$128)/365)+$L$140/(1+$J168)^(($L$128-$I$128)/365)+$M$140/(1+$J168)^(($M$128-$I$128)/365)+((#REF!+($M$138*(1+L$167)/($J168-L$167)))/2)/(1+$J168)^(($N$128-$I$128)/365)+$F$144+$F$145+$F$146)/$F$124</f>
        <v>#REF!</v>
      </c>
      <c r="M168" s="69" t="e">
        <f>($I$140+$J$140/(1+$J168)^(($J$128-$I$128)/365)+$K$140/(1+$J168)^(($K$128-$I$128)/365)+$L$140/(1+$J168)^(($L$128-$I$128)/365)+$M$140/(1+$J168)^(($M$128-$I$128)/365)+((#REF!+($M$138*(1+M$167)/($J168-M$167)))/2)/(1+$J168)^(($N$128-$I$128)/365)+$F$144+$F$145+$F$146)/$F$124</f>
        <v>#REF!</v>
      </c>
      <c r="N168" s="69" t="e">
        <f>($I$140+$J$140/(1+$J168)^(($J$128-$I$128)/365)+$K$140/(1+$J168)^(($K$128-$I$128)/365)+$L$140/(1+$J168)^(($L$128-$I$128)/365)+$M$140/(1+$J168)^(($M$128-$I$128)/365)+((#REF!+($M$138*(1+N$167)/($J168-N$167)))/2)/(1+$J168)^(($N$128-$I$128)/365)+$F$144+$F$145+$F$146)/$F$124</f>
        <v>#REF!</v>
      </c>
      <c r="O168" s="69" t="e">
        <f>($I$140+$J$140/(1+$J168)^(($J$128-$I$128)/365)+$K$140/(1+$J168)^(($K$128-$I$128)/365)+$L$140/(1+$J168)^(($L$128-$I$128)/365)+$M$140/(1+$J168)^(($M$128-$I$128)/365)+((#REF!+($M$138*(1+O$167)/($J168-O$167)))/2)/(1+$J168)^(($N$128-$I$128)/365)+$F$144+$F$145+$F$146)/$F$124</f>
        <v>#REF!</v>
      </c>
      <c r="P168" s="16"/>
      <c r="Q168" s="16"/>
      <c r="R168" s="16"/>
    </row>
    <row r="169" spans="1:18">
      <c r="A169" s="16"/>
      <c r="B169" s="160"/>
      <c r="C169" s="160"/>
      <c r="D169" s="160"/>
      <c r="E169" s="160"/>
      <c r="F169" s="160"/>
      <c r="G169" s="16"/>
      <c r="H169" s="16"/>
      <c r="I169" s="163"/>
      <c r="J169" s="166">
        <f>J170-1%</f>
        <v>0.09170745771297</v>
      </c>
      <c r="K169" s="168" t="e">
        <f>($I$140+$J$140/(1+$J169)^(($J$128-$I$128)/365)+$K$140/(1+$J169)^(($K$128-$I$128)/365)+$L$140/(1+$J169)^(($L$128-$I$128)/365)+$M$140/(1+$J169)^(($M$128-$I$128)/365)+((#REF!+($M$138*(1+K$167)/($J169-K$167)))/2)/(1+$J169)^(($N$128-$I$128)/365)+$F$144+$F$145+$F$146)/$F$124</f>
        <v>#REF!</v>
      </c>
      <c r="L169" s="76" t="e">
        <f>($I$140+$J$140/(1+$J169)^(($J$128-$I$128)/365)+$K$140/(1+$J169)^(($K$128-$I$128)/365)+$L$140/(1+$J169)^(($L$128-$I$128)/365)+$M$140/(1+$J169)^(($M$128-$I$128)/365)+((#REF!+($M$138*(1+L$167)/($J169-L$167)))/2)/(1+$J169)^(($N$128-$I$128)/365)+$F$144+$F$145+$F$146)/$F$124</f>
        <v>#REF!</v>
      </c>
      <c r="M169" s="76" t="e">
        <f>($I$140+$J$140/(1+$J169)^(($J$128-$I$128)/365)+$K$140/(1+$J169)^(($K$128-$I$128)/365)+$L$140/(1+$J169)^(($L$128-$I$128)/365)+$M$140/(1+$J169)^(($M$128-$I$128)/365)+((#REF!+($M$138*(1+M$167)/($J169-M$167)))/2)/(1+$J169)^(($N$128-$I$128)/365)+$F$144+$F$145+$F$146)/$F$124</f>
        <v>#REF!</v>
      </c>
      <c r="N169" s="76" t="e">
        <f>($I$140+$J$140/(1+$J169)^(($J$128-$I$128)/365)+$K$140/(1+$J169)^(($K$128-$I$128)/365)+$L$140/(1+$J169)^(($L$128-$I$128)/365)+$M$140/(1+$J169)^(($M$128-$I$128)/365)+((#REF!+($M$138*(1+N$167)/($J169-N$167)))/2)/(1+$J169)^(($N$128-$I$128)/365)+$F$144+$F$145+$F$146)/$F$124</f>
        <v>#REF!</v>
      </c>
      <c r="O169" s="72" t="e">
        <f>($I$140+$J$140/(1+$J169)^(($J$128-$I$128)/365)+$K$140/(1+$J169)^(($K$128-$I$128)/365)+$L$140/(1+$J169)^(($L$128-$I$128)/365)+$M$140/(1+$J169)^(($M$128-$I$128)/365)+((#REF!+($M$138*(1+O$167)/($J169-O$167)))/2)/(1+$J169)^(($N$128-$I$128)/365)+$F$144+$F$145+$F$146)/$F$124</f>
        <v>#REF!</v>
      </c>
      <c r="P169" s="16"/>
      <c r="Q169" s="16"/>
      <c r="R169" s="16"/>
    </row>
    <row r="170" spans="1:18">
      <c r="A170" s="16"/>
      <c r="B170" s="160"/>
      <c r="C170" s="160"/>
      <c r="D170" s="160"/>
      <c r="E170" s="160"/>
      <c r="F170" s="160"/>
      <c r="G170" s="16"/>
      <c r="H170" s="16"/>
      <c r="I170" s="163"/>
      <c r="J170" s="166">
        <f>F123</f>
        <v>0.10170745771297</v>
      </c>
      <c r="K170" s="168" t="e">
        <f>($I$140+$J$140/(1+$J170)^(($J$128-$I$128)/365)+$K$140/(1+$J170)^(($K$128-$I$128)/365)+$L$140/(1+$J170)^(($L$128-$I$128)/365)+$M$140/(1+$J170)^(($M$128-$I$128)/365)+((#REF!+($M$138*(1+K$167)/($J170-K$167)))/2)/(1+$J170)^(($N$128-$I$128)/365)+$F$144+$F$145+$F$146)/$F$124</f>
        <v>#REF!</v>
      </c>
      <c r="L170" s="76" t="e">
        <f>($I$140+$J$140/(1+$J170)^(($J$128-$I$128)/365)+$K$140/(1+$J170)^(($K$128-$I$128)/365)+$L$140/(1+$J170)^(($L$128-$I$128)/365)+$M$140/(1+$J170)^(($M$128-$I$128)/365)+((#REF!+($M$138*(1+L$167)/($J170-L$167)))/2)/(1+$J170)^(($N$128-$I$128)/365)+$F$144+$F$145+$F$146)/$F$124</f>
        <v>#REF!</v>
      </c>
      <c r="M170" s="169" t="e">
        <f>($I$140+$J$140/(1+$J170)^(($J$128-$I$128)/365)+$K$140/(1+$J170)^(($K$128-$I$128)/365)+$L$140/(1+$J170)^(($L$128-$I$128)/365)+$M$140/(1+$J170)^(($M$128-$I$128)/365)+((#REF!+($M$138*(1+M$167)/($J170-M$167)))/2)/(1+$J170)^(($N$128-$I$128)/365)+$F$144+$F$145+$F$146)/$F$124</f>
        <v>#REF!</v>
      </c>
      <c r="N170" s="76" t="e">
        <f>($I$140+$J$140/(1+$J170)^(($J$128-$I$128)/365)+$K$140/(1+$J170)^(($K$128-$I$128)/365)+$L$140/(1+$J170)^(($L$128-$I$128)/365)+$M$140/(1+$J170)^(($M$128-$I$128)/365)+((#REF!+($M$138*(1+N$167)/($J170-N$167)))/2)/(1+$J170)^(($N$128-$I$128)/365)+$F$144+$F$145+$F$146)/$F$124</f>
        <v>#REF!</v>
      </c>
      <c r="O170" s="72" t="e">
        <f>($I$140+$J$140/(1+$J170)^(($J$128-$I$128)/365)+$K$140/(1+$J170)^(($K$128-$I$128)/365)+$L$140/(1+$J170)^(($L$128-$I$128)/365)+$M$140/(1+$J170)^(($M$128-$I$128)/365)+((#REF!+($M$138*(1+O$167)/($J170-O$167)))/2)/(1+$J170)^(($N$128-$I$128)/365)+$F$144+$F$145+$F$146)/$F$124</f>
        <v>#REF!</v>
      </c>
      <c r="P170" s="16"/>
      <c r="Q170" s="16"/>
      <c r="R170" s="16"/>
    </row>
    <row r="171" spans="1:18">
      <c r="A171" s="16"/>
      <c r="B171" s="160"/>
      <c r="C171" s="160"/>
      <c r="D171" s="160"/>
      <c r="E171" s="160"/>
      <c r="F171" s="160"/>
      <c r="G171" s="16"/>
      <c r="H171" s="16"/>
      <c r="I171" s="163"/>
      <c r="J171" s="166">
        <f>J170+1%</f>
        <v>0.11170745771297</v>
      </c>
      <c r="K171" s="168" t="e">
        <f>($I$140+$J$140/(1+$J171)^(($J$128-$I$128)/365)+$K$140/(1+$J171)^(($K$128-$I$128)/365)+$L$140/(1+$J171)^(($L$128-$I$128)/365)+$M$140/(1+$J171)^(($M$128-$I$128)/365)+((#REF!+($M$138*(1+K$167)/($J171-K$167)))/2)/(1+$J171)^(($N$128-$I$128)/365)+$F$144+$F$145+$F$146)/$F$124</f>
        <v>#REF!</v>
      </c>
      <c r="L171" s="76" t="e">
        <f>($I$140+$J$140/(1+$J171)^(($J$128-$I$128)/365)+$K$140/(1+$J171)^(($K$128-$I$128)/365)+$L$140/(1+$J171)^(($L$128-$I$128)/365)+$M$140/(1+$J171)^(($M$128-$I$128)/365)+((#REF!+($M$138*(1+L$167)/($J171-L$167)))/2)/(1+$J171)^(($N$128-$I$128)/365)+$F$144+$F$145+$F$146)/$F$124</f>
        <v>#REF!</v>
      </c>
      <c r="M171" s="76" t="e">
        <f>($I$140+$J$140/(1+$J171)^(($J$128-$I$128)/365)+$K$140/(1+$J171)^(($K$128-$I$128)/365)+$L$140/(1+$J171)^(($L$128-$I$128)/365)+$M$140/(1+$J171)^(($M$128-$I$128)/365)+((#REF!+($M$138*(1+M$167)/($J171-M$167)))/2)/(1+$J171)^(($N$128-$I$128)/365)+$F$144+$F$145+$F$146)/$F$124</f>
        <v>#REF!</v>
      </c>
      <c r="N171" s="76" t="e">
        <f>($I$140+$J$140/(1+$J171)^(($J$128-$I$128)/365)+$K$140/(1+$J171)^(($K$128-$I$128)/365)+$L$140/(1+$J171)^(($L$128-$I$128)/365)+$M$140/(1+$J171)^(($M$128-$I$128)/365)+((#REF!+($M$138*(1+N$167)/($J171-N$167)))/2)/(1+$J171)^(($N$128-$I$128)/365)+$F$144+$F$145+$F$146)/$F$124</f>
        <v>#REF!</v>
      </c>
      <c r="O171" s="72" t="e">
        <f>($I$140+$J$140/(1+$J171)^(($J$128-$I$128)/365)+$K$140/(1+$J171)^(($K$128-$I$128)/365)+$L$140/(1+$J171)^(($L$128-$I$128)/365)+$M$140/(1+$J171)^(($M$128-$I$128)/365)+((#REF!+($M$138*(1+O$167)/($J171-O$167)))/2)/(1+$J171)^(($N$128-$I$128)/365)+$F$144+$F$145+$F$146)/$F$124</f>
        <v>#REF!</v>
      </c>
      <c r="P171" s="16"/>
      <c r="Q171" s="16"/>
      <c r="R171" s="16"/>
    </row>
    <row r="172" spans="1:18">
      <c r="A172" s="16"/>
      <c r="B172" s="160"/>
      <c r="C172" s="160"/>
      <c r="D172" s="160"/>
      <c r="E172" s="160"/>
      <c r="F172" s="160"/>
      <c r="G172" s="16"/>
      <c r="H172" s="16"/>
      <c r="I172" s="163"/>
      <c r="J172" s="166">
        <f>J171+1%</f>
        <v>0.12170745771297</v>
      </c>
      <c r="K172" s="168" t="e">
        <f>($I$140+$J$140/(1+$J172)^(($J$128-$I$128)/365)+$K$140/(1+$J172)^(($K$128-$I$128)/365)+$L$140/(1+$J172)^(($L$128-$I$128)/365)+$M$140/(1+$J172)^(($M$128-$I$128)/365)+((#REF!+($M$138*(1+K$167)/($J172-K$167)))/2)/(1+$J172)^(($N$128-$I$128)/365)+$F$144+$F$145+$F$146)/$F$124</f>
        <v>#REF!</v>
      </c>
      <c r="L172" s="72" t="e">
        <f>($I$140+$J$140/(1+$J172)^(($J$128-$I$128)/365)+$K$140/(1+$J172)^(($K$128-$I$128)/365)+$L$140/(1+$J172)^(($L$128-$I$128)/365)+$M$140/(1+$J172)^(($M$128-$I$128)/365)+((#REF!+($M$138*(1+L$167)/($J172-L$167)))/2)/(1+$J172)^(($N$128-$I$128)/365)+$F$144+$F$145+$F$146)/$F$124</f>
        <v>#REF!</v>
      </c>
      <c r="M172" s="72" t="e">
        <f>($I$140+$J$140/(1+$J172)^(($J$128-$I$128)/365)+$K$140/(1+$J172)^(($K$128-$I$128)/365)+$L$140/(1+$J172)^(($L$128-$I$128)/365)+$M$140/(1+$J172)^(($M$128-$I$128)/365)+((#REF!+($M$138*(1+M$167)/($J172-M$167)))/2)/(1+$J172)^(($N$128-$I$128)/365)+$F$144+$F$145+$F$146)/$F$124</f>
        <v>#REF!</v>
      </c>
      <c r="N172" s="72" t="e">
        <f>($I$140+$J$140/(1+$J172)^(($J$128-$I$128)/365)+$K$140/(1+$J172)^(($K$128-$I$128)/365)+$L$140/(1+$J172)^(($L$128-$I$128)/365)+$M$140/(1+$J172)^(($M$128-$I$128)/365)+((#REF!+($M$138*(1+N$167)/($J172-N$167)))/2)/(1+$J172)^(($N$128-$I$128)/365)+$F$144+$F$145+$F$146)/$F$124</f>
        <v>#REF!</v>
      </c>
      <c r="O172" s="72" t="e">
        <f>($I$140+$J$140/(1+$J172)^(($J$128-$I$128)/365)+$K$140/(1+$J172)^(($K$128-$I$128)/365)+$L$140/(1+$J172)^(($L$128-$I$128)/365)+$M$140/(1+$J172)^(($M$128-$I$128)/365)+((#REF!+($M$138*(1+O$167)/($J172-O$167)))/2)/(1+$J172)^(($N$128-$I$128)/365)+$F$144+$F$145+$F$146)/$F$124</f>
        <v>#REF!</v>
      </c>
      <c r="P172" s="16"/>
      <c r="Q172" s="16"/>
      <c r="R172" s="16"/>
    </row>
    <row r="173" spans="1:18">
      <c r="A173" s="16"/>
      <c r="B173" s="160"/>
      <c r="C173" s="160"/>
      <c r="D173" s="160"/>
      <c r="E173" s="160"/>
      <c r="F173" s="160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spans="1:18">
      <c r="A174" s="16"/>
      <c r="B174" s="160"/>
      <c r="C174" s="160"/>
      <c r="D174" s="160"/>
      <c r="E174" s="160"/>
      <c r="F174" s="160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spans="1:18">
      <c r="B175" s="15"/>
      <c r="C175" s="15"/>
      <c r="D175" s="15"/>
      <c r="E175" s="15"/>
      <c r="F175" s="15"/>
    </row>
  </sheetData>
  <mergeCells count="2">
    <mergeCell ref="I157:I162"/>
    <mergeCell ref="I167:I172"/>
  </mergeCells>
  <dataValidations count="1">
    <dataValidation type="list" allowBlank="1" showInputMessage="1" showErrorMessage="1" sqref="E4">
      <formula1>Scenario!$D$6:$D$8</formula1>
    </dataValidation>
  </dataValidations>
  <pageMargins left="0.75" right="0.75" top="1" bottom="1" header="0.5" footer="0.5"/>
  <headerFooter/>
  <ignoredErrors>
    <ignoredError sqref="E125:T127 E128:O130 R128:T130 E131:T139 E140:M140 O140:T140 E141:T141 G118:T124 E117:T117 A1:T3 A4:D4 F4:T4 A5:T116 G144:J144 A169:T172 J167:T168 A167:H168 A159:T166 J157:T158 A157:H158 A154:T156 J153:T153 A153:H153 A150:T152 M142:T145 C117:C149 A117:A149 E144 E142:J143 E146:T149 E145:J145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showGridLines="0" zoomScale="106" zoomScaleNormal="106" workbookViewId="0">
      <selection activeCell="F22" sqref="F22"/>
    </sheetView>
  </sheetViews>
  <sheetFormatPr defaultColWidth="9.14285714285714" defaultRowHeight="16.8"/>
  <cols>
    <col min="1" max="3" width="1.23214285714286" customWidth="1"/>
    <col min="4" max="4" width="40.6428571428571" customWidth="1"/>
    <col min="7" max="7" width="2.64285714285714" customWidth="1"/>
    <col min="8" max="20" width="12.6428571428571" customWidth="1"/>
  </cols>
  <sheetData>
    <row r="1" ht="37.2" customHeight="1" spans="1:15">
      <c r="A1" s="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5"/>
      <c r="N1" s="15"/>
    </row>
    <row r="2" ht="17.6" customHeight="1" spans="1:15">
      <c r="A2" s="87" t="s">
        <v>264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88"/>
      <c r="M2" s="15"/>
      <c r="N2" s="15"/>
    </row>
    <row r="3" spans="1:15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>
      <c r="B4" s="89"/>
      <c r="C4" s="17"/>
      <c r="D4" s="106" t="s">
        <v>265</v>
      </c>
      <c r="E4" s="17"/>
      <c r="F4" s="17"/>
      <c r="G4" s="17"/>
      <c r="H4" s="107" t="s">
        <v>266</v>
      </c>
      <c r="I4" s="107" t="s">
        <v>267</v>
      </c>
      <c r="J4" s="107" t="s">
        <v>268</v>
      </c>
      <c r="K4" s="107">
        <v>2029</v>
      </c>
      <c r="L4" s="107">
        <v>2030</v>
      </c>
      <c r="M4" s="107" t="s">
        <v>269</v>
      </c>
      <c r="N4" s="107" t="s">
        <v>270</v>
      </c>
      <c r="O4" s="89"/>
    </row>
    <row r="5" spans="1:15">
      <c r="B5" s="89"/>
      <c r="C5" s="89"/>
      <c r="D5" s="108" t="s">
        <v>271</v>
      </c>
      <c r="E5" s="89"/>
      <c r="F5" s="89"/>
      <c r="G5" s="89"/>
      <c r="H5" s="109">
        <v>55231</v>
      </c>
      <c r="I5" s="109">
        <v>25347</v>
      </c>
      <c r="J5" s="109">
        <v>1344.66666666667</v>
      </c>
      <c r="K5" s="109">
        <v>1344.66666666667</v>
      </c>
      <c r="L5" s="109">
        <v>1344.66666666667</v>
      </c>
      <c r="M5" s="109">
        <v>0</v>
      </c>
      <c r="N5" s="109">
        <f t="shared" ref="N5:N14" si="0">SUM(H5:M5)</f>
        <v>84612</v>
      </c>
      <c r="O5" s="89"/>
    </row>
    <row r="6" spans="1:15">
      <c r="B6" s="89"/>
      <c r="C6" s="89"/>
      <c r="D6" s="108" t="s">
        <v>272</v>
      </c>
      <c r="E6" s="89"/>
      <c r="F6" s="89"/>
      <c r="G6" s="89"/>
      <c r="H6" s="109">
        <v>6714</v>
      </c>
      <c r="I6" s="109">
        <v>7075</v>
      </c>
      <c r="J6" s="109">
        <v>2204.33333333333</v>
      </c>
      <c r="K6" s="109">
        <v>2204.33333333333</v>
      </c>
      <c r="L6" s="109">
        <v>2204.33333333333</v>
      </c>
      <c r="M6" s="109">
        <v>658</v>
      </c>
      <c r="N6" s="109">
        <f t="shared" si="0"/>
        <v>21060</v>
      </c>
      <c r="O6" s="89"/>
    </row>
    <row r="7" spans="1:15">
      <c r="B7" s="89"/>
      <c r="C7" s="89"/>
      <c r="D7" s="108" t="s">
        <v>273</v>
      </c>
      <c r="E7" s="89"/>
      <c r="F7" s="89"/>
      <c r="G7" s="89"/>
      <c r="H7" s="109">
        <v>18592</v>
      </c>
      <c r="I7" s="109">
        <v>8536</v>
      </c>
      <c r="J7" s="109">
        <v>3673</v>
      </c>
      <c r="K7" s="109">
        <v>3673</v>
      </c>
      <c r="L7" s="109">
        <v>3673</v>
      </c>
      <c r="M7" s="109">
        <v>1078</v>
      </c>
      <c r="N7" s="109">
        <f t="shared" si="0"/>
        <v>39225</v>
      </c>
      <c r="O7" s="89"/>
    </row>
    <row r="8" spans="1:15">
      <c r="B8" s="89"/>
      <c r="C8" s="89"/>
      <c r="D8" s="108" t="s">
        <v>274</v>
      </c>
      <c r="E8" s="89"/>
      <c r="F8" s="89"/>
      <c r="G8" s="89"/>
      <c r="H8" s="109">
        <v>27665</v>
      </c>
      <c r="I8" s="109">
        <v>13328</v>
      </c>
      <c r="J8" s="109">
        <v>11480.6666666667</v>
      </c>
      <c r="K8" s="109">
        <v>11480.6666666667</v>
      </c>
      <c r="L8" s="109">
        <v>11480.6666666667</v>
      </c>
      <c r="M8" s="109">
        <v>7293</v>
      </c>
      <c r="N8" s="109">
        <f t="shared" si="0"/>
        <v>82728.0000000001</v>
      </c>
      <c r="O8" s="89"/>
    </row>
    <row r="9" spans="1:15">
      <c r="B9" s="89"/>
      <c r="C9" s="89"/>
      <c r="D9" s="108" t="s">
        <v>275</v>
      </c>
      <c r="E9" s="89"/>
      <c r="F9" s="89"/>
      <c r="G9" s="89"/>
      <c r="H9" s="109">
        <v>3278</v>
      </c>
      <c r="I9" s="109">
        <v>3278</v>
      </c>
      <c r="J9" s="109">
        <v>0</v>
      </c>
      <c r="K9" s="109">
        <v>0</v>
      </c>
      <c r="L9" s="109">
        <v>0</v>
      </c>
      <c r="M9" s="109">
        <v>0</v>
      </c>
      <c r="N9" s="109">
        <f t="shared" si="0"/>
        <v>6556</v>
      </c>
      <c r="O9" s="89"/>
    </row>
    <row r="10" spans="1:15">
      <c r="B10" s="89"/>
      <c r="C10" s="89"/>
      <c r="D10" s="108" t="s">
        <v>276</v>
      </c>
      <c r="E10" s="89"/>
      <c r="F10" s="89"/>
      <c r="G10" s="89"/>
      <c r="H10" s="109">
        <v>0</v>
      </c>
      <c r="I10" s="109">
        <v>0</v>
      </c>
      <c r="J10" s="109">
        <v>0</v>
      </c>
      <c r="K10" s="109">
        <v>0</v>
      </c>
      <c r="L10" s="109">
        <v>0</v>
      </c>
      <c r="M10" s="109">
        <v>70955</v>
      </c>
      <c r="N10" s="109">
        <f t="shared" si="0"/>
        <v>70955</v>
      </c>
      <c r="O10" s="89"/>
    </row>
    <row r="11" spans="1:15">
      <c r="B11" s="89"/>
      <c r="C11" s="89"/>
      <c r="D11" s="108" t="s">
        <v>277</v>
      </c>
      <c r="E11" s="89"/>
      <c r="F11" s="89"/>
      <c r="G11" s="89"/>
      <c r="H11" s="109">
        <v>20727</v>
      </c>
      <c r="I11" s="109">
        <v>22237</v>
      </c>
      <c r="J11" s="109">
        <v>25636.6666666667</v>
      </c>
      <c r="K11" s="109">
        <v>25636.6666666667</v>
      </c>
      <c r="L11" s="109">
        <v>25636.6666666667</v>
      </c>
      <c r="M11" s="109">
        <v>423395</v>
      </c>
      <c r="N11" s="109">
        <f t="shared" si="0"/>
        <v>543269</v>
      </c>
      <c r="O11" s="89"/>
    </row>
    <row r="12" spans="1:15">
      <c r="B12" s="89"/>
      <c r="C12" s="89"/>
      <c r="D12" s="108" t="s">
        <v>278</v>
      </c>
      <c r="E12" s="89"/>
      <c r="F12" s="89"/>
      <c r="G12" s="89"/>
      <c r="H12" s="109">
        <v>58614</v>
      </c>
      <c r="I12" s="109">
        <v>63303</v>
      </c>
      <c r="J12" s="109">
        <v>73982</v>
      </c>
      <c r="K12" s="109">
        <v>73982</v>
      </c>
      <c r="L12" s="109">
        <v>73982</v>
      </c>
      <c r="M12" s="109">
        <v>0</v>
      </c>
      <c r="N12" s="109">
        <f t="shared" si="0"/>
        <v>343863</v>
      </c>
      <c r="O12" s="89"/>
    </row>
    <row r="13" spans="1:15">
      <c r="B13" s="89"/>
      <c r="C13" s="89"/>
      <c r="D13" s="108" t="s">
        <v>279</v>
      </c>
      <c r="E13" s="89"/>
      <c r="F13" s="89"/>
      <c r="G13" s="89"/>
      <c r="H13" s="109">
        <v>25436</v>
      </c>
      <c r="I13" s="109">
        <v>0</v>
      </c>
      <c r="J13" s="109">
        <v>0</v>
      </c>
      <c r="K13" s="109">
        <v>0</v>
      </c>
      <c r="L13" s="109">
        <v>0</v>
      </c>
      <c r="M13" s="109">
        <v>0</v>
      </c>
      <c r="N13" s="109">
        <f t="shared" si="0"/>
        <v>25436</v>
      </c>
      <c r="O13" s="89"/>
    </row>
    <row r="14" spans="1:15">
      <c r="B14" s="89"/>
      <c r="C14" s="89"/>
      <c r="D14" s="110" t="s">
        <v>280</v>
      </c>
      <c r="E14" s="89"/>
      <c r="F14" s="89"/>
      <c r="G14" s="89"/>
      <c r="H14" s="111">
        <f t="shared" ref="H14:M14" si="1">SUM(H5:H13)</f>
        <v>216257</v>
      </c>
      <c r="I14" s="111">
        <f t="shared" si="1"/>
        <v>143104</v>
      </c>
      <c r="J14" s="111">
        <f t="shared" si="1"/>
        <v>118321.333333333</v>
      </c>
      <c r="K14" s="111">
        <f t="shared" si="1"/>
        <v>118321.333333333</v>
      </c>
      <c r="L14" s="111">
        <f t="shared" si="1"/>
        <v>118321.333333333</v>
      </c>
      <c r="M14" s="111">
        <f t="shared" si="1"/>
        <v>503379</v>
      </c>
      <c r="N14" s="111">
        <f t="shared" si="0"/>
        <v>1217704</v>
      </c>
      <c r="O14" s="89"/>
    </row>
    <row r="15" spans="1:15">
      <c r="B15" s="89"/>
      <c r="C15" s="89"/>
      <c r="D15" s="112"/>
      <c r="E15" s="113"/>
      <c r="F15" s="113"/>
      <c r="G15" s="113"/>
      <c r="H15" s="113"/>
      <c r="I15" s="113"/>
      <c r="J15" s="113"/>
      <c r="K15" s="89"/>
      <c r="L15" s="89"/>
      <c r="M15" s="89"/>
      <c r="N15" s="89"/>
      <c r="O15" s="89"/>
    </row>
    <row r="16" spans="1:15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</row>
    <row r="17" spans="2:15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</row>
    <row r="18" spans="2:15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</row>
    <row r="19" spans="2:15"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</row>
    <row r="20" spans="2:15"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</row>
    <row r="21" spans="2:15"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</row>
    <row r="22" spans="2:15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workbookViewId="0">
      <selection activeCell="D27" sqref="D27"/>
    </sheetView>
  </sheetViews>
  <sheetFormatPr defaultColWidth="9.14285714285714" defaultRowHeight="16.8"/>
  <cols>
    <col min="1" max="3" width="1.23214285714286" customWidth="1"/>
    <col min="4" max="4" width="40.6428571428571" customWidth="1"/>
    <col min="7" max="7" width="2.64285714285714" customWidth="1"/>
    <col min="8" max="12" width="12.6428571428571" customWidth="1"/>
  </cols>
  <sheetData>
    <row r="1" ht="37.2" customHeight="1" spans="1:12">
      <c r="A1" s="1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ht="17.6" customHeight="1" spans="1:12">
      <c r="A2" s="87" t="s">
        <v>281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88"/>
    </row>
    <row r="3" spans="1:12"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1:12">
      <c r="B4" s="89"/>
      <c r="C4" s="85"/>
      <c r="D4" s="85"/>
      <c r="E4" s="85"/>
      <c r="F4" s="85"/>
      <c r="G4" s="85"/>
      <c r="H4" s="90"/>
      <c r="I4" s="90"/>
      <c r="J4" s="90"/>
      <c r="K4" s="90"/>
      <c r="L4" s="90"/>
    </row>
    <row r="5" spans="1:12">
      <c r="B5" s="89"/>
      <c r="C5" s="91"/>
      <c r="D5" s="92" t="s">
        <v>282</v>
      </c>
      <c r="E5" s="92" t="s">
        <v>283</v>
      </c>
      <c r="F5" s="91"/>
      <c r="G5" s="85"/>
      <c r="H5" s="93">
        <f>Model!M2</f>
        <v>2027</v>
      </c>
      <c r="I5" s="93">
        <f>Model!N2</f>
        <v>2028</v>
      </c>
      <c r="J5" s="93">
        <f>Model!O2</f>
        <v>2029</v>
      </c>
      <c r="K5" s="93">
        <f>Model!P2</f>
        <v>2030</v>
      </c>
      <c r="L5" s="93">
        <f>Model!Q2</f>
        <v>2031</v>
      </c>
    </row>
    <row r="6" spans="1:12">
      <c r="B6" s="89"/>
      <c r="C6" s="91"/>
      <c r="D6" s="94" t="s">
        <v>284</v>
      </c>
      <c r="E6" s="95">
        <f>AVERAGE(Model!I5:L5)</f>
        <v>0.161188206546623</v>
      </c>
      <c r="F6" s="94"/>
      <c r="G6" s="96"/>
      <c r="H6" s="97">
        <f>E6</f>
        <v>0.161188206546623</v>
      </c>
      <c r="I6" s="97">
        <f>H6*(1-$E$8)</f>
        <v>0.145178508996864</v>
      </c>
      <c r="J6" s="97">
        <f>I6*(1-$E$8)</f>
        <v>0.130758942767045</v>
      </c>
      <c r="K6" s="97">
        <f>J6*(1-$E$8)</f>
        <v>0.117771571231144</v>
      </c>
      <c r="L6" s="97">
        <f>K6*(1-$E$8)</f>
        <v>0.106074144503928</v>
      </c>
    </row>
    <row r="7" spans="1:12">
      <c r="B7" s="89"/>
      <c r="C7" s="91"/>
      <c r="D7" s="91" t="s">
        <v>147</v>
      </c>
      <c r="E7" s="98">
        <f>+ABS(E6+STDEV(Model!I5:L5))</f>
        <v>0.22305340496034</v>
      </c>
      <c r="F7" s="91"/>
      <c r="G7" s="85"/>
      <c r="H7" s="99">
        <f>E7</f>
        <v>0.22305340496034</v>
      </c>
      <c r="I7" s="99">
        <f>H7*(1-$E$8)</f>
        <v>0.200899069805391</v>
      </c>
      <c r="J7" s="99">
        <f>I7*(1-$E$8)</f>
        <v>0.180945169861217</v>
      </c>
      <c r="K7" s="99">
        <f>J7*(1-$E$8)</f>
        <v>0.162973151283481</v>
      </c>
      <c r="L7" s="99">
        <f>K7*(1-$E$8)</f>
        <v>0.146786167653106</v>
      </c>
    </row>
    <row r="8" spans="1:12">
      <c r="B8" s="89"/>
      <c r="C8" s="91"/>
      <c r="D8" s="91" t="s">
        <v>285</v>
      </c>
      <c r="E8" s="100">
        <f>+ABS(E6-STDEV(Model!I5:L5))</f>
        <v>0.099323008132907</v>
      </c>
      <c r="F8" s="91"/>
      <c r="G8" s="85"/>
      <c r="H8" s="99">
        <f>E8</f>
        <v>0.099323008132907</v>
      </c>
      <c r="I8" s="99">
        <f>H8*(1-$E$8)</f>
        <v>0.0894579481883375</v>
      </c>
      <c r="J8" s="99">
        <f>I8*(1-$E$8)</f>
        <v>0.080572715672874</v>
      </c>
      <c r="K8" s="99">
        <f>J8*(1-$E$8)</f>
        <v>0.0725699911788068</v>
      </c>
      <c r="L8" s="99">
        <f>K8*(1-$E$8)</f>
        <v>0.0653621213547492</v>
      </c>
    </row>
    <row r="9" spans="1:12">
      <c r="B9" s="89"/>
      <c r="C9" s="91"/>
      <c r="D9" s="91" t="s">
        <v>286</v>
      </c>
      <c r="E9" s="101">
        <f>10%</f>
        <v>0.1</v>
      </c>
      <c r="F9" s="91"/>
      <c r="G9" s="85"/>
      <c r="H9" s="102"/>
      <c r="I9" s="102"/>
      <c r="J9" s="102"/>
      <c r="K9" s="102"/>
      <c r="L9" s="102"/>
    </row>
    <row r="10" spans="1:12">
      <c r="B10" s="89"/>
      <c r="C10" s="91"/>
      <c r="D10" s="91"/>
      <c r="E10" s="91"/>
      <c r="F10" s="91"/>
      <c r="G10" s="85"/>
      <c r="H10" s="103"/>
      <c r="I10" s="103"/>
      <c r="J10" s="103"/>
      <c r="K10" s="103"/>
      <c r="L10" s="103"/>
    </row>
    <row r="11" spans="1:12">
      <c r="B11" s="89"/>
      <c r="C11" s="91"/>
      <c r="D11" s="91"/>
      <c r="E11" s="91"/>
      <c r="F11" s="91"/>
      <c r="G11" s="85"/>
      <c r="H11" s="103"/>
      <c r="I11" s="103"/>
      <c r="J11" s="103"/>
      <c r="K11" s="103"/>
      <c r="L11" s="103"/>
    </row>
    <row r="12" spans="1:12">
      <c r="B12" s="89"/>
      <c r="C12" s="91"/>
      <c r="D12" s="91"/>
      <c r="E12" s="91"/>
      <c r="F12" s="91"/>
      <c r="G12" s="85"/>
      <c r="H12" s="102"/>
      <c r="I12" s="102"/>
      <c r="J12" s="102"/>
      <c r="K12" s="102"/>
      <c r="L12" s="103"/>
    </row>
    <row r="13" spans="1:12">
      <c r="B13" s="89"/>
      <c r="C13" s="91"/>
      <c r="D13" s="91"/>
      <c r="E13" s="91"/>
      <c r="F13" s="91"/>
      <c r="G13" s="85"/>
      <c r="H13" s="103"/>
      <c r="I13" s="103"/>
      <c r="J13" s="103"/>
      <c r="K13" s="103"/>
      <c r="L13" s="103"/>
    </row>
    <row r="14" spans="1:12">
      <c r="B14" s="89"/>
      <c r="C14" s="91"/>
      <c r="D14" s="91"/>
      <c r="E14" s="91"/>
      <c r="F14" s="91"/>
      <c r="G14" s="85"/>
      <c r="H14" s="104"/>
      <c r="I14" s="104"/>
      <c r="J14" s="104"/>
      <c r="K14" s="104"/>
      <c r="L14" s="104"/>
    </row>
    <row r="15" spans="1:12">
      <c r="B15" s="89"/>
      <c r="C15" s="91"/>
      <c r="D15" s="91"/>
      <c r="E15" s="91"/>
      <c r="F15" s="91"/>
      <c r="G15" s="85"/>
      <c r="H15" s="104"/>
      <c r="I15" s="104"/>
      <c r="J15" s="104"/>
      <c r="K15" s="104"/>
      <c r="L15" s="104"/>
    </row>
    <row r="16" spans="1:12">
      <c r="B16" s="89"/>
      <c r="C16" s="91"/>
      <c r="D16" s="91"/>
      <c r="E16" s="91"/>
      <c r="F16" s="91"/>
      <c r="G16" s="85"/>
      <c r="H16" s="104"/>
      <c r="I16" s="104"/>
      <c r="J16" s="104"/>
      <c r="K16" s="104"/>
      <c r="L16" s="104"/>
    </row>
    <row r="17" spans="2:12">
      <c r="B17" s="89"/>
      <c r="C17" s="92"/>
      <c r="D17" s="91"/>
      <c r="E17" s="91"/>
      <c r="F17" s="91"/>
      <c r="G17" s="85"/>
      <c r="H17" s="105"/>
      <c r="I17" s="105"/>
      <c r="J17" s="105"/>
      <c r="K17" s="105"/>
      <c r="L17" s="105"/>
    </row>
    <row r="18" spans="2:12">
      <c r="C18" s="92"/>
      <c r="D18" s="91"/>
      <c r="E18" s="91"/>
      <c r="F18" s="91"/>
      <c r="G18" s="85"/>
      <c r="H18" s="104"/>
      <c r="I18" s="104"/>
      <c r="J18" s="104"/>
      <c r="K18" s="104"/>
      <c r="L18" s="105"/>
    </row>
    <row r="19" spans="2:12">
      <c r="C19" s="91"/>
      <c r="D19" s="91"/>
      <c r="E19" s="91"/>
      <c r="F19" s="91"/>
      <c r="G19" s="85"/>
      <c r="H19" s="104"/>
      <c r="I19" s="104"/>
      <c r="J19" s="104"/>
      <c r="K19" s="104"/>
      <c r="L19" s="91"/>
    </row>
    <row r="20" spans="2:12">
      <c r="C20" s="91"/>
      <c r="D20" s="91"/>
      <c r="E20" s="91"/>
      <c r="F20" s="91"/>
      <c r="G20" s="85"/>
      <c r="H20" s="104"/>
      <c r="I20" s="104"/>
      <c r="J20" s="104"/>
      <c r="K20" s="104"/>
      <c r="L20" s="10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22"/>
  <sheetViews>
    <sheetView showGridLines="0" zoomScale="110" zoomScaleNormal="110" workbookViewId="0">
      <selection activeCell="H19" sqref="H19"/>
    </sheetView>
  </sheetViews>
  <sheetFormatPr defaultColWidth="9.15178571428571" defaultRowHeight="16.8"/>
  <cols>
    <col min="1" max="3" width="1.24107142857143" style="79" customWidth="1"/>
    <col min="4" max="4" width="15.0267857142857" style="79" customWidth="1"/>
    <col min="5" max="5" width="9.57142857142857" style="79" customWidth="1"/>
    <col min="6" max="6" width="9.15178571428571" style="78" customWidth="1"/>
    <col min="7" max="7" width="3.64285714285714" style="79" customWidth="1"/>
    <col min="8" max="8" width="11.1517857142857" style="79" customWidth="1"/>
    <col min="9" max="9" width="8.61607142857143" style="79" customWidth="1"/>
    <col min="10" max="16384" width="9.15178571428571" style="78" customWidth="1"/>
  </cols>
  <sheetData>
    <row r="1" s="78" customFormat="1" ht="37.2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78" customFormat="1" ht="12.75" customHeight="1" spans="1:17">
      <c r="A2" s="3" t="s">
        <v>287</v>
      </c>
      <c r="B2" s="4"/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="78" customFormat="1" ht="16.5" customHeight="1"/>
    <row r="4" s="78" customFormat="1" ht="16.5" customHeight="1" spans="1:17">
      <c r="A4" s="79"/>
      <c r="B4" s="79"/>
      <c r="C4" s="79"/>
      <c r="D4" s="80"/>
      <c r="E4" s="80" t="s">
        <v>288</v>
      </c>
      <c r="G4" s="79"/>
      <c r="H4" s="79"/>
      <c r="I4" s="79"/>
    </row>
    <row r="5" s="78" customFormat="1" ht="16.5" customHeight="1" spans="1:17">
      <c r="A5" s="79"/>
      <c r="B5" s="79"/>
      <c r="C5" s="79"/>
      <c r="D5" s="80" t="s">
        <v>240</v>
      </c>
      <c r="E5" s="80" t="s">
        <v>289</v>
      </c>
      <c r="G5" s="79"/>
      <c r="H5" s="79"/>
      <c r="I5" s="79"/>
    </row>
    <row r="6" s="78" customFormat="1" ht="16.5" customHeight="1" spans="1:17">
      <c r="A6" s="79"/>
      <c r="B6" s="79"/>
      <c r="C6" s="79"/>
      <c r="D6" s="81">
        <v>46230</v>
      </c>
      <c r="E6" s="82">
        <v>23995.95</v>
      </c>
      <c r="G6" s="79"/>
      <c r="H6" s="83" t="s">
        <v>290</v>
      </c>
      <c r="I6" s="79"/>
      <c r="J6" s="84">
        <v>9</v>
      </c>
    </row>
    <row r="7" s="78" customFormat="1" ht="16.5" customHeight="1" spans="1:17">
      <c r="A7" s="79"/>
      <c r="B7" s="79"/>
      <c r="C7" s="79"/>
      <c r="D7" s="81">
        <v>46227</v>
      </c>
      <c r="E7" s="82">
        <v>23767.45</v>
      </c>
      <c r="G7" s="79"/>
      <c r="H7" s="83"/>
      <c r="I7" s="79"/>
      <c r="J7" s="85"/>
    </row>
    <row r="8" s="78" customFormat="1" ht="16.5" customHeight="1" spans="1:17">
      <c r="A8" s="79"/>
      <c r="B8" s="79"/>
      <c r="C8" s="79"/>
      <c r="D8" s="81">
        <v>46226</v>
      </c>
      <c r="E8" s="82">
        <v>23869.6</v>
      </c>
      <c r="G8" s="79"/>
      <c r="H8" s="83" t="s">
        <v>291</v>
      </c>
      <c r="I8" s="79"/>
      <c r="J8" s="86">
        <f>_xlfn.RRI(J6,E2622,E6)</f>
        <v>0.130388716842143</v>
      </c>
    </row>
    <row r="9" s="78" customFormat="1" ht="16.5" customHeight="1" spans="1:17">
      <c r="A9" s="79"/>
      <c r="B9" s="79"/>
      <c r="C9" s="79"/>
      <c r="D9" s="81">
        <v>46225</v>
      </c>
      <c r="E9" s="82">
        <v>23996.25</v>
      </c>
      <c r="G9" s="79"/>
      <c r="H9" s="79"/>
      <c r="I9" s="79"/>
    </row>
    <row r="10" s="78" customFormat="1" ht="16.5" customHeight="1" spans="1:17">
      <c r="A10" s="79"/>
      <c r="B10" s="79"/>
      <c r="C10" s="79"/>
      <c r="D10" s="81">
        <v>46224</v>
      </c>
      <c r="E10" s="82">
        <v>24187.7</v>
      </c>
      <c r="G10" s="79"/>
      <c r="H10" s="79"/>
      <c r="I10" s="79"/>
    </row>
    <row r="11" s="78" customFormat="1" ht="16.5" customHeight="1" spans="1:17">
      <c r="A11" s="79"/>
      <c r="B11" s="79"/>
      <c r="C11" s="79"/>
      <c r="D11" s="81">
        <v>46223</v>
      </c>
      <c r="E11" s="82">
        <v>24238.5</v>
      </c>
      <c r="G11" s="79"/>
      <c r="H11" s="79"/>
      <c r="I11" s="79"/>
    </row>
    <row r="12" s="78" customFormat="1" ht="16.5" customHeight="1" spans="1:17">
      <c r="A12" s="79"/>
      <c r="B12" s="79"/>
      <c r="C12" s="79"/>
      <c r="D12" s="81">
        <v>46220</v>
      </c>
      <c r="E12" s="82">
        <v>24334.3</v>
      </c>
      <c r="G12" s="79"/>
      <c r="H12" s="79"/>
      <c r="I12" s="79"/>
    </row>
    <row r="13" s="78" customFormat="1" ht="16.5" customHeight="1" spans="1:17">
      <c r="A13" s="79"/>
      <c r="B13" s="79"/>
      <c r="C13" s="79"/>
      <c r="D13" s="81">
        <v>46219</v>
      </c>
      <c r="E13" s="82">
        <v>24072.75</v>
      </c>
      <c r="G13" s="79"/>
      <c r="H13" s="79"/>
      <c r="I13" s="79"/>
    </row>
    <row r="14" s="78" customFormat="1" ht="16.5" customHeight="1" spans="1:17">
      <c r="A14" s="79"/>
      <c r="B14" s="79"/>
      <c r="C14" s="79"/>
      <c r="D14" s="81">
        <v>46218</v>
      </c>
      <c r="E14" s="82">
        <v>24078.5</v>
      </c>
      <c r="G14" s="79"/>
      <c r="H14" s="79"/>
      <c r="I14" s="79"/>
    </row>
    <row r="15" s="78" customFormat="1" ht="16.5" customHeight="1" spans="1:17">
      <c r="A15" s="79"/>
      <c r="B15" s="79"/>
      <c r="C15" s="79"/>
      <c r="D15" s="81">
        <v>46217</v>
      </c>
      <c r="E15" s="82">
        <v>24052.05</v>
      </c>
      <c r="G15" s="79"/>
      <c r="H15" s="79"/>
      <c r="I15" s="79"/>
    </row>
    <row r="16" s="78" customFormat="1" ht="16.5" customHeight="1" spans="1:17">
      <c r="A16" s="79"/>
      <c r="B16" s="79"/>
      <c r="C16" s="79"/>
      <c r="D16" s="81">
        <v>46216</v>
      </c>
      <c r="E16" s="82">
        <v>24211</v>
      </c>
      <c r="G16" s="79"/>
      <c r="H16" s="79"/>
      <c r="I16" s="79"/>
    </row>
    <row r="17" s="78" customFormat="1" ht="16.5" customHeight="1" spans="1:9">
      <c r="A17" s="79"/>
      <c r="B17" s="79"/>
      <c r="C17" s="79"/>
      <c r="D17" s="81">
        <v>46213</v>
      </c>
      <c r="E17" s="82">
        <v>24206.9</v>
      </c>
      <c r="G17" s="79"/>
      <c r="H17" s="79"/>
      <c r="I17" s="79"/>
    </row>
    <row r="18" s="78" customFormat="1" ht="16.5" customHeight="1" spans="1:9">
      <c r="A18" s="79"/>
      <c r="B18" s="79"/>
      <c r="C18" s="79"/>
      <c r="D18" s="81">
        <v>46212</v>
      </c>
      <c r="E18" s="82">
        <v>23962.8</v>
      </c>
      <c r="G18" s="79"/>
      <c r="H18" s="79"/>
      <c r="I18" s="79"/>
    </row>
    <row r="19" s="78" customFormat="1" ht="16.5" customHeight="1" spans="1:9">
      <c r="A19" s="79"/>
      <c r="B19" s="79"/>
      <c r="C19" s="79"/>
      <c r="D19" s="81">
        <v>46211</v>
      </c>
      <c r="E19" s="82">
        <v>23882.05</v>
      </c>
      <c r="G19" s="79"/>
      <c r="H19" s="79"/>
      <c r="I19" s="79"/>
    </row>
    <row r="20" s="78" customFormat="1" ht="16.5" customHeight="1" spans="1:9">
      <c r="A20" s="79"/>
      <c r="B20" s="79"/>
      <c r="C20" s="79"/>
      <c r="D20" s="81">
        <v>46210</v>
      </c>
      <c r="E20" s="82">
        <v>24398.7</v>
      </c>
      <c r="G20" s="79"/>
      <c r="H20" s="79"/>
      <c r="I20" s="79"/>
    </row>
    <row r="21" s="78" customFormat="1" ht="16.5" customHeight="1" spans="1:9">
      <c r="A21" s="79"/>
      <c r="B21" s="79"/>
      <c r="C21" s="79"/>
      <c r="D21" s="81">
        <v>46209</v>
      </c>
      <c r="E21" s="82">
        <v>24430.35</v>
      </c>
      <c r="G21" s="79"/>
      <c r="H21" s="79"/>
      <c r="I21" s="79"/>
    </row>
    <row r="22" s="78" customFormat="1" ht="16.5" customHeight="1" spans="1:9">
      <c r="A22" s="79"/>
      <c r="B22" s="79"/>
      <c r="C22" s="79"/>
      <c r="D22" s="81">
        <v>46206</v>
      </c>
      <c r="E22" s="82">
        <v>24270.85</v>
      </c>
      <c r="G22" s="79"/>
      <c r="H22" s="79"/>
      <c r="I22" s="79"/>
    </row>
    <row r="23" s="78" customFormat="1" ht="16.5" customHeight="1" spans="1:9">
      <c r="A23" s="79"/>
      <c r="B23" s="79"/>
      <c r="C23" s="79"/>
      <c r="D23" s="81">
        <v>46205</v>
      </c>
      <c r="E23" s="82">
        <v>24175.7</v>
      </c>
      <c r="G23" s="79"/>
      <c r="H23" s="79"/>
      <c r="I23" s="79"/>
    </row>
    <row r="24" s="78" customFormat="1" ht="16.5" customHeight="1" spans="1:9">
      <c r="A24" s="79"/>
      <c r="B24" s="79"/>
      <c r="C24" s="79"/>
      <c r="D24" s="81">
        <v>46204</v>
      </c>
      <c r="E24" s="82">
        <v>24005.85</v>
      </c>
      <c r="G24" s="79"/>
      <c r="H24" s="79"/>
      <c r="I24" s="79"/>
    </row>
    <row r="25" s="78" customFormat="1" ht="16.5" customHeight="1" spans="1:9">
      <c r="A25" s="79"/>
      <c r="B25" s="79"/>
      <c r="C25" s="79"/>
      <c r="D25" s="81">
        <v>46203</v>
      </c>
      <c r="E25" s="82">
        <v>23865.75</v>
      </c>
      <c r="G25" s="79"/>
      <c r="H25" s="79"/>
      <c r="I25" s="79"/>
    </row>
    <row r="26" s="78" customFormat="1" ht="16.5" customHeight="1" spans="1:9">
      <c r="A26" s="79"/>
      <c r="B26" s="79"/>
      <c r="C26" s="79"/>
      <c r="D26" s="81">
        <v>46202</v>
      </c>
      <c r="E26" s="82">
        <v>23946.25</v>
      </c>
      <c r="G26" s="79"/>
      <c r="H26" s="79"/>
      <c r="I26" s="79"/>
    </row>
    <row r="27" s="78" customFormat="1" ht="16.5" customHeight="1" spans="1:9">
      <c r="A27" s="79"/>
      <c r="B27" s="79"/>
      <c r="C27" s="79"/>
      <c r="D27" s="81">
        <v>46198</v>
      </c>
      <c r="E27" s="82">
        <v>24056</v>
      </c>
      <c r="G27" s="79"/>
      <c r="H27" s="79"/>
      <c r="I27" s="79"/>
    </row>
    <row r="28" s="78" customFormat="1" ht="16.5" customHeight="1" spans="1:9">
      <c r="A28" s="79"/>
      <c r="B28" s="79"/>
      <c r="C28" s="79"/>
      <c r="D28" s="81">
        <v>46197</v>
      </c>
      <c r="E28" s="82">
        <v>24021.65</v>
      </c>
      <c r="G28" s="79"/>
      <c r="H28" s="79"/>
      <c r="I28" s="79"/>
    </row>
    <row r="29" s="78" customFormat="1" ht="16.5" customHeight="1" spans="1:9">
      <c r="A29" s="79"/>
      <c r="B29" s="79"/>
      <c r="C29" s="79"/>
      <c r="D29" s="81">
        <v>46196</v>
      </c>
      <c r="E29" s="82">
        <v>23824.1</v>
      </c>
      <c r="G29" s="79"/>
      <c r="H29" s="79"/>
      <c r="I29" s="79"/>
    </row>
    <row r="30" s="78" customFormat="1" ht="16.5" customHeight="1" spans="1:9">
      <c r="A30" s="79"/>
      <c r="B30" s="79"/>
      <c r="C30" s="79"/>
      <c r="D30" s="81">
        <v>46195</v>
      </c>
      <c r="E30" s="82">
        <v>24102.9</v>
      </c>
      <c r="G30" s="79"/>
      <c r="H30" s="79"/>
      <c r="I30" s="79"/>
    </row>
    <row r="31" s="78" customFormat="1" ht="16.5" customHeight="1" spans="1:9">
      <c r="A31" s="79"/>
      <c r="B31" s="79"/>
      <c r="C31" s="79"/>
      <c r="D31" s="81">
        <v>46192</v>
      </c>
      <c r="E31" s="82">
        <v>24013.1</v>
      </c>
      <c r="G31" s="79"/>
      <c r="H31" s="79"/>
      <c r="I31" s="79"/>
    </row>
    <row r="32" s="78" customFormat="1" ht="16.5" customHeight="1" spans="1:9">
      <c r="A32" s="79"/>
      <c r="B32" s="79"/>
      <c r="C32" s="79"/>
      <c r="D32" s="81">
        <v>46191</v>
      </c>
      <c r="E32" s="82">
        <v>24168</v>
      </c>
      <c r="G32" s="79"/>
      <c r="H32" s="79"/>
      <c r="I32" s="79"/>
    </row>
    <row r="33" s="78" customFormat="1" ht="16.5" customHeight="1" spans="1:9">
      <c r="A33" s="79"/>
      <c r="B33" s="79"/>
      <c r="C33" s="79"/>
      <c r="D33" s="81">
        <v>46190</v>
      </c>
      <c r="E33" s="82">
        <v>24085.7</v>
      </c>
      <c r="G33" s="79"/>
      <c r="H33" s="79"/>
      <c r="I33" s="79"/>
    </row>
    <row r="34" s="78" customFormat="1" ht="16.5" customHeight="1" spans="1:9">
      <c r="A34" s="79"/>
      <c r="B34" s="79"/>
      <c r="C34" s="79"/>
      <c r="D34" s="81">
        <v>46189</v>
      </c>
      <c r="E34" s="82">
        <v>23989.15</v>
      </c>
      <c r="G34" s="79"/>
      <c r="H34" s="79"/>
      <c r="I34" s="79"/>
    </row>
    <row r="35" s="78" customFormat="1" ht="16.5" customHeight="1" spans="1:9">
      <c r="A35" s="79"/>
      <c r="B35" s="79"/>
      <c r="C35" s="79"/>
      <c r="D35" s="81">
        <v>46188</v>
      </c>
      <c r="E35" s="82">
        <v>23853.9</v>
      </c>
      <c r="G35" s="79"/>
      <c r="H35" s="79"/>
      <c r="I35" s="79"/>
    </row>
    <row r="36" s="78" customFormat="1" ht="16.5" customHeight="1" spans="1:9">
      <c r="A36" s="79"/>
      <c r="B36" s="79"/>
      <c r="C36" s="79"/>
      <c r="D36" s="81">
        <v>46185</v>
      </c>
      <c r="E36" s="82">
        <v>23622.9</v>
      </c>
      <c r="G36" s="79"/>
      <c r="H36" s="79"/>
      <c r="I36" s="79"/>
    </row>
    <row r="37" s="78" customFormat="1" ht="16.5" customHeight="1" spans="1:9">
      <c r="A37" s="79"/>
      <c r="B37" s="79"/>
      <c r="C37" s="79"/>
      <c r="D37" s="81">
        <v>46184</v>
      </c>
      <c r="E37" s="82">
        <v>23161.6</v>
      </c>
      <c r="G37" s="79"/>
      <c r="H37" s="79"/>
      <c r="I37" s="79"/>
    </row>
    <row r="38" s="78" customFormat="1" ht="16.5" customHeight="1" spans="1:9">
      <c r="A38" s="79"/>
      <c r="B38" s="79"/>
      <c r="C38" s="79"/>
      <c r="D38" s="81">
        <v>46183</v>
      </c>
      <c r="E38" s="82">
        <v>23214.95</v>
      </c>
      <c r="G38" s="79"/>
      <c r="H38" s="79"/>
      <c r="I38" s="79"/>
    </row>
    <row r="39" s="78" customFormat="1" ht="16.5" customHeight="1" spans="1:9">
      <c r="A39" s="79"/>
      <c r="B39" s="79"/>
      <c r="C39" s="79"/>
      <c r="D39" s="81">
        <v>46182</v>
      </c>
      <c r="E39" s="82">
        <v>23242.1</v>
      </c>
      <c r="G39" s="79"/>
      <c r="H39" s="79"/>
      <c r="I39" s="79"/>
    </row>
    <row r="40" s="78" customFormat="1" ht="16.5" customHeight="1" spans="1:9">
      <c r="A40" s="79"/>
      <c r="B40" s="79"/>
      <c r="C40" s="79"/>
      <c r="D40" s="81">
        <v>46181</v>
      </c>
      <c r="E40" s="82">
        <v>23123</v>
      </c>
      <c r="G40" s="79"/>
      <c r="H40" s="79"/>
      <c r="I40" s="79"/>
    </row>
    <row r="41" s="78" customFormat="1" ht="16.5" customHeight="1" spans="1:9">
      <c r="A41" s="79"/>
      <c r="B41" s="79"/>
      <c r="C41" s="79"/>
      <c r="D41" s="81">
        <v>46178</v>
      </c>
      <c r="E41" s="82">
        <v>23366.7</v>
      </c>
      <c r="G41" s="79"/>
      <c r="H41" s="79"/>
      <c r="I41" s="79"/>
    </row>
    <row r="42" s="78" customFormat="1" ht="16.5" customHeight="1" spans="1:9">
      <c r="A42" s="79"/>
      <c r="B42" s="79"/>
      <c r="C42" s="79"/>
      <c r="D42" s="81">
        <v>46177</v>
      </c>
      <c r="E42" s="82">
        <v>23416.55</v>
      </c>
      <c r="G42" s="79"/>
      <c r="H42" s="79"/>
      <c r="I42" s="79"/>
    </row>
    <row r="43" s="78" customFormat="1" ht="16.5" customHeight="1" spans="1:9">
      <c r="A43" s="79"/>
      <c r="B43" s="79"/>
      <c r="C43" s="79"/>
      <c r="D43" s="81">
        <v>46176</v>
      </c>
      <c r="E43" s="82">
        <v>23405.6</v>
      </c>
      <c r="G43" s="79"/>
      <c r="H43" s="79"/>
      <c r="I43" s="79"/>
    </row>
    <row r="44" s="78" customFormat="1" ht="16.5" customHeight="1" spans="1:9">
      <c r="A44" s="79"/>
      <c r="B44" s="79"/>
      <c r="C44" s="79"/>
      <c r="D44" s="81">
        <v>46175</v>
      </c>
      <c r="E44" s="82">
        <v>23483.55</v>
      </c>
      <c r="G44" s="79"/>
      <c r="H44" s="79"/>
      <c r="I44" s="79"/>
    </row>
    <row r="45" s="78" customFormat="1" ht="16.5" customHeight="1" spans="1:9">
      <c r="A45" s="79"/>
      <c r="B45" s="79"/>
      <c r="C45" s="79"/>
      <c r="D45" s="81">
        <v>46174</v>
      </c>
      <c r="E45" s="82">
        <v>23382.6</v>
      </c>
      <c r="G45" s="79"/>
      <c r="H45" s="79"/>
      <c r="I45" s="79"/>
    </row>
    <row r="46" s="78" customFormat="1" ht="16.5" customHeight="1" spans="1:9">
      <c r="A46" s="79"/>
      <c r="B46" s="79"/>
      <c r="C46" s="79"/>
      <c r="D46" s="81">
        <v>46171</v>
      </c>
      <c r="E46" s="82">
        <v>23547.75</v>
      </c>
      <c r="G46" s="79"/>
      <c r="H46" s="79"/>
      <c r="I46" s="79"/>
    </row>
    <row r="47" s="78" customFormat="1" ht="16.5" customHeight="1" spans="1:9">
      <c r="A47" s="79"/>
      <c r="B47" s="79"/>
      <c r="C47" s="79"/>
      <c r="D47" s="81">
        <v>46169</v>
      </c>
      <c r="E47" s="82">
        <v>23907.15</v>
      </c>
      <c r="G47" s="79"/>
      <c r="H47" s="79"/>
      <c r="I47" s="79"/>
    </row>
    <row r="48" s="78" customFormat="1" ht="16.5" customHeight="1" spans="1:9">
      <c r="A48" s="79"/>
      <c r="B48" s="79"/>
      <c r="C48" s="79"/>
      <c r="D48" s="81">
        <v>46168</v>
      </c>
      <c r="E48" s="82">
        <v>23913.7</v>
      </c>
      <c r="G48" s="79"/>
      <c r="H48" s="79"/>
      <c r="I48" s="79"/>
    </row>
    <row r="49" s="78" customFormat="1" ht="16.5" customHeight="1" spans="1:9">
      <c r="A49" s="79"/>
      <c r="B49" s="79"/>
      <c r="C49" s="79"/>
      <c r="D49" s="81">
        <v>46167</v>
      </c>
      <c r="E49" s="82">
        <v>24031.7</v>
      </c>
      <c r="G49" s="79"/>
      <c r="H49" s="79"/>
      <c r="I49" s="79"/>
    </row>
    <row r="50" s="78" customFormat="1" ht="16.5" customHeight="1" spans="1:9">
      <c r="A50" s="79"/>
      <c r="B50" s="79"/>
      <c r="C50" s="79"/>
      <c r="D50" s="81">
        <v>46164</v>
      </c>
      <c r="E50" s="82">
        <v>23719.3</v>
      </c>
      <c r="G50" s="79"/>
      <c r="H50" s="79"/>
      <c r="I50" s="79"/>
    </row>
    <row r="51" s="78" customFormat="1" ht="16.5" customHeight="1" spans="1:9">
      <c r="A51" s="79"/>
      <c r="B51" s="79"/>
      <c r="C51" s="79"/>
      <c r="D51" s="81">
        <v>46163</v>
      </c>
      <c r="E51" s="82">
        <v>23654.7</v>
      </c>
      <c r="G51" s="79"/>
      <c r="H51" s="79"/>
      <c r="I51" s="79"/>
    </row>
    <row r="52" s="78" customFormat="1" ht="16.5" customHeight="1" spans="1:9">
      <c r="A52" s="79"/>
      <c r="B52" s="79"/>
      <c r="C52" s="79"/>
      <c r="D52" s="81">
        <v>46162</v>
      </c>
      <c r="E52" s="82">
        <v>23659</v>
      </c>
      <c r="G52" s="79"/>
      <c r="H52" s="79"/>
      <c r="I52" s="79"/>
    </row>
    <row r="53" s="78" customFormat="1" ht="16.5" customHeight="1" spans="1:9">
      <c r="A53" s="79"/>
      <c r="B53" s="79"/>
      <c r="C53" s="79"/>
      <c r="D53" s="81">
        <v>46161</v>
      </c>
      <c r="E53" s="82">
        <v>23618</v>
      </c>
      <c r="G53" s="79"/>
      <c r="H53" s="79"/>
      <c r="I53" s="79"/>
    </row>
    <row r="54" s="78" customFormat="1" ht="16.5" customHeight="1" spans="1:9">
      <c r="A54" s="79"/>
      <c r="B54" s="79"/>
      <c r="C54" s="79"/>
      <c r="D54" s="81">
        <v>46160</v>
      </c>
      <c r="E54" s="82">
        <v>23649.95</v>
      </c>
      <c r="G54" s="79"/>
      <c r="H54" s="79"/>
      <c r="I54" s="79"/>
    </row>
    <row r="55" s="78" customFormat="1" ht="16.5" customHeight="1" spans="1:9">
      <c r="A55" s="79"/>
      <c r="B55" s="79"/>
      <c r="C55" s="79"/>
      <c r="D55" s="81">
        <v>46157</v>
      </c>
      <c r="E55" s="82">
        <v>23643.5</v>
      </c>
      <c r="G55" s="79"/>
      <c r="H55" s="79"/>
      <c r="I55" s="79"/>
    </row>
    <row r="56" s="78" customFormat="1" ht="16.5" customHeight="1" spans="1:9">
      <c r="A56" s="79"/>
      <c r="B56" s="79"/>
      <c r="C56" s="79"/>
      <c r="D56" s="81">
        <v>46156</v>
      </c>
      <c r="E56" s="82">
        <v>23689.6</v>
      </c>
      <c r="G56" s="79"/>
      <c r="H56" s="79"/>
      <c r="I56" s="79"/>
    </row>
    <row r="57" s="78" customFormat="1" ht="16.5" customHeight="1" spans="1:9">
      <c r="A57" s="79"/>
      <c r="B57" s="79"/>
      <c r="C57" s="79"/>
      <c r="D57" s="81">
        <v>46155</v>
      </c>
      <c r="E57" s="82">
        <v>23412.6</v>
      </c>
      <c r="G57" s="79"/>
      <c r="H57" s="79"/>
      <c r="I57" s="79"/>
    </row>
    <row r="58" s="78" customFormat="1" ht="16.5" customHeight="1" spans="1:9">
      <c r="A58" s="79"/>
      <c r="B58" s="79"/>
      <c r="C58" s="79"/>
      <c r="D58" s="81">
        <v>46154</v>
      </c>
      <c r="E58" s="82">
        <v>23379.55</v>
      </c>
      <c r="G58" s="79"/>
      <c r="H58" s="79"/>
      <c r="I58" s="79"/>
    </row>
    <row r="59" s="78" customFormat="1" ht="16.5" customHeight="1" spans="1:9">
      <c r="A59" s="79"/>
      <c r="B59" s="79"/>
      <c r="C59" s="79"/>
      <c r="D59" s="81">
        <v>46153</v>
      </c>
      <c r="E59" s="82">
        <v>23815.85</v>
      </c>
      <c r="G59" s="79"/>
      <c r="H59" s="79"/>
      <c r="I59" s="79"/>
    </row>
    <row r="60" s="78" customFormat="1" ht="16.5" customHeight="1" spans="1:9">
      <c r="A60" s="79"/>
      <c r="B60" s="79"/>
      <c r="C60" s="79"/>
      <c r="D60" s="81">
        <v>46150</v>
      </c>
      <c r="E60" s="82">
        <v>24176.15</v>
      </c>
      <c r="G60" s="79"/>
      <c r="H60" s="79"/>
      <c r="I60" s="79"/>
    </row>
    <row r="61" s="78" customFormat="1" ht="16.5" customHeight="1" spans="1:9">
      <c r="A61" s="79"/>
      <c r="B61" s="79"/>
      <c r="C61" s="79"/>
      <c r="D61" s="81">
        <v>46149</v>
      </c>
      <c r="E61" s="82">
        <v>24326.65</v>
      </c>
      <c r="G61" s="79"/>
      <c r="H61" s="79"/>
      <c r="I61" s="79"/>
    </row>
    <row r="62" s="78" customFormat="1" ht="16.5" customHeight="1" spans="1:9">
      <c r="A62" s="79"/>
      <c r="B62" s="79"/>
      <c r="C62" s="79"/>
      <c r="D62" s="81">
        <v>46148</v>
      </c>
      <c r="E62" s="82">
        <v>24330.95</v>
      </c>
      <c r="G62" s="79"/>
      <c r="H62" s="79"/>
      <c r="I62" s="79"/>
    </row>
    <row r="63" s="78" customFormat="1" ht="16.5" customHeight="1" spans="1:9">
      <c r="A63" s="79"/>
      <c r="B63" s="79"/>
      <c r="C63" s="79"/>
      <c r="D63" s="81">
        <v>46147</v>
      </c>
      <c r="E63" s="82">
        <v>24032.8</v>
      </c>
      <c r="G63" s="79"/>
      <c r="H63" s="79"/>
      <c r="I63" s="79"/>
    </row>
    <row r="64" s="78" customFormat="1" ht="16.5" customHeight="1" spans="1:9">
      <c r="A64" s="79"/>
      <c r="B64" s="79"/>
      <c r="C64" s="79"/>
      <c r="D64" s="81">
        <v>46146</v>
      </c>
      <c r="E64" s="82">
        <v>24119.3</v>
      </c>
      <c r="G64" s="79"/>
      <c r="H64" s="79"/>
      <c r="I64" s="79"/>
    </row>
    <row r="65" s="78" customFormat="1" ht="16.5" customHeight="1" spans="1:9">
      <c r="A65" s="79"/>
      <c r="B65" s="79"/>
      <c r="C65" s="79"/>
      <c r="D65" s="81">
        <v>46142</v>
      </c>
      <c r="E65" s="82">
        <v>23997.55</v>
      </c>
      <c r="G65" s="79"/>
      <c r="H65" s="79"/>
      <c r="I65" s="79"/>
    </row>
    <row r="66" s="78" customFormat="1" ht="16.5" customHeight="1" spans="1:9">
      <c r="A66" s="79"/>
      <c r="B66" s="79"/>
      <c r="C66" s="79"/>
      <c r="D66" s="81">
        <v>46141</v>
      </c>
      <c r="E66" s="82">
        <v>24177.65</v>
      </c>
      <c r="G66" s="79"/>
      <c r="H66" s="79"/>
      <c r="I66" s="79"/>
    </row>
    <row r="67" s="78" customFormat="1" ht="16.5" customHeight="1" spans="1:9">
      <c r="A67" s="79"/>
      <c r="B67" s="79"/>
      <c r="C67" s="79"/>
      <c r="D67" s="81">
        <v>46140</v>
      </c>
      <c r="E67" s="82">
        <v>23995.7</v>
      </c>
      <c r="G67" s="79"/>
      <c r="H67" s="79"/>
      <c r="I67" s="79"/>
    </row>
    <row r="68" s="78" customFormat="1" ht="16.5" customHeight="1" spans="1:9">
      <c r="A68" s="79"/>
      <c r="B68" s="79"/>
      <c r="C68" s="79"/>
      <c r="D68" s="81">
        <v>46139</v>
      </c>
      <c r="E68" s="82">
        <v>24092.7</v>
      </c>
      <c r="G68" s="79"/>
      <c r="H68" s="79"/>
      <c r="I68" s="79"/>
    </row>
    <row r="69" s="78" customFormat="1" ht="16.5" customHeight="1" spans="1:9">
      <c r="A69" s="79"/>
      <c r="B69" s="79"/>
      <c r="C69" s="79"/>
      <c r="D69" s="81">
        <v>46136</v>
      </c>
      <c r="E69" s="82">
        <v>23897.95</v>
      </c>
      <c r="G69" s="79"/>
      <c r="H69" s="79"/>
      <c r="I69" s="79"/>
    </row>
    <row r="70" s="78" customFormat="1" ht="16.5" customHeight="1" spans="1:9">
      <c r="A70" s="79"/>
      <c r="B70" s="79"/>
      <c r="C70" s="79"/>
      <c r="D70" s="81">
        <v>46135</v>
      </c>
      <c r="E70" s="82">
        <v>24173.05</v>
      </c>
      <c r="G70" s="79"/>
      <c r="H70" s="79"/>
      <c r="I70" s="79"/>
    </row>
    <row r="71" s="78" customFormat="1" ht="16.5" customHeight="1" spans="1:9">
      <c r="A71" s="79"/>
      <c r="B71" s="79"/>
      <c r="C71" s="79"/>
      <c r="D71" s="81">
        <v>46134</v>
      </c>
      <c r="E71" s="82">
        <v>24378.1</v>
      </c>
      <c r="G71" s="79"/>
      <c r="H71" s="79"/>
      <c r="I71" s="79"/>
    </row>
    <row r="72" s="78" customFormat="1" ht="16.5" customHeight="1" spans="1:9">
      <c r="A72" s="79"/>
      <c r="B72" s="79"/>
      <c r="C72" s="79"/>
      <c r="D72" s="81">
        <v>46133</v>
      </c>
      <c r="E72" s="82">
        <v>24576.6</v>
      </c>
      <c r="G72" s="79"/>
      <c r="H72" s="79"/>
      <c r="I72" s="79"/>
    </row>
    <row r="73" s="78" customFormat="1" ht="16.5" customHeight="1" spans="1:9">
      <c r="A73" s="79"/>
      <c r="B73" s="79"/>
      <c r="C73" s="79"/>
      <c r="D73" s="81">
        <v>46132</v>
      </c>
      <c r="E73" s="82">
        <v>24364.85</v>
      </c>
      <c r="G73" s="79"/>
      <c r="H73" s="79"/>
      <c r="I73" s="79"/>
    </row>
    <row r="74" s="78" customFormat="1" ht="16.5" customHeight="1" spans="1:9">
      <c r="A74" s="79"/>
      <c r="B74" s="79"/>
      <c r="C74" s="79"/>
      <c r="D74" s="81">
        <v>46129</v>
      </c>
      <c r="E74" s="82">
        <v>24353.55</v>
      </c>
      <c r="G74" s="79"/>
      <c r="H74" s="79"/>
      <c r="I74" s="79"/>
    </row>
    <row r="75" s="78" customFormat="1" ht="16.5" customHeight="1" spans="1:9">
      <c r="A75" s="79"/>
      <c r="B75" s="79"/>
      <c r="C75" s="79"/>
      <c r="D75" s="81">
        <v>46128</v>
      </c>
      <c r="E75" s="82">
        <v>24196.75</v>
      </c>
      <c r="G75" s="79"/>
      <c r="H75" s="79"/>
      <c r="I75" s="79"/>
    </row>
    <row r="76" s="78" customFormat="1" ht="16.5" customHeight="1" spans="1:9">
      <c r="A76" s="79"/>
      <c r="B76" s="79"/>
      <c r="C76" s="79"/>
      <c r="D76" s="81">
        <v>46127</v>
      </c>
      <c r="E76" s="82">
        <v>24231.3</v>
      </c>
      <c r="G76" s="79"/>
      <c r="H76" s="79"/>
      <c r="I76" s="79"/>
    </row>
    <row r="77" s="78" customFormat="1" ht="16.5" customHeight="1" spans="1:9">
      <c r="A77" s="79"/>
      <c r="B77" s="79"/>
      <c r="C77" s="79"/>
      <c r="D77" s="81">
        <v>46125</v>
      </c>
      <c r="E77" s="82">
        <v>23842.65</v>
      </c>
      <c r="G77" s="79"/>
      <c r="H77" s="79"/>
      <c r="I77" s="79"/>
    </row>
    <row r="78" s="78" customFormat="1" ht="16.5" customHeight="1" spans="1:9">
      <c r="A78" s="79"/>
      <c r="B78" s="79"/>
      <c r="C78" s="79"/>
      <c r="D78" s="81">
        <v>46122</v>
      </c>
      <c r="E78" s="82">
        <v>24050.6</v>
      </c>
      <c r="G78" s="79"/>
      <c r="H78" s="79"/>
      <c r="I78" s="79"/>
    </row>
    <row r="79" s="78" customFormat="1" ht="16.5" customHeight="1" spans="1:9">
      <c r="A79" s="79"/>
      <c r="B79" s="79"/>
      <c r="C79" s="79"/>
      <c r="D79" s="81">
        <v>46121</v>
      </c>
      <c r="E79" s="82">
        <v>23775.1</v>
      </c>
      <c r="G79" s="79"/>
      <c r="H79" s="79"/>
      <c r="I79" s="79"/>
    </row>
    <row r="80" s="78" customFormat="1" ht="16.5" customHeight="1" spans="1:9">
      <c r="A80" s="79"/>
      <c r="B80" s="79"/>
      <c r="C80" s="79"/>
      <c r="D80" s="81">
        <v>46120</v>
      </c>
      <c r="E80" s="82">
        <v>23997.35</v>
      </c>
      <c r="G80" s="79"/>
      <c r="H80" s="79"/>
      <c r="I80" s="79"/>
    </row>
    <row r="81" s="78" customFormat="1" ht="16.5" customHeight="1" spans="1:9">
      <c r="A81" s="79"/>
      <c r="B81" s="79"/>
      <c r="C81" s="79"/>
      <c r="D81" s="81">
        <v>46119</v>
      </c>
      <c r="E81" s="82">
        <v>23123.65</v>
      </c>
      <c r="G81" s="79"/>
      <c r="H81" s="79"/>
      <c r="I81" s="79"/>
    </row>
    <row r="82" s="78" customFormat="1" ht="16.5" customHeight="1" spans="1:9">
      <c r="A82" s="79"/>
      <c r="B82" s="79"/>
      <c r="C82" s="79"/>
      <c r="D82" s="81">
        <v>46118</v>
      </c>
      <c r="E82" s="82">
        <v>22968.25</v>
      </c>
      <c r="G82" s="79"/>
      <c r="H82" s="79"/>
      <c r="I82" s="79"/>
    </row>
    <row r="83" s="78" customFormat="1" ht="16.5" customHeight="1" spans="1:9">
      <c r="A83" s="79"/>
      <c r="B83" s="79"/>
      <c r="C83" s="79"/>
      <c r="D83" s="81">
        <v>46114</v>
      </c>
      <c r="E83" s="82">
        <v>22713.1</v>
      </c>
      <c r="G83" s="79"/>
      <c r="H83" s="79"/>
      <c r="I83" s="79"/>
    </row>
    <row r="84" s="78" customFormat="1" ht="16.5" customHeight="1" spans="1:9">
      <c r="A84" s="79"/>
      <c r="B84" s="79"/>
      <c r="C84" s="79"/>
      <c r="D84" s="81">
        <v>46113</v>
      </c>
      <c r="E84" s="82">
        <v>22679.4</v>
      </c>
      <c r="G84" s="79"/>
      <c r="H84" s="79"/>
      <c r="I84" s="79"/>
    </row>
    <row r="85" s="78" customFormat="1" ht="16.5" customHeight="1" spans="1:9">
      <c r="A85" s="79"/>
      <c r="B85" s="79"/>
      <c r="C85" s="79"/>
      <c r="D85" s="81">
        <v>46111</v>
      </c>
      <c r="E85" s="82">
        <v>22331.4</v>
      </c>
      <c r="G85" s="79"/>
      <c r="H85" s="79"/>
      <c r="I85" s="79"/>
    </row>
    <row r="86" s="78" customFormat="1" ht="16.5" customHeight="1" spans="1:9">
      <c r="A86" s="79"/>
      <c r="B86" s="79"/>
      <c r="C86" s="79"/>
      <c r="D86" s="81">
        <v>46108</v>
      </c>
      <c r="E86" s="82">
        <v>22819.6</v>
      </c>
      <c r="G86" s="79"/>
      <c r="H86" s="79"/>
      <c r="I86" s="79"/>
    </row>
    <row r="87" s="78" customFormat="1" ht="16.5" customHeight="1" spans="1:9">
      <c r="A87" s="79"/>
      <c r="B87" s="79"/>
      <c r="C87" s="79"/>
      <c r="D87" s="81">
        <v>46106</v>
      </c>
      <c r="E87" s="82">
        <v>23306.45</v>
      </c>
      <c r="G87" s="79"/>
      <c r="H87" s="79"/>
      <c r="I87" s="79"/>
    </row>
    <row r="88" s="78" customFormat="1" ht="16.5" customHeight="1" spans="1:9">
      <c r="A88" s="79"/>
      <c r="B88" s="79"/>
      <c r="C88" s="79"/>
      <c r="D88" s="81">
        <v>46105</v>
      </c>
      <c r="E88" s="82">
        <v>22912.4</v>
      </c>
      <c r="G88" s="79"/>
      <c r="H88" s="79"/>
      <c r="I88" s="79"/>
    </row>
    <row r="89" s="78" customFormat="1" ht="16.5" customHeight="1" spans="1:9">
      <c r="A89" s="79"/>
      <c r="B89" s="79"/>
      <c r="C89" s="79"/>
      <c r="D89" s="81">
        <v>46104</v>
      </c>
      <c r="E89" s="82">
        <v>22512.65</v>
      </c>
      <c r="G89" s="79"/>
      <c r="H89" s="79"/>
      <c r="I89" s="79"/>
    </row>
    <row r="90" s="78" customFormat="1" ht="16.5" customHeight="1" spans="1:9">
      <c r="A90" s="79"/>
      <c r="B90" s="79"/>
      <c r="C90" s="79"/>
      <c r="D90" s="81">
        <v>46101</v>
      </c>
      <c r="E90" s="82">
        <v>23114.5</v>
      </c>
      <c r="G90" s="79"/>
      <c r="H90" s="79"/>
      <c r="I90" s="79"/>
    </row>
    <row r="91" s="78" customFormat="1" ht="16.5" customHeight="1" spans="1:9">
      <c r="A91" s="79"/>
      <c r="B91" s="79"/>
      <c r="C91" s="79"/>
      <c r="D91" s="81">
        <v>46100</v>
      </c>
      <c r="E91" s="82">
        <v>23002.15</v>
      </c>
      <c r="G91" s="79"/>
      <c r="H91" s="79"/>
      <c r="I91" s="79"/>
    </row>
    <row r="92" s="78" customFormat="1" ht="16.5" customHeight="1" spans="1:9">
      <c r="A92" s="79"/>
      <c r="B92" s="79"/>
      <c r="C92" s="79"/>
      <c r="D92" s="81">
        <v>46099</v>
      </c>
      <c r="E92" s="82">
        <v>23777.8</v>
      </c>
      <c r="G92" s="79"/>
      <c r="H92" s="79"/>
      <c r="I92" s="79"/>
    </row>
    <row r="93" s="78" customFormat="1" ht="16.5" customHeight="1" spans="1:9">
      <c r="A93" s="79"/>
      <c r="B93" s="79"/>
      <c r="C93" s="79"/>
      <c r="D93" s="81">
        <v>46098</v>
      </c>
      <c r="E93" s="82">
        <v>23581.15</v>
      </c>
      <c r="G93" s="79"/>
      <c r="H93" s="79"/>
      <c r="I93" s="79"/>
    </row>
    <row r="94" s="78" customFormat="1" ht="16.5" customHeight="1" spans="1:9">
      <c r="A94" s="79"/>
      <c r="B94" s="79"/>
      <c r="C94" s="79"/>
      <c r="D94" s="81">
        <v>46097</v>
      </c>
      <c r="E94" s="82">
        <v>23408.8</v>
      </c>
      <c r="G94" s="79"/>
      <c r="H94" s="79"/>
      <c r="I94" s="79"/>
    </row>
    <row r="95" s="78" customFormat="1" ht="16.5" customHeight="1" spans="1:9">
      <c r="A95" s="79"/>
      <c r="B95" s="79"/>
      <c r="C95" s="79"/>
      <c r="D95" s="81">
        <v>46094</v>
      </c>
      <c r="E95" s="82">
        <v>23151.1</v>
      </c>
      <c r="G95" s="79"/>
      <c r="H95" s="79"/>
      <c r="I95" s="79"/>
    </row>
    <row r="96" s="78" customFormat="1" ht="16.5" customHeight="1" spans="1:9">
      <c r="A96" s="79"/>
      <c r="B96" s="79"/>
      <c r="C96" s="79"/>
      <c r="D96" s="81">
        <v>46093</v>
      </c>
      <c r="E96" s="82">
        <v>23639.15</v>
      </c>
      <c r="G96" s="79"/>
      <c r="H96" s="79"/>
      <c r="I96" s="79"/>
    </row>
    <row r="97" s="78" customFormat="1" ht="16.5" customHeight="1" spans="1:9">
      <c r="A97" s="79"/>
      <c r="B97" s="79"/>
      <c r="C97" s="79"/>
      <c r="D97" s="81">
        <v>46092</v>
      </c>
      <c r="E97" s="82">
        <v>23866.85</v>
      </c>
      <c r="G97" s="79"/>
      <c r="H97" s="79"/>
      <c r="I97" s="79"/>
    </row>
    <row r="98" s="78" customFormat="1" ht="16.5" customHeight="1" spans="1:9">
      <c r="A98" s="79"/>
      <c r="B98" s="79"/>
      <c r="C98" s="79"/>
      <c r="D98" s="81">
        <v>46091</v>
      </c>
      <c r="E98" s="82">
        <v>24261.6</v>
      </c>
      <c r="G98" s="79"/>
      <c r="H98" s="79"/>
      <c r="I98" s="79"/>
    </row>
    <row r="99" s="78" customFormat="1" ht="16.5" customHeight="1" spans="1:9">
      <c r="A99" s="79"/>
      <c r="B99" s="79"/>
      <c r="C99" s="79"/>
      <c r="D99" s="81">
        <v>46090</v>
      </c>
      <c r="E99" s="82">
        <v>24028.05</v>
      </c>
      <c r="G99" s="79"/>
      <c r="H99" s="79"/>
      <c r="I99" s="79"/>
    </row>
    <row r="100" s="78" customFormat="1" ht="16.5" customHeight="1" spans="1:9">
      <c r="A100" s="79"/>
      <c r="B100" s="79"/>
      <c r="C100" s="79"/>
      <c r="D100" s="81">
        <v>46087</v>
      </c>
      <c r="E100" s="82">
        <v>24450.45</v>
      </c>
      <c r="G100" s="79"/>
      <c r="H100" s="79"/>
      <c r="I100" s="79"/>
    </row>
    <row r="101" s="78" customFormat="1" ht="16.5" customHeight="1" spans="1:9">
      <c r="A101" s="79"/>
      <c r="B101" s="79"/>
      <c r="C101" s="79"/>
      <c r="D101" s="81">
        <v>46086</v>
      </c>
      <c r="E101" s="82">
        <v>24765.9</v>
      </c>
      <c r="G101" s="79"/>
      <c r="H101" s="79"/>
      <c r="I101" s="79"/>
    </row>
    <row r="102" s="78" customFormat="1" ht="16.5" customHeight="1" spans="1:9">
      <c r="A102" s="79"/>
      <c r="B102" s="79"/>
      <c r="C102" s="79"/>
      <c r="D102" s="81">
        <v>46085</v>
      </c>
      <c r="E102" s="82">
        <v>24480.5</v>
      </c>
      <c r="G102" s="79"/>
      <c r="H102" s="79"/>
      <c r="I102" s="79"/>
    </row>
    <row r="103" s="78" customFormat="1" ht="16.5" customHeight="1" spans="1:9">
      <c r="A103" s="79"/>
      <c r="B103" s="79"/>
      <c r="C103" s="79"/>
      <c r="D103" s="81">
        <v>46083</v>
      </c>
      <c r="E103" s="82">
        <v>24865.7</v>
      </c>
      <c r="G103" s="79"/>
      <c r="H103" s="79"/>
      <c r="I103" s="79"/>
    </row>
    <row r="104" s="78" customFormat="1" ht="16.5" customHeight="1" spans="1:9">
      <c r="A104" s="79"/>
      <c r="B104" s="79"/>
      <c r="C104" s="79"/>
      <c r="D104" s="81">
        <v>46080</v>
      </c>
      <c r="E104" s="82">
        <v>25178.65</v>
      </c>
      <c r="G104" s="79"/>
      <c r="H104" s="79"/>
      <c r="I104" s="79"/>
    </row>
    <row r="105" s="78" customFormat="1" ht="16.5" customHeight="1" spans="1:9">
      <c r="A105" s="79"/>
      <c r="B105" s="79"/>
      <c r="C105" s="79"/>
      <c r="D105" s="81">
        <v>46079</v>
      </c>
      <c r="E105" s="82">
        <v>25496.55</v>
      </c>
      <c r="G105" s="79"/>
      <c r="H105" s="79"/>
      <c r="I105" s="79"/>
    </row>
    <row r="106" s="78" customFormat="1" ht="16.5" customHeight="1" spans="1:9">
      <c r="A106" s="79"/>
      <c r="B106" s="79"/>
      <c r="C106" s="79"/>
      <c r="D106" s="81">
        <v>46078</v>
      </c>
      <c r="E106" s="82">
        <v>25482.5</v>
      </c>
      <c r="G106" s="79"/>
      <c r="H106" s="79"/>
      <c r="I106" s="79"/>
    </row>
    <row r="107" s="78" customFormat="1" ht="16.5" customHeight="1" spans="1:9">
      <c r="A107" s="79"/>
      <c r="B107" s="79"/>
      <c r="C107" s="79"/>
      <c r="D107" s="81">
        <v>46077</v>
      </c>
      <c r="E107" s="82">
        <v>25424.65</v>
      </c>
      <c r="G107" s="79"/>
      <c r="H107" s="79"/>
      <c r="I107" s="79"/>
    </row>
    <row r="108" s="78" customFormat="1" ht="16.5" customHeight="1" spans="1:9">
      <c r="A108" s="79"/>
      <c r="B108" s="79"/>
      <c r="C108" s="79"/>
      <c r="D108" s="81">
        <v>46076</v>
      </c>
      <c r="E108" s="82">
        <v>25713</v>
      </c>
      <c r="G108" s="79"/>
      <c r="H108" s="79"/>
      <c r="I108" s="79"/>
    </row>
    <row r="109" s="78" customFormat="1" ht="16.5" customHeight="1" spans="1:9">
      <c r="A109" s="79"/>
      <c r="B109" s="79"/>
      <c r="C109" s="79"/>
      <c r="D109" s="81">
        <v>46073</v>
      </c>
      <c r="E109" s="82">
        <v>25571.25</v>
      </c>
      <c r="G109" s="79"/>
      <c r="H109" s="79"/>
      <c r="I109" s="79"/>
    </row>
    <row r="110" s="78" customFormat="1" ht="16.5" customHeight="1" spans="1:9">
      <c r="A110" s="79"/>
      <c r="B110" s="79"/>
      <c r="C110" s="79"/>
      <c r="D110" s="81">
        <v>46072</v>
      </c>
      <c r="E110" s="82">
        <v>25454.35</v>
      </c>
      <c r="G110" s="79"/>
      <c r="H110" s="79"/>
      <c r="I110" s="79"/>
    </row>
    <row r="111" s="78" customFormat="1" ht="16.5" customHeight="1" spans="1:9">
      <c r="A111" s="79"/>
      <c r="B111" s="79"/>
      <c r="C111" s="79"/>
      <c r="D111" s="81">
        <v>46071</v>
      </c>
      <c r="E111" s="82">
        <v>25819.35</v>
      </c>
      <c r="G111" s="79"/>
      <c r="H111" s="79"/>
      <c r="I111" s="79"/>
    </row>
    <row r="112" s="78" customFormat="1" ht="16.5" customHeight="1" spans="1:9">
      <c r="A112" s="79"/>
      <c r="B112" s="79"/>
      <c r="C112" s="79"/>
      <c r="D112" s="81">
        <v>46070</v>
      </c>
      <c r="E112" s="82">
        <v>25725.4</v>
      </c>
      <c r="G112" s="79"/>
      <c r="H112" s="79"/>
      <c r="I112" s="79"/>
    </row>
    <row r="113" s="78" customFormat="1" ht="16.5" customHeight="1" spans="1:9">
      <c r="A113" s="79"/>
      <c r="B113" s="79"/>
      <c r="C113" s="79"/>
      <c r="D113" s="81">
        <v>46069</v>
      </c>
      <c r="E113" s="82">
        <v>25682.75</v>
      </c>
      <c r="G113" s="79"/>
      <c r="H113" s="79"/>
      <c r="I113" s="79"/>
    </row>
    <row r="114" s="78" customFormat="1" ht="16.5" customHeight="1" spans="1:9">
      <c r="A114" s="79"/>
      <c r="B114" s="79"/>
      <c r="C114" s="79"/>
      <c r="D114" s="81">
        <v>46066</v>
      </c>
      <c r="E114" s="82">
        <v>25471.1</v>
      </c>
      <c r="G114" s="79"/>
      <c r="H114" s="79"/>
      <c r="I114" s="79"/>
    </row>
    <row r="115" s="78" customFormat="1" ht="16.5" customHeight="1" spans="1:9">
      <c r="A115" s="79"/>
      <c r="B115" s="79"/>
      <c r="C115" s="79"/>
      <c r="D115" s="81">
        <v>46065</v>
      </c>
      <c r="E115" s="82">
        <v>25807.2</v>
      </c>
      <c r="G115" s="79"/>
      <c r="H115" s="79"/>
      <c r="I115" s="79"/>
    </row>
    <row r="116" s="78" customFormat="1" ht="16.5" customHeight="1" spans="1:9">
      <c r="A116" s="79"/>
      <c r="B116" s="79"/>
      <c r="C116" s="79"/>
      <c r="D116" s="81">
        <v>46064</v>
      </c>
      <c r="E116" s="82">
        <v>25953.85</v>
      </c>
      <c r="G116" s="79"/>
      <c r="H116" s="79"/>
      <c r="I116" s="79"/>
    </row>
    <row r="117" s="78" customFormat="1" ht="16.5" customHeight="1" spans="1:9">
      <c r="A117" s="79"/>
      <c r="B117" s="79"/>
      <c r="C117" s="79"/>
      <c r="D117" s="81">
        <v>46063</v>
      </c>
      <c r="E117" s="82">
        <v>25935.15</v>
      </c>
      <c r="G117" s="79"/>
      <c r="H117" s="79"/>
      <c r="I117" s="79"/>
    </row>
    <row r="118" s="78" customFormat="1" ht="16.5" customHeight="1" spans="1:9">
      <c r="A118" s="79"/>
      <c r="B118" s="79"/>
      <c r="C118" s="79"/>
      <c r="D118" s="81">
        <v>46062</v>
      </c>
      <c r="E118" s="82">
        <v>25867.3</v>
      </c>
      <c r="G118" s="79"/>
      <c r="H118" s="79"/>
      <c r="I118" s="79"/>
    </row>
    <row r="119" s="78" customFormat="1" ht="16.5" customHeight="1" spans="1:9">
      <c r="A119" s="79"/>
      <c r="B119" s="79"/>
      <c r="C119" s="79"/>
      <c r="D119" s="81">
        <v>46059</v>
      </c>
      <c r="E119" s="82">
        <v>25693.7</v>
      </c>
      <c r="G119" s="79"/>
      <c r="H119" s="79"/>
      <c r="I119" s="79"/>
    </row>
    <row r="120" s="78" customFormat="1" ht="16.5" customHeight="1" spans="1:9">
      <c r="A120" s="79"/>
      <c r="B120" s="79"/>
      <c r="C120" s="79"/>
      <c r="D120" s="81">
        <v>46058</v>
      </c>
      <c r="E120" s="82">
        <v>25642.8</v>
      </c>
      <c r="G120" s="79"/>
      <c r="H120" s="79"/>
      <c r="I120" s="79"/>
    </row>
    <row r="121" s="78" customFormat="1" ht="16.5" customHeight="1" spans="1:9">
      <c r="A121" s="79"/>
      <c r="B121" s="79"/>
      <c r="C121" s="79"/>
      <c r="D121" s="81">
        <v>46057</v>
      </c>
      <c r="E121" s="82">
        <v>25776</v>
      </c>
      <c r="G121" s="79"/>
      <c r="H121" s="79"/>
      <c r="I121" s="79"/>
    </row>
    <row r="122" s="78" customFormat="1" ht="16.5" customHeight="1" spans="1:9">
      <c r="A122" s="79"/>
      <c r="B122" s="79"/>
      <c r="C122" s="79"/>
      <c r="D122" s="81">
        <v>46056</v>
      </c>
      <c r="E122" s="82">
        <v>25727.55</v>
      </c>
      <c r="G122" s="79"/>
      <c r="H122" s="79"/>
      <c r="I122" s="79"/>
    </row>
    <row r="123" s="78" customFormat="1" ht="16.5" customHeight="1" spans="1:9">
      <c r="A123" s="79"/>
      <c r="B123" s="79"/>
      <c r="C123" s="79"/>
      <c r="D123" s="81">
        <v>46055</v>
      </c>
      <c r="E123" s="82">
        <v>25088.4</v>
      </c>
      <c r="G123" s="79"/>
      <c r="H123" s="79"/>
      <c r="I123" s="79"/>
    </row>
    <row r="124" s="78" customFormat="1" ht="16.5" customHeight="1" spans="1:9">
      <c r="A124" s="79"/>
      <c r="B124" s="79"/>
      <c r="C124" s="79"/>
      <c r="D124" s="81">
        <v>46054</v>
      </c>
      <c r="E124" s="82">
        <v>24825.45</v>
      </c>
      <c r="G124" s="79"/>
      <c r="H124" s="79"/>
      <c r="I124" s="79"/>
    </row>
    <row r="125" s="78" customFormat="1" ht="16.5" customHeight="1" spans="1:9">
      <c r="A125" s="79"/>
      <c r="B125" s="79"/>
      <c r="C125" s="79"/>
      <c r="D125" s="81">
        <v>46052</v>
      </c>
      <c r="E125" s="82">
        <v>25320.65</v>
      </c>
      <c r="G125" s="79"/>
      <c r="H125" s="79"/>
      <c r="I125" s="79"/>
    </row>
    <row r="126" s="78" customFormat="1" ht="16.5" customHeight="1" spans="1:9">
      <c r="A126" s="79"/>
      <c r="B126" s="79"/>
      <c r="C126" s="79"/>
      <c r="D126" s="81">
        <v>46051</v>
      </c>
      <c r="E126" s="82">
        <v>25418.9</v>
      </c>
      <c r="G126" s="79"/>
      <c r="H126" s="79"/>
      <c r="I126" s="79"/>
    </row>
    <row r="127" s="78" customFormat="1" ht="16.5" customHeight="1" spans="1:9">
      <c r="A127" s="79"/>
      <c r="B127" s="79"/>
      <c r="C127" s="79"/>
      <c r="D127" s="81">
        <v>46050</v>
      </c>
      <c r="E127" s="82">
        <v>25342.75</v>
      </c>
      <c r="G127" s="79"/>
      <c r="H127" s="79"/>
      <c r="I127" s="79"/>
    </row>
    <row r="128" s="78" customFormat="1" ht="16.5" customHeight="1" spans="1:9">
      <c r="A128" s="79"/>
      <c r="B128" s="79"/>
      <c r="C128" s="79"/>
      <c r="D128" s="81">
        <v>46049</v>
      </c>
      <c r="E128" s="82">
        <v>25175.4</v>
      </c>
      <c r="G128" s="79"/>
      <c r="H128" s="79"/>
      <c r="I128" s="79"/>
    </row>
    <row r="129" s="78" customFormat="1" ht="16.5" customHeight="1" spans="1:9">
      <c r="A129" s="79"/>
      <c r="B129" s="79"/>
      <c r="C129" s="79"/>
      <c r="D129" s="81">
        <v>46045</v>
      </c>
      <c r="E129" s="82">
        <v>25048.65</v>
      </c>
      <c r="G129" s="79"/>
      <c r="H129" s="79"/>
      <c r="I129" s="79"/>
    </row>
    <row r="130" s="78" customFormat="1" ht="16.5" customHeight="1" spans="1:9">
      <c r="A130" s="79"/>
      <c r="B130" s="79"/>
      <c r="C130" s="79"/>
      <c r="D130" s="81">
        <v>46044</v>
      </c>
      <c r="E130" s="82">
        <v>25289.9</v>
      </c>
      <c r="G130" s="79"/>
      <c r="H130" s="79"/>
      <c r="I130" s="79"/>
    </row>
    <row r="131" s="78" customFormat="1" ht="16.5" customHeight="1" spans="1:9">
      <c r="A131" s="79"/>
      <c r="B131" s="79"/>
      <c r="C131" s="79"/>
      <c r="D131" s="81">
        <v>46043</v>
      </c>
      <c r="E131" s="82">
        <v>25157.5</v>
      </c>
      <c r="G131" s="79"/>
      <c r="H131" s="79"/>
      <c r="I131" s="79"/>
    </row>
    <row r="132" s="78" customFormat="1" ht="16.5" customHeight="1" spans="1:9">
      <c r="A132" s="79"/>
      <c r="B132" s="79"/>
      <c r="C132" s="79"/>
      <c r="D132" s="81">
        <v>46042</v>
      </c>
      <c r="E132" s="82">
        <v>25232.5</v>
      </c>
      <c r="G132" s="79"/>
      <c r="H132" s="79"/>
      <c r="I132" s="79"/>
    </row>
    <row r="133" s="78" customFormat="1" ht="16.5" customHeight="1" spans="1:9">
      <c r="A133" s="79"/>
      <c r="B133" s="79"/>
      <c r="C133" s="79"/>
      <c r="D133" s="81">
        <v>46041</v>
      </c>
      <c r="E133" s="82">
        <v>25585.5</v>
      </c>
      <c r="G133" s="79"/>
      <c r="H133" s="79"/>
      <c r="I133" s="79"/>
    </row>
    <row r="134" s="78" customFormat="1" ht="16.5" customHeight="1" spans="1:9">
      <c r="A134" s="79"/>
      <c r="B134" s="79"/>
      <c r="C134" s="79"/>
      <c r="D134" s="81">
        <v>46038</v>
      </c>
      <c r="E134" s="82">
        <v>25694.35</v>
      </c>
      <c r="G134" s="79"/>
      <c r="H134" s="79"/>
      <c r="I134" s="79"/>
    </row>
    <row r="135" s="78" customFormat="1" ht="16.5" customHeight="1" spans="1:9">
      <c r="A135" s="79"/>
      <c r="B135" s="79"/>
      <c r="C135" s="79"/>
      <c r="D135" s="81">
        <v>46036</v>
      </c>
      <c r="E135" s="82">
        <v>25665.6</v>
      </c>
      <c r="G135" s="79"/>
      <c r="H135" s="79"/>
      <c r="I135" s="79"/>
    </row>
    <row r="136" s="78" customFormat="1" ht="16.5" customHeight="1" spans="1:9">
      <c r="A136" s="79"/>
      <c r="B136" s="79"/>
      <c r="C136" s="79"/>
      <c r="D136" s="81">
        <v>46035</v>
      </c>
      <c r="E136" s="82">
        <v>25732.3</v>
      </c>
      <c r="G136" s="79"/>
      <c r="H136" s="79"/>
      <c r="I136" s="79"/>
    </row>
    <row r="137" s="78" customFormat="1" ht="16.5" customHeight="1" spans="1:9">
      <c r="A137" s="79"/>
      <c r="B137" s="79"/>
      <c r="C137" s="79"/>
      <c r="D137" s="81">
        <v>46034</v>
      </c>
      <c r="E137" s="82">
        <v>25790.25</v>
      </c>
      <c r="G137" s="79"/>
      <c r="H137" s="79"/>
      <c r="I137" s="79"/>
    </row>
    <row r="138" s="78" customFormat="1" ht="16.5" customHeight="1" spans="1:9">
      <c r="A138" s="79"/>
      <c r="B138" s="79"/>
      <c r="C138" s="79"/>
      <c r="D138" s="81">
        <v>46031</v>
      </c>
      <c r="E138" s="82">
        <v>25683.3</v>
      </c>
      <c r="G138" s="79"/>
      <c r="H138" s="79"/>
      <c r="I138" s="79"/>
    </row>
    <row r="139" s="78" customFormat="1" ht="16.5" customHeight="1" spans="1:9">
      <c r="A139" s="79"/>
      <c r="B139" s="79"/>
      <c r="C139" s="79"/>
      <c r="D139" s="81">
        <v>46030</v>
      </c>
      <c r="E139" s="82">
        <v>25876.85</v>
      </c>
      <c r="G139" s="79"/>
      <c r="H139" s="79"/>
      <c r="I139" s="79"/>
    </row>
    <row r="140" s="78" customFormat="1" ht="16.5" customHeight="1" spans="1:9">
      <c r="A140" s="79"/>
      <c r="B140" s="79"/>
      <c r="C140" s="79"/>
      <c r="D140" s="81">
        <v>46029</v>
      </c>
      <c r="E140" s="82">
        <v>26140.75</v>
      </c>
      <c r="G140" s="79"/>
      <c r="H140" s="79"/>
      <c r="I140" s="79"/>
    </row>
    <row r="141" s="78" customFormat="1" ht="16.5" customHeight="1" spans="1:9">
      <c r="A141" s="79"/>
      <c r="B141" s="79"/>
      <c r="C141" s="79"/>
      <c r="D141" s="81">
        <v>46028</v>
      </c>
      <c r="E141" s="82">
        <v>26178.7</v>
      </c>
      <c r="G141" s="79"/>
      <c r="H141" s="79"/>
      <c r="I141" s="79"/>
    </row>
    <row r="142" s="78" customFormat="1" ht="16.5" customHeight="1" spans="1:9">
      <c r="A142" s="79"/>
      <c r="B142" s="79"/>
      <c r="C142" s="79"/>
      <c r="D142" s="81">
        <v>46027</v>
      </c>
      <c r="E142" s="82">
        <v>26250.3</v>
      </c>
      <c r="G142" s="79"/>
      <c r="H142" s="79"/>
      <c r="I142" s="79"/>
    </row>
    <row r="143" s="78" customFormat="1" ht="16.5" customHeight="1" spans="1:9">
      <c r="A143" s="79"/>
      <c r="B143" s="79"/>
      <c r="C143" s="79"/>
      <c r="D143" s="81">
        <v>46024</v>
      </c>
      <c r="E143" s="82">
        <v>26328.55</v>
      </c>
      <c r="G143" s="79"/>
      <c r="H143" s="79"/>
      <c r="I143" s="79"/>
    </row>
    <row r="144" s="78" customFormat="1" ht="16.5" customHeight="1" spans="1:9">
      <c r="A144" s="79"/>
      <c r="B144" s="79"/>
      <c r="C144" s="79"/>
      <c r="D144" s="81">
        <v>46023</v>
      </c>
      <c r="E144" s="82">
        <v>26146.55</v>
      </c>
      <c r="G144" s="79"/>
      <c r="H144" s="79"/>
      <c r="I144" s="79"/>
    </row>
    <row r="145" s="78" customFormat="1" ht="16.5" customHeight="1" spans="1:9">
      <c r="A145" s="79"/>
      <c r="B145" s="79"/>
      <c r="C145" s="79"/>
      <c r="D145" s="81">
        <v>46022</v>
      </c>
      <c r="E145" s="82">
        <v>26129.6</v>
      </c>
      <c r="G145" s="79"/>
      <c r="H145" s="79"/>
      <c r="I145" s="79"/>
    </row>
    <row r="146" s="78" customFormat="1" ht="16.5" customHeight="1" spans="1:9">
      <c r="A146" s="79"/>
      <c r="B146" s="79"/>
      <c r="C146" s="79"/>
      <c r="D146" s="81">
        <v>46021</v>
      </c>
      <c r="E146" s="82">
        <v>25938.85</v>
      </c>
      <c r="G146" s="79"/>
      <c r="H146" s="79"/>
      <c r="I146" s="79"/>
    </row>
    <row r="147" s="78" customFormat="1" ht="16.5" customHeight="1" spans="1:9">
      <c r="A147" s="79"/>
      <c r="B147" s="79"/>
      <c r="C147" s="79"/>
      <c r="D147" s="81">
        <v>46020</v>
      </c>
      <c r="E147" s="82">
        <v>25942.1</v>
      </c>
      <c r="G147" s="79"/>
      <c r="H147" s="79"/>
      <c r="I147" s="79"/>
    </row>
    <row r="148" s="78" customFormat="1" ht="16.5" customHeight="1" spans="1:9">
      <c r="A148" s="79"/>
      <c r="B148" s="79"/>
      <c r="C148" s="79"/>
      <c r="D148" s="81">
        <v>46017</v>
      </c>
      <c r="E148" s="82">
        <v>26042.3</v>
      </c>
      <c r="G148" s="79"/>
      <c r="H148" s="79"/>
      <c r="I148" s="79"/>
    </row>
    <row r="149" s="78" customFormat="1" ht="16.5" customHeight="1" spans="1:9">
      <c r="A149" s="79"/>
      <c r="B149" s="79"/>
      <c r="C149" s="79"/>
      <c r="D149" s="81">
        <v>46015</v>
      </c>
      <c r="E149" s="82">
        <v>26142.1</v>
      </c>
      <c r="G149" s="79"/>
      <c r="H149" s="79"/>
      <c r="I149" s="79"/>
    </row>
    <row r="150" s="78" customFormat="1" ht="16.5" customHeight="1" spans="1:9">
      <c r="A150" s="79"/>
      <c r="B150" s="79"/>
      <c r="C150" s="79"/>
      <c r="D150" s="81">
        <v>46014</v>
      </c>
      <c r="E150" s="82">
        <v>26177.15</v>
      </c>
      <c r="G150" s="79"/>
      <c r="H150" s="79"/>
      <c r="I150" s="79"/>
    </row>
    <row r="151" s="78" customFormat="1" ht="16.5" customHeight="1" spans="1:9">
      <c r="A151" s="79"/>
      <c r="B151" s="79"/>
      <c r="C151" s="79"/>
      <c r="D151" s="81">
        <v>46013</v>
      </c>
      <c r="E151" s="82">
        <v>26172.4</v>
      </c>
      <c r="G151" s="79"/>
      <c r="H151" s="79"/>
      <c r="I151" s="79"/>
    </row>
    <row r="152" s="78" customFormat="1" ht="16.5" customHeight="1" spans="1:9">
      <c r="A152" s="79"/>
      <c r="B152" s="79"/>
      <c r="C152" s="79"/>
      <c r="D152" s="81">
        <v>46010</v>
      </c>
      <c r="E152" s="82">
        <v>25966.4</v>
      </c>
      <c r="G152" s="79"/>
      <c r="H152" s="79"/>
      <c r="I152" s="79"/>
    </row>
    <row r="153" s="78" customFormat="1" ht="16.5" customHeight="1" spans="1:9">
      <c r="A153" s="79"/>
      <c r="B153" s="79"/>
      <c r="C153" s="79"/>
      <c r="D153" s="81">
        <v>46009</v>
      </c>
      <c r="E153" s="82">
        <v>25815.55</v>
      </c>
      <c r="G153" s="79"/>
      <c r="H153" s="79"/>
      <c r="I153" s="79"/>
    </row>
    <row r="154" s="78" customFormat="1" ht="16.5" customHeight="1" spans="1:9">
      <c r="A154" s="79"/>
      <c r="B154" s="79"/>
      <c r="C154" s="79"/>
      <c r="D154" s="81">
        <v>46008</v>
      </c>
      <c r="E154" s="82">
        <v>25818.55</v>
      </c>
      <c r="G154" s="79"/>
      <c r="H154" s="79"/>
      <c r="I154" s="79"/>
    </row>
    <row r="155" s="78" customFormat="1" ht="16.5" customHeight="1" spans="1:9">
      <c r="A155" s="79"/>
      <c r="B155" s="79"/>
      <c r="C155" s="79"/>
      <c r="D155" s="81">
        <v>46007</v>
      </c>
      <c r="E155" s="82">
        <v>25860.1</v>
      </c>
      <c r="G155" s="79"/>
      <c r="H155" s="79"/>
      <c r="I155" s="79"/>
    </row>
    <row r="156" s="78" customFormat="1" ht="16.5" customHeight="1" spans="1:9">
      <c r="A156" s="79"/>
      <c r="B156" s="79"/>
      <c r="C156" s="79"/>
      <c r="D156" s="81">
        <v>46006</v>
      </c>
      <c r="E156" s="82">
        <v>26027.3</v>
      </c>
      <c r="G156" s="79"/>
      <c r="H156" s="79"/>
      <c r="I156" s="79"/>
    </row>
    <row r="157" s="78" customFormat="1" ht="16.5" customHeight="1" spans="1:9">
      <c r="A157" s="79"/>
      <c r="B157" s="79"/>
      <c r="C157" s="79"/>
      <c r="D157" s="81">
        <v>46003</v>
      </c>
      <c r="E157" s="82">
        <v>26046.95</v>
      </c>
      <c r="G157" s="79"/>
      <c r="H157" s="79"/>
      <c r="I157" s="79"/>
    </row>
    <row r="158" s="78" customFormat="1" ht="16.5" customHeight="1" spans="1:9">
      <c r="A158" s="79"/>
      <c r="B158" s="79"/>
      <c r="C158" s="79"/>
      <c r="D158" s="81">
        <v>46002</v>
      </c>
      <c r="E158" s="82">
        <v>25898.55</v>
      </c>
      <c r="G158" s="79"/>
      <c r="H158" s="79"/>
      <c r="I158" s="79"/>
    </row>
    <row r="159" s="78" customFormat="1" ht="16.5" customHeight="1" spans="1:9">
      <c r="A159" s="79"/>
      <c r="B159" s="79"/>
      <c r="C159" s="79"/>
      <c r="D159" s="81">
        <v>46001</v>
      </c>
      <c r="E159" s="82">
        <v>25758</v>
      </c>
      <c r="G159" s="79"/>
      <c r="H159" s="79"/>
      <c r="I159" s="79"/>
    </row>
    <row r="160" s="78" customFormat="1" ht="16.5" customHeight="1" spans="1:9">
      <c r="A160" s="79"/>
      <c r="B160" s="79"/>
      <c r="C160" s="79"/>
      <c r="D160" s="81">
        <v>46000</v>
      </c>
      <c r="E160" s="82">
        <v>25839.65</v>
      </c>
      <c r="G160" s="79"/>
      <c r="H160" s="79"/>
      <c r="I160" s="79"/>
    </row>
    <row r="161" s="78" customFormat="1" ht="16.5" customHeight="1" spans="1:9">
      <c r="A161" s="79"/>
      <c r="B161" s="79"/>
      <c r="C161" s="79"/>
      <c r="D161" s="81">
        <v>45999</v>
      </c>
      <c r="E161" s="82">
        <v>25960.55</v>
      </c>
      <c r="G161" s="79"/>
      <c r="H161" s="79"/>
      <c r="I161" s="79"/>
    </row>
    <row r="162" s="78" customFormat="1" ht="16.5" customHeight="1" spans="1:9">
      <c r="A162" s="79"/>
      <c r="B162" s="79"/>
      <c r="C162" s="79"/>
      <c r="D162" s="81">
        <v>45996</v>
      </c>
      <c r="E162" s="82">
        <v>26186.45</v>
      </c>
      <c r="G162" s="79"/>
      <c r="H162" s="79"/>
      <c r="I162" s="79"/>
    </row>
    <row r="163" s="78" customFormat="1" ht="16.5" customHeight="1" spans="1:9">
      <c r="A163" s="79"/>
      <c r="B163" s="79"/>
      <c r="C163" s="79"/>
      <c r="D163" s="81">
        <v>45995</v>
      </c>
      <c r="E163" s="82">
        <v>26033.75</v>
      </c>
      <c r="G163" s="79"/>
      <c r="H163" s="79"/>
      <c r="I163" s="79"/>
    </row>
    <row r="164" s="78" customFormat="1" ht="16.5" customHeight="1" spans="1:9">
      <c r="A164" s="79"/>
      <c r="B164" s="79"/>
      <c r="C164" s="79"/>
      <c r="D164" s="81">
        <v>45994</v>
      </c>
      <c r="E164" s="82">
        <v>25986</v>
      </c>
      <c r="G164" s="79"/>
      <c r="H164" s="79"/>
      <c r="I164" s="79"/>
    </row>
    <row r="165" s="78" customFormat="1" ht="16.5" customHeight="1" spans="1:9">
      <c r="A165" s="79"/>
      <c r="B165" s="79"/>
      <c r="C165" s="79"/>
      <c r="D165" s="81">
        <v>45993</v>
      </c>
      <c r="E165" s="82">
        <v>26032.2</v>
      </c>
      <c r="G165" s="79"/>
      <c r="H165" s="79"/>
      <c r="I165" s="79"/>
    </row>
    <row r="166" s="78" customFormat="1" ht="16.5" customHeight="1" spans="1:9">
      <c r="A166" s="79"/>
      <c r="B166" s="79"/>
      <c r="C166" s="79"/>
      <c r="D166" s="81">
        <v>45992</v>
      </c>
      <c r="E166" s="82">
        <v>26175.75</v>
      </c>
      <c r="G166" s="79"/>
      <c r="H166" s="79"/>
      <c r="I166" s="79"/>
    </row>
    <row r="167" s="78" customFormat="1" ht="16.5" customHeight="1" spans="1:9">
      <c r="A167" s="79"/>
      <c r="B167" s="79"/>
      <c r="C167" s="79"/>
      <c r="D167" s="81">
        <v>45989</v>
      </c>
      <c r="E167" s="82">
        <v>26202.95</v>
      </c>
      <c r="G167" s="79"/>
      <c r="H167" s="79"/>
      <c r="I167" s="79"/>
    </row>
    <row r="168" s="78" customFormat="1" ht="16.5" customHeight="1" spans="1:9">
      <c r="A168" s="79"/>
      <c r="B168" s="79"/>
      <c r="C168" s="79"/>
      <c r="D168" s="81">
        <v>45988</v>
      </c>
      <c r="E168" s="82">
        <v>26215.55</v>
      </c>
      <c r="G168" s="79"/>
      <c r="H168" s="79"/>
      <c r="I168" s="79"/>
    </row>
    <row r="169" s="78" customFormat="1" ht="16.5" customHeight="1" spans="1:9">
      <c r="A169" s="79"/>
      <c r="B169" s="79"/>
      <c r="C169" s="79"/>
      <c r="D169" s="81">
        <v>45987</v>
      </c>
      <c r="E169" s="82">
        <v>26205.3</v>
      </c>
      <c r="G169" s="79"/>
      <c r="H169" s="79"/>
      <c r="I169" s="79"/>
    </row>
    <row r="170" s="78" customFormat="1" ht="16.5" customHeight="1" spans="1:9">
      <c r="A170" s="79"/>
      <c r="B170" s="79"/>
      <c r="C170" s="79"/>
      <c r="D170" s="81">
        <v>45986</v>
      </c>
      <c r="E170" s="82">
        <v>25884.8</v>
      </c>
      <c r="G170" s="79"/>
      <c r="H170" s="79"/>
      <c r="I170" s="79"/>
    </row>
    <row r="171" s="78" customFormat="1" ht="16.5" customHeight="1" spans="1:9">
      <c r="A171" s="79"/>
      <c r="B171" s="79"/>
      <c r="C171" s="79"/>
      <c r="D171" s="81">
        <v>45985</v>
      </c>
      <c r="E171" s="82">
        <v>25959.5</v>
      </c>
      <c r="G171" s="79"/>
      <c r="H171" s="79"/>
      <c r="I171" s="79"/>
    </row>
    <row r="172" s="78" customFormat="1" ht="16.5" customHeight="1" spans="1:9">
      <c r="A172" s="79"/>
      <c r="B172" s="79"/>
      <c r="C172" s="79"/>
      <c r="D172" s="81">
        <v>45982</v>
      </c>
      <c r="E172" s="82">
        <v>26068.15</v>
      </c>
      <c r="G172" s="79"/>
      <c r="H172" s="79"/>
      <c r="I172" s="79"/>
    </row>
    <row r="173" s="78" customFormat="1" ht="16.5" customHeight="1" spans="1:9">
      <c r="A173" s="79"/>
      <c r="B173" s="79"/>
      <c r="C173" s="79"/>
      <c r="D173" s="81">
        <v>45981</v>
      </c>
      <c r="E173" s="82">
        <v>26192.15</v>
      </c>
      <c r="G173" s="79"/>
      <c r="H173" s="79"/>
      <c r="I173" s="79"/>
    </row>
    <row r="174" s="78" customFormat="1" ht="16.5" customHeight="1" spans="1:9">
      <c r="A174" s="79"/>
      <c r="B174" s="79"/>
      <c r="C174" s="79"/>
      <c r="D174" s="81">
        <v>45980</v>
      </c>
      <c r="E174" s="82">
        <v>26052.65</v>
      </c>
      <c r="G174" s="79"/>
      <c r="H174" s="79"/>
      <c r="I174" s="79"/>
    </row>
    <row r="175" s="78" customFormat="1" ht="16.5" customHeight="1" spans="1:9">
      <c r="A175" s="79"/>
      <c r="B175" s="79"/>
      <c r="C175" s="79"/>
      <c r="D175" s="81">
        <v>45979</v>
      </c>
      <c r="E175" s="82">
        <v>25910.05</v>
      </c>
      <c r="G175" s="79"/>
      <c r="H175" s="79"/>
      <c r="I175" s="79"/>
    </row>
    <row r="176" s="78" customFormat="1" ht="16.5" customHeight="1" spans="1:9">
      <c r="A176" s="79"/>
      <c r="B176" s="79"/>
      <c r="C176" s="79"/>
      <c r="D176" s="81">
        <v>45978</v>
      </c>
      <c r="E176" s="82">
        <v>26013.45</v>
      </c>
      <c r="G176" s="79"/>
      <c r="H176" s="79"/>
      <c r="I176" s="79"/>
    </row>
    <row r="177" s="78" customFormat="1" ht="16.5" customHeight="1" spans="1:9">
      <c r="A177" s="79"/>
      <c r="B177" s="79"/>
      <c r="C177" s="79"/>
      <c r="D177" s="81">
        <v>45975</v>
      </c>
      <c r="E177" s="82">
        <v>25910.05</v>
      </c>
      <c r="G177" s="79"/>
      <c r="H177" s="79"/>
      <c r="I177" s="79"/>
    </row>
    <row r="178" s="78" customFormat="1" ht="16.5" customHeight="1" spans="1:9">
      <c r="A178" s="79"/>
      <c r="B178" s="79"/>
      <c r="C178" s="79"/>
      <c r="D178" s="81">
        <v>45974</v>
      </c>
      <c r="E178" s="82">
        <v>25879.15</v>
      </c>
      <c r="G178" s="79"/>
      <c r="H178" s="79"/>
      <c r="I178" s="79"/>
    </row>
    <row r="179" s="78" customFormat="1" ht="16.5" customHeight="1" spans="1:9">
      <c r="A179" s="79"/>
      <c r="B179" s="79"/>
      <c r="C179" s="79"/>
      <c r="D179" s="81">
        <v>45973</v>
      </c>
      <c r="E179" s="82">
        <v>25875.8</v>
      </c>
      <c r="G179" s="79"/>
      <c r="H179" s="79"/>
      <c r="I179" s="79"/>
    </row>
    <row r="180" s="78" customFormat="1" ht="16.5" customHeight="1" spans="1:9">
      <c r="A180" s="79"/>
      <c r="B180" s="79"/>
      <c r="C180" s="79"/>
      <c r="D180" s="81">
        <v>45972</v>
      </c>
      <c r="E180" s="82">
        <v>25694.95</v>
      </c>
      <c r="G180" s="79"/>
      <c r="H180" s="79"/>
      <c r="I180" s="79"/>
    </row>
    <row r="181" s="78" customFormat="1" ht="16.5" customHeight="1" spans="1:9">
      <c r="A181" s="79"/>
      <c r="B181" s="79"/>
      <c r="C181" s="79"/>
      <c r="D181" s="81">
        <v>45971</v>
      </c>
      <c r="E181" s="82">
        <v>25574.35</v>
      </c>
      <c r="G181" s="79"/>
      <c r="H181" s="79"/>
      <c r="I181" s="79"/>
    </row>
    <row r="182" s="78" customFormat="1" ht="16.5" customHeight="1" spans="1:9">
      <c r="A182" s="79"/>
      <c r="B182" s="79"/>
      <c r="C182" s="79"/>
      <c r="D182" s="81">
        <v>45968</v>
      </c>
      <c r="E182" s="82">
        <v>25492.3</v>
      </c>
      <c r="G182" s="79"/>
      <c r="H182" s="79"/>
      <c r="I182" s="79"/>
    </row>
    <row r="183" s="78" customFormat="1" ht="16.5" customHeight="1" spans="1:9">
      <c r="A183" s="79"/>
      <c r="B183" s="79"/>
      <c r="C183" s="79"/>
      <c r="D183" s="81">
        <v>45967</v>
      </c>
      <c r="E183" s="82">
        <v>25509.7</v>
      </c>
      <c r="G183" s="79"/>
      <c r="H183" s="79"/>
      <c r="I183" s="79"/>
    </row>
    <row r="184" s="78" customFormat="1" ht="16.5" customHeight="1" spans="1:9">
      <c r="A184" s="79"/>
      <c r="B184" s="79"/>
      <c r="C184" s="79"/>
      <c r="D184" s="81">
        <v>45965</v>
      </c>
      <c r="E184" s="82">
        <v>25597.65</v>
      </c>
      <c r="G184" s="79"/>
      <c r="H184" s="79"/>
      <c r="I184" s="79"/>
    </row>
    <row r="185" s="78" customFormat="1" ht="16.5" customHeight="1" spans="1:9">
      <c r="A185" s="79"/>
      <c r="B185" s="79"/>
      <c r="C185" s="79"/>
      <c r="D185" s="81">
        <v>45964</v>
      </c>
      <c r="E185" s="82">
        <v>25763.35</v>
      </c>
      <c r="G185" s="79"/>
      <c r="H185" s="79"/>
      <c r="I185" s="79"/>
    </row>
    <row r="186" s="78" customFormat="1" ht="16.5" customHeight="1" spans="1:9">
      <c r="A186" s="79"/>
      <c r="B186" s="79"/>
      <c r="C186" s="79"/>
      <c r="D186" s="81">
        <v>45961</v>
      </c>
      <c r="E186" s="82">
        <v>25722.1</v>
      </c>
      <c r="G186" s="79"/>
      <c r="H186" s="79"/>
      <c r="I186" s="79"/>
    </row>
    <row r="187" s="78" customFormat="1" ht="16.5" customHeight="1" spans="1:9">
      <c r="A187" s="79"/>
      <c r="B187" s="79"/>
      <c r="C187" s="79"/>
      <c r="D187" s="81">
        <v>45960</v>
      </c>
      <c r="E187" s="82">
        <v>25877.85</v>
      </c>
      <c r="G187" s="79"/>
      <c r="H187" s="79"/>
      <c r="I187" s="79"/>
    </row>
    <row r="188" s="78" customFormat="1" ht="16.5" customHeight="1" spans="1:9">
      <c r="A188" s="79"/>
      <c r="B188" s="79"/>
      <c r="C188" s="79"/>
      <c r="D188" s="81">
        <v>45959</v>
      </c>
      <c r="E188" s="82">
        <v>26053.9</v>
      </c>
      <c r="G188" s="79"/>
      <c r="H188" s="79"/>
      <c r="I188" s="79"/>
    </row>
    <row r="189" s="78" customFormat="1" ht="16.5" customHeight="1" spans="1:9">
      <c r="A189" s="79"/>
      <c r="B189" s="79"/>
      <c r="C189" s="79"/>
      <c r="D189" s="81">
        <v>45958</v>
      </c>
      <c r="E189" s="82">
        <v>25936.2</v>
      </c>
      <c r="G189" s="79"/>
      <c r="H189" s="79"/>
      <c r="I189" s="79"/>
    </row>
    <row r="190" s="78" customFormat="1" ht="16.5" customHeight="1" spans="1:9">
      <c r="A190" s="79"/>
      <c r="B190" s="79"/>
      <c r="C190" s="79"/>
      <c r="D190" s="81">
        <v>45957</v>
      </c>
      <c r="E190" s="82">
        <v>25966.05</v>
      </c>
      <c r="G190" s="79"/>
      <c r="H190" s="79"/>
      <c r="I190" s="79"/>
    </row>
    <row r="191" s="78" customFormat="1" ht="16.5" customHeight="1" spans="1:9">
      <c r="A191" s="79"/>
      <c r="B191" s="79"/>
      <c r="C191" s="79"/>
      <c r="D191" s="81">
        <v>45954</v>
      </c>
      <c r="E191" s="82">
        <v>25795.15</v>
      </c>
      <c r="G191" s="79"/>
      <c r="H191" s="79"/>
      <c r="I191" s="79"/>
    </row>
    <row r="192" s="78" customFormat="1" ht="16.5" customHeight="1" spans="1:9">
      <c r="A192" s="79"/>
      <c r="B192" s="79"/>
      <c r="C192" s="79"/>
      <c r="D192" s="81">
        <v>45953</v>
      </c>
      <c r="E192" s="82">
        <v>25891.4</v>
      </c>
      <c r="G192" s="79"/>
      <c r="H192" s="79"/>
      <c r="I192" s="79"/>
    </row>
    <row r="193" s="78" customFormat="1" ht="16.5" customHeight="1" spans="1:9">
      <c r="A193" s="79"/>
      <c r="B193" s="79"/>
      <c r="C193" s="79"/>
      <c r="D193" s="81">
        <v>45951</v>
      </c>
      <c r="E193" s="82">
        <v>25868.6</v>
      </c>
      <c r="G193" s="79"/>
      <c r="H193" s="79"/>
      <c r="I193" s="79"/>
    </row>
    <row r="194" s="78" customFormat="1" ht="16.5" customHeight="1" spans="1:9">
      <c r="A194" s="79"/>
      <c r="B194" s="79"/>
      <c r="C194" s="79"/>
      <c r="D194" s="81">
        <v>45950</v>
      </c>
      <c r="E194" s="82">
        <v>25843.15</v>
      </c>
      <c r="G194" s="79"/>
      <c r="H194" s="79"/>
      <c r="I194" s="79"/>
    </row>
    <row r="195" s="78" customFormat="1" ht="16.5" customHeight="1" spans="1:9">
      <c r="A195" s="79"/>
      <c r="B195" s="79"/>
      <c r="C195" s="79"/>
      <c r="D195" s="81">
        <v>45947</v>
      </c>
      <c r="E195" s="82">
        <v>25709.85</v>
      </c>
      <c r="G195" s="79"/>
      <c r="H195" s="79"/>
      <c r="I195" s="79"/>
    </row>
    <row r="196" s="78" customFormat="1" ht="16.5" customHeight="1" spans="1:9">
      <c r="A196" s="79"/>
      <c r="B196" s="79"/>
      <c r="C196" s="79"/>
      <c r="D196" s="81">
        <v>45946</v>
      </c>
      <c r="E196" s="82">
        <v>25585.3</v>
      </c>
      <c r="G196" s="79"/>
      <c r="H196" s="79"/>
      <c r="I196" s="79"/>
    </row>
    <row r="197" s="78" customFormat="1" ht="16.5" customHeight="1" spans="1:9">
      <c r="A197" s="79"/>
      <c r="B197" s="79"/>
      <c r="C197" s="79"/>
      <c r="D197" s="81">
        <v>45945</v>
      </c>
      <c r="E197" s="82">
        <v>25323.55</v>
      </c>
      <c r="G197" s="79"/>
      <c r="H197" s="79"/>
      <c r="I197" s="79"/>
    </row>
    <row r="198" s="78" customFormat="1" ht="16.5" customHeight="1" spans="1:9">
      <c r="A198" s="79"/>
      <c r="B198" s="79"/>
      <c r="C198" s="79"/>
      <c r="D198" s="81">
        <v>45944</v>
      </c>
      <c r="E198" s="82">
        <v>25145.5</v>
      </c>
      <c r="G198" s="79"/>
      <c r="H198" s="79"/>
      <c r="I198" s="79"/>
    </row>
    <row r="199" s="78" customFormat="1" ht="16.5" customHeight="1" spans="1:9">
      <c r="A199" s="79"/>
      <c r="B199" s="79"/>
      <c r="C199" s="79"/>
      <c r="D199" s="81">
        <v>45943</v>
      </c>
      <c r="E199" s="82">
        <v>25227.35</v>
      </c>
      <c r="G199" s="79"/>
      <c r="H199" s="79"/>
      <c r="I199" s="79"/>
    </row>
    <row r="200" s="78" customFormat="1" ht="16.5" customHeight="1" spans="1:9">
      <c r="A200" s="79"/>
      <c r="B200" s="79"/>
      <c r="C200" s="79"/>
      <c r="D200" s="81">
        <v>45940</v>
      </c>
      <c r="E200" s="82">
        <v>25285.35</v>
      </c>
      <c r="G200" s="79"/>
      <c r="H200" s="79"/>
      <c r="I200" s="79"/>
    </row>
    <row r="201" s="78" customFormat="1" ht="16.5" customHeight="1" spans="1:9">
      <c r="A201" s="79"/>
      <c r="B201" s="79"/>
      <c r="C201" s="79"/>
      <c r="D201" s="81">
        <v>45939</v>
      </c>
      <c r="E201" s="82">
        <v>25181.8</v>
      </c>
      <c r="G201" s="79"/>
      <c r="H201" s="79"/>
      <c r="I201" s="79"/>
    </row>
    <row r="202" s="78" customFormat="1" ht="16.5" customHeight="1" spans="1:9">
      <c r="A202" s="79"/>
      <c r="B202" s="79"/>
      <c r="C202" s="79"/>
      <c r="D202" s="81">
        <v>45938</v>
      </c>
      <c r="E202" s="82">
        <v>25046.15</v>
      </c>
      <c r="G202" s="79"/>
      <c r="H202" s="79"/>
      <c r="I202" s="79"/>
    </row>
    <row r="203" s="78" customFormat="1" ht="16.5" customHeight="1" spans="1:9">
      <c r="A203" s="79"/>
      <c r="B203" s="79"/>
      <c r="C203" s="79"/>
      <c r="D203" s="81">
        <v>45937</v>
      </c>
      <c r="E203" s="82">
        <v>25108.3</v>
      </c>
      <c r="G203" s="79"/>
      <c r="H203" s="79"/>
      <c r="I203" s="79"/>
    </row>
    <row r="204" s="78" customFormat="1" ht="16.5" customHeight="1" spans="1:9">
      <c r="A204" s="79"/>
      <c r="B204" s="79"/>
      <c r="C204" s="79"/>
      <c r="D204" s="81">
        <v>45936</v>
      </c>
      <c r="E204" s="82">
        <v>25077.65</v>
      </c>
      <c r="G204" s="79"/>
      <c r="H204" s="79"/>
      <c r="I204" s="79"/>
    </row>
    <row r="205" s="78" customFormat="1" ht="16.5" customHeight="1" spans="1:9">
      <c r="A205" s="79"/>
      <c r="B205" s="79"/>
      <c r="C205" s="79"/>
      <c r="D205" s="81">
        <v>45933</v>
      </c>
      <c r="E205" s="82">
        <v>24894.25</v>
      </c>
      <c r="G205" s="79"/>
      <c r="H205" s="79"/>
      <c r="I205" s="79"/>
    </row>
    <row r="206" s="78" customFormat="1" ht="16.5" customHeight="1" spans="1:9">
      <c r="A206" s="79"/>
      <c r="B206" s="79"/>
      <c r="C206" s="79"/>
      <c r="D206" s="81">
        <v>45931</v>
      </c>
      <c r="E206" s="82">
        <v>24836.3</v>
      </c>
      <c r="G206" s="79"/>
      <c r="H206" s="79"/>
      <c r="I206" s="79"/>
    </row>
    <row r="207" s="78" customFormat="1" ht="16.5" customHeight="1" spans="1:9">
      <c r="A207" s="79"/>
      <c r="B207" s="79"/>
      <c r="C207" s="79"/>
      <c r="D207" s="81">
        <v>45930</v>
      </c>
      <c r="E207" s="82">
        <v>24611.1</v>
      </c>
      <c r="G207" s="79"/>
      <c r="H207" s="79"/>
      <c r="I207" s="79"/>
    </row>
    <row r="208" s="78" customFormat="1" ht="16.5" customHeight="1" spans="1:9">
      <c r="A208" s="79"/>
      <c r="B208" s="79"/>
      <c r="C208" s="79"/>
      <c r="D208" s="81">
        <v>45929</v>
      </c>
      <c r="E208" s="82">
        <v>24634.9</v>
      </c>
      <c r="G208" s="79"/>
      <c r="H208" s="79"/>
      <c r="I208" s="79"/>
    </row>
    <row r="209" s="78" customFormat="1" ht="16.5" customHeight="1" spans="1:9">
      <c r="A209" s="79"/>
      <c r="B209" s="79"/>
      <c r="C209" s="79"/>
      <c r="D209" s="81">
        <v>45926</v>
      </c>
      <c r="E209" s="82">
        <v>24654.7</v>
      </c>
      <c r="G209" s="79"/>
      <c r="H209" s="79"/>
      <c r="I209" s="79"/>
    </row>
    <row r="210" s="78" customFormat="1" ht="16.5" customHeight="1" spans="1:9">
      <c r="A210" s="79"/>
      <c r="B210" s="79"/>
      <c r="C210" s="79"/>
      <c r="D210" s="81">
        <v>45925</v>
      </c>
      <c r="E210" s="82">
        <v>24890.85</v>
      </c>
      <c r="G210" s="79"/>
      <c r="H210" s="79"/>
      <c r="I210" s="79"/>
    </row>
    <row r="211" s="78" customFormat="1" ht="16.5" customHeight="1" spans="1:9">
      <c r="A211" s="79"/>
      <c r="B211" s="79"/>
      <c r="C211" s="79"/>
      <c r="D211" s="81">
        <v>45924</v>
      </c>
      <c r="E211" s="82">
        <v>25056.9</v>
      </c>
      <c r="G211" s="79"/>
      <c r="H211" s="79"/>
      <c r="I211" s="79"/>
    </row>
    <row r="212" s="78" customFormat="1" ht="16.5" customHeight="1" spans="1:9">
      <c r="A212" s="79"/>
      <c r="B212" s="79"/>
      <c r="C212" s="79"/>
      <c r="D212" s="81">
        <v>45923</v>
      </c>
      <c r="E212" s="82">
        <v>25169.5</v>
      </c>
      <c r="G212" s="79"/>
      <c r="H212" s="79"/>
      <c r="I212" s="79"/>
    </row>
    <row r="213" s="78" customFormat="1" ht="16.5" customHeight="1" spans="1:9">
      <c r="A213" s="79"/>
      <c r="B213" s="79"/>
      <c r="C213" s="79"/>
      <c r="D213" s="81">
        <v>45922</v>
      </c>
      <c r="E213" s="82">
        <v>25202.35</v>
      </c>
      <c r="G213" s="79"/>
      <c r="H213" s="79"/>
      <c r="I213" s="79"/>
    </row>
    <row r="214" s="78" customFormat="1" ht="16.5" customHeight="1" spans="1:9">
      <c r="A214" s="79"/>
      <c r="B214" s="79"/>
      <c r="C214" s="79"/>
      <c r="D214" s="81">
        <v>45919</v>
      </c>
      <c r="E214" s="82">
        <v>25327.05</v>
      </c>
      <c r="G214" s="79"/>
      <c r="H214" s="79"/>
      <c r="I214" s="79"/>
    </row>
    <row r="215" s="78" customFormat="1" ht="16.5" customHeight="1" spans="1:9">
      <c r="A215" s="79"/>
      <c r="B215" s="79"/>
      <c r="C215" s="79"/>
      <c r="D215" s="81">
        <v>45918</v>
      </c>
      <c r="E215" s="82">
        <v>25423.6</v>
      </c>
      <c r="G215" s="79"/>
      <c r="H215" s="79"/>
      <c r="I215" s="79"/>
    </row>
    <row r="216" s="78" customFormat="1" ht="16.5" customHeight="1" spans="1:9">
      <c r="A216" s="79"/>
      <c r="B216" s="79"/>
      <c r="C216" s="79"/>
      <c r="D216" s="81">
        <v>45917</v>
      </c>
      <c r="E216" s="82">
        <v>25330.25</v>
      </c>
      <c r="G216" s="79"/>
      <c r="H216" s="79"/>
      <c r="I216" s="79"/>
    </row>
    <row r="217" s="78" customFormat="1" ht="16.5" customHeight="1" spans="1:9">
      <c r="A217" s="79"/>
      <c r="B217" s="79"/>
      <c r="C217" s="79"/>
      <c r="D217" s="81">
        <v>45916</v>
      </c>
      <c r="E217" s="82">
        <v>25239.1</v>
      </c>
      <c r="G217" s="79"/>
      <c r="H217" s="79"/>
      <c r="I217" s="79"/>
    </row>
    <row r="218" s="78" customFormat="1" ht="16.5" customHeight="1" spans="1:9">
      <c r="A218" s="79"/>
      <c r="B218" s="79"/>
      <c r="C218" s="79"/>
      <c r="D218" s="81">
        <v>45915</v>
      </c>
      <c r="E218" s="82">
        <v>25069.2</v>
      </c>
      <c r="G218" s="79"/>
      <c r="H218" s="79"/>
      <c r="I218" s="79"/>
    </row>
    <row r="219" s="78" customFormat="1" ht="16.5" customHeight="1" spans="1:9">
      <c r="A219" s="79"/>
      <c r="B219" s="79"/>
      <c r="C219" s="79"/>
      <c r="D219" s="81">
        <v>45912</v>
      </c>
      <c r="E219" s="82">
        <v>25114</v>
      </c>
      <c r="G219" s="79"/>
      <c r="H219" s="79"/>
      <c r="I219" s="79"/>
    </row>
    <row r="220" s="78" customFormat="1" ht="16.5" customHeight="1" spans="1:9">
      <c r="A220" s="79"/>
      <c r="B220" s="79"/>
      <c r="C220" s="79"/>
      <c r="D220" s="81">
        <v>45911</v>
      </c>
      <c r="E220" s="82">
        <v>25005.5</v>
      </c>
      <c r="G220" s="79"/>
      <c r="H220" s="79"/>
      <c r="I220" s="79"/>
    </row>
    <row r="221" s="78" customFormat="1" ht="16.5" customHeight="1" spans="1:9">
      <c r="A221" s="79"/>
      <c r="B221" s="79"/>
      <c r="C221" s="79"/>
      <c r="D221" s="81">
        <v>45910</v>
      </c>
      <c r="E221" s="82">
        <v>24973.1</v>
      </c>
      <c r="G221" s="79"/>
      <c r="H221" s="79"/>
      <c r="I221" s="79"/>
    </row>
    <row r="222" s="78" customFormat="1" ht="16.5" customHeight="1" spans="1:9">
      <c r="A222" s="79"/>
      <c r="B222" s="79"/>
      <c r="C222" s="79"/>
      <c r="D222" s="81">
        <v>45909</v>
      </c>
      <c r="E222" s="82">
        <v>24868.6</v>
      </c>
      <c r="G222" s="79"/>
      <c r="H222" s="79"/>
      <c r="I222" s="79"/>
    </row>
    <row r="223" s="78" customFormat="1" ht="16.5" customHeight="1" spans="1:9">
      <c r="A223" s="79"/>
      <c r="B223" s="79"/>
      <c r="C223" s="79"/>
      <c r="D223" s="81">
        <v>45908</v>
      </c>
      <c r="E223" s="82">
        <v>24773.15</v>
      </c>
      <c r="G223" s="79"/>
      <c r="H223" s="79"/>
      <c r="I223" s="79"/>
    </row>
    <row r="224" s="78" customFormat="1" ht="16.5" customHeight="1" spans="1:9">
      <c r="A224" s="79"/>
      <c r="B224" s="79"/>
      <c r="C224" s="79"/>
      <c r="D224" s="81">
        <v>45905</v>
      </c>
      <c r="E224" s="82">
        <v>24741</v>
      </c>
      <c r="G224" s="79"/>
      <c r="H224" s="79"/>
      <c r="I224" s="79"/>
    </row>
    <row r="225" s="78" customFormat="1" ht="16.5" customHeight="1" spans="1:9">
      <c r="A225" s="79"/>
      <c r="B225" s="79"/>
      <c r="C225" s="79"/>
      <c r="D225" s="81">
        <v>45904</v>
      </c>
      <c r="E225" s="82">
        <v>24734.3</v>
      </c>
      <c r="G225" s="79"/>
      <c r="H225" s="79"/>
      <c r="I225" s="79"/>
    </row>
    <row r="226" s="78" customFormat="1" ht="16.5" customHeight="1" spans="1:9">
      <c r="A226" s="79"/>
      <c r="B226" s="79"/>
      <c r="C226" s="79"/>
      <c r="D226" s="81">
        <v>45903</v>
      </c>
      <c r="E226" s="82">
        <v>24715.05</v>
      </c>
      <c r="G226" s="79"/>
      <c r="H226" s="79"/>
      <c r="I226" s="79"/>
    </row>
    <row r="227" s="78" customFormat="1" ht="16.5" customHeight="1" spans="1:9">
      <c r="A227" s="79"/>
      <c r="B227" s="79"/>
      <c r="C227" s="79"/>
      <c r="D227" s="81">
        <v>45902</v>
      </c>
      <c r="E227" s="82">
        <v>24579.6</v>
      </c>
      <c r="G227" s="79"/>
      <c r="H227" s="79"/>
      <c r="I227" s="79"/>
    </row>
    <row r="228" s="78" customFormat="1" ht="16.5" customHeight="1" spans="1:9">
      <c r="A228" s="79"/>
      <c r="B228" s="79"/>
      <c r="C228" s="79"/>
      <c r="D228" s="81">
        <v>45901</v>
      </c>
      <c r="E228" s="82">
        <v>24625.05</v>
      </c>
      <c r="G228" s="79"/>
      <c r="H228" s="79"/>
      <c r="I228" s="79"/>
    </row>
    <row r="229" s="78" customFormat="1" ht="16.5" customHeight="1" spans="1:9">
      <c r="A229" s="79"/>
      <c r="B229" s="79"/>
      <c r="C229" s="79"/>
      <c r="D229" s="81">
        <v>45898</v>
      </c>
      <c r="E229" s="82">
        <v>24426.85</v>
      </c>
      <c r="G229" s="79"/>
      <c r="H229" s="79"/>
      <c r="I229" s="79"/>
    </row>
    <row r="230" s="78" customFormat="1" ht="16.5" customHeight="1" spans="1:9">
      <c r="A230" s="79"/>
      <c r="B230" s="79"/>
      <c r="C230" s="79"/>
      <c r="D230" s="81">
        <v>45897</v>
      </c>
      <c r="E230" s="82">
        <v>24500.9</v>
      </c>
      <c r="G230" s="79"/>
      <c r="H230" s="79"/>
      <c r="I230" s="79"/>
    </row>
    <row r="231" s="78" customFormat="1" ht="16.5" customHeight="1" spans="1:9">
      <c r="A231" s="79"/>
      <c r="B231" s="79"/>
      <c r="C231" s="79"/>
      <c r="D231" s="81">
        <v>45895</v>
      </c>
      <c r="E231" s="82">
        <v>24712.05</v>
      </c>
      <c r="G231" s="79"/>
      <c r="H231" s="79"/>
      <c r="I231" s="79"/>
    </row>
    <row r="232" s="78" customFormat="1" ht="16.5" customHeight="1" spans="1:9">
      <c r="A232" s="79"/>
      <c r="B232" s="79"/>
      <c r="C232" s="79"/>
      <c r="D232" s="81">
        <v>45894</v>
      </c>
      <c r="E232" s="82">
        <v>24967.75</v>
      </c>
      <c r="G232" s="79"/>
      <c r="H232" s="79"/>
      <c r="I232" s="79"/>
    </row>
    <row r="233" s="78" customFormat="1" ht="16.5" customHeight="1" spans="1:9">
      <c r="A233" s="79"/>
      <c r="B233" s="79"/>
      <c r="C233" s="79"/>
      <c r="D233" s="81">
        <v>45891</v>
      </c>
      <c r="E233" s="82">
        <v>24870.1</v>
      </c>
      <c r="G233" s="79"/>
      <c r="H233" s="79"/>
      <c r="I233" s="79"/>
    </row>
    <row r="234" s="78" customFormat="1" ht="16.5" customHeight="1" spans="1:9">
      <c r="A234" s="79"/>
      <c r="B234" s="79"/>
      <c r="C234" s="79"/>
      <c r="D234" s="81">
        <v>45890</v>
      </c>
      <c r="E234" s="82">
        <v>25083.75</v>
      </c>
      <c r="G234" s="79"/>
      <c r="H234" s="79"/>
      <c r="I234" s="79"/>
    </row>
    <row r="235" s="78" customFormat="1" ht="16.5" customHeight="1" spans="1:9">
      <c r="A235" s="79"/>
      <c r="B235" s="79"/>
      <c r="C235" s="79"/>
      <c r="D235" s="81">
        <v>45889</v>
      </c>
      <c r="E235" s="82">
        <v>25050.55</v>
      </c>
      <c r="G235" s="79"/>
      <c r="H235" s="79"/>
      <c r="I235" s="79"/>
    </row>
    <row r="236" s="78" customFormat="1" ht="16.5" customHeight="1" spans="1:9">
      <c r="A236" s="79"/>
      <c r="B236" s="79"/>
      <c r="C236" s="79"/>
      <c r="D236" s="81">
        <v>45888</v>
      </c>
      <c r="E236" s="82">
        <v>24980.65</v>
      </c>
      <c r="G236" s="79"/>
      <c r="H236" s="79"/>
      <c r="I236" s="79"/>
    </row>
    <row r="237" s="78" customFormat="1" ht="16.5" customHeight="1" spans="1:9">
      <c r="A237" s="79"/>
      <c r="B237" s="79"/>
      <c r="C237" s="79"/>
      <c r="D237" s="81">
        <v>45887</v>
      </c>
      <c r="E237" s="82">
        <v>24876.95</v>
      </c>
      <c r="G237" s="79"/>
      <c r="H237" s="79"/>
      <c r="I237" s="79"/>
    </row>
    <row r="238" s="78" customFormat="1" ht="16.5" customHeight="1" spans="1:9">
      <c r="A238" s="79"/>
      <c r="B238" s="79"/>
      <c r="C238" s="79"/>
      <c r="D238" s="81">
        <v>45883</v>
      </c>
      <c r="E238" s="82">
        <v>24631.3</v>
      </c>
      <c r="G238" s="79"/>
      <c r="H238" s="79"/>
      <c r="I238" s="79"/>
    </row>
    <row r="239" s="78" customFormat="1" ht="16.5" customHeight="1" spans="1:9">
      <c r="A239" s="79"/>
      <c r="B239" s="79"/>
      <c r="C239" s="79"/>
      <c r="D239" s="81">
        <v>45882</v>
      </c>
      <c r="E239" s="82">
        <v>24619.35</v>
      </c>
      <c r="G239" s="79"/>
      <c r="H239" s="79"/>
      <c r="I239" s="79"/>
    </row>
    <row r="240" s="78" customFormat="1" ht="16.5" customHeight="1" spans="1:9">
      <c r="A240" s="79"/>
      <c r="B240" s="79"/>
      <c r="C240" s="79"/>
      <c r="D240" s="81">
        <v>45881</v>
      </c>
      <c r="E240" s="82">
        <v>24487.4</v>
      </c>
      <c r="G240" s="79"/>
      <c r="H240" s="79"/>
      <c r="I240" s="79"/>
    </row>
    <row r="241" s="78" customFormat="1" ht="16.5" customHeight="1" spans="1:9">
      <c r="A241" s="79"/>
      <c r="B241" s="79"/>
      <c r="C241" s="79"/>
      <c r="D241" s="81">
        <v>45880</v>
      </c>
      <c r="E241" s="82">
        <v>24585.05</v>
      </c>
      <c r="G241" s="79"/>
      <c r="H241" s="79"/>
      <c r="I241" s="79"/>
    </row>
    <row r="242" s="78" customFormat="1" ht="16.5" customHeight="1" spans="1:9">
      <c r="A242" s="79"/>
      <c r="B242" s="79"/>
      <c r="C242" s="79"/>
      <c r="D242" s="81">
        <v>45877</v>
      </c>
      <c r="E242" s="82">
        <v>24363.3</v>
      </c>
      <c r="G242" s="79"/>
      <c r="H242" s="79"/>
      <c r="I242" s="79"/>
    </row>
    <row r="243" s="78" customFormat="1" ht="16.5" customHeight="1" spans="1:9">
      <c r="A243" s="79"/>
      <c r="B243" s="79"/>
      <c r="C243" s="79"/>
      <c r="D243" s="81">
        <v>45876</v>
      </c>
      <c r="E243" s="82">
        <v>24596.15</v>
      </c>
      <c r="G243" s="79"/>
      <c r="H243" s="79"/>
      <c r="I243" s="79"/>
    </row>
    <row r="244" s="78" customFormat="1" ht="16.5" customHeight="1" spans="1:9">
      <c r="A244" s="79"/>
      <c r="B244" s="79"/>
      <c r="C244" s="79"/>
      <c r="D244" s="81">
        <v>45875</v>
      </c>
      <c r="E244" s="82">
        <v>24574.2</v>
      </c>
      <c r="G244" s="79"/>
      <c r="H244" s="79"/>
      <c r="I244" s="79"/>
    </row>
    <row r="245" s="78" customFormat="1" ht="16.5" customHeight="1" spans="1:9">
      <c r="A245" s="79"/>
      <c r="B245" s="79"/>
      <c r="C245" s="79"/>
      <c r="D245" s="81">
        <v>45874</v>
      </c>
      <c r="E245" s="82">
        <v>24649.55</v>
      </c>
      <c r="G245" s="79"/>
      <c r="H245" s="79"/>
      <c r="I245" s="79"/>
    </row>
    <row r="246" s="78" customFormat="1" ht="16.5" customHeight="1" spans="1:9">
      <c r="A246" s="79"/>
      <c r="B246" s="79"/>
      <c r="C246" s="79"/>
      <c r="D246" s="81">
        <v>45873</v>
      </c>
      <c r="E246" s="82">
        <v>24722.75</v>
      </c>
      <c r="G246" s="79"/>
      <c r="H246" s="79"/>
      <c r="I246" s="79"/>
    </row>
    <row r="247" s="78" customFormat="1" ht="16.5" customHeight="1" spans="1:9">
      <c r="A247" s="79"/>
      <c r="B247" s="79"/>
      <c r="C247" s="79"/>
      <c r="D247" s="81">
        <v>45870</v>
      </c>
      <c r="E247" s="82">
        <v>24565.35</v>
      </c>
      <c r="G247" s="79"/>
      <c r="H247" s="79"/>
      <c r="I247" s="79"/>
    </row>
    <row r="248" s="78" customFormat="1" ht="16.5" customHeight="1" spans="1:9">
      <c r="A248" s="79"/>
      <c r="B248" s="79"/>
      <c r="C248" s="79"/>
      <c r="D248" s="81">
        <v>45869</v>
      </c>
      <c r="E248" s="82">
        <v>24768.35</v>
      </c>
      <c r="G248" s="79"/>
      <c r="H248" s="79"/>
      <c r="I248" s="79"/>
    </row>
    <row r="249" s="78" customFormat="1" ht="16.5" customHeight="1" spans="1:9">
      <c r="A249" s="79"/>
      <c r="B249" s="79"/>
      <c r="C249" s="79"/>
      <c r="D249" s="81">
        <v>45868</v>
      </c>
      <c r="E249" s="82">
        <v>24855.05</v>
      </c>
      <c r="G249" s="79"/>
      <c r="H249" s="79"/>
      <c r="I249" s="79"/>
    </row>
    <row r="250" s="78" customFormat="1" ht="16.5" customHeight="1" spans="1:9">
      <c r="A250" s="79"/>
      <c r="B250" s="79"/>
      <c r="C250" s="79"/>
      <c r="D250" s="81">
        <v>45867</v>
      </c>
      <c r="E250" s="82">
        <v>24821.1</v>
      </c>
      <c r="G250" s="79"/>
      <c r="H250" s="79"/>
      <c r="I250" s="79"/>
    </row>
    <row r="251" s="78" customFormat="1" ht="16.5" customHeight="1" spans="1:9">
      <c r="A251" s="79"/>
      <c r="B251" s="79"/>
      <c r="C251" s="79"/>
      <c r="D251" s="81">
        <v>45866</v>
      </c>
      <c r="E251" s="82">
        <v>24680.9</v>
      </c>
      <c r="G251" s="79"/>
      <c r="H251" s="79"/>
      <c r="I251" s="79"/>
    </row>
    <row r="252" s="78" customFormat="1" ht="16.5" customHeight="1" spans="1:9">
      <c r="A252" s="79"/>
      <c r="B252" s="79"/>
      <c r="C252" s="79"/>
      <c r="D252" s="81">
        <v>45863</v>
      </c>
      <c r="E252" s="82">
        <v>24837</v>
      </c>
      <c r="G252" s="79"/>
      <c r="H252" s="79"/>
      <c r="I252" s="79"/>
    </row>
    <row r="253" s="78" customFormat="1" ht="16.5" customHeight="1" spans="1:9">
      <c r="A253" s="79"/>
      <c r="B253" s="79"/>
      <c r="C253" s="79"/>
      <c r="D253" s="81">
        <v>45862</v>
      </c>
      <c r="E253" s="82">
        <v>25062.1</v>
      </c>
      <c r="G253" s="79"/>
      <c r="H253" s="79"/>
      <c r="I253" s="79"/>
    </row>
    <row r="254" s="78" customFormat="1" ht="16.5" customHeight="1" spans="1:9">
      <c r="A254" s="79"/>
      <c r="B254" s="79"/>
      <c r="C254" s="79"/>
      <c r="D254" s="81">
        <v>45861</v>
      </c>
      <c r="E254" s="82">
        <v>25219.9</v>
      </c>
      <c r="G254" s="79"/>
      <c r="H254" s="79"/>
      <c r="I254" s="79"/>
    </row>
    <row r="255" s="78" customFormat="1" ht="16.5" customHeight="1" spans="1:9">
      <c r="A255" s="79"/>
      <c r="B255" s="79"/>
      <c r="C255" s="79"/>
      <c r="D255" s="81">
        <v>45860</v>
      </c>
      <c r="E255" s="82">
        <v>25060.9</v>
      </c>
      <c r="G255" s="79"/>
      <c r="H255" s="79"/>
      <c r="I255" s="79"/>
    </row>
    <row r="256" s="78" customFormat="1" ht="16.5" customHeight="1" spans="1:9">
      <c r="A256" s="79"/>
      <c r="B256" s="79"/>
      <c r="C256" s="79"/>
      <c r="D256" s="81">
        <v>45859</v>
      </c>
      <c r="E256" s="82">
        <v>25090.7</v>
      </c>
      <c r="G256" s="79"/>
      <c r="H256" s="79"/>
      <c r="I256" s="79"/>
    </row>
    <row r="257" s="78" customFormat="1" ht="16.5" customHeight="1" spans="1:9">
      <c r="A257" s="79"/>
      <c r="B257" s="79"/>
      <c r="C257" s="79"/>
      <c r="D257" s="81">
        <v>45856</v>
      </c>
      <c r="E257" s="82">
        <v>24968.4</v>
      </c>
      <c r="G257" s="79"/>
      <c r="H257" s="79"/>
      <c r="I257" s="79"/>
    </row>
    <row r="258" s="78" customFormat="1" ht="16.5" customHeight="1" spans="1:9">
      <c r="A258" s="79"/>
      <c r="B258" s="79"/>
      <c r="C258" s="79"/>
      <c r="D258" s="81">
        <v>45855</v>
      </c>
      <c r="E258" s="82">
        <v>25111.45</v>
      </c>
      <c r="G258" s="79"/>
      <c r="H258" s="79"/>
      <c r="I258" s="79"/>
    </row>
    <row r="259" s="78" customFormat="1" ht="16.5" customHeight="1" spans="1:9">
      <c r="A259" s="79"/>
      <c r="B259" s="79"/>
      <c r="C259" s="79"/>
      <c r="D259" s="81">
        <v>45854</v>
      </c>
      <c r="E259" s="82">
        <v>25212.05</v>
      </c>
      <c r="G259" s="79"/>
      <c r="H259" s="79"/>
      <c r="I259" s="79"/>
    </row>
    <row r="260" s="78" customFormat="1" ht="16.5" customHeight="1" spans="1:9">
      <c r="A260" s="79"/>
      <c r="B260" s="79"/>
      <c r="C260" s="79"/>
      <c r="D260" s="81">
        <v>45853</v>
      </c>
      <c r="E260" s="82">
        <v>25195.8</v>
      </c>
      <c r="G260" s="79"/>
      <c r="H260" s="79"/>
      <c r="I260" s="79"/>
    </row>
    <row r="261" s="78" customFormat="1" ht="16.5" customHeight="1" spans="1:9">
      <c r="A261" s="79"/>
      <c r="B261" s="79"/>
      <c r="C261" s="79"/>
      <c r="D261" s="81">
        <v>45852</v>
      </c>
      <c r="E261" s="82">
        <v>25082.3</v>
      </c>
      <c r="G261" s="79"/>
      <c r="H261" s="79"/>
      <c r="I261" s="79"/>
    </row>
    <row r="262" s="78" customFormat="1" ht="16.5" customHeight="1" spans="1:9">
      <c r="A262" s="79"/>
      <c r="B262" s="79"/>
      <c r="C262" s="79"/>
      <c r="D262" s="81">
        <v>45849</v>
      </c>
      <c r="E262" s="82">
        <v>25149.85</v>
      </c>
      <c r="G262" s="79"/>
      <c r="H262" s="79"/>
      <c r="I262" s="79"/>
    </row>
    <row r="263" s="78" customFormat="1" ht="16.5" customHeight="1" spans="1:9">
      <c r="A263" s="79"/>
      <c r="B263" s="79"/>
      <c r="C263" s="79"/>
      <c r="D263" s="81">
        <v>45848</v>
      </c>
      <c r="E263" s="82">
        <v>25355.25</v>
      </c>
      <c r="G263" s="79"/>
      <c r="H263" s="79"/>
      <c r="I263" s="79"/>
    </row>
    <row r="264" s="78" customFormat="1" ht="16.5" customHeight="1" spans="1:9">
      <c r="A264" s="79"/>
      <c r="B264" s="79"/>
      <c r="C264" s="79"/>
      <c r="D264" s="81">
        <v>45847</v>
      </c>
      <c r="E264" s="82">
        <v>25476.1</v>
      </c>
      <c r="G264" s="79"/>
      <c r="H264" s="79"/>
      <c r="I264" s="79"/>
    </row>
    <row r="265" s="78" customFormat="1" ht="16.5" customHeight="1" spans="1:9">
      <c r="A265" s="79"/>
      <c r="B265" s="79"/>
      <c r="C265" s="79"/>
      <c r="D265" s="81">
        <v>45846</v>
      </c>
      <c r="E265" s="82">
        <v>25522.5</v>
      </c>
      <c r="G265" s="79"/>
      <c r="H265" s="79"/>
      <c r="I265" s="79"/>
    </row>
    <row r="266" s="78" customFormat="1" ht="16.5" customHeight="1" spans="1:9">
      <c r="A266" s="79"/>
      <c r="B266" s="79"/>
      <c r="C266" s="79"/>
      <c r="D266" s="81">
        <v>45845</v>
      </c>
      <c r="E266" s="82">
        <v>25461.3</v>
      </c>
      <c r="G266" s="79"/>
      <c r="H266" s="79"/>
      <c r="I266" s="79"/>
    </row>
    <row r="267" s="78" customFormat="1" ht="16.5" customHeight="1" spans="1:9">
      <c r="A267" s="79"/>
      <c r="B267" s="79"/>
      <c r="C267" s="79"/>
      <c r="D267" s="81">
        <v>45842</v>
      </c>
      <c r="E267" s="82">
        <v>25461</v>
      </c>
      <c r="G267" s="79"/>
      <c r="H267" s="79"/>
      <c r="I267" s="79"/>
    </row>
    <row r="268" s="78" customFormat="1" ht="16.5" customHeight="1" spans="1:9">
      <c r="A268" s="79"/>
      <c r="B268" s="79"/>
      <c r="C268" s="79"/>
      <c r="D268" s="81">
        <v>45841</v>
      </c>
      <c r="E268" s="82">
        <v>25405.3</v>
      </c>
      <c r="G268" s="79"/>
      <c r="H268" s="79"/>
      <c r="I268" s="79"/>
    </row>
    <row r="269" s="78" customFormat="1" ht="16.5" customHeight="1" spans="1:9">
      <c r="A269" s="79"/>
      <c r="B269" s="79"/>
      <c r="C269" s="79"/>
      <c r="D269" s="81">
        <v>45840</v>
      </c>
      <c r="E269" s="82">
        <v>25453.4</v>
      </c>
      <c r="G269" s="79"/>
      <c r="H269" s="79"/>
      <c r="I269" s="79"/>
    </row>
    <row r="270" s="78" customFormat="1" ht="16.5" customHeight="1" spans="1:9">
      <c r="A270" s="79"/>
      <c r="B270" s="79"/>
      <c r="C270" s="79"/>
      <c r="D270" s="81">
        <v>45839</v>
      </c>
      <c r="E270" s="82">
        <v>25541.8</v>
      </c>
      <c r="G270" s="79"/>
      <c r="H270" s="79"/>
      <c r="I270" s="79"/>
    </row>
    <row r="271" s="78" customFormat="1" ht="16.5" customHeight="1" spans="1:9">
      <c r="A271" s="79"/>
      <c r="B271" s="79"/>
      <c r="C271" s="79"/>
      <c r="D271" s="81">
        <v>45838</v>
      </c>
      <c r="E271" s="82">
        <v>25517.05</v>
      </c>
      <c r="G271" s="79"/>
      <c r="H271" s="79"/>
      <c r="I271" s="79"/>
    </row>
    <row r="272" s="78" customFormat="1" ht="16.5" customHeight="1" spans="1:9">
      <c r="A272" s="79"/>
      <c r="B272" s="79"/>
      <c r="C272" s="79"/>
      <c r="D272" s="81">
        <v>45835</v>
      </c>
      <c r="E272" s="82">
        <v>25637.8</v>
      </c>
      <c r="G272" s="79"/>
      <c r="H272" s="79"/>
      <c r="I272" s="79"/>
    </row>
    <row r="273" s="78" customFormat="1" ht="16.5" customHeight="1" spans="1:9">
      <c r="A273" s="79"/>
      <c r="B273" s="79"/>
      <c r="C273" s="79"/>
      <c r="D273" s="81">
        <v>45834</v>
      </c>
      <c r="E273" s="82">
        <v>25549</v>
      </c>
      <c r="G273" s="79"/>
      <c r="H273" s="79"/>
      <c r="I273" s="79"/>
    </row>
    <row r="274" s="78" customFormat="1" ht="16.5" customHeight="1" spans="1:9">
      <c r="A274" s="79"/>
      <c r="B274" s="79"/>
      <c r="C274" s="79"/>
      <c r="D274" s="81">
        <v>45833</v>
      </c>
      <c r="E274" s="82">
        <v>25244.75</v>
      </c>
      <c r="G274" s="79"/>
      <c r="H274" s="79"/>
      <c r="I274" s="79"/>
    </row>
    <row r="275" s="78" customFormat="1" ht="16.5" customHeight="1" spans="1:9">
      <c r="A275" s="79"/>
      <c r="B275" s="79"/>
      <c r="C275" s="79"/>
      <c r="D275" s="81">
        <v>45832</v>
      </c>
      <c r="E275" s="82">
        <v>25044.35</v>
      </c>
      <c r="G275" s="79"/>
      <c r="H275" s="79"/>
      <c r="I275" s="79"/>
    </row>
    <row r="276" s="78" customFormat="1" ht="16.5" customHeight="1" spans="1:9">
      <c r="A276" s="79"/>
      <c r="B276" s="79"/>
      <c r="C276" s="79"/>
      <c r="D276" s="81">
        <v>45831</v>
      </c>
      <c r="E276" s="82">
        <v>24971.9</v>
      </c>
      <c r="G276" s="79"/>
      <c r="H276" s="79"/>
      <c r="I276" s="79"/>
    </row>
    <row r="277" s="78" customFormat="1" ht="16.5" customHeight="1" spans="1:9">
      <c r="A277" s="79"/>
      <c r="B277" s="79"/>
      <c r="C277" s="79"/>
      <c r="D277" s="81">
        <v>45828</v>
      </c>
      <c r="E277" s="82">
        <v>25112.4</v>
      </c>
      <c r="G277" s="79"/>
      <c r="H277" s="79"/>
      <c r="I277" s="79"/>
    </row>
    <row r="278" s="78" customFormat="1" ht="16.5" customHeight="1" spans="1:9">
      <c r="A278" s="79"/>
      <c r="B278" s="79"/>
      <c r="C278" s="79"/>
      <c r="D278" s="81">
        <v>45827</v>
      </c>
      <c r="E278" s="82">
        <v>24793.25</v>
      </c>
      <c r="G278" s="79"/>
      <c r="H278" s="79"/>
      <c r="I278" s="79"/>
    </row>
    <row r="279" s="78" customFormat="1" ht="16.5" customHeight="1" spans="1:9">
      <c r="A279" s="79"/>
      <c r="B279" s="79"/>
      <c r="C279" s="79"/>
      <c r="D279" s="81">
        <v>45826</v>
      </c>
      <c r="E279" s="82">
        <v>24812.05</v>
      </c>
      <c r="G279" s="79"/>
      <c r="H279" s="79"/>
      <c r="I279" s="79"/>
    </row>
    <row r="280" s="78" customFormat="1" ht="16.5" customHeight="1" spans="1:9">
      <c r="A280" s="79"/>
      <c r="B280" s="79"/>
      <c r="C280" s="79"/>
      <c r="D280" s="81">
        <v>45825</v>
      </c>
      <c r="E280" s="82">
        <v>24853.4</v>
      </c>
      <c r="G280" s="79"/>
      <c r="H280" s="79"/>
      <c r="I280" s="79"/>
    </row>
    <row r="281" s="78" customFormat="1" ht="16.5" customHeight="1" spans="1:9">
      <c r="A281" s="79"/>
      <c r="B281" s="79"/>
      <c r="C281" s="79"/>
      <c r="D281" s="81">
        <v>45824</v>
      </c>
      <c r="E281" s="82">
        <v>24946.5</v>
      </c>
      <c r="G281" s="79"/>
      <c r="H281" s="79"/>
      <c r="I281" s="79"/>
    </row>
    <row r="282" s="78" customFormat="1" ht="16.5" customHeight="1" spans="1:9">
      <c r="A282" s="79"/>
      <c r="B282" s="79"/>
      <c r="C282" s="79"/>
      <c r="D282" s="81">
        <v>45821</v>
      </c>
      <c r="E282" s="82">
        <v>24718.6</v>
      </c>
      <c r="G282" s="79"/>
      <c r="H282" s="79"/>
      <c r="I282" s="79"/>
    </row>
    <row r="283" s="78" customFormat="1" ht="16.5" customHeight="1" spans="1:9">
      <c r="A283" s="79"/>
      <c r="B283" s="79"/>
      <c r="C283" s="79"/>
      <c r="D283" s="81">
        <v>45820</v>
      </c>
      <c r="E283" s="82">
        <v>24888.2</v>
      </c>
      <c r="G283" s="79"/>
      <c r="H283" s="79"/>
      <c r="I283" s="79"/>
    </row>
    <row r="284" s="78" customFormat="1" ht="16.5" customHeight="1" spans="1:9">
      <c r="A284" s="79"/>
      <c r="B284" s="79"/>
      <c r="C284" s="79"/>
      <c r="D284" s="81">
        <v>45819</v>
      </c>
      <c r="E284" s="82">
        <v>25141.4</v>
      </c>
      <c r="G284" s="79"/>
      <c r="H284" s="79"/>
      <c r="I284" s="79"/>
    </row>
    <row r="285" s="78" customFormat="1" ht="16.5" customHeight="1" spans="1:9">
      <c r="A285" s="79"/>
      <c r="B285" s="79"/>
      <c r="C285" s="79"/>
      <c r="D285" s="81">
        <v>45818</v>
      </c>
      <c r="E285" s="82">
        <v>25104.25</v>
      </c>
      <c r="G285" s="79"/>
      <c r="H285" s="79"/>
      <c r="I285" s="79"/>
    </row>
    <row r="286" s="78" customFormat="1" ht="16.5" customHeight="1" spans="1:9">
      <c r="A286" s="79"/>
      <c r="B286" s="79"/>
      <c r="C286" s="79"/>
      <c r="D286" s="81">
        <v>45817</v>
      </c>
      <c r="E286" s="82">
        <v>25103.2</v>
      </c>
      <c r="G286" s="79"/>
      <c r="H286" s="79"/>
      <c r="I286" s="79"/>
    </row>
    <row r="287" s="78" customFormat="1" ht="16.5" customHeight="1" spans="1:9">
      <c r="A287" s="79"/>
      <c r="B287" s="79"/>
      <c r="C287" s="79"/>
      <c r="D287" s="81">
        <v>45814</v>
      </c>
      <c r="E287" s="82">
        <v>25003.05</v>
      </c>
      <c r="G287" s="79"/>
      <c r="H287" s="79"/>
      <c r="I287" s="79"/>
    </row>
    <row r="288" s="78" customFormat="1" ht="16.5" customHeight="1" spans="1:9">
      <c r="A288" s="79"/>
      <c r="B288" s="79"/>
      <c r="C288" s="79"/>
      <c r="D288" s="81">
        <v>45813</v>
      </c>
      <c r="E288" s="82">
        <v>24750.9</v>
      </c>
      <c r="G288" s="79"/>
      <c r="H288" s="79"/>
      <c r="I288" s="79"/>
    </row>
    <row r="289" s="78" customFormat="1" ht="16.5" customHeight="1" spans="1:9">
      <c r="A289" s="79"/>
      <c r="B289" s="79"/>
      <c r="C289" s="79"/>
      <c r="D289" s="81">
        <v>45812</v>
      </c>
      <c r="E289" s="82">
        <v>24620.2</v>
      </c>
      <c r="G289" s="79"/>
      <c r="H289" s="79"/>
      <c r="I289" s="79"/>
    </row>
    <row r="290" s="78" customFormat="1" ht="16.5" customHeight="1" spans="1:9">
      <c r="A290" s="79"/>
      <c r="B290" s="79"/>
      <c r="C290" s="79"/>
      <c r="D290" s="81">
        <v>45811</v>
      </c>
      <c r="E290" s="82">
        <v>24542.5</v>
      </c>
      <c r="G290" s="79"/>
      <c r="H290" s="79"/>
      <c r="I290" s="79"/>
    </row>
    <row r="291" s="78" customFormat="1" ht="16.5" customHeight="1" spans="1:9">
      <c r="A291" s="79"/>
      <c r="B291" s="79"/>
      <c r="C291" s="79"/>
      <c r="D291" s="81">
        <v>45810</v>
      </c>
      <c r="E291" s="82">
        <v>24716.6</v>
      </c>
      <c r="G291" s="79"/>
      <c r="H291" s="79"/>
      <c r="I291" s="79"/>
    </row>
    <row r="292" s="78" customFormat="1" ht="16.5" customHeight="1" spans="1:9">
      <c r="A292" s="79"/>
      <c r="B292" s="79"/>
      <c r="C292" s="79"/>
      <c r="D292" s="81">
        <v>45807</v>
      </c>
      <c r="E292" s="82">
        <v>24750.7</v>
      </c>
      <c r="G292" s="79"/>
      <c r="H292" s="79"/>
      <c r="I292" s="79"/>
    </row>
    <row r="293" s="78" customFormat="1" ht="16.5" customHeight="1" spans="1:9">
      <c r="A293" s="79"/>
      <c r="B293" s="79"/>
      <c r="C293" s="79"/>
      <c r="D293" s="81">
        <v>45806</v>
      </c>
      <c r="E293" s="82">
        <v>24833.6</v>
      </c>
      <c r="G293" s="79"/>
      <c r="H293" s="79"/>
      <c r="I293" s="79"/>
    </row>
    <row r="294" s="78" customFormat="1" ht="16.5" customHeight="1" spans="1:9">
      <c r="A294" s="79"/>
      <c r="B294" s="79"/>
      <c r="C294" s="79"/>
      <c r="D294" s="81">
        <v>45805</v>
      </c>
      <c r="E294" s="82">
        <v>24752.45</v>
      </c>
      <c r="G294" s="79"/>
      <c r="H294" s="79"/>
      <c r="I294" s="79"/>
    </row>
    <row r="295" s="78" customFormat="1" ht="16.5" customHeight="1" spans="1:9">
      <c r="A295" s="79"/>
      <c r="B295" s="79"/>
      <c r="C295" s="79"/>
      <c r="D295" s="81">
        <v>45804</v>
      </c>
      <c r="E295" s="82">
        <v>24826.2</v>
      </c>
      <c r="G295" s="79"/>
      <c r="H295" s="79"/>
      <c r="I295" s="79"/>
    </row>
    <row r="296" s="78" customFormat="1" ht="16.5" customHeight="1" spans="1:9">
      <c r="A296" s="79"/>
      <c r="B296" s="79"/>
      <c r="C296" s="79"/>
      <c r="D296" s="81">
        <v>45803</v>
      </c>
      <c r="E296" s="82">
        <v>25001.15</v>
      </c>
      <c r="G296" s="79"/>
      <c r="H296" s="79"/>
      <c r="I296" s="79"/>
    </row>
    <row r="297" s="78" customFormat="1" ht="16.5" customHeight="1" spans="1:9">
      <c r="A297" s="79"/>
      <c r="B297" s="79"/>
      <c r="C297" s="79"/>
      <c r="D297" s="81">
        <v>45800</v>
      </c>
      <c r="E297" s="82">
        <v>24853.15</v>
      </c>
      <c r="G297" s="79"/>
      <c r="H297" s="79"/>
      <c r="I297" s="79"/>
    </row>
    <row r="298" s="78" customFormat="1" ht="16.5" customHeight="1" spans="1:9">
      <c r="A298" s="79"/>
      <c r="B298" s="79"/>
      <c r="C298" s="79"/>
      <c r="D298" s="81">
        <v>45799</v>
      </c>
      <c r="E298" s="82">
        <v>24609.7</v>
      </c>
      <c r="G298" s="79"/>
      <c r="H298" s="79"/>
      <c r="I298" s="79"/>
    </row>
    <row r="299" s="78" customFormat="1" ht="16.5" customHeight="1" spans="1:9">
      <c r="A299" s="79"/>
      <c r="B299" s="79"/>
      <c r="C299" s="79"/>
      <c r="D299" s="81">
        <v>45798</v>
      </c>
      <c r="E299" s="82">
        <v>24813.45</v>
      </c>
      <c r="G299" s="79"/>
      <c r="H299" s="79"/>
      <c r="I299" s="79"/>
    </row>
    <row r="300" s="78" customFormat="1" ht="16.5" customHeight="1" spans="1:9">
      <c r="A300" s="79"/>
      <c r="B300" s="79"/>
      <c r="C300" s="79"/>
      <c r="D300" s="81">
        <v>45797</v>
      </c>
      <c r="E300" s="82">
        <v>24683.9</v>
      </c>
      <c r="G300" s="79"/>
      <c r="H300" s="79"/>
      <c r="I300" s="79"/>
    </row>
    <row r="301" s="78" customFormat="1" ht="16.5" customHeight="1" spans="1:9">
      <c r="A301" s="79"/>
      <c r="B301" s="79"/>
      <c r="C301" s="79"/>
      <c r="D301" s="81">
        <v>45796</v>
      </c>
      <c r="E301" s="82">
        <v>24945.45</v>
      </c>
      <c r="G301" s="79"/>
      <c r="H301" s="79"/>
      <c r="I301" s="79"/>
    </row>
    <row r="302" s="78" customFormat="1" ht="16.5" customHeight="1" spans="1:9">
      <c r="A302" s="79"/>
      <c r="B302" s="79"/>
      <c r="C302" s="79"/>
      <c r="D302" s="81">
        <v>45793</v>
      </c>
      <c r="E302" s="82">
        <v>25019.8</v>
      </c>
      <c r="G302" s="79"/>
      <c r="H302" s="79"/>
      <c r="I302" s="79"/>
    </row>
    <row r="303" s="78" customFormat="1" ht="16.5" customHeight="1" spans="1:9">
      <c r="A303" s="79"/>
      <c r="B303" s="79"/>
      <c r="C303" s="79"/>
      <c r="D303" s="81">
        <v>45792</v>
      </c>
      <c r="E303" s="82">
        <v>25062.1</v>
      </c>
      <c r="G303" s="79"/>
      <c r="H303" s="79"/>
      <c r="I303" s="79"/>
    </row>
    <row r="304" s="78" customFormat="1" ht="16.5" customHeight="1" spans="1:9">
      <c r="A304" s="79"/>
      <c r="B304" s="79"/>
      <c r="C304" s="79"/>
      <c r="D304" s="81">
        <v>45791</v>
      </c>
      <c r="E304" s="82">
        <v>24666.9</v>
      </c>
      <c r="G304" s="79"/>
      <c r="H304" s="79"/>
      <c r="I304" s="79"/>
    </row>
    <row r="305" s="78" customFormat="1" ht="16.5" customHeight="1" spans="1:9">
      <c r="A305" s="79"/>
      <c r="B305" s="79"/>
      <c r="C305" s="79"/>
      <c r="D305" s="81">
        <v>45790</v>
      </c>
      <c r="E305" s="82">
        <v>24578.35</v>
      </c>
      <c r="G305" s="79"/>
      <c r="H305" s="79"/>
      <c r="I305" s="79"/>
    </row>
    <row r="306" s="78" customFormat="1" ht="16.5" customHeight="1" spans="1:9">
      <c r="A306" s="79"/>
      <c r="B306" s="79"/>
      <c r="C306" s="79"/>
      <c r="D306" s="81">
        <v>45789</v>
      </c>
      <c r="E306" s="82">
        <v>24924.7</v>
      </c>
      <c r="G306" s="79"/>
      <c r="H306" s="79"/>
      <c r="I306" s="79"/>
    </row>
    <row r="307" s="78" customFormat="1" ht="16.5" customHeight="1" spans="1:9">
      <c r="A307" s="79"/>
      <c r="B307" s="79"/>
      <c r="C307" s="79"/>
      <c r="D307" s="81">
        <v>45786</v>
      </c>
      <c r="E307" s="82">
        <v>24008</v>
      </c>
      <c r="G307" s="79"/>
      <c r="H307" s="79"/>
      <c r="I307" s="79"/>
    </row>
    <row r="308" s="78" customFormat="1" ht="16.5" customHeight="1" spans="1:9">
      <c r="A308" s="79"/>
      <c r="B308" s="79"/>
      <c r="C308" s="79"/>
      <c r="D308" s="81">
        <v>45785</v>
      </c>
      <c r="E308" s="82">
        <v>24273.8</v>
      </c>
      <c r="G308" s="79"/>
      <c r="H308" s="79"/>
      <c r="I308" s="79"/>
    </row>
    <row r="309" s="78" customFormat="1" ht="16.5" customHeight="1" spans="1:9">
      <c r="A309" s="79"/>
      <c r="B309" s="79"/>
      <c r="C309" s="79"/>
      <c r="D309" s="81">
        <v>45784</v>
      </c>
      <c r="E309" s="82">
        <v>24414.4</v>
      </c>
      <c r="G309" s="79"/>
      <c r="H309" s="79"/>
      <c r="I309" s="79"/>
    </row>
    <row r="310" s="78" customFormat="1" ht="16.5" customHeight="1" spans="1:9">
      <c r="A310" s="79"/>
      <c r="B310" s="79"/>
      <c r="C310" s="79"/>
      <c r="D310" s="81">
        <v>45783</v>
      </c>
      <c r="E310" s="82">
        <v>24379.6</v>
      </c>
      <c r="G310" s="79"/>
      <c r="H310" s="79"/>
      <c r="I310" s="79"/>
    </row>
    <row r="311" s="78" customFormat="1" ht="16.5" customHeight="1" spans="1:9">
      <c r="A311" s="79"/>
      <c r="B311" s="79"/>
      <c r="C311" s="79"/>
      <c r="D311" s="81">
        <v>45782</v>
      </c>
      <c r="E311" s="82">
        <v>24461.15</v>
      </c>
      <c r="G311" s="79"/>
      <c r="H311" s="79"/>
      <c r="I311" s="79"/>
    </row>
    <row r="312" s="78" customFormat="1" ht="16.5" customHeight="1" spans="1:9">
      <c r="A312" s="79"/>
      <c r="B312" s="79"/>
      <c r="C312" s="79"/>
      <c r="D312" s="81">
        <v>45779</v>
      </c>
      <c r="E312" s="82">
        <v>24346.7</v>
      </c>
      <c r="G312" s="79"/>
      <c r="H312" s="79"/>
      <c r="I312" s="79"/>
    </row>
    <row r="313" s="78" customFormat="1" ht="16.5" customHeight="1" spans="1:9">
      <c r="A313" s="79"/>
      <c r="B313" s="79"/>
      <c r="C313" s="79"/>
      <c r="D313" s="81">
        <v>45777</v>
      </c>
      <c r="E313" s="82">
        <v>24334.2</v>
      </c>
      <c r="G313" s="79"/>
      <c r="H313" s="79"/>
      <c r="I313" s="79"/>
    </row>
    <row r="314" s="78" customFormat="1" ht="16.5" customHeight="1" spans="1:9">
      <c r="A314" s="79"/>
      <c r="B314" s="79"/>
      <c r="C314" s="79"/>
      <c r="D314" s="81">
        <v>45776</v>
      </c>
      <c r="E314" s="82">
        <v>24335.95</v>
      </c>
      <c r="G314" s="79"/>
      <c r="H314" s="79"/>
      <c r="I314" s="79"/>
    </row>
    <row r="315" s="78" customFormat="1" ht="16.5" customHeight="1" spans="1:9">
      <c r="A315" s="79"/>
      <c r="B315" s="79"/>
      <c r="C315" s="79"/>
      <c r="D315" s="81">
        <v>45775</v>
      </c>
      <c r="E315" s="82">
        <v>24328.5</v>
      </c>
      <c r="G315" s="79"/>
      <c r="H315" s="79"/>
      <c r="I315" s="79"/>
    </row>
    <row r="316" s="78" customFormat="1" ht="16.5" customHeight="1" spans="1:9">
      <c r="A316" s="79"/>
      <c r="B316" s="79"/>
      <c r="C316" s="79"/>
      <c r="D316" s="81">
        <v>45772</v>
      </c>
      <c r="E316" s="82">
        <v>24039.35</v>
      </c>
      <c r="G316" s="79"/>
      <c r="H316" s="79"/>
      <c r="I316" s="79"/>
    </row>
    <row r="317" s="78" customFormat="1" ht="16.5" customHeight="1" spans="1:9">
      <c r="A317" s="79"/>
      <c r="B317" s="79"/>
      <c r="C317" s="79"/>
      <c r="D317" s="81">
        <v>45771</v>
      </c>
      <c r="E317" s="82">
        <v>24246.7</v>
      </c>
      <c r="G317" s="79"/>
      <c r="H317" s="79"/>
      <c r="I317" s="79"/>
    </row>
    <row r="318" s="78" customFormat="1" ht="16.5" customHeight="1" spans="1:9">
      <c r="A318" s="79"/>
      <c r="B318" s="79"/>
      <c r="C318" s="79"/>
      <c r="D318" s="81">
        <v>45770</v>
      </c>
      <c r="E318" s="82">
        <v>24328.95</v>
      </c>
      <c r="G318" s="79"/>
      <c r="H318" s="79"/>
      <c r="I318" s="79"/>
    </row>
    <row r="319" s="78" customFormat="1" ht="16.5" customHeight="1" spans="1:9">
      <c r="A319" s="79"/>
      <c r="B319" s="79"/>
      <c r="C319" s="79"/>
      <c r="D319" s="81">
        <v>45769</v>
      </c>
      <c r="E319" s="82">
        <v>24167.25</v>
      </c>
      <c r="G319" s="79"/>
      <c r="H319" s="79"/>
      <c r="I319" s="79"/>
    </row>
    <row r="320" s="78" customFormat="1" ht="16.5" customHeight="1" spans="1:9">
      <c r="A320" s="79"/>
      <c r="B320" s="79"/>
      <c r="C320" s="79"/>
      <c r="D320" s="81">
        <v>45768</v>
      </c>
      <c r="E320" s="82">
        <v>24125.55</v>
      </c>
      <c r="G320" s="79"/>
      <c r="H320" s="79"/>
      <c r="I320" s="79"/>
    </row>
    <row r="321" s="78" customFormat="1" ht="16.5" customHeight="1" spans="1:9">
      <c r="A321" s="79"/>
      <c r="B321" s="79"/>
      <c r="C321" s="79"/>
      <c r="D321" s="81">
        <v>45764</v>
      </c>
      <c r="E321" s="82">
        <v>23851.65</v>
      </c>
      <c r="G321" s="79"/>
      <c r="H321" s="79"/>
      <c r="I321" s="79"/>
    </row>
    <row r="322" s="78" customFormat="1" ht="16.5" customHeight="1" spans="1:9">
      <c r="A322" s="79"/>
      <c r="B322" s="79"/>
      <c r="C322" s="79"/>
      <c r="D322" s="81">
        <v>45763</v>
      </c>
      <c r="E322" s="82">
        <v>23437.2</v>
      </c>
      <c r="G322" s="79"/>
      <c r="H322" s="79"/>
      <c r="I322" s="79"/>
    </row>
    <row r="323" s="78" customFormat="1" ht="16.5" customHeight="1" spans="1:9">
      <c r="A323" s="79"/>
      <c r="B323" s="79"/>
      <c r="C323" s="79"/>
      <c r="D323" s="81">
        <v>45762</v>
      </c>
      <c r="E323" s="82">
        <v>23328.55</v>
      </c>
      <c r="G323" s="79"/>
      <c r="H323" s="79"/>
      <c r="I323" s="79"/>
    </row>
    <row r="324" s="78" customFormat="1" ht="16.5" customHeight="1" spans="1:9">
      <c r="A324" s="79"/>
      <c r="B324" s="79"/>
      <c r="C324" s="79"/>
      <c r="D324" s="81">
        <v>45758</v>
      </c>
      <c r="E324" s="82">
        <v>22828.55</v>
      </c>
      <c r="G324" s="79"/>
      <c r="H324" s="79"/>
      <c r="I324" s="79"/>
    </row>
    <row r="325" s="78" customFormat="1" ht="16.5" customHeight="1" spans="1:9">
      <c r="A325" s="79"/>
      <c r="B325" s="79"/>
      <c r="C325" s="79"/>
      <c r="D325" s="81">
        <v>45756</v>
      </c>
      <c r="E325" s="82">
        <v>22399.15</v>
      </c>
      <c r="G325" s="79"/>
      <c r="H325" s="79"/>
      <c r="I325" s="79"/>
    </row>
    <row r="326" s="78" customFormat="1" ht="16.5" customHeight="1" spans="1:9">
      <c r="A326" s="79"/>
      <c r="B326" s="79"/>
      <c r="C326" s="79"/>
      <c r="D326" s="81">
        <v>45755</v>
      </c>
      <c r="E326" s="82">
        <v>22535.85</v>
      </c>
      <c r="G326" s="79"/>
      <c r="H326" s="79"/>
      <c r="I326" s="79"/>
    </row>
    <row r="327" s="78" customFormat="1" ht="16.5" customHeight="1" spans="1:9">
      <c r="A327" s="79"/>
      <c r="B327" s="79"/>
      <c r="C327" s="79"/>
      <c r="D327" s="81">
        <v>45754</v>
      </c>
      <c r="E327" s="82">
        <v>22161.6</v>
      </c>
      <c r="G327" s="79"/>
      <c r="H327" s="79"/>
      <c r="I327" s="79"/>
    </row>
    <row r="328" s="78" customFormat="1" ht="16.5" customHeight="1" spans="1:9">
      <c r="A328" s="79"/>
      <c r="B328" s="79"/>
      <c r="C328" s="79"/>
      <c r="D328" s="81">
        <v>45751</v>
      </c>
      <c r="E328" s="82">
        <v>22904.45</v>
      </c>
      <c r="G328" s="79"/>
      <c r="H328" s="79"/>
      <c r="I328" s="79"/>
    </row>
    <row r="329" s="78" customFormat="1" ht="16.5" customHeight="1" spans="1:9">
      <c r="A329" s="79"/>
      <c r="B329" s="79"/>
      <c r="C329" s="79"/>
      <c r="D329" s="81">
        <v>45750</v>
      </c>
      <c r="E329" s="82">
        <v>23250.1</v>
      </c>
      <c r="G329" s="79"/>
      <c r="H329" s="79"/>
      <c r="I329" s="79"/>
    </row>
    <row r="330" s="78" customFormat="1" ht="16.5" customHeight="1" spans="1:9">
      <c r="A330" s="79"/>
      <c r="B330" s="79"/>
      <c r="C330" s="79"/>
      <c r="D330" s="81">
        <v>45749</v>
      </c>
      <c r="E330" s="82">
        <v>23332.35</v>
      </c>
      <c r="G330" s="79"/>
      <c r="H330" s="79"/>
      <c r="I330" s="79"/>
    </row>
    <row r="331" s="78" customFormat="1" ht="16.5" customHeight="1" spans="1:9">
      <c r="A331" s="79"/>
      <c r="B331" s="79"/>
      <c r="C331" s="79"/>
      <c r="D331" s="81">
        <v>45748</v>
      </c>
      <c r="E331" s="82">
        <v>23165.7</v>
      </c>
      <c r="G331" s="79"/>
      <c r="H331" s="79"/>
      <c r="I331" s="79"/>
    </row>
    <row r="332" s="78" customFormat="1" ht="16.5" customHeight="1" spans="1:9">
      <c r="A332" s="79"/>
      <c r="B332" s="79"/>
      <c r="C332" s="79"/>
      <c r="D332" s="81">
        <v>45744</v>
      </c>
      <c r="E332" s="82">
        <v>23519.35</v>
      </c>
      <c r="G332" s="79"/>
      <c r="H332" s="79"/>
      <c r="I332" s="79"/>
    </row>
    <row r="333" s="78" customFormat="1" ht="16.5" customHeight="1" spans="1:9">
      <c r="A333" s="79"/>
      <c r="B333" s="79"/>
      <c r="C333" s="79"/>
      <c r="D333" s="81">
        <v>45743</v>
      </c>
      <c r="E333" s="82">
        <v>23591.95</v>
      </c>
      <c r="G333" s="79"/>
      <c r="H333" s="79"/>
      <c r="I333" s="79"/>
    </row>
    <row r="334" s="78" customFormat="1" ht="16.5" customHeight="1" spans="1:9">
      <c r="A334" s="79"/>
      <c r="B334" s="79"/>
      <c r="C334" s="79"/>
      <c r="D334" s="81">
        <v>45742</v>
      </c>
      <c r="E334" s="82">
        <v>23486.85</v>
      </c>
      <c r="G334" s="79"/>
      <c r="H334" s="79"/>
      <c r="I334" s="79"/>
    </row>
    <row r="335" s="78" customFormat="1" ht="16.5" customHeight="1" spans="1:9">
      <c r="A335" s="79"/>
      <c r="B335" s="79"/>
      <c r="C335" s="79"/>
      <c r="D335" s="81">
        <v>45741</v>
      </c>
      <c r="E335" s="82">
        <v>23668.65</v>
      </c>
      <c r="G335" s="79"/>
      <c r="H335" s="79"/>
      <c r="I335" s="79"/>
    </row>
    <row r="336" s="78" customFormat="1" ht="16.5" customHeight="1" spans="1:9">
      <c r="A336" s="79"/>
      <c r="B336" s="79"/>
      <c r="C336" s="79"/>
      <c r="D336" s="81">
        <v>45740</v>
      </c>
      <c r="E336" s="82">
        <v>23658.35</v>
      </c>
      <c r="G336" s="79"/>
      <c r="H336" s="79"/>
      <c r="I336" s="79"/>
    </row>
    <row r="337" s="78" customFormat="1" ht="16.5" customHeight="1" spans="1:9">
      <c r="A337" s="79"/>
      <c r="B337" s="79"/>
      <c r="C337" s="79"/>
      <c r="D337" s="81">
        <v>45737</v>
      </c>
      <c r="E337" s="82">
        <v>23350.4</v>
      </c>
      <c r="G337" s="79"/>
      <c r="H337" s="79"/>
      <c r="I337" s="79"/>
    </row>
    <row r="338" s="78" customFormat="1" ht="16.5" customHeight="1" spans="1:9">
      <c r="A338" s="79"/>
      <c r="B338" s="79"/>
      <c r="C338" s="79"/>
      <c r="D338" s="81">
        <v>45736</v>
      </c>
      <c r="E338" s="82">
        <v>23190.65</v>
      </c>
      <c r="G338" s="79"/>
      <c r="H338" s="79"/>
      <c r="I338" s="79"/>
    </row>
    <row r="339" s="78" customFormat="1" ht="16.5" customHeight="1" spans="1:9">
      <c r="A339" s="79"/>
      <c r="B339" s="79"/>
      <c r="C339" s="79"/>
      <c r="D339" s="81">
        <v>45735</v>
      </c>
      <c r="E339" s="82">
        <v>22907.6</v>
      </c>
      <c r="G339" s="79"/>
      <c r="H339" s="79"/>
      <c r="I339" s="79"/>
    </row>
    <row r="340" s="78" customFormat="1" ht="16.5" customHeight="1" spans="1:9">
      <c r="A340" s="79"/>
      <c r="B340" s="79"/>
      <c r="C340" s="79"/>
      <c r="D340" s="81">
        <v>45734</v>
      </c>
      <c r="E340" s="82">
        <v>22834.3</v>
      </c>
      <c r="G340" s="79"/>
      <c r="H340" s="79"/>
      <c r="I340" s="79"/>
    </row>
    <row r="341" s="78" customFormat="1" ht="16.5" customHeight="1" spans="1:9">
      <c r="A341" s="79"/>
      <c r="B341" s="79"/>
      <c r="C341" s="79"/>
      <c r="D341" s="81">
        <v>45733</v>
      </c>
      <c r="E341" s="82">
        <v>22508.75</v>
      </c>
      <c r="G341" s="79"/>
      <c r="H341" s="79"/>
      <c r="I341" s="79"/>
    </row>
    <row r="342" s="78" customFormat="1" ht="16.5" customHeight="1" spans="1:9">
      <c r="A342" s="79"/>
      <c r="B342" s="79"/>
      <c r="C342" s="79"/>
      <c r="D342" s="81">
        <v>45729</v>
      </c>
      <c r="E342" s="82">
        <v>22397.2</v>
      </c>
      <c r="G342" s="79"/>
      <c r="H342" s="79"/>
      <c r="I342" s="79"/>
    </row>
    <row r="343" s="78" customFormat="1" ht="16.5" customHeight="1" spans="1:9">
      <c r="A343" s="79"/>
      <c r="B343" s="79"/>
      <c r="C343" s="79"/>
      <c r="D343" s="81">
        <v>45728</v>
      </c>
      <c r="E343" s="82">
        <v>22470.5</v>
      </c>
      <c r="G343" s="79"/>
      <c r="H343" s="79"/>
      <c r="I343" s="79"/>
    </row>
    <row r="344" s="78" customFormat="1" ht="16.5" customHeight="1" spans="1:9">
      <c r="A344" s="79"/>
      <c r="B344" s="79"/>
      <c r="C344" s="79"/>
      <c r="D344" s="81">
        <v>45727</v>
      </c>
      <c r="E344" s="82">
        <v>22497.9</v>
      </c>
      <c r="G344" s="79"/>
      <c r="H344" s="79"/>
      <c r="I344" s="79"/>
    </row>
    <row r="345" s="78" customFormat="1" ht="16.5" customHeight="1" spans="1:9">
      <c r="A345" s="79"/>
      <c r="B345" s="79"/>
      <c r="C345" s="79"/>
      <c r="D345" s="81">
        <v>45726</v>
      </c>
      <c r="E345" s="82">
        <v>22460.3</v>
      </c>
      <c r="G345" s="79"/>
      <c r="H345" s="79"/>
      <c r="I345" s="79"/>
    </row>
    <row r="346" s="78" customFormat="1" ht="16.5" customHeight="1" spans="1:9">
      <c r="A346" s="79"/>
      <c r="B346" s="79"/>
      <c r="C346" s="79"/>
      <c r="D346" s="81">
        <v>45723</v>
      </c>
      <c r="E346" s="82">
        <v>22552.5</v>
      </c>
      <c r="G346" s="79"/>
      <c r="H346" s="79"/>
      <c r="I346" s="79"/>
    </row>
    <row r="347" s="78" customFormat="1" ht="16.5" customHeight="1" spans="1:9">
      <c r="A347" s="79"/>
      <c r="B347" s="79"/>
      <c r="C347" s="79"/>
      <c r="D347" s="81">
        <v>45722</v>
      </c>
      <c r="E347" s="82">
        <v>22544.7</v>
      </c>
      <c r="G347" s="79"/>
      <c r="H347" s="79"/>
      <c r="I347" s="79"/>
    </row>
    <row r="348" s="78" customFormat="1" ht="16.5" customHeight="1" spans="1:9">
      <c r="A348" s="79"/>
      <c r="B348" s="79"/>
      <c r="C348" s="79"/>
      <c r="D348" s="81">
        <v>45721</v>
      </c>
      <c r="E348" s="82">
        <v>22337.3</v>
      </c>
      <c r="G348" s="79"/>
      <c r="H348" s="79"/>
      <c r="I348" s="79"/>
    </row>
    <row r="349" s="78" customFormat="1" ht="16.5" customHeight="1" spans="1:9">
      <c r="A349" s="79"/>
      <c r="B349" s="79"/>
      <c r="C349" s="79"/>
      <c r="D349" s="81">
        <v>45720</v>
      </c>
      <c r="E349" s="82">
        <v>22082.65</v>
      </c>
      <c r="G349" s="79"/>
      <c r="H349" s="79"/>
      <c r="I349" s="79"/>
    </row>
    <row r="350" s="78" customFormat="1" ht="16.5" customHeight="1" spans="1:9">
      <c r="A350" s="79"/>
      <c r="B350" s="79"/>
      <c r="C350" s="79"/>
      <c r="D350" s="81">
        <v>45719</v>
      </c>
      <c r="E350" s="82">
        <v>22119.3</v>
      </c>
      <c r="G350" s="79"/>
      <c r="H350" s="79"/>
      <c r="I350" s="79"/>
    </row>
    <row r="351" s="78" customFormat="1" ht="16.5" customHeight="1" spans="1:9">
      <c r="A351" s="79"/>
      <c r="B351" s="79"/>
      <c r="C351" s="79"/>
      <c r="D351" s="81">
        <v>45716</v>
      </c>
      <c r="E351" s="82">
        <v>22124.7</v>
      </c>
      <c r="G351" s="79"/>
      <c r="H351" s="79"/>
      <c r="I351" s="79"/>
    </row>
    <row r="352" s="78" customFormat="1" ht="16.5" customHeight="1" spans="1:9">
      <c r="A352" s="79"/>
      <c r="B352" s="79"/>
      <c r="C352" s="79"/>
      <c r="D352" s="81">
        <v>45715</v>
      </c>
      <c r="E352" s="82">
        <v>22545.05</v>
      </c>
      <c r="G352" s="79"/>
      <c r="H352" s="79"/>
      <c r="I352" s="79"/>
    </row>
    <row r="353" s="78" customFormat="1" ht="16.5" customHeight="1" spans="1:9">
      <c r="A353" s="79"/>
      <c r="B353" s="79"/>
      <c r="C353" s="79"/>
      <c r="D353" s="81">
        <v>45713</v>
      </c>
      <c r="E353" s="82">
        <v>22547.55</v>
      </c>
      <c r="G353" s="79"/>
      <c r="H353" s="79"/>
      <c r="I353" s="79"/>
    </row>
    <row r="354" s="78" customFormat="1" ht="16.5" customHeight="1" spans="1:9">
      <c r="A354" s="79"/>
      <c r="B354" s="79"/>
      <c r="C354" s="79"/>
      <c r="D354" s="81">
        <v>45712</v>
      </c>
      <c r="E354" s="82">
        <v>22553.35</v>
      </c>
      <c r="G354" s="79"/>
      <c r="H354" s="79"/>
      <c r="I354" s="79"/>
    </row>
    <row r="355" s="78" customFormat="1" ht="16.5" customHeight="1" spans="1:9">
      <c r="A355" s="79"/>
      <c r="B355" s="79"/>
      <c r="C355" s="79"/>
      <c r="D355" s="81">
        <v>45709</v>
      </c>
      <c r="E355" s="82">
        <v>22795.9</v>
      </c>
      <c r="G355" s="79"/>
      <c r="H355" s="79"/>
      <c r="I355" s="79"/>
    </row>
    <row r="356" s="78" customFormat="1" ht="16.5" customHeight="1" spans="1:9">
      <c r="A356" s="79"/>
      <c r="B356" s="79"/>
      <c r="C356" s="79"/>
      <c r="D356" s="81">
        <v>45708</v>
      </c>
      <c r="E356" s="82">
        <v>22913.15</v>
      </c>
      <c r="G356" s="79"/>
      <c r="H356" s="79"/>
      <c r="I356" s="79"/>
    </row>
    <row r="357" s="78" customFormat="1" ht="16.5" customHeight="1" spans="1:9">
      <c r="A357" s="79"/>
      <c r="B357" s="79"/>
      <c r="C357" s="79"/>
      <c r="D357" s="81">
        <v>45707</v>
      </c>
      <c r="E357" s="82">
        <v>22932.9</v>
      </c>
      <c r="G357" s="79"/>
      <c r="H357" s="79"/>
      <c r="I357" s="79"/>
    </row>
    <row r="358" s="78" customFormat="1" ht="16.5" customHeight="1" spans="1:9">
      <c r="A358" s="79"/>
      <c r="B358" s="79"/>
      <c r="C358" s="79"/>
      <c r="D358" s="81">
        <v>45706</v>
      </c>
      <c r="E358" s="82">
        <v>22945.3</v>
      </c>
      <c r="G358" s="79"/>
      <c r="H358" s="79"/>
      <c r="I358" s="79"/>
    </row>
    <row r="359" s="78" customFormat="1" ht="16.5" customHeight="1" spans="1:9">
      <c r="A359" s="79"/>
      <c r="B359" s="79"/>
      <c r="C359" s="79"/>
      <c r="D359" s="81">
        <v>45705</v>
      </c>
      <c r="E359" s="82">
        <v>22959.5</v>
      </c>
      <c r="G359" s="79"/>
      <c r="H359" s="79"/>
      <c r="I359" s="79"/>
    </row>
    <row r="360" s="78" customFormat="1" ht="16.5" customHeight="1" spans="1:9">
      <c r="A360" s="79"/>
      <c r="B360" s="79"/>
      <c r="C360" s="79"/>
      <c r="D360" s="81">
        <v>45702</v>
      </c>
      <c r="E360" s="82">
        <v>22929.25</v>
      </c>
      <c r="G360" s="79"/>
      <c r="H360" s="79"/>
      <c r="I360" s="79"/>
    </row>
    <row r="361" s="78" customFormat="1" ht="16.5" customHeight="1" spans="1:9">
      <c r="A361" s="79"/>
      <c r="B361" s="79"/>
      <c r="C361" s="79"/>
      <c r="D361" s="81">
        <v>45701</v>
      </c>
      <c r="E361" s="82">
        <v>23031.4</v>
      </c>
      <c r="G361" s="79"/>
      <c r="H361" s="79"/>
      <c r="I361" s="79"/>
    </row>
    <row r="362" s="78" customFormat="1" ht="16.5" customHeight="1" spans="1:9">
      <c r="A362" s="79"/>
      <c r="B362" s="79"/>
      <c r="C362" s="79"/>
      <c r="D362" s="81">
        <v>45700</v>
      </c>
      <c r="E362" s="82">
        <v>23045.25</v>
      </c>
      <c r="G362" s="79"/>
      <c r="H362" s="79"/>
      <c r="I362" s="79"/>
    </row>
    <row r="363" s="78" customFormat="1" ht="16.5" customHeight="1" spans="1:9">
      <c r="A363" s="79"/>
      <c r="B363" s="79"/>
      <c r="C363" s="79"/>
      <c r="D363" s="81">
        <v>45699</v>
      </c>
      <c r="E363" s="82">
        <v>23071.8</v>
      </c>
      <c r="G363" s="79"/>
      <c r="H363" s="79"/>
      <c r="I363" s="79"/>
    </row>
    <row r="364" s="78" customFormat="1" ht="16.5" customHeight="1" spans="1:9">
      <c r="A364" s="79"/>
      <c r="B364" s="79"/>
      <c r="C364" s="79"/>
      <c r="D364" s="81">
        <v>45698</v>
      </c>
      <c r="E364" s="82">
        <v>23381.6</v>
      </c>
      <c r="G364" s="79"/>
      <c r="H364" s="79"/>
      <c r="I364" s="79"/>
    </row>
    <row r="365" s="78" customFormat="1" ht="16.5" customHeight="1" spans="1:9">
      <c r="A365" s="79"/>
      <c r="B365" s="79"/>
      <c r="C365" s="79"/>
      <c r="D365" s="81">
        <v>45695</v>
      </c>
      <c r="E365" s="82">
        <v>23559.95</v>
      </c>
      <c r="G365" s="79"/>
      <c r="H365" s="79"/>
      <c r="I365" s="79"/>
    </row>
    <row r="366" s="78" customFormat="1" ht="16.5" customHeight="1" spans="1:9">
      <c r="A366" s="79"/>
      <c r="B366" s="79"/>
      <c r="C366" s="79"/>
      <c r="D366" s="81">
        <v>45694</v>
      </c>
      <c r="E366" s="82">
        <v>23603.35</v>
      </c>
      <c r="G366" s="79"/>
      <c r="H366" s="79"/>
      <c r="I366" s="79"/>
    </row>
    <row r="367" s="78" customFormat="1" ht="16.5" customHeight="1" spans="1:9">
      <c r="A367" s="79"/>
      <c r="B367" s="79"/>
      <c r="C367" s="79"/>
      <c r="D367" s="81">
        <v>45693</v>
      </c>
      <c r="E367" s="82">
        <v>23696.3</v>
      </c>
      <c r="G367" s="79"/>
      <c r="H367" s="79"/>
      <c r="I367" s="79"/>
    </row>
    <row r="368" s="78" customFormat="1" ht="16.5" customHeight="1" spans="1:9">
      <c r="A368" s="79"/>
      <c r="B368" s="79"/>
      <c r="C368" s="79"/>
      <c r="D368" s="81">
        <v>45692</v>
      </c>
      <c r="E368" s="82">
        <v>23739.25</v>
      </c>
      <c r="G368" s="79"/>
      <c r="H368" s="79"/>
      <c r="I368" s="79"/>
    </row>
    <row r="369" s="78" customFormat="1" ht="16.5" customHeight="1" spans="1:9">
      <c r="A369" s="79"/>
      <c r="B369" s="79"/>
      <c r="C369" s="79"/>
      <c r="D369" s="81">
        <v>45691</v>
      </c>
      <c r="E369" s="82">
        <v>23361.05</v>
      </c>
      <c r="G369" s="79"/>
      <c r="H369" s="79"/>
      <c r="I369" s="79"/>
    </row>
    <row r="370" s="78" customFormat="1" ht="16.5" customHeight="1" spans="1:9">
      <c r="A370" s="79"/>
      <c r="B370" s="79"/>
      <c r="C370" s="79"/>
      <c r="D370" s="81">
        <v>45689</v>
      </c>
      <c r="E370" s="82">
        <v>23482.15</v>
      </c>
      <c r="G370" s="79"/>
      <c r="H370" s="79"/>
      <c r="I370" s="79"/>
    </row>
    <row r="371" s="78" customFormat="1" ht="16.5" customHeight="1" spans="1:9">
      <c r="A371" s="79"/>
      <c r="B371" s="79"/>
      <c r="C371" s="79"/>
      <c r="D371" s="81">
        <v>45688</v>
      </c>
      <c r="E371" s="82">
        <v>23508.4</v>
      </c>
      <c r="G371" s="79"/>
      <c r="H371" s="79"/>
      <c r="I371" s="79"/>
    </row>
    <row r="372" s="78" customFormat="1" ht="16.5" customHeight="1" spans="1:9">
      <c r="A372" s="79"/>
      <c r="B372" s="79"/>
      <c r="C372" s="79"/>
      <c r="D372" s="81">
        <v>45687</v>
      </c>
      <c r="E372" s="82">
        <v>23249.5</v>
      </c>
      <c r="G372" s="79"/>
      <c r="H372" s="79"/>
      <c r="I372" s="79"/>
    </row>
    <row r="373" s="78" customFormat="1" ht="16.5" customHeight="1" spans="1:9">
      <c r="A373" s="79"/>
      <c r="B373" s="79"/>
      <c r="C373" s="79"/>
      <c r="D373" s="81">
        <v>45686</v>
      </c>
      <c r="E373" s="82">
        <v>23163.1</v>
      </c>
      <c r="G373" s="79"/>
      <c r="H373" s="79"/>
      <c r="I373" s="79"/>
    </row>
    <row r="374" s="78" customFormat="1" ht="16.5" customHeight="1" spans="1:9">
      <c r="A374" s="79"/>
      <c r="B374" s="79"/>
      <c r="C374" s="79"/>
      <c r="D374" s="81">
        <v>45685</v>
      </c>
      <c r="E374" s="82">
        <v>22957.25</v>
      </c>
      <c r="G374" s="79"/>
      <c r="H374" s="79"/>
      <c r="I374" s="79"/>
    </row>
    <row r="375" s="78" customFormat="1" ht="16.5" customHeight="1" spans="1:9">
      <c r="A375" s="79"/>
      <c r="B375" s="79"/>
      <c r="C375" s="79"/>
      <c r="D375" s="81">
        <v>45684</v>
      </c>
      <c r="E375" s="82">
        <v>22829.15</v>
      </c>
      <c r="G375" s="79"/>
      <c r="H375" s="79"/>
      <c r="I375" s="79"/>
    </row>
    <row r="376" s="78" customFormat="1" ht="16.5" customHeight="1" spans="1:9">
      <c r="A376" s="79"/>
      <c r="B376" s="79"/>
      <c r="C376" s="79"/>
      <c r="D376" s="81">
        <v>45681</v>
      </c>
      <c r="E376" s="82">
        <v>23092.2</v>
      </c>
      <c r="G376" s="79"/>
      <c r="H376" s="79"/>
      <c r="I376" s="79"/>
    </row>
    <row r="377" s="78" customFormat="1" ht="16.5" customHeight="1" spans="1:9">
      <c r="A377" s="79"/>
      <c r="B377" s="79"/>
      <c r="C377" s="79"/>
      <c r="D377" s="81">
        <v>45680</v>
      </c>
      <c r="E377" s="82">
        <v>23205.35</v>
      </c>
      <c r="G377" s="79"/>
      <c r="H377" s="79"/>
      <c r="I377" s="79"/>
    </row>
    <row r="378" s="78" customFormat="1" ht="16.5" customHeight="1" spans="1:9">
      <c r="A378" s="79"/>
      <c r="B378" s="79"/>
      <c r="C378" s="79"/>
      <c r="D378" s="81">
        <v>45679</v>
      </c>
      <c r="E378" s="82">
        <v>23155.35</v>
      </c>
      <c r="G378" s="79"/>
      <c r="H378" s="79"/>
      <c r="I378" s="79"/>
    </row>
    <row r="379" s="78" customFormat="1" ht="16.5" customHeight="1" spans="1:9">
      <c r="A379" s="79"/>
      <c r="B379" s="79"/>
      <c r="C379" s="79"/>
      <c r="D379" s="81">
        <v>45678</v>
      </c>
      <c r="E379" s="82">
        <v>23024.65</v>
      </c>
      <c r="G379" s="79"/>
      <c r="H379" s="79"/>
      <c r="I379" s="79"/>
    </row>
    <row r="380" s="78" customFormat="1" ht="16.5" customHeight="1" spans="1:9">
      <c r="A380" s="79"/>
      <c r="B380" s="79"/>
      <c r="C380" s="79"/>
      <c r="D380" s="81">
        <v>45677</v>
      </c>
      <c r="E380" s="82">
        <v>23344.75</v>
      </c>
      <c r="G380" s="79"/>
      <c r="H380" s="79"/>
      <c r="I380" s="79"/>
    </row>
    <row r="381" s="78" customFormat="1" ht="16.5" customHeight="1" spans="1:9">
      <c r="A381" s="79"/>
      <c r="B381" s="79"/>
      <c r="C381" s="79"/>
      <c r="D381" s="81">
        <v>45674</v>
      </c>
      <c r="E381" s="82">
        <v>23203.2</v>
      </c>
      <c r="G381" s="79"/>
      <c r="H381" s="79"/>
      <c r="I381" s="79"/>
    </row>
    <row r="382" s="78" customFormat="1" ht="16.5" customHeight="1" spans="1:9">
      <c r="A382" s="79"/>
      <c r="B382" s="79"/>
      <c r="C382" s="79"/>
      <c r="D382" s="81">
        <v>45673</v>
      </c>
      <c r="E382" s="82">
        <v>23311.8</v>
      </c>
      <c r="G382" s="79"/>
      <c r="H382" s="79"/>
      <c r="I382" s="79"/>
    </row>
    <row r="383" s="78" customFormat="1" ht="16.5" customHeight="1" spans="1:9">
      <c r="A383" s="79"/>
      <c r="B383" s="79"/>
      <c r="C383" s="79"/>
      <c r="D383" s="81">
        <v>45672</v>
      </c>
      <c r="E383" s="82">
        <v>23213.2</v>
      </c>
      <c r="G383" s="79"/>
      <c r="H383" s="79"/>
      <c r="I383" s="79"/>
    </row>
    <row r="384" s="78" customFormat="1" ht="16.5" customHeight="1" spans="1:9">
      <c r="A384" s="79"/>
      <c r="B384" s="79"/>
      <c r="C384" s="79"/>
      <c r="D384" s="81">
        <v>45671</v>
      </c>
      <c r="E384" s="82">
        <v>23176.05</v>
      </c>
      <c r="G384" s="79"/>
      <c r="H384" s="79"/>
      <c r="I384" s="79"/>
    </row>
    <row r="385" s="78" customFormat="1" ht="16.5" customHeight="1" spans="1:9">
      <c r="A385" s="79"/>
      <c r="B385" s="79"/>
      <c r="C385" s="79"/>
      <c r="D385" s="81">
        <v>45670</v>
      </c>
      <c r="E385" s="82">
        <v>23085.95</v>
      </c>
      <c r="G385" s="79"/>
      <c r="H385" s="79"/>
      <c r="I385" s="79"/>
    </row>
    <row r="386" s="78" customFormat="1" ht="16.5" customHeight="1" spans="1:9">
      <c r="A386" s="79"/>
      <c r="B386" s="79"/>
      <c r="C386" s="79"/>
      <c r="D386" s="81">
        <v>45667</v>
      </c>
      <c r="E386" s="82">
        <v>23431.5</v>
      </c>
      <c r="G386" s="79"/>
      <c r="H386" s="79"/>
      <c r="I386" s="79"/>
    </row>
    <row r="387" s="78" customFormat="1" ht="16.5" customHeight="1" spans="1:9">
      <c r="A387" s="79"/>
      <c r="B387" s="79"/>
      <c r="C387" s="79"/>
      <c r="D387" s="81">
        <v>45666</v>
      </c>
      <c r="E387" s="82">
        <v>23526.5</v>
      </c>
      <c r="G387" s="79"/>
      <c r="H387" s="79"/>
      <c r="I387" s="79"/>
    </row>
    <row r="388" s="78" customFormat="1" ht="16.5" customHeight="1" spans="1:9">
      <c r="A388" s="79"/>
      <c r="B388" s="79"/>
      <c r="C388" s="79"/>
      <c r="D388" s="81">
        <v>45665</v>
      </c>
      <c r="E388" s="82">
        <v>23688.95</v>
      </c>
      <c r="G388" s="79"/>
      <c r="H388" s="79"/>
      <c r="I388" s="79"/>
    </row>
    <row r="389" s="78" customFormat="1" ht="16.5" customHeight="1" spans="1:9">
      <c r="A389" s="79"/>
      <c r="B389" s="79"/>
      <c r="C389" s="79"/>
      <c r="D389" s="81">
        <v>45664</v>
      </c>
      <c r="E389" s="82">
        <v>23707.9</v>
      </c>
      <c r="G389" s="79"/>
      <c r="H389" s="79"/>
      <c r="I389" s="79"/>
    </row>
    <row r="390" s="78" customFormat="1" ht="16.5" customHeight="1" spans="1:9">
      <c r="A390" s="79"/>
      <c r="B390" s="79"/>
      <c r="C390" s="79"/>
      <c r="D390" s="81">
        <v>45663</v>
      </c>
      <c r="E390" s="82">
        <v>23616.05</v>
      </c>
      <c r="G390" s="79"/>
      <c r="H390" s="79"/>
      <c r="I390" s="79"/>
    </row>
    <row r="391" s="78" customFormat="1" ht="16.5" customHeight="1" spans="1:9">
      <c r="A391" s="79"/>
      <c r="B391" s="79"/>
      <c r="C391" s="79"/>
      <c r="D391" s="81">
        <v>45660</v>
      </c>
      <c r="E391" s="82">
        <v>24004.75</v>
      </c>
      <c r="G391" s="79"/>
      <c r="H391" s="79"/>
      <c r="I391" s="79"/>
    </row>
    <row r="392" s="78" customFormat="1" ht="16.5" customHeight="1" spans="1:9">
      <c r="A392" s="79"/>
      <c r="B392" s="79"/>
      <c r="C392" s="79"/>
      <c r="D392" s="81">
        <v>45659</v>
      </c>
      <c r="E392" s="82">
        <v>24188.65</v>
      </c>
      <c r="G392" s="79"/>
      <c r="H392" s="79"/>
      <c r="I392" s="79"/>
    </row>
    <row r="393" s="78" customFormat="1" ht="16.5" customHeight="1" spans="1:9">
      <c r="A393" s="79"/>
      <c r="B393" s="79"/>
      <c r="C393" s="79"/>
      <c r="D393" s="81">
        <v>45658</v>
      </c>
      <c r="E393" s="82">
        <v>23742.9</v>
      </c>
      <c r="G393" s="79"/>
      <c r="H393" s="79"/>
      <c r="I393" s="79"/>
    </row>
    <row r="394" s="78" customFormat="1" ht="16.5" customHeight="1" spans="1:9">
      <c r="A394" s="79"/>
      <c r="B394" s="79"/>
      <c r="C394" s="79"/>
      <c r="D394" s="81">
        <v>45657</v>
      </c>
      <c r="E394" s="82">
        <v>23644.8</v>
      </c>
      <c r="G394" s="79"/>
      <c r="H394" s="79"/>
      <c r="I394" s="79"/>
    </row>
    <row r="395" s="78" customFormat="1" ht="16.5" customHeight="1" spans="1:9">
      <c r="A395" s="79"/>
      <c r="B395" s="79"/>
      <c r="C395" s="79"/>
      <c r="D395" s="81">
        <v>45656</v>
      </c>
      <c r="E395" s="82">
        <v>23644.9</v>
      </c>
      <c r="G395" s="79"/>
      <c r="H395" s="79"/>
      <c r="I395" s="79"/>
    </row>
    <row r="396" s="78" customFormat="1" ht="16.5" customHeight="1" spans="1:9">
      <c r="A396" s="79"/>
      <c r="B396" s="79"/>
      <c r="C396" s="79"/>
      <c r="D396" s="81">
        <v>45653</v>
      </c>
      <c r="E396" s="82">
        <v>23813.4</v>
      </c>
      <c r="G396" s="79"/>
      <c r="H396" s="79"/>
      <c r="I396" s="79"/>
    </row>
    <row r="397" s="78" customFormat="1" ht="16.5" customHeight="1" spans="1:9">
      <c r="A397" s="79"/>
      <c r="B397" s="79"/>
      <c r="C397" s="79"/>
      <c r="D397" s="81">
        <v>45652</v>
      </c>
      <c r="E397" s="82">
        <v>23750.2</v>
      </c>
      <c r="G397" s="79"/>
      <c r="H397" s="79"/>
      <c r="I397" s="79"/>
    </row>
    <row r="398" s="78" customFormat="1" ht="16.5" customHeight="1" spans="1:9">
      <c r="A398" s="79"/>
      <c r="B398" s="79"/>
      <c r="C398" s="79"/>
      <c r="D398" s="81">
        <v>45650</v>
      </c>
      <c r="E398" s="82">
        <v>23727.65</v>
      </c>
      <c r="G398" s="79"/>
      <c r="H398" s="79"/>
      <c r="I398" s="79"/>
    </row>
    <row r="399" s="78" customFormat="1" ht="16.5" customHeight="1" spans="1:9">
      <c r="A399" s="79"/>
      <c r="B399" s="79"/>
      <c r="C399" s="79"/>
      <c r="D399" s="81">
        <v>45649</v>
      </c>
      <c r="E399" s="82">
        <v>23753.45</v>
      </c>
      <c r="G399" s="79"/>
      <c r="H399" s="79"/>
      <c r="I399" s="79"/>
    </row>
    <row r="400" s="78" customFormat="1" ht="16.5" customHeight="1" spans="1:9">
      <c r="A400" s="79"/>
      <c r="B400" s="79"/>
      <c r="C400" s="79"/>
      <c r="D400" s="81">
        <v>45646</v>
      </c>
      <c r="E400" s="82">
        <v>23587.5</v>
      </c>
      <c r="G400" s="79"/>
      <c r="H400" s="79"/>
      <c r="I400" s="79"/>
    </row>
    <row r="401" s="78" customFormat="1" ht="16.5" customHeight="1" spans="1:9">
      <c r="A401" s="79"/>
      <c r="B401" s="79"/>
      <c r="C401" s="79"/>
      <c r="D401" s="81">
        <v>45645</v>
      </c>
      <c r="E401" s="82">
        <v>23951.7</v>
      </c>
      <c r="G401" s="79"/>
      <c r="H401" s="79"/>
      <c r="I401" s="79"/>
    </row>
    <row r="402" s="78" customFormat="1" ht="16.5" customHeight="1" spans="1:9">
      <c r="A402" s="79"/>
      <c r="B402" s="79"/>
      <c r="C402" s="79"/>
      <c r="D402" s="81">
        <v>45644</v>
      </c>
      <c r="E402" s="82">
        <v>24198.85</v>
      </c>
      <c r="G402" s="79"/>
      <c r="H402" s="79"/>
      <c r="I402" s="79"/>
    </row>
    <row r="403" s="78" customFormat="1" ht="16.5" customHeight="1" spans="1:9">
      <c r="A403" s="79"/>
      <c r="B403" s="79"/>
      <c r="C403" s="79"/>
      <c r="D403" s="81">
        <v>45643</v>
      </c>
      <c r="E403" s="82">
        <v>24336</v>
      </c>
      <c r="G403" s="79"/>
      <c r="H403" s="79"/>
      <c r="I403" s="79"/>
    </row>
    <row r="404" s="78" customFormat="1" ht="16.5" customHeight="1" spans="1:9">
      <c r="A404" s="79"/>
      <c r="B404" s="79"/>
      <c r="C404" s="79"/>
      <c r="D404" s="81">
        <v>45642</v>
      </c>
      <c r="E404" s="82">
        <v>24668.25</v>
      </c>
      <c r="G404" s="79"/>
      <c r="H404" s="79"/>
      <c r="I404" s="79"/>
    </row>
    <row r="405" s="78" customFormat="1" ht="16.5" customHeight="1" spans="1:9">
      <c r="A405" s="79"/>
      <c r="B405" s="79"/>
      <c r="C405" s="79"/>
      <c r="D405" s="81">
        <v>45639</v>
      </c>
      <c r="E405" s="82">
        <v>24768.3</v>
      </c>
      <c r="G405" s="79"/>
      <c r="H405" s="79"/>
      <c r="I405" s="79"/>
    </row>
    <row r="406" s="78" customFormat="1" ht="16.5" customHeight="1" spans="1:9">
      <c r="A406" s="79"/>
      <c r="B406" s="79"/>
      <c r="C406" s="79"/>
      <c r="D406" s="81">
        <v>45638</v>
      </c>
      <c r="E406" s="82">
        <v>24548.7</v>
      </c>
      <c r="G406" s="79"/>
      <c r="H406" s="79"/>
      <c r="I406" s="79"/>
    </row>
    <row r="407" s="78" customFormat="1" ht="16.5" customHeight="1" spans="1:9">
      <c r="A407" s="79"/>
      <c r="B407" s="79"/>
      <c r="C407" s="79"/>
      <c r="D407" s="81">
        <v>45637</v>
      </c>
      <c r="E407" s="82">
        <v>24641.8</v>
      </c>
      <c r="G407" s="79"/>
      <c r="H407" s="79"/>
      <c r="I407" s="79"/>
    </row>
    <row r="408" s="78" customFormat="1" ht="16.5" customHeight="1" spans="1:9">
      <c r="A408" s="79"/>
      <c r="B408" s="79"/>
      <c r="C408" s="79"/>
      <c r="D408" s="81">
        <v>45636</v>
      </c>
      <c r="E408" s="82">
        <v>24610.05</v>
      </c>
      <c r="G408" s="79"/>
      <c r="H408" s="79"/>
      <c r="I408" s="79"/>
    </row>
    <row r="409" s="78" customFormat="1" ht="16.5" customHeight="1" spans="1:9">
      <c r="A409" s="79"/>
      <c r="B409" s="79"/>
      <c r="C409" s="79"/>
      <c r="D409" s="81">
        <v>45635</v>
      </c>
      <c r="E409" s="82">
        <v>24619</v>
      </c>
      <c r="G409" s="79"/>
      <c r="H409" s="79"/>
      <c r="I409" s="79"/>
    </row>
    <row r="410" s="78" customFormat="1" ht="16.5" customHeight="1" spans="1:9">
      <c r="A410" s="79"/>
      <c r="B410" s="79"/>
      <c r="C410" s="79"/>
      <c r="D410" s="81">
        <v>45632</v>
      </c>
      <c r="E410" s="82">
        <v>24677.8</v>
      </c>
      <c r="G410" s="79"/>
      <c r="H410" s="79"/>
      <c r="I410" s="79"/>
    </row>
    <row r="411" s="78" customFormat="1" ht="16.5" customHeight="1" spans="1:9">
      <c r="A411" s="79"/>
      <c r="B411" s="79"/>
      <c r="C411" s="79"/>
      <c r="D411" s="81">
        <v>45631</v>
      </c>
      <c r="E411" s="82">
        <v>24708.4</v>
      </c>
      <c r="G411" s="79"/>
      <c r="H411" s="79"/>
      <c r="I411" s="79"/>
    </row>
    <row r="412" s="78" customFormat="1" ht="16.5" customHeight="1" spans="1:9">
      <c r="A412" s="79"/>
      <c r="B412" s="79"/>
      <c r="C412" s="79"/>
      <c r="D412" s="81">
        <v>45630</v>
      </c>
      <c r="E412" s="82">
        <v>24467.45</v>
      </c>
      <c r="G412" s="79"/>
      <c r="H412" s="79"/>
      <c r="I412" s="79"/>
    </row>
    <row r="413" s="78" customFormat="1" ht="16.5" customHeight="1" spans="1:9">
      <c r="A413" s="79"/>
      <c r="B413" s="79"/>
      <c r="C413" s="79"/>
      <c r="D413" s="81">
        <v>45629</v>
      </c>
      <c r="E413" s="82">
        <v>24457.15</v>
      </c>
      <c r="G413" s="79"/>
      <c r="H413" s="79"/>
      <c r="I413" s="79"/>
    </row>
    <row r="414" s="78" customFormat="1" ht="16.5" customHeight="1" spans="1:9">
      <c r="A414" s="79"/>
      <c r="B414" s="79"/>
      <c r="C414" s="79"/>
      <c r="D414" s="81">
        <v>45628</v>
      </c>
      <c r="E414" s="82">
        <v>24276.05</v>
      </c>
      <c r="G414" s="79"/>
      <c r="H414" s="79"/>
      <c r="I414" s="79"/>
    </row>
    <row r="415" s="78" customFormat="1" ht="16.5" customHeight="1" spans="1:9">
      <c r="A415" s="79"/>
      <c r="B415" s="79"/>
      <c r="C415" s="79"/>
      <c r="D415" s="81">
        <v>45625</v>
      </c>
      <c r="E415" s="82">
        <v>24131.1</v>
      </c>
      <c r="G415" s="79"/>
      <c r="H415" s="79"/>
      <c r="I415" s="79"/>
    </row>
    <row r="416" s="78" customFormat="1" ht="16.5" customHeight="1" spans="1:9">
      <c r="A416" s="79"/>
      <c r="B416" s="79"/>
      <c r="C416" s="79"/>
      <c r="D416" s="81">
        <v>45624</v>
      </c>
      <c r="E416" s="82">
        <v>23914.15</v>
      </c>
      <c r="G416" s="79"/>
      <c r="H416" s="79"/>
      <c r="I416" s="79"/>
    </row>
    <row r="417" s="78" customFormat="1" ht="16.5" customHeight="1" spans="1:9">
      <c r="A417" s="79"/>
      <c r="B417" s="79"/>
      <c r="C417" s="79"/>
      <c r="D417" s="81">
        <v>45623</v>
      </c>
      <c r="E417" s="82">
        <v>24274.9</v>
      </c>
      <c r="G417" s="79"/>
      <c r="H417" s="79"/>
      <c r="I417" s="79"/>
    </row>
    <row r="418" s="78" customFormat="1" ht="16.5" customHeight="1" spans="1:9">
      <c r="A418" s="79"/>
      <c r="B418" s="79"/>
      <c r="C418" s="79"/>
      <c r="D418" s="81">
        <v>45622</v>
      </c>
      <c r="E418" s="82">
        <v>24194.5</v>
      </c>
      <c r="G418" s="79"/>
      <c r="H418" s="79"/>
      <c r="I418" s="79"/>
    </row>
    <row r="419" s="78" customFormat="1" ht="16.5" customHeight="1" spans="1:9">
      <c r="A419" s="79"/>
      <c r="B419" s="79"/>
      <c r="C419" s="79"/>
      <c r="D419" s="81">
        <v>45621</v>
      </c>
      <c r="E419" s="82">
        <v>24221.9</v>
      </c>
      <c r="G419" s="79"/>
      <c r="H419" s="79"/>
      <c r="I419" s="79"/>
    </row>
    <row r="420" s="78" customFormat="1" ht="16.5" customHeight="1" spans="1:9">
      <c r="A420" s="79"/>
      <c r="B420" s="79"/>
      <c r="C420" s="79"/>
      <c r="D420" s="81">
        <v>45618</v>
      </c>
      <c r="E420" s="82">
        <v>23907.25</v>
      </c>
      <c r="G420" s="79"/>
      <c r="H420" s="79"/>
      <c r="I420" s="79"/>
    </row>
    <row r="421" s="78" customFormat="1" ht="16.5" customHeight="1" spans="1:9">
      <c r="A421" s="79"/>
      <c r="B421" s="79"/>
      <c r="C421" s="79"/>
      <c r="D421" s="81">
        <v>45617</v>
      </c>
      <c r="E421" s="82">
        <v>23349.9</v>
      </c>
      <c r="G421" s="79"/>
      <c r="H421" s="79"/>
      <c r="I421" s="79"/>
    </row>
    <row r="422" s="78" customFormat="1" ht="16.5" customHeight="1" spans="1:9">
      <c r="A422" s="79"/>
      <c r="B422" s="79"/>
      <c r="C422" s="79"/>
      <c r="D422" s="81">
        <v>45615</v>
      </c>
      <c r="E422" s="82">
        <v>23518.5</v>
      </c>
      <c r="G422" s="79"/>
      <c r="H422" s="79"/>
      <c r="I422" s="79"/>
    </row>
    <row r="423" s="78" customFormat="1" ht="16.5" customHeight="1" spans="1:9">
      <c r="A423" s="79"/>
      <c r="B423" s="79"/>
      <c r="C423" s="79"/>
      <c r="D423" s="81">
        <v>45614</v>
      </c>
      <c r="E423" s="82">
        <v>23453.8</v>
      </c>
      <c r="G423" s="79"/>
      <c r="H423" s="79"/>
      <c r="I423" s="79"/>
    </row>
    <row r="424" s="78" customFormat="1" ht="16.5" customHeight="1" spans="1:9">
      <c r="A424" s="79"/>
      <c r="B424" s="79"/>
      <c r="C424" s="79"/>
      <c r="D424" s="81">
        <v>45610</v>
      </c>
      <c r="E424" s="82">
        <v>23532.7</v>
      </c>
      <c r="G424" s="79"/>
      <c r="H424" s="79"/>
      <c r="I424" s="79"/>
    </row>
    <row r="425" s="78" customFormat="1" ht="16.5" customHeight="1" spans="1:9">
      <c r="A425" s="79"/>
      <c r="B425" s="79"/>
      <c r="C425" s="79"/>
      <c r="D425" s="81">
        <v>45609</v>
      </c>
      <c r="E425" s="82">
        <v>23559.05</v>
      </c>
      <c r="G425" s="79"/>
      <c r="H425" s="79"/>
      <c r="I425" s="79"/>
    </row>
    <row r="426" s="78" customFormat="1" ht="16.5" customHeight="1" spans="1:9">
      <c r="A426" s="79"/>
      <c r="B426" s="79"/>
      <c r="C426" s="79"/>
      <c r="D426" s="81">
        <v>45608</v>
      </c>
      <c r="E426" s="82">
        <v>23883.45</v>
      </c>
      <c r="G426" s="79"/>
      <c r="H426" s="79"/>
      <c r="I426" s="79"/>
    </row>
    <row r="427" s="78" customFormat="1" ht="16.5" customHeight="1" spans="1:9">
      <c r="A427" s="79"/>
      <c r="B427" s="79"/>
      <c r="C427" s="79"/>
      <c r="D427" s="81">
        <v>45607</v>
      </c>
      <c r="E427" s="82">
        <v>24141.3</v>
      </c>
      <c r="G427" s="79"/>
      <c r="H427" s="79"/>
      <c r="I427" s="79"/>
    </row>
    <row r="428" s="78" customFormat="1" ht="16.5" customHeight="1" spans="1:9">
      <c r="A428" s="79"/>
      <c r="B428" s="79"/>
      <c r="C428" s="79"/>
      <c r="D428" s="81">
        <v>45604</v>
      </c>
      <c r="E428" s="82">
        <v>24148.2</v>
      </c>
      <c r="G428" s="79"/>
      <c r="H428" s="79"/>
      <c r="I428" s="79"/>
    </row>
    <row r="429" s="78" customFormat="1" ht="16.5" customHeight="1" spans="1:9">
      <c r="A429" s="79"/>
      <c r="B429" s="79"/>
      <c r="C429" s="79"/>
      <c r="D429" s="81">
        <v>45603</v>
      </c>
      <c r="E429" s="82">
        <v>24199.35</v>
      </c>
      <c r="G429" s="79"/>
      <c r="H429" s="79"/>
      <c r="I429" s="79"/>
    </row>
    <row r="430" s="78" customFormat="1" ht="16.5" customHeight="1" spans="1:9">
      <c r="A430" s="79"/>
      <c r="B430" s="79"/>
      <c r="C430" s="79"/>
      <c r="D430" s="81">
        <v>45602</v>
      </c>
      <c r="E430" s="82">
        <v>24484.05</v>
      </c>
      <c r="G430" s="79"/>
      <c r="H430" s="79"/>
      <c r="I430" s="79"/>
    </row>
    <row r="431" s="78" customFormat="1" ht="16.5" customHeight="1" spans="1:9">
      <c r="A431" s="79"/>
      <c r="B431" s="79"/>
      <c r="C431" s="79"/>
      <c r="D431" s="81">
        <v>45601</v>
      </c>
      <c r="E431" s="82">
        <v>24213.3</v>
      </c>
      <c r="G431" s="79"/>
      <c r="H431" s="79"/>
      <c r="I431" s="79"/>
    </row>
    <row r="432" s="78" customFormat="1" ht="16.5" customHeight="1" spans="1:9">
      <c r="A432" s="79"/>
      <c r="B432" s="79"/>
      <c r="C432" s="79"/>
      <c r="D432" s="81">
        <v>45600</v>
      </c>
      <c r="E432" s="82">
        <v>23995.35</v>
      </c>
      <c r="G432" s="79"/>
      <c r="H432" s="79"/>
      <c r="I432" s="79"/>
    </row>
    <row r="433" s="78" customFormat="1" ht="16.5" customHeight="1" spans="1:9">
      <c r="A433" s="79"/>
      <c r="B433" s="79"/>
      <c r="C433" s="79"/>
      <c r="D433" s="81">
        <v>45597</v>
      </c>
      <c r="E433" s="82">
        <v>24304.35</v>
      </c>
      <c r="G433" s="79"/>
      <c r="H433" s="79"/>
      <c r="I433" s="79"/>
    </row>
    <row r="434" s="78" customFormat="1" ht="16.5" customHeight="1" spans="1:9">
      <c r="A434" s="79"/>
      <c r="B434" s="79"/>
      <c r="C434" s="79"/>
      <c r="D434" s="81">
        <v>45596</v>
      </c>
      <c r="E434" s="82">
        <v>24205.35</v>
      </c>
      <c r="G434" s="79"/>
      <c r="H434" s="79"/>
      <c r="I434" s="79"/>
    </row>
    <row r="435" s="78" customFormat="1" ht="16.5" customHeight="1" spans="1:9">
      <c r="A435" s="79"/>
      <c r="B435" s="79"/>
      <c r="C435" s="79"/>
      <c r="D435" s="81">
        <v>45595</v>
      </c>
      <c r="E435" s="82">
        <v>24340.85</v>
      </c>
      <c r="G435" s="79"/>
      <c r="H435" s="79"/>
      <c r="I435" s="79"/>
    </row>
    <row r="436" s="78" customFormat="1" ht="16.5" customHeight="1" spans="1:9">
      <c r="A436" s="79"/>
      <c r="B436" s="79"/>
      <c r="C436" s="79"/>
      <c r="D436" s="81">
        <v>45594</v>
      </c>
      <c r="E436" s="82">
        <v>24466.85</v>
      </c>
      <c r="G436" s="79"/>
      <c r="H436" s="79"/>
      <c r="I436" s="79"/>
    </row>
    <row r="437" s="78" customFormat="1" ht="16.5" customHeight="1" spans="1:9">
      <c r="A437" s="79"/>
      <c r="B437" s="79"/>
      <c r="C437" s="79"/>
      <c r="D437" s="81">
        <v>45593</v>
      </c>
      <c r="E437" s="82">
        <v>24339.15</v>
      </c>
      <c r="G437" s="79"/>
      <c r="H437" s="79"/>
      <c r="I437" s="79"/>
    </row>
    <row r="438" s="78" customFormat="1" ht="16.5" customHeight="1" spans="1:9">
      <c r="A438" s="79"/>
      <c r="B438" s="79"/>
      <c r="C438" s="79"/>
      <c r="D438" s="81">
        <v>45590</v>
      </c>
      <c r="E438" s="82">
        <v>24180.8</v>
      </c>
      <c r="G438" s="79"/>
      <c r="H438" s="79"/>
      <c r="I438" s="79"/>
    </row>
    <row r="439" s="78" customFormat="1" ht="16.5" customHeight="1" spans="1:9">
      <c r="A439" s="79"/>
      <c r="B439" s="79"/>
      <c r="C439" s="79"/>
      <c r="D439" s="81">
        <v>45589</v>
      </c>
      <c r="E439" s="82">
        <v>24399.4</v>
      </c>
      <c r="G439" s="79"/>
      <c r="H439" s="79"/>
      <c r="I439" s="79"/>
    </row>
    <row r="440" s="78" customFormat="1" ht="16.5" customHeight="1" spans="1:9">
      <c r="A440" s="79"/>
      <c r="B440" s="79"/>
      <c r="C440" s="79"/>
      <c r="D440" s="81">
        <v>45588</v>
      </c>
      <c r="E440" s="82">
        <v>24435.5</v>
      </c>
      <c r="G440" s="79"/>
      <c r="H440" s="79"/>
      <c r="I440" s="79"/>
    </row>
    <row r="441" s="78" customFormat="1" ht="16.5" customHeight="1" spans="1:9">
      <c r="A441" s="79"/>
      <c r="B441" s="79"/>
      <c r="C441" s="79"/>
      <c r="D441" s="81">
        <v>45587</v>
      </c>
      <c r="E441" s="82">
        <v>24472.1</v>
      </c>
      <c r="G441" s="79"/>
      <c r="H441" s="79"/>
      <c r="I441" s="79"/>
    </row>
    <row r="442" s="78" customFormat="1" ht="16.5" customHeight="1" spans="1:9">
      <c r="A442" s="79"/>
      <c r="B442" s="79"/>
      <c r="C442" s="79"/>
      <c r="D442" s="81">
        <v>45586</v>
      </c>
      <c r="E442" s="82">
        <v>24781.1</v>
      </c>
      <c r="G442" s="79"/>
      <c r="H442" s="79"/>
      <c r="I442" s="79"/>
    </row>
    <row r="443" s="78" customFormat="1" ht="16.5" customHeight="1" spans="1:9">
      <c r="A443" s="79"/>
      <c r="B443" s="79"/>
      <c r="C443" s="79"/>
      <c r="D443" s="81">
        <v>45583</v>
      </c>
      <c r="E443" s="82">
        <v>24854.05</v>
      </c>
      <c r="G443" s="79"/>
      <c r="H443" s="79"/>
      <c r="I443" s="79"/>
    </row>
    <row r="444" s="78" customFormat="1" ht="16.5" customHeight="1" spans="1:9">
      <c r="A444" s="79"/>
      <c r="B444" s="79"/>
      <c r="C444" s="79"/>
      <c r="D444" s="81">
        <v>45582</v>
      </c>
      <c r="E444" s="82">
        <v>24749.85</v>
      </c>
      <c r="G444" s="79"/>
      <c r="H444" s="79"/>
      <c r="I444" s="79"/>
    </row>
    <row r="445" s="78" customFormat="1" ht="16.5" customHeight="1" spans="1:9">
      <c r="A445" s="79"/>
      <c r="B445" s="79"/>
      <c r="C445" s="79"/>
      <c r="D445" s="81">
        <v>45581</v>
      </c>
      <c r="E445" s="82">
        <v>24971.3</v>
      </c>
      <c r="G445" s="79"/>
      <c r="H445" s="79"/>
      <c r="I445" s="79"/>
    </row>
    <row r="446" s="78" customFormat="1" ht="16.5" customHeight="1" spans="1:9">
      <c r="A446" s="79"/>
      <c r="B446" s="79"/>
      <c r="C446" s="79"/>
      <c r="D446" s="81">
        <v>45580</v>
      </c>
      <c r="E446" s="82">
        <v>25057.35</v>
      </c>
      <c r="G446" s="79"/>
      <c r="H446" s="79"/>
      <c r="I446" s="79"/>
    </row>
    <row r="447" s="78" customFormat="1" ht="16.5" customHeight="1" spans="1:9">
      <c r="A447" s="79"/>
      <c r="B447" s="79"/>
      <c r="C447" s="79"/>
      <c r="D447" s="81">
        <v>45579</v>
      </c>
      <c r="E447" s="82">
        <v>25127.95</v>
      </c>
      <c r="G447" s="79"/>
      <c r="H447" s="79"/>
      <c r="I447" s="79"/>
    </row>
    <row r="448" s="78" customFormat="1" ht="16.5" customHeight="1" spans="1:9">
      <c r="A448" s="79"/>
      <c r="B448" s="79"/>
      <c r="C448" s="79"/>
      <c r="D448" s="81">
        <v>45576</v>
      </c>
      <c r="E448" s="82">
        <v>24964.25</v>
      </c>
      <c r="G448" s="79"/>
      <c r="H448" s="79"/>
      <c r="I448" s="79"/>
    </row>
    <row r="449" s="78" customFormat="1" ht="16.5" customHeight="1" spans="1:9">
      <c r="A449" s="79"/>
      <c r="B449" s="79"/>
      <c r="C449" s="79"/>
      <c r="D449" s="81">
        <v>45575</v>
      </c>
      <c r="E449" s="82">
        <v>24998.45</v>
      </c>
      <c r="G449" s="79"/>
      <c r="H449" s="79"/>
      <c r="I449" s="79"/>
    </row>
    <row r="450" s="78" customFormat="1" ht="16.5" customHeight="1" spans="1:9">
      <c r="A450" s="79"/>
      <c r="B450" s="79"/>
      <c r="C450" s="79"/>
      <c r="D450" s="81">
        <v>45574</v>
      </c>
      <c r="E450" s="82">
        <v>24981.95</v>
      </c>
      <c r="G450" s="79"/>
      <c r="H450" s="79"/>
      <c r="I450" s="79"/>
    </row>
    <row r="451" s="78" customFormat="1" ht="16.5" customHeight="1" spans="1:9">
      <c r="A451" s="79"/>
      <c r="B451" s="79"/>
      <c r="C451" s="79"/>
      <c r="D451" s="81">
        <v>45573</v>
      </c>
      <c r="E451" s="82">
        <v>25013.15</v>
      </c>
      <c r="G451" s="79"/>
      <c r="H451" s="79"/>
      <c r="I451" s="79"/>
    </row>
    <row r="452" s="78" customFormat="1" ht="16.5" customHeight="1" spans="1:9">
      <c r="A452" s="79"/>
      <c r="B452" s="79"/>
      <c r="C452" s="79"/>
      <c r="D452" s="81">
        <v>45572</v>
      </c>
      <c r="E452" s="82">
        <v>24795.75</v>
      </c>
      <c r="G452" s="79"/>
      <c r="H452" s="79"/>
      <c r="I452" s="79"/>
    </row>
    <row r="453" s="78" customFormat="1" ht="16.5" customHeight="1" spans="1:9">
      <c r="A453" s="79"/>
      <c r="B453" s="79"/>
      <c r="C453" s="79"/>
      <c r="D453" s="81">
        <v>45569</v>
      </c>
      <c r="E453" s="82">
        <v>25014.6</v>
      </c>
      <c r="G453" s="79"/>
      <c r="H453" s="79"/>
      <c r="I453" s="79"/>
    </row>
    <row r="454" s="78" customFormat="1" ht="16.5" customHeight="1" spans="1:9">
      <c r="A454" s="79"/>
      <c r="B454" s="79"/>
      <c r="C454" s="79"/>
      <c r="D454" s="81">
        <v>45568</v>
      </c>
      <c r="E454" s="82">
        <v>25250.1</v>
      </c>
      <c r="G454" s="79"/>
      <c r="H454" s="79"/>
      <c r="I454" s="79"/>
    </row>
    <row r="455" s="78" customFormat="1" ht="16.5" customHeight="1" spans="1:9">
      <c r="A455" s="79"/>
      <c r="B455" s="79"/>
      <c r="C455" s="79"/>
      <c r="D455" s="81">
        <v>45566</v>
      </c>
      <c r="E455" s="82">
        <v>25796.9</v>
      </c>
      <c r="G455" s="79"/>
      <c r="H455" s="79"/>
      <c r="I455" s="79"/>
    </row>
    <row r="456" s="78" customFormat="1" ht="16.5" customHeight="1" spans="1:9">
      <c r="A456" s="79"/>
      <c r="B456" s="79"/>
      <c r="C456" s="79"/>
      <c r="D456" s="81">
        <v>45565</v>
      </c>
      <c r="E456" s="82">
        <v>25810.85</v>
      </c>
      <c r="G456" s="79"/>
      <c r="H456" s="79"/>
      <c r="I456" s="79"/>
    </row>
    <row r="457" s="78" customFormat="1" ht="16.5" customHeight="1" spans="1:9">
      <c r="A457" s="79"/>
      <c r="B457" s="79"/>
      <c r="C457" s="79"/>
      <c r="D457" s="81">
        <v>45562</v>
      </c>
      <c r="E457" s="82">
        <v>26178.95</v>
      </c>
      <c r="G457" s="79"/>
      <c r="H457" s="79"/>
      <c r="I457" s="79"/>
    </row>
    <row r="458" s="78" customFormat="1" ht="16.5" customHeight="1" spans="1:9">
      <c r="A458" s="79"/>
      <c r="B458" s="79"/>
      <c r="C458" s="79"/>
      <c r="D458" s="81">
        <v>45561</v>
      </c>
      <c r="E458" s="82">
        <v>26216.05</v>
      </c>
      <c r="G458" s="79"/>
      <c r="H458" s="79"/>
      <c r="I458" s="79"/>
    </row>
    <row r="459" s="78" customFormat="1" ht="16.5" customHeight="1" spans="1:9">
      <c r="A459" s="79"/>
      <c r="B459" s="79"/>
      <c r="C459" s="79"/>
      <c r="D459" s="81">
        <v>45560</v>
      </c>
      <c r="E459" s="82">
        <v>26004.15</v>
      </c>
      <c r="G459" s="79"/>
      <c r="H459" s="79"/>
      <c r="I459" s="79"/>
    </row>
    <row r="460" s="78" customFormat="1" ht="16.5" customHeight="1" spans="1:9">
      <c r="A460" s="79"/>
      <c r="B460" s="79"/>
      <c r="C460" s="79"/>
      <c r="D460" s="81">
        <v>45559</v>
      </c>
      <c r="E460" s="82">
        <v>25940.4</v>
      </c>
      <c r="G460" s="79"/>
      <c r="H460" s="79"/>
      <c r="I460" s="79"/>
    </row>
    <row r="461" s="78" customFormat="1" ht="16.5" customHeight="1" spans="1:9">
      <c r="A461" s="79"/>
      <c r="B461" s="79"/>
      <c r="C461" s="79"/>
      <c r="D461" s="81">
        <v>45558</v>
      </c>
      <c r="E461" s="82">
        <v>25939.05</v>
      </c>
      <c r="G461" s="79"/>
      <c r="H461" s="79"/>
      <c r="I461" s="79"/>
    </row>
    <row r="462" s="78" customFormat="1" ht="16.5" customHeight="1" spans="1:9">
      <c r="A462" s="79"/>
      <c r="B462" s="79"/>
      <c r="C462" s="79"/>
      <c r="D462" s="81">
        <v>45555</v>
      </c>
      <c r="E462" s="82">
        <v>25790.95</v>
      </c>
      <c r="G462" s="79"/>
      <c r="H462" s="79"/>
      <c r="I462" s="79"/>
    </row>
    <row r="463" s="78" customFormat="1" ht="16.5" customHeight="1" spans="1:9">
      <c r="A463" s="79"/>
      <c r="B463" s="79"/>
      <c r="C463" s="79"/>
      <c r="D463" s="81">
        <v>45554</v>
      </c>
      <c r="E463" s="82">
        <v>25415.8</v>
      </c>
      <c r="G463" s="79"/>
      <c r="H463" s="79"/>
      <c r="I463" s="79"/>
    </row>
    <row r="464" s="78" customFormat="1" ht="16.5" customHeight="1" spans="1:9">
      <c r="A464" s="79"/>
      <c r="B464" s="79"/>
      <c r="C464" s="79"/>
      <c r="D464" s="81">
        <v>45553</v>
      </c>
      <c r="E464" s="82">
        <v>25377.55</v>
      </c>
      <c r="G464" s="79"/>
      <c r="H464" s="79"/>
      <c r="I464" s="79"/>
    </row>
    <row r="465" s="78" customFormat="1" ht="16.5" customHeight="1" spans="1:9">
      <c r="A465" s="79"/>
      <c r="B465" s="79"/>
      <c r="C465" s="79"/>
      <c r="D465" s="81">
        <v>45552</v>
      </c>
      <c r="E465" s="82">
        <v>25418.55</v>
      </c>
      <c r="G465" s="79"/>
      <c r="H465" s="79"/>
      <c r="I465" s="79"/>
    </row>
    <row r="466" s="78" customFormat="1" ht="16.5" customHeight="1" spans="1:9">
      <c r="A466" s="79"/>
      <c r="B466" s="79"/>
      <c r="C466" s="79"/>
      <c r="D466" s="81">
        <v>45551</v>
      </c>
      <c r="E466" s="82">
        <v>25383.75</v>
      </c>
      <c r="G466" s="79"/>
      <c r="H466" s="79"/>
      <c r="I466" s="79"/>
    </row>
    <row r="467" s="78" customFormat="1" ht="16.5" customHeight="1" spans="1:9">
      <c r="A467" s="79"/>
      <c r="B467" s="79"/>
      <c r="C467" s="79"/>
      <c r="D467" s="81">
        <v>45548</v>
      </c>
      <c r="E467" s="82">
        <v>25356.5</v>
      </c>
      <c r="G467" s="79"/>
      <c r="H467" s="79"/>
      <c r="I467" s="79"/>
    </row>
    <row r="468" s="78" customFormat="1" ht="16.5" customHeight="1" spans="1:9">
      <c r="A468" s="79"/>
      <c r="B468" s="79"/>
      <c r="C468" s="79"/>
      <c r="D468" s="81">
        <v>45547</v>
      </c>
      <c r="E468" s="82">
        <v>25388.9</v>
      </c>
      <c r="G468" s="79"/>
      <c r="H468" s="79"/>
      <c r="I468" s="79"/>
    </row>
    <row r="469" s="78" customFormat="1" ht="16.5" customHeight="1" spans="1:9">
      <c r="A469" s="79"/>
      <c r="B469" s="79"/>
      <c r="C469" s="79"/>
      <c r="D469" s="81">
        <v>45546</v>
      </c>
      <c r="E469" s="82">
        <v>24918.45</v>
      </c>
      <c r="G469" s="79"/>
      <c r="H469" s="79"/>
      <c r="I469" s="79"/>
    </row>
    <row r="470" s="78" customFormat="1" ht="16.5" customHeight="1" spans="1:9">
      <c r="A470" s="79"/>
      <c r="B470" s="79"/>
      <c r="C470" s="79"/>
      <c r="D470" s="81">
        <v>45545</v>
      </c>
      <c r="E470" s="82">
        <v>25041.1</v>
      </c>
      <c r="G470" s="79"/>
      <c r="H470" s="79"/>
      <c r="I470" s="79"/>
    </row>
    <row r="471" s="78" customFormat="1" ht="16.5" customHeight="1" spans="1:9">
      <c r="A471" s="79"/>
      <c r="B471" s="79"/>
      <c r="C471" s="79"/>
      <c r="D471" s="81">
        <v>45544</v>
      </c>
      <c r="E471" s="82">
        <v>24936.4</v>
      </c>
      <c r="G471" s="79"/>
      <c r="H471" s="79"/>
      <c r="I471" s="79"/>
    </row>
    <row r="472" s="78" customFormat="1" ht="16.5" customHeight="1" spans="1:9">
      <c r="A472" s="79"/>
      <c r="B472" s="79"/>
      <c r="C472" s="79"/>
      <c r="D472" s="81">
        <v>45541</v>
      </c>
      <c r="E472" s="82">
        <v>24852.15</v>
      </c>
      <c r="G472" s="79"/>
      <c r="H472" s="79"/>
      <c r="I472" s="79"/>
    </row>
    <row r="473" s="78" customFormat="1" ht="16.5" customHeight="1" spans="1:9">
      <c r="A473" s="79"/>
      <c r="B473" s="79"/>
      <c r="C473" s="79"/>
      <c r="D473" s="81">
        <v>45540</v>
      </c>
      <c r="E473" s="82">
        <v>25145.1</v>
      </c>
      <c r="G473" s="79"/>
      <c r="H473" s="79"/>
      <c r="I473" s="79"/>
    </row>
    <row r="474" s="78" customFormat="1" ht="16.5" customHeight="1" spans="1:9">
      <c r="A474" s="79"/>
      <c r="B474" s="79"/>
      <c r="C474" s="79"/>
      <c r="D474" s="81">
        <v>45539</v>
      </c>
      <c r="E474" s="82">
        <v>25198.7</v>
      </c>
      <c r="G474" s="79"/>
      <c r="H474" s="79"/>
      <c r="I474" s="79"/>
    </row>
    <row r="475" s="78" customFormat="1" ht="16.5" customHeight="1" spans="1:9">
      <c r="A475" s="79"/>
      <c r="B475" s="79"/>
      <c r="C475" s="79"/>
      <c r="D475" s="81">
        <v>45538</v>
      </c>
      <c r="E475" s="82">
        <v>25279.85</v>
      </c>
      <c r="G475" s="79"/>
      <c r="H475" s="79"/>
      <c r="I475" s="79"/>
    </row>
    <row r="476" s="78" customFormat="1" ht="16.5" customHeight="1" spans="1:9">
      <c r="A476" s="79"/>
      <c r="B476" s="79"/>
      <c r="C476" s="79"/>
      <c r="D476" s="81">
        <v>45537</v>
      </c>
      <c r="E476" s="82">
        <v>25278.7</v>
      </c>
      <c r="G476" s="79"/>
      <c r="H476" s="79"/>
      <c r="I476" s="79"/>
    </row>
    <row r="477" s="78" customFormat="1" ht="16.5" customHeight="1" spans="1:9">
      <c r="A477" s="79"/>
      <c r="B477" s="79"/>
      <c r="C477" s="79"/>
      <c r="D477" s="81">
        <v>45534</v>
      </c>
      <c r="E477" s="82">
        <v>25235.9</v>
      </c>
      <c r="G477" s="79"/>
      <c r="H477" s="79"/>
      <c r="I477" s="79"/>
    </row>
    <row r="478" s="78" customFormat="1" ht="16.5" customHeight="1" spans="1:9">
      <c r="A478" s="79"/>
      <c r="B478" s="79"/>
      <c r="C478" s="79"/>
      <c r="D478" s="81">
        <v>45533</v>
      </c>
      <c r="E478" s="82">
        <v>25151.95</v>
      </c>
      <c r="G478" s="79"/>
      <c r="H478" s="79"/>
      <c r="I478" s="79"/>
    </row>
    <row r="479" s="78" customFormat="1" ht="16.5" customHeight="1" spans="1:9">
      <c r="A479" s="79"/>
      <c r="B479" s="79"/>
      <c r="C479" s="79"/>
      <c r="D479" s="81">
        <v>45532</v>
      </c>
      <c r="E479" s="82">
        <v>25052.35</v>
      </c>
      <c r="G479" s="79"/>
      <c r="H479" s="79"/>
      <c r="I479" s="79"/>
    </row>
    <row r="480" s="78" customFormat="1" ht="16.5" customHeight="1" spans="1:9">
      <c r="A480" s="79"/>
      <c r="B480" s="79"/>
      <c r="C480" s="79"/>
      <c r="D480" s="81">
        <v>45531</v>
      </c>
      <c r="E480" s="82">
        <v>25017.75</v>
      </c>
      <c r="G480" s="79"/>
      <c r="H480" s="79"/>
      <c r="I480" s="79"/>
    </row>
    <row r="481" s="78" customFormat="1" ht="16.5" customHeight="1" spans="1:9">
      <c r="A481" s="79"/>
      <c r="B481" s="79"/>
      <c r="C481" s="79"/>
      <c r="D481" s="81">
        <v>45530</v>
      </c>
      <c r="E481" s="82">
        <v>25010.6</v>
      </c>
      <c r="G481" s="79"/>
      <c r="H481" s="79"/>
      <c r="I481" s="79"/>
    </row>
    <row r="482" s="78" customFormat="1" ht="16.5" customHeight="1" spans="1:9">
      <c r="A482" s="79"/>
      <c r="B482" s="79"/>
      <c r="C482" s="79"/>
      <c r="D482" s="81">
        <v>45527</v>
      </c>
      <c r="E482" s="82">
        <v>24823.15</v>
      </c>
      <c r="G482" s="79"/>
      <c r="H482" s="79"/>
      <c r="I482" s="79"/>
    </row>
    <row r="483" s="78" customFormat="1" ht="16.5" customHeight="1" spans="1:9">
      <c r="A483" s="79"/>
      <c r="B483" s="79"/>
      <c r="C483" s="79"/>
      <c r="D483" s="81">
        <v>45526</v>
      </c>
      <c r="E483" s="82">
        <v>24811.5</v>
      </c>
      <c r="G483" s="79"/>
      <c r="H483" s="79"/>
      <c r="I483" s="79"/>
    </row>
    <row r="484" s="78" customFormat="1" ht="16.5" customHeight="1" spans="1:9">
      <c r="A484" s="79"/>
      <c r="B484" s="79"/>
      <c r="C484" s="79"/>
      <c r="D484" s="81">
        <v>45525</v>
      </c>
      <c r="E484" s="82">
        <v>24770.2</v>
      </c>
      <c r="G484" s="79"/>
      <c r="H484" s="79"/>
      <c r="I484" s="79"/>
    </row>
    <row r="485" s="78" customFormat="1" ht="16.5" customHeight="1" spans="1:9">
      <c r="A485" s="79"/>
      <c r="B485" s="79"/>
      <c r="C485" s="79"/>
      <c r="D485" s="81">
        <v>45524</v>
      </c>
      <c r="E485" s="82">
        <v>24698.85</v>
      </c>
      <c r="G485" s="79"/>
      <c r="H485" s="79"/>
      <c r="I485" s="79"/>
    </row>
    <row r="486" s="78" customFormat="1" ht="16.5" customHeight="1" spans="1:9">
      <c r="A486" s="79"/>
      <c r="B486" s="79"/>
      <c r="C486" s="79"/>
      <c r="D486" s="81">
        <v>45523</v>
      </c>
      <c r="E486" s="82">
        <v>24572.65</v>
      </c>
      <c r="G486" s="79"/>
      <c r="H486" s="79"/>
      <c r="I486" s="79"/>
    </row>
    <row r="487" s="78" customFormat="1" ht="16.5" customHeight="1" spans="1:9">
      <c r="A487" s="79"/>
      <c r="B487" s="79"/>
      <c r="C487" s="79"/>
      <c r="D487" s="81">
        <v>45520</v>
      </c>
      <c r="E487" s="82">
        <v>24541.15</v>
      </c>
      <c r="G487" s="79"/>
      <c r="H487" s="79"/>
      <c r="I487" s="79"/>
    </row>
    <row r="488" s="78" customFormat="1" ht="16.5" customHeight="1" spans="1:9">
      <c r="A488" s="79"/>
      <c r="B488" s="79"/>
      <c r="C488" s="79"/>
      <c r="D488" s="81">
        <v>45518</v>
      </c>
      <c r="E488" s="82">
        <v>24143.75</v>
      </c>
      <c r="G488" s="79"/>
      <c r="H488" s="79"/>
      <c r="I488" s="79"/>
    </row>
    <row r="489" s="78" customFormat="1" ht="16.5" customHeight="1" spans="1:9">
      <c r="A489" s="79"/>
      <c r="B489" s="79"/>
      <c r="C489" s="79"/>
      <c r="D489" s="81">
        <v>45517</v>
      </c>
      <c r="E489" s="82">
        <v>24139</v>
      </c>
      <c r="G489" s="79"/>
      <c r="H489" s="79"/>
      <c r="I489" s="79"/>
    </row>
    <row r="490" s="78" customFormat="1" ht="16.5" customHeight="1" spans="1:9">
      <c r="A490" s="79"/>
      <c r="B490" s="79"/>
      <c r="C490" s="79"/>
      <c r="D490" s="81">
        <v>45516</v>
      </c>
      <c r="E490" s="82">
        <v>24347</v>
      </c>
      <c r="G490" s="79"/>
      <c r="H490" s="79"/>
      <c r="I490" s="79"/>
    </row>
    <row r="491" s="78" customFormat="1" ht="16.5" customHeight="1" spans="1:9">
      <c r="A491" s="79"/>
      <c r="B491" s="79"/>
      <c r="C491" s="79"/>
      <c r="D491" s="81">
        <v>45513</v>
      </c>
      <c r="E491" s="82">
        <v>24367.5</v>
      </c>
      <c r="G491" s="79"/>
      <c r="H491" s="79"/>
      <c r="I491" s="79"/>
    </row>
    <row r="492" s="78" customFormat="1" ht="16.5" customHeight="1" spans="1:9">
      <c r="A492" s="79"/>
      <c r="B492" s="79"/>
      <c r="C492" s="79"/>
      <c r="D492" s="81">
        <v>45512</v>
      </c>
      <c r="E492" s="82">
        <v>24117</v>
      </c>
      <c r="G492" s="79"/>
      <c r="H492" s="79"/>
      <c r="I492" s="79"/>
    </row>
    <row r="493" s="78" customFormat="1" ht="16.5" customHeight="1" spans="1:9">
      <c r="A493" s="79"/>
      <c r="B493" s="79"/>
      <c r="C493" s="79"/>
      <c r="D493" s="81">
        <v>45511</v>
      </c>
      <c r="E493" s="82">
        <v>24297.5</v>
      </c>
      <c r="G493" s="79"/>
      <c r="H493" s="79"/>
      <c r="I493" s="79"/>
    </row>
    <row r="494" s="78" customFormat="1" ht="16.5" customHeight="1" spans="1:9">
      <c r="A494" s="79"/>
      <c r="B494" s="79"/>
      <c r="C494" s="79"/>
      <c r="D494" s="81">
        <v>45510</v>
      </c>
      <c r="E494" s="82">
        <v>23992.55</v>
      </c>
      <c r="G494" s="79"/>
      <c r="H494" s="79"/>
      <c r="I494" s="79"/>
    </row>
    <row r="495" s="78" customFormat="1" ht="16.5" customHeight="1" spans="1:9">
      <c r="A495" s="79"/>
      <c r="B495" s="79"/>
      <c r="C495" s="79"/>
      <c r="D495" s="81">
        <v>45509</v>
      </c>
      <c r="E495" s="82">
        <v>24055.6</v>
      </c>
      <c r="G495" s="79"/>
      <c r="H495" s="79"/>
      <c r="I495" s="79"/>
    </row>
    <row r="496" s="78" customFormat="1" ht="16.5" customHeight="1" spans="1:9">
      <c r="A496" s="79"/>
      <c r="B496" s="79"/>
      <c r="C496" s="79"/>
      <c r="D496" s="81">
        <v>45506</v>
      </c>
      <c r="E496" s="82">
        <v>24717.7</v>
      </c>
      <c r="G496" s="79"/>
      <c r="H496" s="79"/>
      <c r="I496" s="79"/>
    </row>
    <row r="497" s="78" customFormat="1" ht="16.5" customHeight="1" spans="1:9">
      <c r="A497" s="79"/>
      <c r="B497" s="79"/>
      <c r="C497" s="79"/>
      <c r="D497" s="81">
        <v>45505</v>
      </c>
      <c r="E497" s="82">
        <v>25010.9</v>
      </c>
      <c r="G497" s="79"/>
      <c r="H497" s="79"/>
      <c r="I497" s="79"/>
    </row>
    <row r="498" s="78" customFormat="1" ht="16.5" customHeight="1" spans="1:9">
      <c r="A498" s="79"/>
      <c r="B498" s="79"/>
      <c r="C498" s="79"/>
      <c r="D498" s="81">
        <v>45504</v>
      </c>
      <c r="E498" s="82">
        <v>24951.15</v>
      </c>
      <c r="G498" s="79"/>
      <c r="H498" s="79"/>
      <c r="I498" s="79"/>
    </row>
    <row r="499" s="78" customFormat="1" ht="16.5" customHeight="1" spans="1:9">
      <c r="A499" s="79"/>
      <c r="B499" s="79"/>
      <c r="C499" s="79"/>
      <c r="D499" s="81">
        <v>45503</v>
      </c>
      <c r="E499" s="82">
        <v>24857.3</v>
      </c>
      <c r="G499" s="79"/>
      <c r="H499" s="79"/>
      <c r="I499" s="79"/>
    </row>
    <row r="500" s="78" customFormat="1" ht="16.5" customHeight="1" spans="1:9">
      <c r="A500" s="79"/>
      <c r="B500" s="79"/>
      <c r="C500" s="79"/>
      <c r="D500" s="81">
        <v>45502</v>
      </c>
      <c r="E500" s="82">
        <v>24836.1</v>
      </c>
      <c r="G500" s="79"/>
      <c r="H500" s="79"/>
      <c r="I500" s="79"/>
    </row>
    <row r="501" s="78" customFormat="1" ht="16.5" customHeight="1" spans="1:9">
      <c r="A501" s="79"/>
      <c r="B501" s="79"/>
      <c r="C501" s="79"/>
      <c r="D501" s="81">
        <v>45499</v>
      </c>
      <c r="E501" s="82">
        <v>24834.85</v>
      </c>
      <c r="G501" s="79"/>
      <c r="H501" s="79"/>
      <c r="I501" s="79"/>
    </row>
    <row r="502" s="78" customFormat="1" ht="16.5" customHeight="1" spans="1:9">
      <c r="A502" s="79"/>
      <c r="B502" s="79"/>
      <c r="C502" s="79"/>
      <c r="D502" s="81">
        <v>45498</v>
      </c>
      <c r="E502" s="82">
        <v>24406.1</v>
      </c>
      <c r="G502" s="79"/>
      <c r="H502" s="79"/>
      <c r="I502" s="79"/>
    </row>
    <row r="503" s="78" customFormat="1" ht="16.5" customHeight="1" spans="1:9">
      <c r="A503" s="79"/>
      <c r="B503" s="79"/>
      <c r="C503" s="79"/>
      <c r="D503" s="81">
        <v>45497</v>
      </c>
      <c r="E503" s="82">
        <v>24413.5</v>
      </c>
      <c r="G503" s="79"/>
      <c r="H503" s="79"/>
      <c r="I503" s="79"/>
    </row>
    <row r="504" s="78" customFormat="1" ht="16.5" customHeight="1" spans="1:9">
      <c r="A504" s="79"/>
      <c r="B504" s="79"/>
      <c r="C504" s="79"/>
      <c r="D504" s="81">
        <v>45496</v>
      </c>
      <c r="E504" s="82">
        <v>24479.05</v>
      </c>
      <c r="G504" s="79"/>
      <c r="H504" s="79"/>
      <c r="I504" s="79"/>
    </row>
    <row r="505" s="78" customFormat="1" ht="16.5" customHeight="1" spans="1:9">
      <c r="A505" s="79"/>
      <c r="B505" s="79"/>
      <c r="C505" s="79"/>
      <c r="D505" s="81">
        <v>45495</v>
      </c>
      <c r="E505" s="82">
        <v>24509.25</v>
      </c>
      <c r="G505" s="79"/>
      <c r="H505" s="79"/>
      <c r="I505" s="79"/>
    </row>
    <row r="506" s="78" customFormat="1" ht="16.5" customHeight="1" spans="1:9">
      <c r="A506" s="79"/>
      <c r="B506" s="79"/>
      <c r="C506" s="79"/>
      <c r="D506" s="81">
        <v>45492</v>
      </c>
      <c r="E506" s="82">
        <v>24530.9</v>
      </c>
      <c r="G506" s="79"/>
      <c r="H506" s="79"/>
      <c r="I506" s="79"/>
    </row>
    <row r="507" s="78" customFormat="1" ht="16.5" customHeight="1" spans="1:9">
      <c r="A507" s="79"/>
      <c r="B507" s="79"/>
      <c r="C507" s="79"/>
      <c r="D507" s="81">
        <v>45491</v>
      </c>
      <c r="E507" s="82">
        <v>24800.85</v>
      </c>
      <c r="G507" s="79"/>
      <c r="H507" s="79"/>
      <c r="I507" s="79"/>
    </row>
    <row r="508" s="78" customFormat="1" ht="16.5" customHeight="1" spans="1:9">
      <c r="A508" s="79"/>
      <c r="B508" s="79"/>
      <c r="C508" s="79"/>
      <c r="D508" s="81">
        <v>45489</v>
      </c>
      <c r="E508" s="82">
        <v>24613</v>
      </c>
      <c r="G508" s="79"/>
      <c r="H508" s="79"/>
      <c r="I508" s="79"/>
    </row>
    <row r="509" s="78" customFormat="1" ht="16.5" customHeight="1" spans="1:9">
      <c r="A509" s="79"/>
      <c r="B509" s="79"/>
      <c r="C509" s="79"/>
      <c r="D509" s="81">
        <v>45488</v>
      </c>
      <c r="E509" s="82">
        <v>24586.7</v>
      </c>
      <c r="G509" s="79"/>
      <c r="H509" s="79"/>
      <c r="I509" s="79"/>
    </row>
    <row r="510" s="78" customFormat="1" ht="16.5" customHeight="1" spans="1:9">
      <c r="A510" s="79"/>
      <c r="B510" s="79"/>
      <c r="C510" s="79"/>
      <c r="D510" s="81">
        <v>45485</v>
      </c>
      <c r="E510" s="82">
        <v>24502.15</v>
      </c>
      <c r="G510" s="79"/>
      <c r="H510" s="79"/>
      <c r="I510" s="79"/>
    </row>
    <row r="511" s="78" customFormat="1" ht="16.5" customHeight="1" spans="1:9">
      <c r="A511" s="79"/>
      <c r="B511" s="79"/>
      <c r="C511" s="79"/>
      <c r="D511" s="81">
        <v>45484</v>
      </c>
      <c r="E511" s="82">
        <v>24315.95</v>
      </c>
      <c r="G511" s="79"/>
      <c r="H511" s="79"/>
      <c r="I511" s="79"/>
    </row>
    <row r="512" s="78" customFormat="1" ht="16.5" customHeight="1" spans="1:9">
      <c r="A512" s="79"/>
      <c r="B512" s="79"/>
      <c r="C512" s="79"/>
      <c r="D512" s="81">
        <v>45483</v>
      </c>
      <c r="E512" s="82">
        <v>24324.45</v>
      </c>
      <c r="G512" s="79"/>
      <c r="H512" s="79"/>
      <c r="I512" s="79"/>
    </row>
    <row r="513" s="78" customFormat="1" ht="16.5" customHeight="1" spans="1:9">
      <c r="A513" s="79"/>
      <c r="B513" s="79"/>
      <c r="C513" s="79"/>
      <c r="D513" s="81">
        <v>45482</v>
      </c>
      <c r="E513" s="82">
        <v>24433.2</v>
      </c>
      <c r="G513" s="79"/>
      <c r="H513" s="79"/>
      <c r="I513" s="79"/>
    </row>
    <row r="514" s="78" customFormat="1" ht="16.5" customHeight="1" spans="1:9">
      <c r="A514" s="79"/>
      <c r="B514" s="79"/>
      <c r="C514" s="79"/>
      <c r="D514" s="81">
        <v>45481</v>
      </c>
      <c r="E514" s="82">
        <v>24320.55</v>
      </c>
      <c r="G514" s="79"/>
      <c r="H514" s="79"/>
      <c r="I514" s="79"/>
    </row>
    <row r="515" s="78" customFormat="1" ht="16.5" customHeight="1" spans="1:9">
      <c r="A515" s="79"/>
      <c r="B515" s="79"/>
      <c r="C515" s="79"/>
      <c r="D515" s="81">
        <v>45478</v>
      </c>
      <c r="E515" s="82">
        <v>24323.85</v>
      </c>
      <c r="G515" s="79"/>
      <c r="H515" s="79"/>
      <c r="I515" s="79"/>
    </row>
    <row r="516" s="78" customFormat="1" ht="16.5" customHeight="1" spans="1:9">
      <c r="A516" s="79"/>
      <c r="B516" s="79"/>
      <c r="C516" s="79"/>
      <c r="D516" s="81">
        <v>45477</v>
      </c>
      <c r="E516" s="82">
        <v>24302.15</v>
      </c>
      <c r="G516" s="79"/>
      <c r="H516" s="79"/>
      <c r="I516" s="79"/>
    </row>
    <row r="517" s="78" customFormat="1" ht="16.5" customHeight="1" spans="1:9">
      <c r="A517" s="79"/>
      <c r="B517" s="79"/>
      <c r="C517" s="79"/>
      <c r="D517" s="81">
        <v>45476</v>
      </c>
      <c r="E517" s="82">
        <v>24286.5</v>
      </c>
      <c r="G517" s="79"/>
      <c r="H517" s="79"/>
      <c r="I517" s="79"/>
    </row>
    <row r="518" s="78" customFormat="1" ht="16.5" customHeight="1" spans="1:9">
      <c r="A518" s="79"/>
      <c r="B518" s="79"/>
      <c r="C518" s="79"/>
      <c r="D518" s="81">
        <v>45475</v>
      </c>
      <c r="E518" s="82">
        <v>24123.85</v>
      </c>
      <c r="G518" s="79"/>
      <c r="H518" s="79"/>
      <c r="I518" s="79"/>
    </row>
    <row r="519" s="78" customFormat="1" ht="16.5" customHeight="1" spans="1:9">
      <c r="A519" s="79"/>
      <c r="B519" s="79"/>
      <c r="C519" s="79"/>
      <c r="D519" s="81">
        <v>45474</v>
      </c>
      <c r="E519" s="82">
        <v>24141.95</v>
      </c>
      <c r="G519" s="79"/>
      <c r="H519" s="79"/>
      <c r="I519" s="79"/>
    </row>
    <row r="520" s="78" customFormat="1" ht="16.5" customHeight="1" spans="1:9">
      <c r="A520" s="79"/>
      <c r="B520" s="79"/>
      <c r="C520" s="79"/>
      <c r="D520" s="81">
        <v>45471</v>
      </c>
      <c r="E520" s="82">
        <v>24010.6</v>
      </c>
      <c r="G520" s="79"/>
      <c r="H520" s="79"/>
      <c r="I520" s="79"/>
    </row>
    <row r="521" s="78" customFormat="1" ht="16.5" customHeight="1" spans="1:9">
      <c r="A521" s="79"/>
      <c r="B521" s="79"/>
      <c r="C521" s="79"/>
      <c r="D521" s="81">
        <v>45470</v>
      </c>
      <c r="E521" s="82">
        <v>24044.5</v>
      </c>
      <c r="G521" s="79"/>
      <c r="H521" s="79"/>
      <c r="I521" s="79"/>
    </row>
    <row r="522" s="78" customFormat="1" ht="16.5" customHeight="1" spans="1:9">
      <c r="A522" s="79"/>
      <c r="B522" s="79"/>
      <c r="C522" s="79"/>
      <c r="D522" s="81">
        <v>45469</v>
      </c>
      <c r="E522" s="82">
        <v>23868.8</v>
      </c>
      <c r="G522" s="79"/>
      <c r="H522" s="79"/>
      <c r="I522" s="79"/>
    </row>
    <row r="523" s="78" customFormat="1" ht="16.5" customHeight="1" spans="1:9">
      <c r="A523" s="79"/>
      <c r="B523" s="79"/>
      <c r="C523" s="79"/>
      <c r="D523" s="81">
        <v>45468</v>
      </c>
      <c r="E523" s="82">
        <v>23721.3</v>
      </c>
      <c r="G523" s="79"/>
      <c r="H523" s="79"/>
      <c r="I523" s="79"/>
    </row>
    <row r="524" s="78" customFormat="1" ht="16.5" customHeight="1" spans="1:9">
      <c r="A524" s="79"/>
      <c r="B524" s="79"/>
      <c r="C524" s="79"/>
      <c r="D524" s="81">
        <v>45467</v>
      </c>
      <c r="E524" s="82">
        <v>23537.85</v>
      </c>
      <c r="G524" s="79"/>
      <c r="H524" s="79"/>
      <c r="I524" s="79"/>
    </row>
    <row r="525" s="78" customFormat="1" ht="16.5" customHeight="1" spans="1:9">
      <c r="A525" s="79"/>
      <c r="B525" s="79"/>
      <c r="C525" s="79"/>
      <c r="D525" s="81">
        <v>45464</v>
      </c>
      <c r="E525" s="82">
        <v>23501.1</v>
      </c>
      <c r="G525" s="79"/>
      <c r="H525" s="79"/>
      <c r="I525" s="79"/>
    </row>
    <row r="526" s="78" customFormat="1" ht="16.5" customHeight="1" spans="1:9">
      <c r="A526" s="79"/>
      <c r="B526" s="79"/>
      <c r="C526" s="79"/>
      <c r="D526" s="81">
        <v>45463</v>
      </c>
      <c r="E526" s="82">
        <v>23567</v>
      </c>
      <c r="G526" s="79"/>
      <c r="H526" s="79"/>
      <c r="I526" s="79"/>
    </row>
    <row r="527" s="78" customFormat="1" ht="16.5" customHeight="1" spans="1:9">
      <c r="A527" s="79"/>
      <c r="B527" s="79"/>
      <c r="C527" s="79"/>
      <c r="D527" s="81">
        <v>45462</v>
      </c>
      <c r="E527" s="82">
        <v>23516</v>
      </c>
      <c r="G527" s="79"/>
      <c r="H527" s="79"/>
      <c r="I527" s="79"/>
    </row>
    <row r="528" s="78" customFormat="1" ht="16.5" customHeight="1" spans="1:9">
      <c r="A528" s="79"/>
      <c r="B528" s="79"/>
      <c r="C528" s="79"/>
      <c r="D528" s="81">
        <v>45461</v>
      </c>
      <c r="E528" s="82">
        <v>23557.9</v>
      </c>
      <c r="G528" s="79"/>
      <c r="H528" s="79"/>
      <c r="I528" s="79"/>
    </row>
    <row r="529" s="78" customFormat="1" ht="16.5" customHeight="1" spans="1:9">
      <c r="A529" s="79"/>
      <c r="B529" s="79"/>
      <c r="C529" s="79"/>
      <c r="D529" s="81">
        <v>45457</v>
      </c>
      <c r="E529" s="82">
        <v>23465.6</v>
      </c>
      <c r="G529" s="79"/>
      <c r="H529" s="79"/>
      <c r="I529" s="79"/>
    </row>
    <row r="530" s="78" customFormat="1" ht="16.5" customHeight="1" spans="1:9">
      <c r="A530" s="79"/>
      <c r="B530" s="79"/>
      <c r="C530" s="79"/>
      <c r="D530" s="81">
        <v>45456</v>
      </c>
      <c r="E530" s="82">
        <v>23398.9</v>
      </c>
      <c r="G530" s="79"/>
      <c r="H530" s="79"/>
      <c r="I530" s="79"/>
    </row>
    <row r="531" s="78" customFormat="1" ht="16.5" customHeight="1" spans="1:9">
      <c r="A531" s="79"/>
      <c r="B531" s="79"/>
      <c r="C531" s="79"/>
      <c r="D531" s="81">
        <v>45455</v>
      </c>
      <c r="E531" s="82">
        <v>23322.95</v>
      </c>
      <c r="G531" s="79"/>
      <c r="H531" s="79"/>
      <c r="I531" s="79"/>
    </row>
    <row r="532" s="78" customFormat="1" ht="16.5" customHeight="1" spans="1:9">
      <c r="A532" s="79"/>
      <c r="B532" s="79"/>
      <c r="C532" s="79"/>
      <c r="D532" s="81">
        <v>45454</v>
      </c>
      <c r="E532" s="82">
        <v>23264.85</v>
      </c>
      <c r="G532" s="79"/>
      <c r="H532" s="79"/>
      <c r="I532" s="79"/>
    </row>
    <row r="533" s="78" customFormat="1" ht="16.5" customHeight="1" spans="1:9">
      <c r="A533" s="79"/>
      <c r="B533" s="79"/>
      <c r="C533" s="79"/>
      <c r="D533" s="81">
        <v>45453</v>
      </c>
      <c r="E533" s="82">
        <v>23259.2</v>
      </c>
      <c r="G533" s="79"/>
      <c r="H533" s="79"/>
      <c r="I533" s="79"/>
    </row>
    <row r="534" s="78" customFormat="1" ht="16.5" customHeight="1" spans="1:9">
      <c r="A534" s="79"/>
      <c r="B534" s="79"/>
      <c r="C534" s="79"/>
      <c r="D534" s="81">
        <v>45450</v>
      </c>
      <c r="E534" s="82">
        <v>23290.15</v>
      </c>
      <c r="G534" s="79"/>
      <c r="H534" s="79"/>
      <c r="I534" s="79"/>
    </row>
    <row r="535" s="78" customFormat="1" ht="16.5" customHeight="1" spans="1:9">
      <c r="A535" s="79"/>
      <c r="B535" s="79"/>
      <c r="C535" s="79"/>
      <c r="D535" s="81">
        <v>45449</v>
      </c>
      <c r="E535" s="82">
        <v>22821.4</v>
      </c>
      <c r="G535" s="79"/>
      <c r="H535" s="79"/>
      <c r="I535" s="79"/>
    </row>
    <row r="536" s="78" customFormat="1" ht="16.5" customHeight="1" spans="1:9">
      <c r="A536" s="79"/>
      <c r="B536" s="79"/>
      <c r="C536" s="79"/>
      <c r="D536" s="81">
        <v>45448</v>
      </c>
      <c r="E536" s="82">
        <v>22620.35</v>
      </c>
      <c r="G536" s="79"/>
      <c r="H536" s="79"/>
      <c r="I536" s="79"/>
    </row>
    <row r="537" s="78" customFormat="1" ht="16.5" customHeight="1" spans="1:9">
      <c r="A537" s="79"/>
      <c r="B537" s="79"/>
      <c r="C537" s="79"/>
      <c r="D537" s="81">
        <v>45447</v>
      </c>
      <c r="E537" s="82">
        <v>21884.5</v>
      </c>
      <c r="G537" s="79"/>
      <c r="H537" s="79"/>
      <c r="I537" s="79"/>
    </row>
    <row r="538" s="78" customFormat="1" ht="16.5" customHeight="1" spans="1:9">
      <c r="A538" s="79"/>
      <c r="B538" s="79"/>
      <c r="C538" s="79"/>
      <c r="D538" s="81">
        <v>45446</v>
      </c>
      <c r="E538" s="82">
        <v>23263.9</v>
      </c>
      <c r="G538" s="79"/>
      <c r="H538" s="79"/>
      <c r="I538" s="79"/>
    </row>
    <row r="539" s="78" customFormat="1" ht="16.5" customHeight="1" spans="1:9">
      <c r="A539" s="79"/>
      <c r="B539" s="79"/>
      <c r="C539" s="79"/>
      <c r="D539" s="81">
        <v>45443</v>
      </c>
      <c r="E539" s="82">
        <v>22530.7</v>
      </c>
      <c r="G539" s="79"/>
      <c r="H539" s="79"/>
      <c r="I539" s="79"/>
    </row>
    <row r="540" s="78" customFormat="1" ht="16.5" customHeight="1" spans="1:9">
      <c r="A540" s="79"/>
      <c r="B540" s="79"/>
      <c r="C540" s="79"/>
      <c r="D540" s="81">
        <v>45442</v>
      </c>
      <c r="E540" s="82">
        <v>22488.65</v>
      </c>
      <c r="G540" s="79"/>
      <c r="H540" s="79"/>
      <c r="I540" s="79"/>
    </row>
    <row r="541" s="78" customFormat="1" ht="16.5" customHeight="1" spans="1:9">
      <c r="A541" s="79"/>
      <c r="B541" s="79"/>
      <c r="C541" s="79"/>
      <c r="D541" s="81">
        <v>45441</v>
      </c>
      <c r="E541" s="82">
        <v>22704.7</v>
      </c>
      <c r="G541" s="79"/>
      <c r="H541" s="79"/>
      <c r="I541" s="79"/>
    </row>
    <row r="542" s="78" customFormat="1" ht="16.5" customHeight="1" spans="1:9">
      <c r="A542" s="79"/>
      <c r="B542" s="79"/>
      <c r="C542" s="79"/>
      <c r="D542" s="81">
        <v>45440</v>
      </c>
      <c r="E542" s="82">
        <v>22888.15</v>
      </c>
      <c r="G542" s="79"/>
      <c r="H542" s="79"/>
      <c r="I542" s="79"/>
    </row>
    <row r="543" s="78" customFormat="1" ht="16.5" customHeight="1" spans="1:9">
      <c r="A543" s="79"/>
      <c r="B543" s="79"/>
      <c r="C543" s="79"/>
      <c r="D543" s="81">
        <v>45439</v>
      </c>
      <c r="E543" s="82">
        <v>22932.45</v>
      </c>
      <c r="G543" s="79"/>
      <c r="H543" s="79"/>
      <c r="I543" s="79"/>
    </row>
    <row r="544" s="78" customFormat="1" ht="16.5" customHeight="1" spans="1:9">
      <c r="A544" s="79"/>
      <c r="B544" s="79"/>
      <c r="C544" s="79"/>
      <c r="D544" s="81">
        <v>45436</v>
      </c>
      <c r="E544" s="82">
        <v>22957.1</v>
      </c>
      <c r="G544" s="79"/>
      <c r="H544" s="79"/>
      <c r="I544" s="79"/>
    </row>
    <row r="545" s="78" customFormat="1" ht="16.5" customHeight="1" spans="1:9">
      <c r="A545" s="79"/>
      <c r="B545" s="79"/>
      <c r="C545" s="79"/>
      <c r="D545" s="81">
        <v>45435</v>
      </c>
      <c r="E545" s="82">
        <v>22967.65</v>
      </c>
      <c r="G545" s="79"/>
      <c r="H545" s="79"/>
      <c r="I545" s="79"/>
    </row>
    <row r="546" s="78" customFormat="1" ht="16.5" customHeight="1" spans="1:9">
      <c r="A546" s="79"/>
      <c r="B546" s="79"/>
      <c r="C546" s="79"/>
      <c r="D546" s="81">
        <v>45434</v>
      </c>
      <c r="E546" s="82">
        <v>22597.8</v>
      </c>
      <c r="G546" s="79"/>
      <c r="H546" s="79"/>
      <c r="I546" s="79"/>
    </row>
    <row r="547" s="78" customFormat="1" ht="16.5" customHeight="1" spans="1:9">
      <c r="A547" s="79"/>
      <c r="B547" s="79"/>
      <c r="C547" s="79"/>
      <c r="D547" s="81">
        <v>45433</v>
      </c>
      <c r="E547" s="82">
        <v>22529.05</v>
      </c>
      <c r="G547" s="79"/>
      <c r="H547" s="79"/>
      <c r="I547" s="79"/>
    </row>
    <row r="548" s="78" customFormat="1" ht="16.5" customHeight="1" spans="1:9">
      <c r="A548" s="79"/>
      <c r="B548" s="79"/>
      <c r="C548" s="79"/>
      <c r="D548" s="81">
        <v>45430</v>
      </c>
      <c r="E548" s="82">
        <v>22502</v>
      </c>
      <c r="G548" s="79"/>
      <c r="H548" s="79"/>
      <c r="I548" s="79"/>
    </row>
    <row r="549" s="78" customFormat="1" ht="16.5" customHeight="1" spans="1:9">
      <c r="A549" s="79"/>
      <c r="B549" s="79"/>
      <c r="C549" s="79"/>
      <c r="D549" s="81">
        <v>45429</v>
      </c>
      <c r="E549" s="82">
        <v>22466.1</v>
      </c>
      <c r="G549" s="79"/>
      <c r="H549" s="79"/>
      <c r="I549" s="79"/>
    </row>
    <row r="550" s="78" customFormat="1" ht="16.5" customHeight="1" spans="1:9">
      <c r="A550" s="79"/>
      <c r="B550" s="79"/>
      <c r="C550" s="79"/>
      <c r="D550" s="81">
        <v>45428</v>
      </c>
      <c r="E550" s="82">
        <v>22403.85</v>
      </c>
      <c r="G550" s="79"/>
      <c r="H550" s="79"/>
      <c r="I550" s="79"/>
    </row>
    <row r="551" s="78" customFormat="1" ht="16.5" customHeight="1" spans="1:9">
      <c r="A551" s="79"/>
      <c r="B551" s="79"/>
      <c r="C551" s="79"/>
      <c r="D551" s="81">
        <v>45427</v>
      </c>
      <c r="E551" s="82">
        <v>22200.55</v>
      </c>
      <c r="G551" s="79"/>
      <c r="H551" s="79"/>
      <c r="I551" s="79"/>
    </row>
    <row r="552" s="78" customFormat="1" ht="16.5" customHeight="1" spans="1:9">
      <c r="A552" s="79"/>
      <c r="B552" s="79"/>
      <c r="C552" s="79"/>
      <c r="D552" s="81">
        <v>45426</v>
      </c>
      <c r="E552" s="82">
        <v>22217.85</v>
      </c>
      <c r="G552" s="79"/>
      <c r="H552" s="79"/>
      <c r="I552" s="79"/>
    </row>
    <row r="553" s="78" customFormat="1" ht="16.5" customHeight="1" spans="1:9">
      <c r="A553" s="79"/>
      <c r="B553" s="79"/>
      <c r="C553" s="79"/>
      <c r="D553" s="81">
        <v>45425</v>
      </c>
      <c r="E553" s="82">
        <v>22104.05</v>
      </c>
      <c r="G553" s="79"/>
      <c r="H553" s="79"/>
      <c r="I553" s="79"/>
    </row>
    <row r="554" s="78" customFormat="1" ht="16.5" customHeight="1" spans="1:9">
      <c r="A554" s="79"/>
      <c r="B554" s="79"/>
      <c r="C554" s="79"/>
      <c r="D554" s="81">
        <v>45422</v>
      </c>
      <c r="E554" s="82">
        <v>22055.2</v>
      </c>
      <c r="G554" s="79"/>
      <c r="H554" s="79"/>
      <c r="I554" s="79"/>
    </row>
    <row r="555" s="78" customFormat="1" ht="16.5" customHeight="1" spans="1:9">
      <c r="A555" s="79"/>
      <c r="B555" s="79"/>
      <c r="C555" s="79"/>
      <c r="D555" s="81">
        <v>45421</v>
      </c>
      <c r="E555" s="82">
        <v>21957.5</v>
      </c>
      <c r="G555" s="79"/>
      <c r="H555" s="79"/>
      <c r="I555" s="79"/>
    </row>
    <row r="556" s="78" customFormat="1" ht="16.5" customHeight="1" spans="1:9">
      <c r="A556" s="79"/>
      <c r="B556" s="79"/>
      <c r="C556" s="79"/>
      <c r="D556" s="81">
        <v>45420</v>
      </c>
      <c r="E556" s="82">
        <v>22302.5</v>
      </c>
      <c r="G556" s="79"/>
      <c r="H556" s="79"/>
      <c r="I556" s="79"/>
    </row>
    <row r="557" s="78" customFormat="1" ht="16.5" customHeight="1" spans="1:9">
      <c r="A557" s="79"/>
      <c r="B557" s="79"/>
      <c r="C557" s="79"/>
      <c r="D557" s="81">
        <v>45419</v>
      </c>
      <c r="E557" s="82">
        <v>22302.5</v>
      </c>
      <c r="G557" s="79"/>
      <c r="H557" s="79"/>
      <c r="I557" s="79"/>
    </row>
    <row r="558" s="78" customFormat="1" ht="16.5" customHeight="1" spans="1:9">
      <c r="A558" s="79"/>
      <c r="B558" s="79"/>
      <c r="C558" s="79"/>
      <c r="D558" s="81">
        <v>45418</v>
      </c>
      <c r="E558" s="82">
        <v>22442.7</v>
      </c>
      <c r="G558" s="79"/>
      <c r="H558" s="79"/>
      <c r="I558" s="79"/>
    </row>
    <row r="559" s="78" customFormat="1" ht="16.5" customHeight="1" spans="1:9">
      <c r="A559" s="79"/>
      <c r="B559" s="79"/>
      <c r="C559" s="79"/>
      <c r="D559" s="81">
        <v>45415</v>
      </c>
      <c r="E559" s="82">
        <v>22475.85</v>
      </c>
      <c r="G559" s="79"/>
      <c r="H559" s="79"/>
      <c r="I559" s="79"/>
    </row>
    <row r="560" s="78" customFormat="1" ht="16.5" customHeight="1" spans="1:9">
      <c r="A560" s="79"/>
      <c r="B560" s="79"/>
      <c r="C560" s="79"/>
      <c r="D560" s="81">
        <v>45414</v>
      </c>
      <c r="E560" s="82">
        <v>22648.2</v>
      </c>
      <c r="G560" s="79"/>
      <c r="H560" s="79"/>
      <c r="I560" s="79"/>
    </row>
    <row r="561" s="78" customFormat="1" ht="16.5" customHeight="1" spans="1:9">
      <c r="A561" s="79"/>
      <c r="B561" s="79"/>
      <c r="C561" s="79"/>
      <c r="D561" s="81">
        <v>45412</v>
      </c>
      <c r="E561" s="82">
        <v>22604.85</v>
      </c>
      <c r="G561" s="79"/>
      <c r="H561" s="79"/>
      <c r="I561" s="79"/>
    </row>
    <row r="562" s="78" customFormat="1" ht="16.5" customHeight="1" spans="1:9">
      <c r="A562" s="79"/>
      <c r="B562" s="79"/>
      <c r="C562" s="79"/>
      <c r="D562" s="81">
        <v>45411</v>
      </c>
      <c r="E562" s="82">
        <v>22643.4</v>
      </c>
      <c r="G562" s="79"/>
      <c r="H562" s="79"/>
      <c r="I562" s="79"/>
    </row>
    <row r="563" s="78" customFormat="1" ht="16.5" customHeight="1" spans="1:9">
      <c r="A563" s="79"/>
      <c r="B563" s="79"/>
      <c r="C563" s="79"/>
      <c r="D563" s="81">
        <v>45408</v>
      </c>
      <c r="E563" s="82">
        <v>22419.95</v>
      </c>
      <c r="G563" s="79"/>
      <c r="H563" s="79"/>
      <c r="I563" s="79"/>
    </row>
    <row r="564" s="78" customFormat="1" ht="16.5" customHeight="1" spans="1:9">
      <c r="A564" s="79"/>
      <c r="B564" s="79"/>
      <c r="C564" s="79"/>
      <c r="D564" s="81">
        <v>45407</v>
      </c>
      <c r="E564" s="82">
        <v>22570.35</v>
      </c>
      <c r="G564" s="79"/>
      <c r="H564" s="79"/>
      <c r="I564" s="79"/>
    </row>
    <row r="565" s="78" customFormat="1" ht="16.5" customHeight="1" spans="1:9">
      <c r="A565" s="79"/>
      <c r="B565" s="79"/>
      <c r="C565" s="79"/>
      <c r="D565" s="81">
        <v>45406</v>
      </c>
      <c r="E565" s="82">
        <v>22402.4</v>
      </c>
      <c r="G565" s="79"/>
      <c r="H565" s="79"/>
      <c r="I565" s="79"/>
    </row>
    <row r="566" s="78" customFormat="1" ht="16.5" customHeight="1" spans="1:9">
      <c r="A566" s="79"/>
      <c r="B566" s="79"/>
      <c r="C566" s="79"/>
      <c r="D566" s="81">
        <v>45405</v>
      </c>
      <c r="E566" s="82">
        <v>22368</v>
      </c>
      <c r="G566" s="79"/>
      <c r="H566" s="79"/>
      <c r="I566" s="79"/>
    </row>
    <row r="567" s="78" customFormat="1" ht="16.5" customHeight="1" spans="1:9">
      <c r="A567" s="79"/>
      <c r="B567" s="79"/>
      <c r="C567" s="79"/>
      <c r="D567" s="81">
        <v>45404</v>
      </c>
      <c r="E567" s="82">
        <v>22336.4</v>
      </c>
      <c r="G567" s="79"/>
      <c r="H567" s="79"/>
      <c r="I567" s="79"/>
    </row>
    <row r="568" s="78" customFormat="1" ht="16.5" customHeight="1" spans="1:9">
      <c r="A568" s="79"/>
      <c r="B568" s="79"/>
      <c r="C568" s="79"/>
      <c r="D568" s="81">
        <v>45401</v>
      </c>
      <c r="E568" s="82">
        <v>22147</v>
      </c>
      <c r="G568" s="79"/>
      <c r="H568" s="79"/>
      <c r="I568" s="79"/>
    </row>
    <row r="569" s="78" customFormat="1" ht="16.5" customHeight="1" spans="1:9">
      <c r="A569" s="79"/>
      <c r="B569" s="79"/>
      <c r="C569" s="79"/>
      <c r="D569" s="81">
        <v>45400</v>
      </c>
      <c r="E569" s="82">
        <v>21995.85</v>
      </c>
      <c r="G569" s="79"/>
      <c r="H569" s="79"/>
      <c r="I569" s="79"/>
    </row>
    <row r="570" s="78" customFormat="1" ht="16.5" customHeight="1" spans="1:9">
      <c r="A570" s="79"/>
      <c r="B570" s="79"/>
      <c r="C570" s="79"/>
      <c r="D570" s="81">
        <v>45398</v>
      </c>
      <c r="E570" s="82">
        <v>22147.9</v>
      </c>
      <c r="G570" s="79"/>
      <c r="H570" s="79"/>
      <c r="I570" s="79"/>
    </row>
    <row r="571" s="78" customFormat="1" ht="16.5" customHeight="1" spans="1:9">
      <c r="A571" s="79"/>
      <c r="B571" s="79"/>
      <c r="C571" s="79"/>
      <c r="D571" s="81">
        <v>45397</v>
      </c>
      <c r="E571" s="82">
        <v>22272.5</v>
      </c>
      <c r="G571" s="79"/>
      <c r="H571" s="79"/>
      <c r="I571" s="79"/>
    </row>
    <row r="572" s="78" customFormat="1" ht="16.5" customHeight="1" spans="1:9">
      <c r="A572" s="79"/>
      <c r="B572" s="79"/>
      <c r="C572" s="79"/>
      <c r="D572" s="81">
        <v>45394</v>
      </c>
      <c r="E572" s="82">
        <v>22519.4</v>
      </c>
      <c r="G572" s="79"/>
      <c r="H572" s="79"/>
      <c r="I572" s="79"/>
    </row>
    <row r="573" s="78" customFormat="1" ht="16.5" customHeight="1" spans="1:9">
      <c r="A573" s="79"/>
      <c r="B573" s="79"/>
      <c r="C573" s="79"/>
      <c r="D573" s="81">
        <v>45392</v>
      </c>
      <c r="E573" s="82">
        <v>22753.8</v>
      </c>
      <c r="G573" s="79"/>
      <c r="H573" s="79"/>
      <c r="I573" s="79"/>
    </row>
    <row r="574" s="78" customFormat="1" ht="16.5" customHeight="1" spans="1:9">
      <c r="A574" s="79"/>
      <c r="B574" s="79"/>
      <c r="C574" s="79"/>
      <c r="D574" s="81">
        <v>45391</v>
      </c>
      <c r="E574" s="82">
        <v>22642.75</v>
      </c>
      <c r="G574" s="79"/>
      <c r="H574" s="79"/>
      <c r="I574" s="79"/>
    </row>
    <row r="575" s="78" customFormat="1" ht="16.5" customHeight="1" spans="1:9">
      <c r="A575" s="79"/>
      <c r="B575" s="79"/>
      <c r="C575" s="79"/>
      <c r="D575" s="81">
        <v>45390</v>
      </c>
      <c r="E575" s="82">
        <v>22666.3</v>
      </c>
      <c r="G575" s="79"/>
      <c r="H575" s="79"/>
      <c r="I575" s="79"/>
    </row>
    <row r="576" s="78" customFormat="1" ht="16.5" customHeight="1" spans="1:9">
      <c r="A576" s="79"/>
      <c r="B576" s="79"/>
      <c r="C576" s="79"/>
      <c r="D576" s="81">
        <v>45387</v>
      </c>
      <c r="E576" s="82">
        <v>22513.7</v>
      </c>
      <c r="G576" s="79"/>
      <c r="H576" s="79"/>
      <c r="I576" s="79"/>
    </row>
    <row r="577" s="78" customFormat="1" ht="16.5" customHeight="1" spans="1:9">
      <c r="A577" s="79"/>
      <c r="B577" s="79"/>
      <c r="C577" s="79"/>
      <c r="D577" s="81">
        <v>45386</v>
      </c>
      <c r="E577" s="82">
        <v>22514.65</v>
      </c>
      <c r="G577" s="79"/>
      <c r="H577" s="79"/>
      <c r="I577" s="79"/>
    </row>
    <row r="578" s="78" customFormat="1" ht="16.5" customHeight="1" spans="1:9">
      <c r="A578" s="79"/>
      <c r="B578" s="79"/>
      <c r="C578" s="79"/>
      <c r="D578" s="81">
        <v>45385</v>
      </c>
      <c r="E578" s="82">
        <v>22434.65</v>
      </c>
      <c r="G578" s="79"/>
      <c r="H578" s="79"/>
      <c r="I578" s="79"/>
    </row>
    <row r="579" s="78" customFormat="1" ht="16.5" customHeight="1" spans="1:9">
      <c r="A579" s="79"/>
      <c r="B579" s="79"/>
      <c r="C579" s="79"/>
      <c r="D579" s="81">
        <v>45384</v>
      </c>
      <c r="E579" s="82">
        <v>22453.3</v>
      </c>
      <c r="G579" s="79"/>
      <c r="H579" s="79"/>
      <c r="I579" s="79"/>
    </row>
    <row r="580" s="78" customFormat="1" ht="16.5" customHeight="1" spans="1:9">
      <c r="A580" s="79"/>
      <c r="B580" s="79"/>
      <c r="C580" s="79"/>
      <c r="D580" s="81">
        <v>45383</v>
      </c>
      <c r="E580" s="82">
        <v>22462</v>
      </c>
      <c r="G580" s="79"/>
      <c r="H580" s="79"/>
      <c r="I580" s="79"/>
    </row>
    <row r="581" s="78" customFormat="1" ht="16.5" customHeight="1" spans="1:9">
      <c r="A581" s="79"/>
      <c r="B581" s="79"/>
      <c r="C581" s="79"/>
      <c r="D581" s="81">
        <v>45379</v>
      </c>
      <c r="E581" s="82">
        <v>22326.9</v>
      </c>
      <c r="G581" s="79"/>
      <c r="H581" s="79"/>
      <c r="I581" s="79"/>
    </row>
    <row r="582" s="78" customFormat="1" ht="16.5" customHeight="1" spans="1:9">
      <c r="A582" s="79"/>
      <c r="B582" s="79"/>
      <c r="C582" s="79"/>
      <c r="D582" s="81">
        <v>45378</v>
      </c>
      <c r="E582" s="82">
        <v>22123.65</v>
      </c>
      <c r="G582" s="79"/>
      <c r="H582" s="79"/>
      <c r="I582" s="79"/>
    </row>
    <row r="583" s="78" customFormat="1" ht="16.5" customHeight="1" spans="1:9">
      <c r="A583" s="79"/>
      <c r="B583" s="79"/>
      <c r="C583" s="79"/>
      <c r="D583" s="81">
        <v>45377</v>
      </c>
      <c r="E583" s="82">
        <v>22004.7</v>
      </c>
      <c r="G583" s="79"/>
      <c r="H583" s="79"/>
      <c r="I583" s="79"/>
    </row>
    <row r="584" s="78" customFormat="1" ht="16.5" customHeight="1" spans="1:9">
      <c r="A584" s="79"/>
      <c r="B584" s="79"/>
      <c r="C584" s="79"/>
      <c r="D584" s="81">
        <v>45373</v>
      </c>
      <c r="E584" s="82">
        <v>22096.75</v>
      </c>
      <c r="G584" s="79"/>
      <c r="H584" s="79"/>
      <c r="I584" s="79"/>
    </row>
    <row r="585" s="78" customFormat="1" ht="16.5" customHeight="1" spans="1:9">
      <c r="A585" s="79"/>
      <c r="B585" s="79"/>
      <c r="C585" s="79"/>
      <c r="D585" s="81">
        <v>45372</v>
      </c>
      <c r="E585" s="82">
        <v>22011.95</v>
      </c>
      <c r="G585" s="79"/>
      <c r="H585" s="79"/>
      <c r="I585" s="79"/>
    </row>
    <row r="586" s="78" customFormat="1" ht="16.5" customHeight="1" spans="1:9">
      <c r="A586" s="79"/>
      <c r="B586" s="79"/>
      <c r="C586" s="79"/>
      <c r="D586" s="81">
        <v>45371</v>
      </c>
      <c r="E586" s="82">
        <v>21839.1</v>
      </c>
      <c r="G586" s="79"/>
      <c r="H586" s="79"/>
      <c r="I586" s="79"/>
    </row>
    <row r="587" s="78" customFormat="1" ht="16.5" customHeight="1" spans="1:9">
      <c r="A587" s="79"/>
      <c r="B587" s="79"/>
      <c r="C587" s="79"/>
      <c r="D587" s="81">
        <v>45370</v>
      </c>
      <c r="E587" s="82">
        <v>21817.45</v>
      </c>
      <c r="G587" s="79"/>
      <c r="H587" s="79"/>
      <c r="I587" s="79"/>
    </row>
    <row r="588" s="78" customFormat="1" ht="16.5" customHeight="1" spans="1:9">
      <c r="A588" s="79"/>
      <c r="B588" s="79"/>
      <c r="C588" s="79"/>
      <c r="D588" s="81">
        <v>45369</v>
      </c>
      <c r="E588" s="82">
        <v>22055.7</v>
      </c>
      <c r="G588" s="79"/>
      <c r="H588" s="79"/>
      <c r="I588" s="79"/>
    </row>
    <row r="589" s="78" customFormat="1" ht="16.5" customHeight="1" spans="1:9">
      <c r="A589" s="79"/>
      <c r="B589" s="79"/>
      <c r="C589" s="79"/>
      <c r="D589" s="81">
        <v>45366</v>
      </c>
      <c r="E589" s="82">
        <v>22023.35</v>
      </c>
      <c r="G589" s="79"/>
      <c r="H589" s="79"/>
      <c r="I589" s="79"/>
    </row>
    <row r="590" s="78" customFormat="1" ht="16.5" customHeight="1" spans="1:9">
      <c r="A590" s="79"/>
      <c r="B590" s="79"/>
      <c r="C590" s="79"/>
      <c r="D590" s="81">
        <v>45365</v>
      </c>
      <c r="E590" s="82">
        <v>22146.65</v>
      </c>
      <c r="G590" s="79"/>
      <c r="H590" s="79"/>
      <c r="I590" s="79"/>
    </row>
    <row r="591" s="78" customFormat="1" ht="16.5" customHeight="1" spans="1:9">
      <c r="A591" s="79"/>
      <c r="B591" s="79"/>
      <c r="C591" s="79"/>
      <c r="D591" s="81">
        <v>45364</v>
      </c>
      <c r="E591" s="82">
        <v>21997.7</v>
      </c>
      <c r="G591" s="79"/>
      <c r="H591" s="79"/>
      <c r="I591" s="79"/>
    </row>
    <row r="592" s="78" customFormat="1" ht="16.5" customHeight="1" spans="1:9">
      <c r="A592" s="79"/>
      <c r="B592" s="79"/>
      <c r="C592" s="79"/>
      <c r="D592" s="81">
        <v>45363</v>
      </c>
      <c r="E592" s="82">
        <v>22335.7</v>
      </c>
      <c r="G592" s="79"/>
      <c r="H592" s="79"/>
      <c r="I592" s="79"/>
    </row>
    <row r="593" s="78" customFormat="1" ht="16.5" customHeight="1" spans="1:9">
      <c r="A593" s="79"/>
      <c r="B593" s="79"/>
      <c r="C593" s="79"/>
      <c r="D593" s="81">
        <v>45362</v>
      </c>
      <c r="E593" s="82">
        <v>22332.65</v>
      </c>
      <c r="G593" s="79"/>
      <c r="H593" s="79"/>
      <c r="I593" s="79"/>
    </row>
    <row r="594" s="78" customFormat="1" ht="16.5" customHeight="1" spans="1:9">
      <c r="A594" s="79"/>
      <c r="B594" s="79"/>
      <c r="C594" s="79"/>
      <c r="D594" s="81">
        <v>45358</v>
      </c>
      <c r="E594" s="82">
        <v>22493.55</v>
      </c>
      <c r="G594" s="79"/>
      <c r="H594" s="79"/>
      <c r="I594" s="79"/>
    </row>
    <row r="595" s="78" customFormat="1" ht="16.5" customHeight="1" spans="1:9">
      <c r="A595" s="79"/>
      <c r="B595" s="79"/>
      <c r="C595" s="79"/>
      <c r="D595" s="81">
        <v>45357</v>
      </c>
      <c r="E595" s="82">
        <v>22474.05</v>
      </c>
      <c r="G595" s="79"/>
      <c r="H595" s="79"/>
      <c r="I595" s="79"/>
    </row>
    <row r="596" s="78" customFormat="1" ht="16.5" customHeight="1" spans="1:9">
      <c r="A596" s="79"/>
      <c r="B596" s="79"/>
      <c r="C596" s="79"/>
      <c r="D596" s="81">
        <v>45356</v>
      </c>
      <c r="E596" s="82">
        <v>22356.3</v>
      </c>
      <c r="G596" s="79"/>
      <c r="H596" s="79"/>
      <c r="I596" s="79"/>
    </row>
    <row r="597" s="78" customFormat="1" ht="16.5" customHeight="1" spans="1:9">
      <c r="A597" s="79"/>
      <c r="B597" s="79"/>
      <c r="C597" s="79"/>
      <c r="D597" s="81">
        <v>45355</v>
      </c>
      <c r="E597" s="82">
        <v>22405.6</v>
      </c>
      <c r="G597" s="79"/>
      <c r="H597" s="79"/>
      <c r="I597" s="79"/>
    </row>
    <row r="598" s="78" customFormat="1" ht="16.5" customHeight="1" spans="1:9">
      <c r="A598" s="79"/>
      <c r="B598" s="79"/>
      <c r="C598" s="79"/>
      <c r="D598" s="81">
        <v>45353</v>
      </c>
      <c r="E598" s="82">
        <v>22378.4</v>
      </c>
      <c r="G598" s="79"/>
      <c r="H598" s="79"/>
      <c r="I598" s="79"/>
    </row>
    <row r="599" s="78" customFormat="1" ht="16.5" customHeight="1" spans="1:9">
      <c r="A599" s="79"/>
      <c r="B599" s="79"/>
      <c r="C599" s="79"/>
      <c r="D599" s="81">
        <v>45352</v>
      </c>
      <c r="E599" s="82">
        <v>22338.75</v>
      </c>
      <c r="G599" s="79"/>
      <c r="H599" s="79"/>
      <c r="I599" s="79"/>
    </row>
    <row r="600" s="78" customFormat="1" ht="16.5" customHeight="1" spans="1:9">
      <c r="A600" s="79"/>
      <c r="B600" s="79"/>
      <c r="C600" s="79"/>
      <c r="D600" s="81">
        <v>45351</v>
      </c>
      <c r="E600" s="82">
        <v>21982.8</v>
      </c>
      <c r="G600" s="79"/>
      <c r="H600" s="79"/>
      <c r="I600" s="79"/>
    </row>
    <row r="601" s="78" customFormat="1" ht="16.5" customHeight="1" spans="1:9">
      <c r="A601" s="79"/>
      <c r="B601" s="79"/>
      <c r="C601" s="79"/>
      <c r="D601" s="81">
        <v>45350</v>
      </c>
      <c r="E601" s="82">
        <v>21951.15</v>
      </c>
      <c r="G601" s="79"/>
      <c r="H601" s="79"/>
      <c r="I601" s="79"/>
    </row>
    <row r="602" s="78" customFormat="1" ht="16.5" customHeight="1" spans="1:9">
      <c r="A602" s="79"/>
      <c r="B602" s="79"/>
      <c r="C602" s="79"/>
      <c r="D602" s="81">
        <v>45349</v>
      </c>
      <c r="E602" s="82">
        <v>22198.35</v>
      </c>
      <c r="G602" s="79"/>
      <c r="H602" s="79"/>
      <c r="I602" s="79"/>
    </row>
    <row r="603" s="78" customFormat="1" ht="16.5" customHeight="1" spans="1:9">
      <c r="A603" s="79"/>
      <c r="B603" s="79"/>
      <c r="C603" s="79"/>
      <c r="D603" s="81">
        <v>45348</v>
      </c>
      <c r="E603" s="82">
        <v>22122.05</v>
      </c>
      <c r="G603" s="79"/>
      <c r="H603" s="79"/>
      <c r="I603" s="79"/>
    </row>
    <row r="604" s="78" customFormat="1" ht="16.5" customHeight="1" spans="1:9">
      <c r="A604" s="79"/>
      <c r="B604" s="79"/>
      <c r="C604" s="79"/>
      <c r="D604" s="81">
        <v>45345</v>
      </c>
      <c r="E604" s="82">
        <v>22212.7</v>
      </c>
      <c r="G604" s="79"/>
      <c r="H604" s="79"/>
      <c r="I604" s="79"/>
    </row>
    <row r="605" s="78" customFormat="1" ht="16.5" customHeight="1" spans="1:9">
      <c r="A605" s="79"/>
      <c r="B605" s="79"/>
      <c r="C605" s="79"/>
      <c r="D605" s="81">
        <v>45344</v>
      </c>
      <c r="E605" s="82">
        <v>22217.45</v>
      </c>
      <c r="G605" s="79"/>
      <c r="H605" s="79"/>
      <c r="I605" s="79"/>
    </row>
    <row r="606" s="78" customFormat="1" ht="16.5" customHeight="1" spans="1:9">
      <c r="A606" s="79"/>
      <c r="B606" s="79"/>
      <c r="C606" s="79"/>
      <c r="D606" s="81">
        <v>45343</v>
      </c>
      <c r="E606" s="82">
        <v>22055.05</v>
      </c>
      <c r="G606" s="79"/>
      <c r="H606" s="79"/>
      <c r="I606" s="79"/>
    </row>
    <row r="607" s="78" customFormat="1" ht="16.5" customHeight="1" spans="1:9">
      <c r="A607" s="79"/>
      <c r="B607" s="79"/>
      <c r="C607" s="79"/>
      <c r="D607" s="81">
        <v>45342</v>
      </c>
      <c r="E607" s="82">
        <v>22196.95</v>
      </c>
      <c r="G607" s="79"/>
      <c r="H607" s="79"/>
      <c r="I607" s="79"/>
    </row>
    <row r="608" s="78" customFormat="1" ht="16.5" customHeight="1" spans="1:9">
      <c r="A608" s="79"/>
      <c r="B608" s="79"/>
      <c r="C608" s="79"/>
      <c r="D608" s="81">
        <v>45341</v>
      </c>
      <c r="E608" s="82">
        <v>22122.25</v>
      </c>
      <c r="G608" s="79"/>
      <c r="H608" s="79"/>
      <c r="I608" s="79"/>
    </row>
    <row r="609" s="78" customFormat="1" ht="16.5" customHeight="1" spans="1:9">
      <c r="A609" s="79"/>
      <c r="B609" s="79"/>
      <c r="C609" s="79"/>
      <c r="D609" s="81">
        <v>45338</v>
      </c>
      <c r="E609" s="82">
        <v>22040.7</v>
      </c>
      <c r="G609" s="79"/>
      <c r="H609" s="79"/>
      <c r="I609" s="79"/>
    </row>
    <row r="610" s="78" customFormat="1" ht="16.5" customHeight="1" spans="1:9">
      <c r="A610" s="79"/>
      <c r="B610" s="79"/>
      <c r="C610" s="79"/>
      <c r="D610" s="81">
        <v>45337</v>
      </c>
      <c r="E610" s="82">
        <v>21910.75</v>
      </c>
      <c r="G610" s="79"/>
      <c r="H610" s="79"/>
      <c r="I610" s="79"/>
    </row>
    <row r="611" s="78" customFormat="1" ht="16.5" customHeight="1" spans="1:9">
      <c r="A611" s="79"/>
      <c r="B611" s="79"/>
      <c r="C611" s="79"/>
      <c r="D611" s="81">
        <v>45336</v>
      </c>
      <c r="E611" s="82">
        <v>21840.05</v>
      </c>
      <c r="G611" s="79"/>
      <c r="H611" s="79"/>
      <c r="I611" s="79"/>
    </row>
    <row r="612" s="78" customFormat="1" ht="16.5" customHeight="1" spans="1:9">
      <c r="A612" s="79"/>
      <c r="B612" s="79"/>
      <c r="C612" s="79"/>
      <c r="D612" s="81">
        <v>45335</v>
      </c>
      <c r="E612" s="82">
        <v>21743.25</v>
      </c>
      <c r="G612" s="79"/>
      <c r="H612" s="79"/>
      <c r="I612" s="79"/>
    </row>
    <row r="613" s="78" customFormat="1" ht="16.5" customHeight="1" spans="1:9">
      <c r="A613" s="79"/>
      <c r="B613" s="79"/>
      <c r="C613" s="79"/>
      <c r="D613" s="81">
        <v>45334</v>
      </c>
      <c r="E613" s="82">
        <v>21616.05</v>
      </c>
      <c r="G613" s="79"/>
      <c r="H613" s="79"/>
      <c r="I613" s="79"/>
    </row>
    <row r="614" s="78" customFormat="1" ht="16.5" customHeight="1" spans="1:9">
      <c r="A614" s="79"/>
      <c r="B614" s="79"/>
      <c r="C614" s="79"/>
      <c r="D614" s="81">
        <v>45331</v>
      </c>
      <c r="E614" s="82">
        <v>21782.5</v>
      </c>
      <c r="G614" s="79"/>
      <c r="H614" s="79"/>
      <c r="I614" s="79"/>
    </row>
    <row r="615" s="78" customFormat="1" ht="16.5" customHeight="1" spans="1:9">
      <c r="A615" s="79"/>
      <c r="B615" s="79"/>
      <c r="C615" s="79"/>
      <c r="D615" s="81">
        <v>45330</v>
      </c>
      <c r="E615" s="82">
        <v>21717.95</v>
      </c>
      <c r="G615" s="79"/>
      <c r="H615" s="79"/>
      <c r="I615" s="79"/>
    </row>
    <row r="616" s="78" customFormat="1" ht="16.5" customHeight="1" spans="1:9">
      <c r="A616" s="79"/>
      <c r="B616" s="79"/>
      <c r="C616" s="79"/>
      <c r="D616" s="81">
        <v>45329</v>
      </c>
      <c r="E616" s="82">
        <v>21930.5</v>
      </c>
      <c r="G616" s="79"/>
      <c r="H616" s="79"/>
      <c r="I616" s="79"/>
    </row>
    <row r="617" s="78" customFormat="1" ht="16.5" customHeight="1" spans="1:9">
      <c r="A617" s="79"/>
      <c r="B617" s="79"/>
      <c r="C617" s="79"/>
      <c r="D617" s="81">
        <v>45328</v>
      </c>
      <c r="E617" s="82">
        <v>21929.4</v>
      </c>
      <c r="G617" s="79"/>
      <c r="H617" s="79"/>
      <c r="I617" s="79"/>
    </row>
    <row r="618" s="78" customFormat="1" ht="16.5" customHeight="1" spans="1:9">
      <c r="A618" s="79"/>
      <c r="B618" s="79"/>
      <c r="C618" s="79"/>
      <c r="D618" s="81">
        <v>45327</v>
      </c>
      <c r="E618" s="82">
        <v>21771.7</v>
      </c>
      <c r="G618" s="79"/>
      <c r="H618" s="79"/>
      <c r="I618" s="79"/>
    </row>
    <row r="619" s="78" customFormat="1" ht="16.5" customHeight="1" spans="1:9">
      <c r="A619" s="79"/>
      <c r="B619" s="79"/>
      <c r="C619" s="79"/>
      <c r="D619" s="81">
        <v>45324</v>
      </c>
      <c r="E619" s="82">
        <v>21853.8</v>
      </c>
      <c r="G619" s="79"/>
      <c r="H619" s="79"/>
      <c r="I619" s="79"/>
    </row>
    <row r="620" s="78" customFormat="1" ht="16.5" customHeight="1" spans="1:9">
      <c r="A620" s="79"/>
      <c r="B620" s="79"/>
      <c r="C620" s="79"/>
      <c r="D620" s="81">
        <v>45323</v>
      </c>
      <c r="E620" s="82">
        <v>21697.45</v>
      </c>
      <c r="G620" s="79"/>
      <c r="H620" s="79"/>
      <c r="I620" s="79"/>
    </row>
    <row r="621" s="78" customFormat="1" ht="16.5" customHeight="1" spans="1:9">
      <c r="A621" s="79"/>
      <c r="B621" s="79"/>
      <c r="C621" s="79"/>
      <c r="D621" s="81">
        <v>45322</v>
      </c>
      <c r="E621" s="82">
        <v>21725.7</v>
      </c>
      <c r="G621" s="79"/>
      <c r="H621" s="79"/>
      <c r="I621" s="79"/>
    </row>
    <row r="622" s="78" customFormat="1" ht="16.5" customHeight="1" spans="1:9">
      <c r="A622" s="79"/>
      <c r="B622" s="79"/>
      <c r="C622" s="79"/>
      <c r="D622" s="81">
        <v>45321</v>
      </c>
      <c r="E622" s="82">
        <v>21522.1</v>
      </c>
      <c r="G622" s="79"/>
      <c r="H622" s="79"/>
      <c r="I622" s="79"/>
    </row>
    <row r="623" s="78" customFormat="1" ht="16.5" customHeight="1" spans="1:9">
      <c r="A623" s="79"/>
      <c r="B623" s="79"/>
      <c r="C623" s="79"/>
      <c r="D623" s="81">
        <v>45320</v>
      </c>
      <c r="E623" s="82">
        <v>21737.6</v>
      </c>
      <c r="G623" s="79"/>
      <c r="H623" s="79"/>
      <c r="I623" s="79"/>
    </row>
    <row r="624" s="78" customFormat="1" ht="16.5" customHeight="1" spans="1:9">
      <c r="A624" s="79"/>
      <c r="B624" s="79"/>
      <c r="C624" s="79"/>
      <c r="D624" s="81">
        <v>45316</v>
      </c>
      <c r="E624" s="82">
        <v>21352.6</v>
      </c>
      <c r="G624" s="79"/>
      <c r="H624" s="79"/>
      <c r="I624" s="79"/>
    </row>
    <row r="625" s="78" customFormat="1" ht="16.5" customHeight="1" spans="1:9">
      <c r="A625" s="79"/>
      <c r="B625" s="79"/>
      <c r="C625" s="79"/>
      <c r="D625" s="81">
        <v>45315</v>
      </c>
      <c r="E625" s="82">
        <v>21453.95</v>
      </c>
      <c r="G625" s="79"/>
      <c r="H625" s="79"/>
      <c r="I625" s="79"/>
    </row>
    <row r="626" s="78" customFormat="1" ht="16.5" customHeight="1" spans="1:9">
      <c r="A626" s="79"/>
      <c r="B626" s="79"/>
      <c r="C626" s="79"/>
      <c r="D626" s="81">
        <v>45314</v>
      </c>
      <c r="E626" s="82">
        <v>21238.8</v>
      </c>
      <c r="G626" s="79"/>
      <c r="H626" s="79"/>
      <c r="I626" s="79"/>
    </row>
    <row r="627" s="78" customFormat="1" ht="16.5" customHeight="1" spans="1:9">
      <c r="A627" s="79"/>
      <c r="B627" s="79"/>
      <c r="C627" s="79"/>
      <c r="D627" s="81">
        <v>45311</v>
      </c>
      <c r="E627" s="82">
        <v>21571.8</v>
      </c>
      <c r="G627" s="79"/>
      <c r="H627" s="79"/>
      <c r="I627" s="79"/>
    </row>
    <row r="628" s="78" customFormat="1" ht="16.5" customHeight="1" spans="1:9">
      <c r="A628" s="79"/>
      <c r="B628" s="79"/>
      <c r="C628" s="79"/>
      <c r="D628" s="81">
        <v>45310</v>
      </c>
      <c r="E628" s="82">
        <v>21622.4</v>
      </c>
      <c r="G628" s="79"/>
      <c r="H628" s="79"/>
      <c r="I628" s="79"/>
    </row>
    <row r="629" s="78" customFormat="1" ht="16.5" customHeight="1" spans="1:9">
      <c r="A629" s="79"/>
      <c r="B629" s="79"/>
      <c r="C629" s="79"/>
      <c r="D629" s="81">
        <v>45309</v>
      </c>
      <c r="E629" s="82">
        <v>21462.25</v>
      </c>
      <c r="G629" s="79"/>
      <c r="H629" s="79"/>
      <c r="I629" s="79"/>
    </row>
    <row r="630" s="78" customFormat="1" ht="16.5" customHeight="1" spans="1:9">
      <c r="A630" s="79"/>
      <c r="B630" s="79"/>
      <c r="C630" s="79"/>
      <c r="D630" s="81">
        <v>45308</v>
      </c>
      <c r="E630" s="82">
        <v>21571.95</v>
      </c>
      <c r="G630" s="79"/>
      <c r="H630" s="79"/>
      <c r="I630" s="79"/>
    </row>
    <row r="631" s="78" customFormat="1" ht="16.5" customHeight="1" spans="1:9">
      <c r="A631" s="79"/>
      <c r="B631" s="79"/>
      <c r="C631" s="79"/>
      <c r="D631" s="81">
        <v>45307</v>
      </c>
      <c r="E631" s="82">
        <v>22032.3</v>
      </c>
      <c r="G631" s="79"/>
      <c r="H631" s="79"/>
      <c r="I631" s="79"/>
    </row>
    <row r="632" s="78" customFormat="1" ht="16.5" customHeight="1" spans="1:9">
      <c r="A632" s="79"/>
      <c r="B632" s="79"/>
      <c r="C632" s="79"/>
      <c r="D632" s="81">
        <v>45306</v>
      </c>
      <c r="E632" s="82">
        <v>22097.45</v>
      </c>
      <c r="G632" s="79"/>
      <c r="H632" s="79"/>
      <c r="I632" s="79"/>
    </row>
    <row r="633" s="78" customFormat="1" ht="16.5" customHeight="1" spans="1:9">
      <c r="A633" s="79"/>
      <c r="B633" s="79"/>
      <c r="C633" s="79"/>
      <c r="D633" s="81">
        <v>45303</v>
      </c>
      <c r="E633" s="82">
        <v>21894.55</v>
      </c>
      <c r="G633" s="79"/>
      <c r="H633" s="79"/>
      <c r="I633" s="79"/>
    </row>
    <row r="634" s="78" customFormat="1" ht="16.5" customHeight="1" spans="1:9">
      <c r="A634" s="79"/>
      <c r="B634" s="79"/>
      <c r="C634" s="79"/>
      <c r="D634" s="81">
        <v>45302</v>
      </c>
      <c r="E634" s="82">
        <v>21647.2</v>
      </c>
      <c r="G634" s="79"/>
      <c r="H634" s="79"/>
      <c r="I634" s="79"/>
    </row>
    <row r="635" s="78" customFormat="1" ht="16.5" customHeight="1" spans="1:9">
      <c r="A635" s="79"/>
      <c r="B635" s="79"/>
      <c r="C635" s="79"/>
      <c r="D635" s="81">
        <v>45301</v>
      </c>
      <c r="E635" s="82">
        <v>21618.7</v>
      </c>
      <c r="G635" s="79"/>
      <c r="H635" s="79"/>
      <c r="I635" s="79"/>
    </row>
    <row r="636" s="78" customFormat="1" ht="16.5" customHeight="1" spans="1:9">
      <c r="A636" s="79"/>
      <c r="B636" s="79"/>
      <c r="C636" s="79"/>
      <c r="D636" s="81">
        <v>45300</v>
      </c>
      <c r="E636" s="82">
        <v>21544.85</v>
      </c>
      <c r="G636" s="79"/>
      <c r="H636" s="79"/>
      <c r="I636" s="79"/>
    </row>
    <row r="637" s="78" customFormat="1" ht="16.5" customHeight="1" spans="1:9">
      <c r="A637" s="79"/>
      <c r="B637" s="79"/>
      <c r="C637" s="79"/>
      <c r="D637" s="81">
        <v>45299</v>
      </c>
      <c r="E637" s="82">
        <v>21513</v>
      </c>
      <c r="G637" s="79"/>
      <c r="H637" s="79"/>
      <c r="I637" s="79"/>
    </row>
    <row r="638" s="78" customFormat="1" ht="16.5" customHeight="1" spans="1:9">
      <c r="A638" s="79"/>
      <c r="B638" s="79"/>
      <c r="C638" s="79"/>
      <c r="D638" s="81">
        <v>45296</v>
      </c>
      <c r="E638" s="82">
        <v>21710.8</v>
      </c>
      <c r="G638" s="79"/>
      <c r="H638" s="79"/>
      <c r="I638" s="79"/>
    </row>
    <row r="639" s="78" customFormat="1" ht="16.5" customHeight="1" spans="1:9">
      <c r="A639" s="79"/>
      <c r="B639" s="79"/>
      <c r="C639" s="79"/>
      <c r="D639" s="81">
        <v>45295</v>
      </c>
      <c r="E639" s="82">
        <v>21658.6</v>
      </c>
      <c r="G639" s="79"/>
      <c r="H639" s="79"/>
      <c r="I639" s="79"/>
    </row>
    <row r="640" s="78" customFormat="1" ht="16.5" customHeight="1" spans="1:9">
      <c r="A640" s="79"/>
      <c r="B640" s="79"/>
      <c r="C640" s="79"/>
      <c r="D640" s="81">
        <v>45294</v>
      </c>
      <c r="E640" s="82">
        <v>21517.35</v>
      </c>
      <c r="G640" s="79"/>
      <c r="H640" s="79"/>
      <c r="I640" s="79"/>
    </row>
    <row r="641" s="78" customFormat="1" ht="16.5" customHeight="1" spans="1:9">
      <c r="A641" s="79"/>
      <c r="B641" s="79"/>
      <c r="C641" s="79"/>
      <c r="D641" s="81">
        <v>45293</v>
      </c>
      <c r="E641" s="82">
        <v>21665.8</v>
      </c>
      <c r="G641" s="79"/>
      <c r="H641" s="79"/>
      <c r="I641" s="79"/>
    </row>
    <row r="642" s="78" customFormat="1" ht="16.5" customHeight="1" spans="1:9">
      <c r="A642" s="79"/>
      <c r="B642" s="79"/>
      <c r="C642" s="79"/>
      <c r="D642" s="81">
        <v>45292</v>
      </c>
      <c r="E642" s="82">
        <v>21741.9</v>
      </c>
      <c r="G642" s="79"/>
      <c r="H642" s="79"/>
      <c r="I642" s="79"/>
    </row>
    <row r="643" s="78" customFormat="1" ht="16.5" customHeight="1" spans="1:9">
      <c r="A643" s="79"/>
      <c r="B643" s="79"/>
      <c r="C643" s="79"/>
      <c r="D643" s="81">
        <v>45289</v>
      </c>
      <c r="E643" s="82">
        <v>21731.4</v>
      </c>
      <c r="G643" s="79"/>
      <c r="H643" s="79"/>
      <c r="I643" s="79"/>
    </row>
    <row r="644" s="78" customFormat="1" ht="16.5" customHeight="1" spans="1:9">
      <c r="A644" s="79"/>
      <c r="B644" s="79"/>
      <c r="C644" s="79"/>
      <c r="D644" s="81">
        <v>45288</v>
      </c>
      <c r="E644" s="82">
        <v>21778.7</v>
      </c>
      <c r="G644" s="79"/>
      <c r="H644" s="79"/>
      <c r="I644" s="79"/>
    </row>
    <row r="645" s="78" customFormat="1" ht="16.5" customHeight="1" spans="1:9">
      <c r="A645" s="79"/>
      <c r="B645" s="79"/>
      <c r="C645" s="79"/>
      <c r="D645" s="81">
        <v>45287</v>
      </c>
      <c r="E645" s="82">
        <v>21654.75</v>
      </c>
      <c r="G645" s="79"/>
      <c r="H645" s="79"/>
      <c r="I645" s="79"/>
    </row>
    <row r="646" s="78" customFormat="1" ht="16.5" customHeight="1" spans="1:9">
      <c r="A646" s="79"/>
      <c r="B646" s="79"/>
      <c r="C646" s="79"/>
      <c r="D646" s="81">
        <v>45286</v>
      </c>
      <c r="E646" s="82">
        <v>21441.35</v>
      </c>
      <c r="G646" s="79"/>
      <c r="H646" s="79"/>
      <c r="I646" s="79"/>
    </row>
    <row r="647" s="78" customFormat="1" ht="16.5" customHeight="1" spans="1:9">
      <c r="A647" s="79"/>
      <c r="B647" s="79"/>
      <c r="C647" s="79"/>
      <c r="D647" s="81">
        <v>45282</v>
      </c>
      <c r="E647" s="82">
        <v>21349.4</v>
      </c>
      <c r="G647" s="79"/>
      <c r="H647" s="79"/>
      <c r="I647" s="79"/>
    </row>
    <row r="648" s="78" customFormat="1" ht="16.5" customHeight="1" spans="1:9">
      <c r="A648" s="79"/>
      <c r="B648" s="79"/>
      <c r="C648" s="79"/>
      <c r="D648" s="81">
        <v>45281</v>
      </c>
      <c r="E648" s="82">
        <v>21255.05</v>
      </c>
      <c r="G648" s="79"/>
      <c r="H648" s="79"/>
      <c r="I648" s="79"/>
    </row>
    <row r="649" s="78" customFormat="1" ht="16.5" customHeight="1" spans="1:9">
      <c r="A649" s="79"/>
      <c r="B649" s="79"/>
      <c r="C649" s="79"/>
      <c r="D649" s="81">
        <v>45280</v>
      </c>
      <c r="E649" s="82">
        <v>21150.15</v>
      </c>
      <c r="G649" s="79"/>
      <c r="H649" s="79"/>
      <c r="I649" s="79"/>
    </row>
    <row r="650" s="78" customFormat="1" ht="16.5" customHeight="1" spans="1:9">
      <c r="A650" s="79"/>
      <c r="B650" s="79"/>
      <c r="C650" s="79"/>
      <c r="D650" s="81">
        <v>45279</v>
      </c>
      <c r="E650" s="82">
        <v>21453.1</v>
      </c>
      <c r="G650" s="79"/>
      <c r="H650" s="79"/>
      <c r="I650" s="79"/>
    </row>
    <row r="651" s="78" customFormat="1" ht="16.5" customHeight="1" spans="1:9">
      <c r="A651" s="79"/>
      <c r="B651" s="79"/>
      <c r="C651" s="79"/>
      <c r="D651" s="81">
        <v>45278</v>
      </c>
      <c r="E651" s="82">
        <v>21418.65</v>
      </c>
      <c r="G651" s="79"/>
      <c r="H651" s="79"/>
      <c r="I651" s="79"/>
    </row>
    <row r="652" s="78" customFormat="1" ht="16.5" customHeight="1" spans="1:9">
      <c r="A652" s="79"/>
      <c r="B652" s="79"/>
      <c r="C652" s="79"/>
      <c r="D652" s="81">
        <v>45275</v>
      </c>
      <c r="E652" s="82">
        <v>21456.65</v>
      </c>
      <c r="G652" s="79"/>
      <c r="H652" s="79"/>
      <c r="I652" s="79"/>
    </row>
    <row r="653" s="78" customFormat="1" ht="16.5" customHeight="1" spans="1:9">
      <c r="A653" s="79"/>
      <c r="B653" s="79"/>
      <c r="C653" s="79"/>
      <c r="D653" s="81">
        <v>45274</v>
      </c>
      <c r="E653" s="82">
        <v>21182.7</v>
      </c>
      <c r="G653" s="79"/>
      <c r="H653" s="79"/>
      <c r="I653" s="79"/>
    </row>
    <row r="654" s="78" customFormat="1" ht="16.5" customHeight="1" spans="1:9">
      <c r="A654" s="79"/>
      <c r="B654" s="79"/>
      <c r="C654" s="79"/>
      <c r="D654" s="81">
        <v>45273</v>
      </c>
      <c r="E654" s="82">
        <v>20926.35</v>
      </c>
      <c r="G654" s="79"/>
      <c r="H654" s="79"/>
      <c r="I654" s="79"/>
    </row>
    <row r="655" s="78" customFormat="1" ht="16.5" customHeight="1" spans="1:9">
      <c r="A655" s="79"/>
      <c r="B655" s="79"/>
      <c r="C655" s="79"/>
      <c r="D655" s="81">
        <v>45272</v>
      </c>
      <c r="E655" s="82">
        <v>20906.4</v>
      </c>
      <c r="G655" s="79"/>
      <c r="H655" s="79"/>
      <c r="I655" s="79"/>
    </row>
    <row r="656" s="78" customFormat="1" ht="16.5" customHeight="1" spans="1:9">
      <c r="A656" s="79"/>
      <c r="B656" s="79"/>
      <c r="C656" s="79"/>
      <c r="D656" s="81">
        <v>45271</v>
      </c>
      <c r="E656" s="82">
        <v>20997.1</v>
      </c>
      <c r="G656" s="79"/>
      <c r="H656" s="79"/>
      <c r="I656" s="79"/>
    </row>
    <row r="657" s="78" customFormat="1" ht="16.5" customHeight="1" spans="1:9">
      <c r="A657" s="79"/>
      <c r="B657" s="79"/>
      <c r="C657" s="79"/>
      <c r="D657" s="81">
        <v>45268</v>
      </c>
      <c r="E657" s="82">
        <v>20969.4</v>
      </c>
      <c r="G657" s="79"/>
      <c r="H657" s="79"/>
      <c r="I657" s="79"/>
    </row>
    <row r="658" s="78" customFormat="1" ht="16.5" customHeight="1" spans="1:9">
      <c r="A658" s="79"/>
      <c r="B658" s="79"/>
      <c r="C658" s="79"/>
      <c r="D658" s="81">
        <v>45267</v>
      </c>
      <c r="E658" s="82">
        <v>20901.15</v>
      </c>
      <c r="G658" s="79"/>
      <c r="H658" s="79"/>
      <c r="I658" s="79"/>
    </row>
    <row r="659" s="78" customFormat="1" ht="16.5" customHeight="1" spans="1:9">
      <c r="A659" s="79"/>
      <c r="B659" s="79"/>
      <c r="C659" s="79"/>
      <c r="D659" s="81">
        <v>45266</v>
      </c>
      <c r="E659" s="82">
        <v>20937.7</v>
      </c>
      <c r="G659" s="79"/>
      <c r="H659" s="79"/>
      <c r="I659" s="79"/>
    </row>
    <row r="660" s="78" customFormat="1" ht="16.5" customHeight="1" spans="1:9">
      <c r="A660" s="79"/>
      <c r="B660" s="79"/>
      <c r="C660" s="79"/>
      <c r="D660" s="81">
        <v>45265</v>
      </c>
      <c r="E660" s="82">
        <v>20855.1</v>
      </c>
      <c r="G660" s="79"/>
      <c r="H660" s="79"/>
      <c r="I660" s="79"/>
    </row>
    <row r="661" s="78" customFormat="1" ht="16.5" customHeight="1" spans="1:9">
      <c r="A661" s="79"/>
      <c r="B661" s="79"/>
      <c r="C661" s="79"/>
      <c r="D661" s="81">
        <v>45264</v>
      </c>
      <c r="E661" s="82">
        <v>20686.8</v>
      </c>
      <c r="G661" s="79"/>
      <c r="H661" s="79"/>
      <c r="I661" s="79"/>
    </row>
    <row r="662" s="78" customFormat="1" ht="16.5" customHeight="1" spans="1:9">
      <c r="A662" s="79"/>
      <c r="B662" s="79"/>
      <c r="C662" s="79"/>
      <c r="D662" s="81">
        <v>45261</v>
      </c>
      <c r="E662" s="82">
        <v>20267.9</v>
      </c>
      <c r="G662" s="79"/>
      <c r="H662" s="79"/>
      <c r="I662" s="79"/>
    </row>
    <row r="663" s="78" customFormat="1" ht="16.5" customHeight="1" spans="1:9">
      <c r="A663" s="79"/>
      <c r="B663" s="79"/>
      <c r="C663" s="79"/>
      <c r="D663" s="81">
        <v>45260</v>
      </c>
      <c r="E663" s="82">
        <v>20133.15</v>
      </c>
      <c r="G663" s="79"/>
      <c r="H663" s="79"/>
      <c r="I663" s="79"/>
    </row>
    <row r="664" s="78" customFormat="1" ht="16.5" customHeight="1" spans="1:9">
      <c r="A664" s="79"/>
      <c r="B664" s="79"/>
      <c r="C664" s="79"/>
      <c r="D664" s="81">
        <v>45259</v>
      </c>
      <c r="E664" s="82">
        <v>20096.6</v>
      </c>
      <c r="G664" s="79"/>
      <c r="H664" s="79"/>
      <c r="I664" s="79"/>
    </row>
    <row r="665" s="78" customFormat="1" ht="16.5" customHeight="1" spans="1:9">
      <c r="A665" s="79"/>
      <c r="B665" s="79"/>
      <c r="C665" s="79"/>
      <c r="D665" s="81">
        <v>45258</v>
      </c>
      <c r="E665" s="82">
        <v>19889.7</v>
      </c>
      <c r="G665" s="79"/>
      <c r="H665" s="79"/>
      <c r="I665" s="79"/>
    </row>
    <row r="666" s="78" customFormat="1" ht="16.5" customHeight="1" spans="1:9">
      <c r="A666" s="79"/>
      <c r="B666" s="79"/>
      <c r="C666" s="79"/>
      <c r="D666" s="81">
        <v>45254</v>
      </c>
      <c r="E666" s="82">
        <v>19794.7</v>
      </c>
      <c r="G666" s="79"/>
      <c r="H666" s="79"/>
      <c r="I666" s="79"/>
    </row>
    <row r="667" s="78" customFormat="1" ht="16.5" customHeight="1" spans="1:9">
      <c r="A667" s="79"/>
      <c r="B667" s="79"/>
      <c r="C667" s="79"/>
      <c r="D667" s="81">
        <v>45253</v>
      </c>
      <c r="E667" s="82">
        <v>19802</v>
      </c>
      <c r="G667" s="79"/>
      <c r="H667" s="79"/>
      <c r="I667" s="79"/>
    </row>
    <row r="668" s="78" customFormat="1" ht="16.5" customHeight="1" spans="1:9">
      <c r="A668" s="79"/>
      <c r="B668" s="79"/>
      <c r="C668" s="79"/>
      <c r="D668" s="81">
        <v>45252</v>
      </c>
      <c r="E668" s="82">
        <v>19811.85</v>
      </c>
      <c r="G668" s="79"/>
      <c r="H668" s="79"/>
      <c r="I668" s="79"/>
    </row>
    <row r="669" s="78" customFormat="1" ht="16.5" customHeight="1" spans="1:9">
      <c r="A669" s="79"/>
      <c r="B669" s="79"/>
      <c r="C669" s="79"/>
      <c r="D669" s="81">
        <v>45251</v>
      </c>
      <c r="E669" s="82">
        <v>19783.4</v>
      </c>
      <c r="G669" s="79"/>
      <c r="H669" s="79"/>
      <c r="I669" s="79"/>
    </row>
    <row r="670" s="78" customFormat="1" ht="16.5" customHeight="1" spans="1:9">
      <c r="A670" s="79"/>
      <c r="B670" s="79"/>
      <c r="C670" s="79"/>
      <c r="D670" s="81">
        <v>45250</v>
      </c>
      <c r="E670" s="82">
        <v>19694</v>
      </c>
      <c r="G670" s="79"/>
      <c r="H670" s="79"/>
      <c r="I670" s="79"/>
    </row>
    <row r="671" s="78" customFormat="1" ht="16.5" customHeight="1" spans="1:9">
      <c r="A671" s="79"/>
      <c r="B671" s="79"/>
      <c r="C671" s="79"/>
      <c r="D671" s="81">
        <v>45247</v>
      </c>
      <c r="E671" s="82">
        <v>19731.8</v>
      </c>
      <c r="G671" s="79"/>
      <c r="H671" s="79"/>
      <c r="I671" s="79"/>
    </row>
    <row r="672" s="78" customFormat="1" ht="16.5" customHeight="1" spans="1:9">
      <c r="A672" s="79"/>
      <c r="B672" s="79"/>
      <c r="C672" s="79"/>
      <c r="D672" s="81">
        <v>45246</v>
      </c>
      <c r="E672" s="82">
        <v>19765.2</v>
      </c>
      <c r="G672" s="79"/>
      <c r="H672" s="79"/>
      <c r="I672" s="79"/>
    </row>
    <row r="673" s="78" customFormat="1" ht="16.5" customHeight="1" spans="1:9">
      <c r="A673" s="79"/>
      <c r="B673" s="79"/>
      <c r="C673" s="79"/>
      <c r="D673" s="81">
        <v>45245</v>
      </c>
      <c r="E673" s="82">
        <v>19675.45</v>
      </c>
      <c r="G673" s="79"/>
      <c r="H673" s="79"/>
      <c r="I673" s="79"/>
    </row>
    <row r="674" s="78" customFormat="1" ht="16.5" customHeight="1" spans="1:9">
      <c r="A674" s="79"/>
      <c r="B674" s="79"/>
      <c r="C674" s="79"/>
      <c r="D674" s="81">
        <v>45243</v>
      </c>
      <c r="E674" s="82">
        <v>19443.55</v>
      </c>
      <c r="G674" s="79"/>
      <c r="H674" s="79"/>
      <c r="I674" s="79"/>
    </row>
    <row r="675" s="78" customFormat="1" ht="16.5" customHeight="1" spans="1:9">
      <c r="A675" s="79"/>
      <c r="B675" s="79"/>
      <c r="C675" s="79"/>
      <c r="D675" s="81">
        <v>45242</v>
      </c>
      <c r="E675" s="82">
        <v>19525.55</v>
      </c>
      <c r="G675" s="79"/>
      <c r="H675" s="79"/>
      <c r="I675" s="79"/>
    </row>
    <row r="676" s="78" customFormat="1" ht="16.5" customHeight="1" spans="1:9">
      <c r="A676" s="79"/>
      <c r="B676" s="79"/>
      <c r="C676" s="79"/>
      <c r="D676" s="81">
        <v>45240</v>
      </c>
      <c r="E676" s="82">
        <v>19425.35</v>
      </c>
      <c r="G676" s="79"/>
      <c r="H676" s="79"/>
      <c r="I676" s="79"/>
    </row>
    <row r="677" s="78" customFormat="1" ht="16.5" customHeight="1" spans="1:9">
      <c r="A677" s="79"/>
      <c r="B677" s="79"/>
      <c r="C677" s="79"/>
      <c r="D677" s="81">
        <v>45239</v>
      </c>
      <c r="E677" s="82">
        <v>19395.3</v>
      </c>
      <c r="G677" s="79"/>
      <c r="H677" s="79"/>
      <c r="I677" s="79"/>
    </row>
    <row r="678" s="78" customFormat="1" ht="16.5" customHeight="1" spans="1:9">
      <c r="A678" s="79"/>
      <c r="B678" s="79"/>
      <c r="C678" s="79"/>
      <c r="D678" s="81">
        <v>45238</v>
      </c>
      <c r="E678" s="82">
        <v>19443.5</v>
      </c>
      <c r="G678" s="79"/>
      <c r="H678" s="79"/>
      <c r="I678" s="79"/>
    </row>
    <row r="679" s="78" customFormat="1" ht="16.5" customHeight="1" spans="1:9">
      <c r="A679" s="79"/>
      <c r="B679" s="79"/>
      <c r="C679" s="79"/>
      <c r="D679" s="81">
        <v>45237</v>
      </c>
      <c r="E679" s="82">
        <v>19406.7</v>
      </c>
      <c r="G679" s="79"/>
      <c r="H679" s="79"/>
      <c r="I679" s="79"/>
    </row>
    <row r="680" s="78" customFormat="1" ht="16.5" customHeight="1" spans="1:9">
      <c r="A680" s="79"/>
      <c r="B680" s="79"/>
      <c r="C680" s="79"/>
      <c r="D680" s="81">
        <v>45236</v>
      </c>
      <c r="E680" s="82">
        <v>19411.75</v>
      </c>
      <c r="G680" s="79"/>
      <c r="H680" s="79"/>
      <c r="I680" s="79"/>
    </row>
    <row r="681" s="78" customFormat="1" ht="16.5" customHeight="1" spans="1:9">
      <c r="A681" s="79"/>
      <c r="B681" s="79"/>
      <c r="C681" s="79"/>
      <c r="D681" s="81">
        <v>45233</v>
      </c>
      <c r="E681" s="82">
        <v>19230.6</v>
      </c>
      <c r="G681" s="79"/>
      <c r="H681" s="79"/>
      <c r="I681" s="79"/>
    </row>
    <row r="682" s="78" customFormat="1" ht="16.5" customHeight="1" spans="1:9">
      <c r="A682" s="79"/>
      <c r="B682" s="79"/>
      <c r="C682" s="79"/>
      <c r="D682" s="81">
        <v>45232</v>
      </c>
      <c r="E682" s="82">
        <v>19133.25</v>
      </c>
      <c r="G682" s="79"/>
      <c r="H682" s="79"/>
      <c r="I682" s="79"/>
    </row>
    <row r="683" s="78" customFormat="1" ht="16.5" customHeight="1" spans="1:9">
      <c r="A683" s="79"/>
      <c r="B683" s="79"/>
      <c r="C683" s="79"/>
      <c r="D683" s="81">
        <v>45231</v>
      </c>
      <c r="E683" s="82">
        <v>18989.15</v>
      </c>
      <c r="G683" s="79"/>
      <c r="H683" s="79"/>
      <c r="I683" s="79"/>
    </row>
    <row r="684" s="78" customFormat="1" ht="16.5" customHeight="1" spans="1:9">
      <c r="A684" s="79"/>
      <c r="B684" s="79"/>
      <c r="C684" s="79"/>
      <c r="D684" s="81">
        <v>45230</v>
      </c>
      <c r="E684" s="82">
        <v>19079.6</v>
      </c>
      <c r="G684" s="79"/>
      <c r="H684" s="79"/>
      <c r="I684" s="79"/>
    </row>
    <row r="685" s="78" customFormat="1" ht="16.5" customHeight="1" spans="1:9">
      <c r="A685" s="79"/>
      <c r="B685" s="79"/>
      <c r="C685" s="79"/>
      <c r="D685" s="81">
        <v>45229</v>
      </c>
      <c r="E685" s="82">
        <v>19140.9</v>
      </c>
      <c r="G685" s="79"/>
      <c r="H685" s="79"/>
      <c r="I685" s="79"/>
    </row>
    <row r="686" s="78" customFormat="1" ht="16.5" customHeight="1" spans="1:9">
      <c r="A686" s="79"/>
      <c r="B686" s="79"/>
      <c r="C686" s="79"/>
      <c r="D686" s="81">
        <v>45226</v>
      </c>
      <c r="E686" s="82">
        <v>19047.25</v>
      </c>
      <c r="G686" s="79"/>
      <c r="H686" s="79"/>
      <c r="I686" s="79"/>
    </row>
    <row r="687" s="78" customFormat="1" ht="16.5" customHeight="1" spans="1:9">
      <c r="A687" s="79"/>
      <c r="B687" s="79"/>
      <c r="C687" s="79"/>
      <c r="D687" s="81">
        <v>45225</v>
      </c>
      <c r="E687" s="82">
        <v>18857.25</v>
      </c>
      <c r="G687" s="79"/>
      <c r="H687" s="79"/>
      <c r="I687" s="79"/>
    </row>
    <row r="688" s="78" customFormat="1" ht="16.5" customHeight="1" spans="1:9">
      <c r="A688" s="79"/>
      <c r="B688" s="79"/>
      <c r="C688" s="79"/>
      <c r="D688" s="81">
        <v>45224</v>
      </c>
      <c r="E688" s="82">
        <v>19122.15</v>
      </c>
      <c r="G688" s="79"/>
      <c r="H688" s="79"/>
      <c r="I688" s="79"/>
    </row>
    <row r="689" s="78" customFormat="1" ht="16.5" customHeight="1" spans="1:9">
      <c r="A689" s="79"/>
      <c r="B689" s="79"/>
      <c r="C689" s="79"/>
      <c r="D689" s="81">
        <v>45222</v>
      </c>
      <c r="E689" s="82">
        <v>19281.75</v>
      </c>
      <c r="G689" s="79"/>
      <c r="H689" s="79"/>
      <c r="I689" s="79"/>
    </row>
    <row r="690" s="78" customFormat="1" ht="16.5" customHeight="1" spans="1:9">
      <c r="A690" s="79"/>
      <c r="B690" s="79"/>
      <c r="C690" s="79"/>
      <c r="D690" s="81">
        <v>45219</v>
      </c>
      <c r="E690" s="82">
        <v>19542.65</v>
      </c>
      <c r="G690" s="79"/>
      <c r="H690" s="79"/>
      <c r="I690" s="79"/>
    </row>
    <row r="691" s="78" customFormat="1" ht="16.5" customHeight="1" spans="1:9">
      <c r="A691" s="79"/>
      <c r="B691" s="79"/>
      <c r="C691" s="79"/>
      <c r="D691" s="81">
        <v>45218</v>
      </c>
      <c r="E691" s="82">
        <v>19624.7</v>
      </c>
      <c r="G691" s="79"/>
      <c r="H691" s="79"/>
      <c r="I691" s="79"/>
    </row>
    <row r="692" s="78" customFormat="1" ht="16.5" customHeight="1" spans="1:9">
      <c r="A692" s="79"/>
      <c r="B692" s="79"/>
      <c r="C692" s="79"/>
      <c r="D692" s="81">
        <v>45217</v>
      </c>
      <c r="E692" s="82">
        <v>19671.1</v>
      </c>
      <c r="G692" s="79"/>
      <c r="H692" s="79"/>
      <c r="I692" s="79"/>
    </row>
    <row r="693" s="78" customFormat="1" ht="16.5" customHeight="1" spans="1:9">
      <c r="A693" s="79"/>
      <c r="B693" s="79"/>
      <c r="C693" s="79"/>
      <c r="D693" s="81">
        <v>45216</v>
      </c>
      <c r="E693" s="82">
        <v>19811.5</v>
      </c>
      <c r="G693" s="79"/>
      <c r="H693" s="79"/>
      <c r="I693" s="79"/>
    </row>
    <row r="694" s="78" customFormat="1" ht="16.5" customHeight="1" spans="1:9">
      <c r="A694" s="79"/>
      <c r="B694" s="79"/>
      <c r="C694" s="79"/>
      <c r="D694" s="81">
        <v>45215</v>
      </c>
      <c r="E694" s="82">
        <v>19731.75</v>
      </c>
      <c r="G694" s="79"/>
      <c r="H694" s="79"/>
      <c r="I694" s="79"/>
    </row>
    <row r="695" s="78" customFormat="1" ht="16.5" customHeight="1" spans="1:9">
      <c r="A695" s="79"/>
      <c r="B695" s="79"/>
      <c r="C695" s="79"/>
      <c r="D695" s="81">
        <v>45212</v>
      </c>
      <c r="E695" s="82">
        <v>19751.05</v>
      </c>
      <c r="G695" s="79"/>
      <c r="H695" s="79"/>
      <c r="I695" s="79"/>
    </row>
    <row r="696" s="78" customFormat="1" ht="16.5" customHeight="1" spans="1:9">
      <c r="A696" s="79"/>
      <c r="B696" s="79"/>
      <c r="C696" s="79"/>
      <c r="D696" s="81">
        <v>45211</v>
      </c>
      <c r="E696" s="82">
        <v>19794</v>
      </c>
      <c r="G696" s="79"/>
      <c r="H696" s="79"/>
      <c r="I696" s="79"/>
    </row>
    <row r="697" s="78" customFormat="1" ht="16.5" customHeight="1" spans="1:9">
      <c r="A697" s="79"/>
      <c r="B697" s="79"/>
      <c r="C697" s="79"/>
      <c r="D697" s="81">
        <v>45210</v>
      </c>
      <c r="E697" s="82">
        <v>19811.35</v>
      </c>
      <c r="G697" s="79"/>
      <c r="H697" s="79"/>
      <c r="I697" s="79"/>
    </row>
    <row r="698" s="78" customFormat="1" ht="16.5" customHeight="1" spans="1:9">
      <c r="A698" s="79"/>
      <c r="B698" s="79"/>
      <c r="C698" s="79"/>
      <c r="D698" s="81">
        <v>45209</v>
      </c>
      <c r="E698" s="82">
        <v>19689.85</v>
      </c>
      <c r="G698" s="79"/>
      <c r="H698" s="79"/>
      <c r="I698" s="79"/>
    </row>
    <row r="699" s="78" customFormat="1" ht="16.5" customHeight="1" spans="1:9">
      <c r="A699" s="79"/>
      <c r="B699" s="79"/>
      <c r="C699" s="79"/>
      <c r="D699" s="81">
        <v>45208</v>
      </c>
      <c r="E699" s="82">
        <v>19512.35</v>
      </c>
      <c r="G699" s="79"/>
      <c r="H699" s="79"/>
      <c r="I699" s="79"/>
    </row>
    <row r="700" s="78" customFormat="1" ht="16.5" customHeight="1" spans="1:9">
      <c r="A700" s="79"/>
      <c r="B700" s="79"/>
      <c r="C700" s="79"/>
      <c r="D700" s="81">
        <v>45205</v>
      </c>
      <c r="E700" s="82">
        <v>19653.5</v>
      </c>
      <c r="G700" s="79"/>
      <c r="H700" s="79"/>
      <c r="I700" s="79"/>
    </row>
    <row r="701" s="78" customFormat="1" ht="16.5" customHeight="1" spans="1:9">
      <c r="A701" s="79"/>
      <c r="B701" s="79"/>
      <c r="C701" s="79"/>
      <c r="D701" s="81">
        <v>45204</v>
      </c>
      <c r="E701" s="82">
        <v>19545.75</v>
      </c>
      <c r="G701" s="79"/>
      <c r="H701" s="79"/>
      <c r="I701" s="79"/>
    </row>
    <row r="702" s="78" customFormat="1" ht="16.5" customHeight="1" spans="1:9">
      <c r="A702" s="79"/>
      <c r="B702" s="79"/>
      <c r="C702" s="79"/>
      <c r="D702" s="81">
        <v>45203</v>
      </c>
      <c r="E702" s="82">
        <v>19436.1</v>
      </c>
      <c r="G702" s="79"/>
      <c r="H702" s="79"/>
      <c r="I702" s="79"/>
    </row>
    <row r="703" s="78" customFormat="1" ht="16.5" customHeight="1" spans="1:9">
      <c r="A703" s="79"/>
      <c r="B703" s="79"/>
      <c r="C703" s="79"/>
      <c r="D703" s="81">
        <v>45202</v>
      </c>
      <c r="E703" s="82">
        <v>19528.75</v>
      </c>
      <c r="G703" s="79"/>
      <c r="H703" s="79"/>
      <c r="I703" s="79"/>
    </row>
    <row r="704" s="78" customFormat="1" ht="16.5" customHeight="1" spans="1:9">
      <c r="A704" s="79"/>
      <c r="B704" s="79"/>
      <c r="C704" s="79"/>
      <c r="D704" s="81">
        <v>45198</v>
      </c>
      <c r="E704" s="82">
        <v>19638.3</v>
      </c>
      <c r="G704" s="79"/>
      <c r="H704" s="79"/>
      <c r="I704" s="79"/>
    </row>
    <row r="705" s="78" customFormat="1" ht="16.5" customHeight="1" spans="1:9">
      <c r="A705" s="79"/>
      <c r="B705" s="79"/>
      <c r="C705" s="79"/>
      <c r="D705" s="81">
        <v>45197</v>
      </c>
      <c r="E705" s="82">
        <v>19523.55</v>
      </c>
      <c r="G705" s="79"/>
      <c r="H705" s="79"/>
      <c r="I705" s="79"/>
    </row>
    <row r="706" s="78" customFormat="1" ht="16.5" customHeight="1" spans="1:9">
      <c r="A706" s="79"/>
      <c r="B706" s="79"/>
      <c r="C706" s="79"/>
      <c r="D706" s="81">
        <v>45196</v>
      </c>
      <c r="E706" s="82">
        <v>19716.45</v>
      </c>
      <c r="G706" s="79"/>
      <c r="H706" s="79"/>
      <c r="I706" s="79"/>
    </row>
    <row r="707" s="78" customFormat="1" ht="16.5" customHeight="1" spans="1:9">
      <c r="A707" s="79"/>
      <c r="B707" s="79"/>
      <c r="C707" s="79"/>
      <c r="D707" s="81">
        <v>45195</v>
      </c>
      <c r="E707" s="82">
        <v>19664.7</v>
      </c>
      <c r="G707" s="79"/>
      <c r="H707" s="79"/>
      <c r="I707" s="79"/>
    </row>
    <row r="708" s="78" customFormat="1" ht="16.5" customHeight="1" spans="1:9">
      <c r="A708" s="79"/>
      <c r="B708" s="79"/>
      <c r="C708" s="79"/>
      <c r="D708" s="81">
        <v>45194</v>
      </c>
      <c r="E708" s="82">
        <v>19674.55</v>
      </c>
      <c r="G708" s="79"/>
      <c r="H708" s="79"/>
      <c r="I708" s="79"/>
    </row>
    <row r="709" s="78" customFormat="1" ht="16.5" customHeight="1" spans="1:9">
      <c r="A709" s="79"/>
      <c r="B709" s="79"/>
      <c r="C709" s="79"/>
      <c r="D709" s="81">
        <v>45191</v>
      </c>
      <c r="E709" s="82">
        <v>19674.25</v>
      </c>
      <c r="G709" s="79"/>
      <c r="H709" s="79"/>
      <c r="I709" s="79"/>
    </row>
    <row r="710" s="78" customFormat="1" ht="16.5" customHeight="1" spans="1:9">
      <c r="A710" s="79"/>
      <c r="B710" s="79"/>
      <c r="C710" s="79"/>
      <c r="D710" s="81">
        <v>45190</v>
      </c>
      <c r="E710" s="82">
        <v>19742.35</v>
      </c>
      <c r="G710" s="79"/>
      <c r="H710" s="79"/>
      <c r="I710" s="79"/>
    </row>
    <row r="711" s="78" customFormat="1" ht="16.5" customHeight="1" spans="1:9">
      <c r="A711" s="79"/>
      <c r="B711" s="79"/>
      <c r="C711" s="79"/>
      <c r="D711" s="81">
        <v>45189</v>
      </c>
      <c r="E711" s="82">
        <v>19901.4</v>
      </c>
      <c r="G711" s="79"/>
      <c r="H711" s="79"/>
      <c r="I711" s="79"/>
    </row>
    <row r="712" s="78" customFormat="1" ht="16.5" customHeight="1" spans="1:9">
      <c r="A712" s="79"/>
      <c r="B712" s="79"/>
      <c r="C712" s="79"/>
      <c r="D712" s="81">
        <v>45187</v>
      </c>
      <c r="E712" s="82">
        <v>20133.3</v>
      </c>
      <c r="G712" s="79"/>
      <c r="H712" s="79"/>
      <c r="I712" s="79"/>
    </row>
    <row r="713" s="78" customFormat="1" ht="16.5" customHeight="1" spans="1:9">
      <c r="A713" s="79"/>
      <c r="B713" s="79"/>
      <c r="C713" s="79"/>
      <c r="D713" s="81">
        <v>45184</v>
      </c>
      <c r="E713" s="82">
        <v>20192.35</v>
      </c>
      <c r="G713" s="79"/>
      <c r="H713" s="79"/>
      <c r="I713" s="79"/>
    </row>
    <row r="714" s="78" customFormat="1" ht="16.5" customHeight="1" spans="1:9">
      <c r="A714" s="79"/>
      <c r="B714" s="79"/>
      <c r="C714" s="79"/>
      <c r="D714" s="81">
        <v>45183</v>
      </c>
      <c r="E714" s="82">
        <v>20103.1</v>
      </c>
      <c r="G714" s="79"/>
      <c r="H714" s="79"/>
      <c r="I714" s="79"/>
    </row>
    <row r="715" s="78" customFormat="1" ht="16.5" customHeight="1" spans="1:9">
      <c r="A715" s="79"/>
      <c r="B715" s="79"/>
      <c r="C715" s="79"/>
      <c r="D715" s="81">
        <v>45182</v>
      </c>
      <c r="E715" s="82">
        <v>20070</v>
      </c>
      <c r="G715" s="79"/>
      <c r="H715" s="79"/>
      <c r="I715" s="79"/>
    </row>
    <row r="716" s="78" customFormat="1" ht="16.5" customHeight="1" spans="1:9">
      <c r="A716" s="79"/>
      <c r="B716" s="79"/>
      <c r="C716" s="79"/>
      <c r="D716" s="81">
        <v>45181</v>
      </c>
      <c r="E716" s="82">
        <v>19993.2</v>
      </c>
      <c r="G716" s="79"/>
      <c r="H716" s="79"/>
      <c r="I716" s="79"/>
    </row>
    <row r="717" s="78" customFormat="1" ht="16.5" customHeight="1" spans="1:9">
      <c r="A717" s="79"/>
      <c r="B717" s="79"/>
      <c r="C717" s="79"/>
      <c r="D717" s="81">
        <v>45180</v>
      </c>
      <c r="E717" s="82">
        <v>19996.35</v>
      </c>
      <c r="G717" s="79"/>
      <c r="H717" s="79"/>
      <c r="I717" s="79"/>
    </row>
    <row r="718" s="78" customFormat="1" ht="16.5" customHeight="1" spans="1:9">
      <c r="A718" s="79"/>
      <c r="B718" s="79"/>
      <c r="C718" s="79"/>
      <c r="D718" s="81">
        <v>45177</v>
      </c>
      <c r="E718" s="82">
        <v>19819.95</v>
      </c>
      <c r="G718" s="79"/>
      <c r="H718" s="79"/>
      <c r="I718" s="79"/>
    </row>
    <row r="719" s="78" customFormat="1" ht="16.5" customHeight="1" spans="1:9">
      <c r="A719" s="79"/>
      <c r="B719" s="79"/>
      <c r="C719" s="79"/>
      <c r="D719" s="81">
        <v>45176</v>
      </c>
      <c r="E719" s="82">
        <v>19727.05</v>
      </c>
      <c r="G719" s="79"/>
      <c r="H719" s="79"/>
      <c r="I719" s="79"/>
    </row>
    <row r="720" s="78" customFormat="1" ht="16.5" customHeight="1" spans="1:9">
      <c r="A720" s="79"/>
      <c r="B720" s="79"/>
      <c r="C720" s="79"/>
      <c r="D720" s="81">
        <v>45175</v>
      </c>
      <c r="E720" s="82">
        <v>19611.05</v>
      </c>
      <c r="G720" s="79"/>
      <c r="H720" s="79"/>
      <c r="I720" s="79"/>
    </row>
    <row r="721" s="78" customFormat="1" ht="16.5" customHeight="1" spans="1:9">
      <c r="A721" s="79"/>
      <c r="B721" s="79"/>
      <c r="C721" s="79"/>
      <c r="D721" s="81">
        <v>45174</v>
      </c>
      <c r="E721" s="82">
        <v>19574.9</v>
      </c>
      <c r="G721" s="79"/>
      <c r="H721" s="79"/>
      <c r="I721" s="79"/>
    </row>
    <row r="722" s="78" customFormat="1" ht="16.5" customHeight="1" spans="1:9">
      <c r="A722" s="79"/>
      <c r="B722" s="79"/>
      <c r="C722" s="79"/>
      <c r="D722" s="81">
        <v>45173</v>
      </c>
      <c r="E722" s="82">
        <v>19528.8</v>
      </c>
      <c r="G722" s="79"/>
      <c r="H722" s="79"/>
      <c r="I722" s="79"/>
    </row>
    <row r="723" s="78" customFormat="1" ht="16.5" customHeight="1" spans="1:9">
      <c r="A723" s="79"/>
      <c r="B723" s="79"/>
      <c r="C723" s="79"/>
      <c r="D723" s="81">
        <v>45170</v>
      </c>
      <c r="E723" s="82">
        <v>19435.3</v>
      </c>
      <c r="G723" s="79"/>
      <c r="H723" s="79"/>
      <c r="I723" s="79"/>
    </row>
    <row r="724" s="78" customFormat="1" ht="16.5" customHeight="1" spans="1:9">
      <c r="A724" s="79"/>
      <c r="B724" s="79"/>
      <c r="C724" s="79"/>
      <c r="D724" s="81">
        <v>45169</v>
      </c>
      <c r="E724" s="82">
        <v>19253.8</v>
      </c>
      <c r="G724" s="79"/>
      <c r="H724" s="79"/>
      <c r="I724" s="79"/>
    </row>
    <row r="725" s="78" customFormat="1" ht="16.5" customHeight="1" spans="1:9">
      <c r="A725" s="79"/>
      <c r="B725" s="79"/>
      <c r="C725" s="79"/>
      <c r="D725" s="81">
        <v>45168</v>
      </c>
      <c r="E725" s="82">
        <v>19347.45</v>
      </c>
      <c r="G725" s="79"/>
      <c r="H725" s="79"/>
      <c r="I725" s="79"/>
    </row>
    <row r="726" s="78" customFormat="1" ht="16.5" customHeight="1" spans="1:9">
      <c r="A726" s="79"/>
      <c r="B726" s="79"/>
      <c r="C726" s="79"/>
      <c r="D726" s="81">
        <v>45167</v>
      </c>
      <c r="E726" s="82">
        <v>19342.65</v>
      </c>
      <c r="G726" s="79"/>
      <c r="H726" s="79"/>
      <c r="I726" s="79"/>
    </row>
    <row r="727" s="78" customFormat="1" ht="16.5" customHeight="1" spans="1:9">
      <c r="A727" s="79"/>
      <c r="B727" s="79"/>
      <c r="C727" s="79"/>
      <c r="D727" s="81">
        <v>45166</v>
      </c>
      <c r="E727" s="82">
        <v>19306.05</v>
      </c>
      <c r="G727" s="79"/>
      <c r="H727" s="79"/>
      <c r="I727" s="79"/>
    </row>
    <row r="728" s="78" customFormat="1" ht="16.5" customHeight="1" spans="1:9">
      <c r="A728" s="79"/>
      <c r="B728" s="79"/>
      <c r="C728" s="79"/>
      <c r="D728" s="81">
        <v>45163</v>
      </c>
      <c r="E728" s="82">
        <v>19265.8</v>
      </c>
      <c r="G728" s="79"/>
      <c r="H728" s="79"/>
      <c r="I728" s="79"/>
    </row>
    <row r="729" s="78" customFormat="1" ht="16.5" customHeight="1" spans="1:9">
      <c r="A729" s="79"/>
      <c r="B729" s="79"/>
      <c r="C729" s="79"/>
      <c r="D729" s="81">
        <v>45162</v>
      </c>
      <c r="E729" s="82">
        <v>19386.7</v>
      </c>
      <c r="G729" s="79"/>
      <c r="H729" s="79"/>
      <c r="I729" s="79"/>
    </row>
    <row r="730" s="78" customFormat="1" ht="16.5" customHeight="1" spans="1:9">
      <c r="A730" s="79"/>
      <c r="B730" s="79"/>
      <c r="C730" s="79"/>
      <c r="D730" s="81">
        <v>45161</v>
      </c>
      <c r="E730" s="82">
        <v>19444</v>
      </c>
      <c r="G730" s="79"/>
      <c r="H730" s="79"/>
      <c r="I730" s="79"/>
    </row>
    <row r="731" s="78" customFormat="1" ht="16.5" customHeight="1" spans="1:9">
      <c r="A731" s="79"/>
      <c r="B731" s="79"/>
      <c r="C731" s="79"/>
      <c r="D731" s="81">
        <v>45160</v>
      </c>
      <c r="E731" s="82">
        <v>19396.45</v>
      </c>
      <c r="G731" s="79"/>
      <c r="H731" s="79"/>
      <c r="I731" s="79"/>
    </row>
    <row r="732" s="78" customFormat="1" ht="16.5" customHeight="1" spans="1:9">
      <c r="A732" s="79"/>
      <c r="B732" s="79"/>
      <c r="C732" s="79"/>
      <c r="D732" s="81">
        <v>45159</v>
      </c>
      <c r="E732" s="82">
        <v>19393.6</v>
      </c>
      <c r="G732" s="79"/>
      <c r="H732" s="79"/>
      <c r="I732" s="79"/>
    </row>
    <row r="733" s="78" customFormat="1" ht="16.5" customHeight="1" spans="1:9">
      <c r="A733" s="79"/>
      <c r="B733" s="79"/>
      <c r="C733" s="79"/>
      <c r="D733" s="81">
        <v>45156</v>
      </c>
      <c r="E733" s="82">
        <v>19310.15</v>
      </c>
      <c r="G733" s="79"/>
      <c r="H733" s="79"/>
      <c r="I733" s="79"/>
    </row>
    <row r="734" s="78" customFormat="1" ht="16.5" customHeight="1" spans="1:9">
      <c r="A734" s="79"/>
      <c r="B734" s="79"/>
      <c r="C734" s="79"/>
      <c r="D734" s="81">
        <v>45155</v>
      </c>
      <c r="E734" s="82">
        <v>19365.25</v>
      </c>
      <c r="G734" s="79"/>
      <c r="H734" s="79"/>
      <c r="I734" s="79"/>
    </row>
    <row r="735" s="78" customFormat="1" ht="16.5" customHeight="1" spans="1:9">
      <c r="A735" s="79"/>
      <c r="B735" s="79"/>
      <c r="C735" s="79"/>
      <c r="D735" s="81">
        <v>45154</v>
      </c>
      <c r="E735" s="82">
        <v>19465</v>
      </c>
      <c r="G735" s="79"/>
      <c r="H735" s="79"/>
      <c r="I735" s="79"/>
    </row>
    <row r="736" s="78" customFormat="1" ht="16.5" customHeight="1" spans="1:9">
      <c r="A736" s="79"/>
      <c r="B736" s="79"/>
      <c r="C736" s="79"/>
      <c r="D736" s="81">
        <v>45152</v>
      </c>
      <c r="E736" s="82">
        <v>19434.55</v>
      </c>
      <c r="G736" s="79"/>
      <c r="H736" s="79"/>
      <c r="I736" s="79"/>
    </row>
    <row r="737" s="78" customFormat="1" ht="16.5" customHeight="1" spans="1:9">
      <c r="A737" s="79"/>
      <c r="B737" s="79"/>
      <c r="C737" s="79"/>
      <c r="D737" s="81">
        <v>45149</v>
      </c>
      <c r="E737" s="82">
        <v>19428.3</v>
      </c>
      <c r="G737" s="79"/>
      <c r="H737" s="79"/>
      <c r="I737" s="79"/>
    </row>
    <row r="738" s="78" customFormat="1" ht="16.5" customHeight="1" spans="1:9">
      <c r="A738" s="79"/>
      <c r="B738" s="79"/>
      <c r="C738" s="79"/>
      <c r="D738" s="81">
        <v>45148</v>
      </c>
      <c r="E738" s="82">
        <v>19543.1</v>
      </c>
      <c r="G738" s="79"/>
      <c r="H738" s="79"/>
      <c r="I738" s="79"/>
    </row>
    <row r="739" s="78" customFormat="1" ht="16.5" customHeight="1" spans="1:9">
      <c r="A739" s="79"/>
      <c r="B739" s="79"/>
      <c r="C739" s="79"/>
      <c r="D739" s="81">
        <v>45147</v>
      </c>
      <c r="E739" s="82">
        <v>19632.55</v>
      </c>
      <c r="G739" s="79"/>
      <c r="H739" s="79"/>
      <c r="I739" s="79"/>
    </row>
    <row r="740" s="78" customFormat="1" ht="16.5" customHeight="1" spans="1:9">
      <c r="A740" s="79"/>
      <c r="B740" s="79"/>
      <c r="C740" s="79"/>
      <c r="D740" s="81">
        <v>45146</v>
      </c>
      <c r="E740" s="82">
        <v>19570.85</v>
      </c>
      <c r="G740" s="79"/>
      <c r="H740" s="79"/>
      <c r="I740" s="79"/>
    </row>
    <row r="741" s="78" customFormat="1" ht="16.5" customHeight="1" spans="1:9">
      <c r="A741" s="79"/>
      <c r="B741" s="79"/>
      <c r="C741" s="79"/>
      <c r="D741" s="81">
        <v>45145</v>
      </c>
      <c r="E741" s="82">
        <v>19597.3</v>
      </c>
      <c r="G741" s="79"/>
      <c r="H741" s="79"/>
      <c r="I741" s="79"/>
    </row>
    <row r="742" s="78" customFormat="1" ht="16.5" customHeight="1" spans="1:9">
      <c r="A742" s="79"/>
      <c r="B742" s="79"/>
      <c r="C742" s="79"/>
      <c r="D742" s="81">
        <v>45142</v>
      </c>
      <c r="E742" s="82">
        <v>19517</v>
      </c>
      <c r="G742" s="79"/>
      <c r="H742" s="79"/>
      <c r="I742" s="79"/>
    </row>
    <row r="743" s="78" customFormat="1" ht="16.5" customHeight="1" spans="1:9">
      <c r="A743" s="79"/>
      <c r="B743" s="79"/>
      <c r="C743" s="79"/>
      <c r="D743" s="81">
        <v>45141</v>
      </c>
      <c r="E743" s="82">
        <v>19381.65</v>
      </c>
      <c r="G743" s="79"/>
      <c r="H743" s="79"/>
      <c r="I743" s="79"/>
    </row>
    <row r="744" s="78" customFormat="1" ht="16.5" customHeight="1" spans="1:9">
      <c r="A744" s="79"/>
      <c r="B744" s="79"/>
      <c r="C744" s="79"/>
      <c r="D744" s="81">
        <v>45140</v>
      </c>
      <c r="E744" s="82">
        <v>19526.55</v>
      </c>
      <c r="G744" s="79"/>
      <c r="H744" s="79"/>
      <c r="I744" s="79"/>
    </row>
    <row r="745" s="78" customFormat="1" ht="16.5" customHeight="1" spans="1:9">
      <c r="A745" s="79"/>
      <c r="B745" s="79"/>
      <c r="C745" s="79"/>
      <c r="D745" s="81">
        <v>45139</v>
      </c>
      <c r="E745" s="82">
        <v>19733.55</v>
      </c>
      <c r="G745" s="79"/>
      <c r="H745" s="79"/>
      <c r="I745" s="79"/>
    </row>
    <row r="746" s="78" customFormat="1" ht="16.5" customHeight="1" spans="1:9">
      <c r="A746" s="79"/>
      <c r="B746" s="79"/>
      <c r="C746" s="79"/>
      <c r="D746" s="81">
        <v>45138</v>
      </c>
      <c r="E746" s="82">
        <v>19753.8</v>
      </c>
      <c r="G746" s="79"/>
      <c r="H746" s="79"/>
      <c r="I746" s="79"/>
    </row>
    <row r="747" s="78" customFormat="1" ht="16.5" customHeight="1" spans="1:9">
      <c r="A747" s="79"/>
      <c r="B747" s="79"/>
      <c r="C747" s="79"/>
      <c r="D747" s="81">
        <v>45135</v>
      </c>
      <c r="E747" s="82">
        <v>19646.05</v>
      </c>
      <c r="G747" s="79"/>
      <c r="H747" s="79"/>
      <c r="I747" s="79"/>
    </row>
    <row r="748" s="78" customFormat="1" ht="16.5" customHeight="1" spans="1:9">
      <c r="A748" s="79"/>
      <c r="B748" s="79"/>
      <c r="C748" s="79"/>
      <c r="D748" s="81">
        <v>45134</v>
      </c>
      <c r="E748" s="82">
        <v>19659.9</v>
      </c>
      <c r="G748" s="79"/>
      <c r="H748" s="79"/>
      <c r="I748" s="79"/>
    </row>
    <row r="749" s="78" customFormat="1" ht="16.5" customHeight="1" spans="1:9">
      <c r="A749" s="79"/>
      <c r="B749" s="79"/>
      <c r="C749" s="79"/>
      <c r="D749" s="81">
        <v>45133</v>
      </c>
      <c r="E749" s="82">
        <v>19778.3</v>
      </c>
      <c r="G749" s="79"/>
      <c r="H749" s="79"/>
      <c r="I749" s="79"/>
    </row>
    <row r="750" s="78" customFormat="1" ht="16.5" customHeight="1" spans="1:9">
      <c r="A750" s="79"/>
      <c r="B750" s="79"/>
      <c r="C750" s="79"/>
      <c r="D750" s="81">
        <v>45132</v>
      </c>
      <c r="E750" s="82">
        <v>19680.6</v>
      </c>
      <c r="G750" s="79"/>
      <c r="H750" s="79"/>
      <c r="I750" s="79"/>
    </row>
    <row r="751" s="78" customFormat="1" ht="16.5" customHeight="1" spans="1:9">
      <c r="A751" s="79"/>
      <c r="B751" s="79"/>
      <c r="C751" s="79"/>
      <c r="D751" s="81">
        <v>45131</v>
      </c>
      <c r="E751" s="82">
        <v>19672.35</v>
      </c>
      <c r="G751" s="79"/>
      <c r="H751" s="79"/>
      <c r="I751" s="79"/>
    </row>
    <row r="752" s="78" customFormat="1" ht="16.5" customHeight="1" spans="1:9">
      <c r="A752" s="79"/>
      <c r="B752" s="79"/>
      <c r="C752" s="79"/>
      <c r="D752" s="81">
        <v>45128</v>
      </c>
      <c r="E752" s="82">
        <v>19745</v>
      </c>
      <c r="G752" s="79"/>
      <c r="H752" s="79"/>
      <c r="I752" s="79"/>
    </row>
    <row r="753" s="78" customFormat="1" ht="16.5" customHeight="1" spans="1:9">
      <c r="A753" s="79"/>
      <c r="B753" s="79"/>
      <c r="C753" s="79"/>
      <c r="D753" s="81">
        <v>45127</v>
      </c>
      <c r="E753" s="82">
        <v>19979.15</v>
      </c>
      <c r="G753" s="79"/>
      <c r="H753" s="79"/>
      <c r="I753" s="79"/>
    </row>
    <row r="754" s="78" customFormat="1" ht="16.5" customHeight="1" spans="1:9">
      <c r="A754" s="79"/>
      <c r="B754" s="79"/>
      <c r="C754" s="79"/>
      <c r="D754" s="81">
        <v>45126</v>
      </c>
      <c r="E754" s="82">
        <v>19833.15</v>
      </c>
      <c r="G754" s="79"/>
      <c r="H754" s="79"/>
      <c r="I754" s="79"/>
    </row>
    <row r="755" s="78" customFormat="1" ht="16.5" customHeight="1" spans="1:9">
      <c r="A755" s="79"/>
      <c r="B755" s="79"/>
      <c r="C755" s="79"/>
      <c r="D755" s="81">
        <v>45125</v>
      </c>
      <c r="E755" s="82">
        <v>19749.25</v>
      </c>
      <c r="G755" s="79"/>
      <c r="H755" s="79"/>
      <c r="I755" s="79"/>
    </row>
    <row r="756" s="78" customFormat="1" ht="16.5" customHeight="1" spans="1:9">
      <c r="A756" s="79"/>
      <c r="B756" s="79"/>
      <c r="C756" s="79"/>
      <c r="D756" s="81">
        <v>45124</v>
      </c>
      <c r="E756" s="82">
        <v>19711.45</v>
      </c>
      <c r="G756" s="79"/>
      <c r="H756" s="79"/>
      <c r="I756" s="79"/>
    </row>
    <row r="757" s="78" customFormat="1" ht="16.5" customHeight="1" spans="1:9">
      <c r="A757" s="79"/>
      <c r="B757" s="79"/>
      <c r="C757" s="79"/>
      <c r="D757" s="81">
        <v>45121</v>
      </c>
      <c r="E757" s="82">
        <v>19564.5</v>
      </c>
      <c r="G757" s="79"/>
      <c r="H757" s="79"/>
      <c r="I757" s="79"/>
    </row>
    <row r="758" s="78" customFormat="1" ht="16.5" customHeight="1" spans="1:9">
      <c r="A758" s="79"/>
      <c r="B758" s="79"/>
      <c r="C758" s="79"/>
      <c r="D758" s="81">
        <v>45120</v>
      </c>
      <c r="E758" s="82">
        <v>19413.75</v>
      </c>
      <c r="G758" s="79"/>
      <c r="H758" s="79"/>
      <c r="I758" s="79"/>
    </row>
    <row r="759" s="78" customFormat="1" ht="16.5" customHeight="1" spans="1:9">
      <c r="A759" s="79"/>
      <c r="B759" s="79"/>
      <c r="C759" s="79"/>
      <c r="D759" s="81">
        <v>45119</v>
      </c>
      <c r="E759" s="82">
        <v>19384.3</v>
      </c>
      <c r="G759" s="79"/>
      <c r="H759" s="79"/>
      <c r="I759" s="79"/>
    </row>
    <row r="760" s="78" customFormat="1" ht="16.5" customHeight="1" spans="1:9">
      <c r="A760" s="79"/>
      <c r="B760" s="79"/>
      <c r="C760" s="79"/>
      <c r="D760" s="81">
        <v>45118</v>
      </c>
      <c r="E760" s="82">
        <v>19439.4</v>
      </c>
      <c r="G760" s="79"/>
      <c r="H760" s="79"/>
      <c r="I760" s="79"/>
    </row>
    <row r="761" s="78" customFormat="1" ht="16.5" customHeight="1" spans="1:9">
      <c r="A761" s="79"/>
      <c r="B761" s="79"/>
      <c r="C761" s="79"/>
      <c r="D761" s="81">
        <v>45117</v>
      </c>
      <c r="E761" s="82">
        <v>19355.9</v>
      </c>
      <c r="G761" s="79"/>
      <c r="H761" s="79"/>
      <c r="I761" s="79"/>
    </row>
    <row r="762" s="78" customFormat="1" ht="16.5" customHeight="1" spans="1:9">
      <c r="A762" s="79"/>
      <c r="B762" s="79"/>
      <c r="C762" s="79"/>
      <c r="D762" s="81">
        <v>45114</v>
      </c>
      <c r="E762" s="82">
        <v>19331.8</v>
      </c>
      <c r="G762" s="79"/>
      <c r="H762" s="79"/>
      <c r="I762" s="79"/>
    </row>
    <row r="763" s="78" customFormat="1" ht="16.5" customHeight="1" spans="1:9">
      <c r="A763" s="79"/>
      <c r="B763" s="79"/>
      <c r="C763" s="79"/>
      <c r="D763" s="81">
        <v>45113</v>
      </c>
      <c r="E763" s="82">
        <v>19497.3</v>
      </c>
      <c r="G763" s="79"/>
      <c r="H763" s="79"/>
      <c r="I763" s="79"/>
    </row>
    <row r="764" s="78" customFormat="1" ht="16.5" customHeight="1" spans="1:9">
      <c r="A764" s="79"/>
      <c r="B764" s="79"/>
      <c r="C764" s="79"/>
      <c r="D764" s="81">
        <v>45112</v>
      </c>
      <c r="E764" s="82">
        <v>19398.5</v>
      </c>
      <c r="G764" s="79"/>
      <c r="H764" s="79"/>
      <c r="I764" s="79"/>
    </row>
    <row r="765" s="78" customFormat="1" ht="16.5" customHeight="1" spans="1:9">
      <c r="A765" s="79"/>
      <c r="B765" s="79"/>
      <c r="C765" s="79"/>
      <c r="D765" s="81">
        <v>45111</v>
      </c>
      <c r="E765" s="82">
        <v>19389</v>
      </c>
      <c r="G765" s="79"/>
      <c r="H765" s="79"/>
      <c r="I765" s="79"/>
    </row>
    <row r="766" s="78" customFormat="1" ht="16.5" customHeight="1" spans="1:9">
      <c r="A766" s="79"/>
      <c r="B766" s="79"/>
      <c r="C766" s="79"/>
      <c r="D766" s="81">
        <v>45110</v>
      </c>
      <c r="E766" s="82">
        <v>19322.55</v>
      </c>
      <c r="G766" s="79"/>
      <c r="H766" s="79"/>
      <c r="I766" s="79"/>
    </row>
    <row r="767" s="78" customFormat="1" ht="16.5" customHeight="1" spans="1:9">
      <c r="A767" s="79"/>
      <c r="B767" s="79"/>
      <c r="C767" s="79"/>
      <c r="D767" s="81">
        <v>45107</v>
      </c>
      <c r="E767" s="82">
        <v>19189.05</v>
      </c>
      <c r="G767" s="79"/>
      <c r="H767" s="79"/>
      <c r="I767" s="79"/>
    </row>
    <row r="768" s="78" customFormat="1" ht="16.5" customHeight="1" spans="1:9">
      <c r="A768" s="79"/>
      <c r="B768" s="79"/>
      <c r="C768" s="79"/>
      <c r="D768" s="81">
        <v>45105</v>
      </c>
      <c r="E768" s="82">
        <v>18972.1</v>
      </c>
      <c r="G768" s="79"/>
      <c r="H768" s="79"/>
      <c r="I768" s="79"/>
    </row>
    <row r="769" s="78" customFormat="1" ht="16.5" customHeight="1" spans="1:9">
      <c r="A769" s="79"/>
      <c r="B769" s="79"/>
      <c r="C769" s="79"/>
      <c r="D769" s="81">
        <v>45104</v>
      </c>
      <c r="E769" s="82">
        <v>18817.4</v>
      </c>
      <c r="G769" s="79"/>
      <c r="H769" s="79"/>
      <c r="I769" s="79"/>
    </row>
    <row r="770" s="78" customFormat="1" ht="16.5" customHeight="1" spans="1:9">
      <c r="A770" s="79"/>
      <c r="B770" s="79"/>
      <c r="C770" s="79"/>
      <c r="D770" s="81">
        <v>45103</v>
      </c>
      <c r="E770" s="82">
        <v>18691.2</v>
      </c>
      <c r="G770" s="79"/>
      <c r="H770" s="79"/>
      <c r="I770" s="79"/>
    </row>
    <row r="771" s="78" customFormat="1" ht="16.5" customHeight="1" spans="1:9">
      <c r="A771" s="79"/>
      <c r="B771" s="79"/>
      <c r="C771" s="79"/>
      <c r="D771" s="81">
        <v>45100</v>
      </c>
      <c r="E771" s="82">
        <v>18665.5</v>
      </c>
      <c r="G771" s="79"/>
      <c r="H771" s="79"/>
      <c r="I771" s="79"/>
    </row>
    <row r="772" s="78" customFormat="1" ht="16.5" customHeight="1" spans="1:9">
      <c r="A772" s="79"/>
      <c r="B772" s="79"/>
      <c r="C772" s="79"/>
      <c r="D772" s="81">
        <v>45099</v>
      </c>
      <c r="E772" s="82">
        <v>18771.25</v>
      </c>
      <c r="G772" s="79"/>
      <c r="H772" s="79"/>
      <c r="I772" s="79"/>
    </row>
    <row r="773" s="78" customFormat="1" ht="16.5" customHeight="1" spans="1:9">
      <c r="A773" s="79"/>
      <c r="B773" s="79"/>
      <c r="C773" s="79"/>
      <c r="D773" s="81">
        <v>45098</v>
      </c>
      <c r="E773" s="82">
        <v>18856.85</v>
      </c>
      <c r="G773" s="79"/>
      <c r="H773" s="79"/>
      <c r="I773" s="79"/>
    </row>
    <row r="774" s="78" customFormat="1" ht="16.5" customHeight="1" spans="1:9">
      <c r="A774" s="79"/>
      <c r="B774" s="79"/>
      <c r="C774" s="79"/>
      <c r="D774" s="81">
        <v>45097</v>
      </c>
      <c r="E774" s="82">
        <v>18816.7</v>
      </c>
      <c r="G774" s="79"/>
      <c r="H774" s="79"/>
      <c r="I774" s="79"/>
    </row>
    <row r="775" s="78" customFormat="1" ht="16.5" customHeight="1" spans="1:9">
      <c r="A775" s="79"/>
      <c r="B775" s="79"/>
      <c r="C775" s="79"/>
      <c r="D775" s="81">
        <v>45096</v>
      </c>
      <c r="E775" s="82">
        <v>18755.45</v>
      </c>
      <c r="G775" s="79"/>
      <c r="H775" s="79"/>
      <c r="I775" s="79"/>
    </row>
    <row r="776" s="78" customFormat="1" ht="16.5" customHeight="1" spans="1:9">
      <c r="A776" s="79"/>
      <c r="B776" s="79"/>
      <c r="C776" s="79"/>
      <c r="D776" s="81">
        <v>45093</v>
      </c>
      <c r="E776" s="82">
        <v>18826</v>
      </c>
      <c r="G776" s="79"/>
      <c r="H776" s="79"/>
      <c r="I776" s="79"/>
    </row>
    <row r="777" s="78" customFormat="1" ht="16.5" customHeight="1" spans="1:9">
      <c r="A777" s="79"/>
      <c r="B777" s="79"/>
      <c r="C777" s="79"/>
      <c r="D777" s="81">
        <v>45092</v>
      </c>
      <c r="E777" s="82">
        <v>18688.1</v>
      </c>
      <c r="G777" s="79"/>
      <c r="H777" s="79"/>
      <c r="I777" s="79"/>
    </row>
    <row r="778" s="78" customFormat="1" ht="16.5" customHeight="1" spans="1:9">
      <c r="A778" s="79"/>
      <c r="B778" s="79"/>
      <c r="C778" s="79"/>
      <c r="D778" s="81">
        <v>45091</v>
      </c>
      <c r="E778" s="82">
        <v>18755.9</v>
      </c>
      <c r="G778" s="79"/>
      <c r="H778" s="79"/>
      <c r="I778" s="79"/>
    </row>
    <row r="779" s="78" customFormat="1" ht="16.5" customHeight="1" spans="1:9">
      <c r="A779" s="79"/>
      <c r="B779" s="79"/>
      <c r="C779" s="79"/>
      <c r="D779" s="81">
        <v>45090</v>
      </c>
      <c r="E779" s="82">
        <v>18716.15</v>
      </c>
      <c r="G779" s="79"/>
      <c r="H779" s="79"/>
      <c r="I779" s="79"/>
    </row>
    <row r="780" s="78" customFormat="1" ht="16.5" customHeight="1" spans="1:9">
      <c r="A780" s="79"/>
      <c r="B780" s="79"/>
      <c r="C780" s="79"/>
      <c r="D780" s="81">
        <v>45089</v>
      </c>
      <c r="E780" s="82">
        <v>18601.5</v>
      </c>
      <c r="G780" s="79"/>
      <c r="H780" s="79"/>
      <c r="I780" s="79"/>
    </row>
    <row r="781" s="78" customFormat="1" ht="16.5" customHeight="1" spans="1:9">
      <c r="A781" s="79"/>
      <c r="B781" s="79"/>
      <c r="C781" s="79"/>
      <c r="D781" s="81">
        <v>45086</v>
      </c>
      <c r="E781" s="82">
        <v>18563.4</v>
      </c>
      <c r="G781" s="79"/>
      <c r="H781" s="79"/>
      <c r="I781" s="79"/>
    </row>
    <row r="782" s="78" customFormat="1" ht="16.5" customHeight="1" spans="1:9">
      <c r="A782" s="79"/>
      <c r="B782" s="79"/>
      <c r="C782" s="79"/>
      <c r="D782" s="81">
        <v>45085</v>
      </c>
      <c r="E782" s="82">
        <v>18634.55</v>
      </c>
      <c r="G782" s="79"/>
      <c r="H782" s="79"/>
      <c r="I782" s="79"/>
    </row>
    <row r="783" s="78" customFormat="1" ht="16.5" customHeight="1" spans="1:9">
      <c r="A783" s="79"/>
      <c r="B783" s="79"/>
      <c r="C783" s="79"/>
      <c r="D783" s="81">
        <v>45084</v>
      </c>
      <c r="E783" s="82">
        <v>18726.4</v>
      </c>
      <c r="G783" s="79"/>
      <c r="H783" s="79"/>
      <c r="I783" s="79"/>
    </row>
    <row r="784" s="78" customFormat="1" ht="16.5" customHeight="1" spans="1:9">
      <c r="A784" s="79"/>
      <c r="B784" s="79"/>
      <c r="C784" s="79"/>
      <c r="D784" s="81">
        <v>45083</v>
      </c>
      <c r="E784" s="82">
        <v>18599</v>
      </c>
      <c r="G784" s="79"/>
      <c r="H784" s="79"/>
      <c r="I784" s="79"/>
    </row>
    <row r="785" s="78" customFormat="1" ht="16.5" customHeight="1" spans="1:9">
      <c r="A785" s="79"/>
      <c r="B785" s="79"/>
      <c r="C785" s="79"/>
      <c r="D785" s="81">
        <v>45082</v>
      </c>
      <c r="E785" s="82">
        <v>18593.85</v>
      </c>
      <c r="G785" s="79"/>
      <c r="H785" s="79"/>
      <c r="I785" s="79"/>
    </row>
    <row r="786" s="78" customFormat="1" ht="16.5" customHeight="1" spans="1:9">
      <c r="A786" s="79"/>
      <c r="B786" s="79"/>
      <c r="C786" s="79"/>
      <c r="D786" s="81">
        <v>45079</v>
      </c>
      <c r="E786" s="82">
        <v>18534.1</v>
      </c>
      <c r="G786" s="79"/>
      <c r="H786" s="79"/>
      <c r="I786" s="79"/>
    </row>
    <row r="787" s="78" customFormat="1" ht="16.5" customHeight="1" spans="1:9">
      <c r="A787" s="79"/>
      <c r="B787" s="79"/>
      <c r="C787" s="79"/>
      <c r="D787" s="81">
        <v>45078</v>
      </c>
      <c r="E787" s="82">
        <v>18487.75</v>
      </c>
      <c r="G787" s="79"/>
      <c r="H787" s="79"/>
      <c r="I787" s="79"/>
    </row>
    <row r="788" s="78" customFormat="1" ht="16.5" customHeight="1" spans="1:9">
      <c r="A788" s="79"/>
      <c r="B788" s="79"/>
      <c r="C788" s="79"/>
      <c r="D788" s="81">
        <v>45077</v>
      </c>
      <c r="E788" s="82">
        <v>18534.4</v>
      </c>
      <c r="G788" s="79"/>
      <c r="H788" s="79"/>
      <c r="I788" s="79"/>
    </row>
    <row r="789" s="78" customFormat="1" ht="16.5" customHeight="1" spans="1:9">
      <c r="A789" s="79"/>
      <c r="B789" s="79"/>
      <c r="C789" s="79"/>
      <c r="D789" s="81">
        <v>45076</v>
      </c>
      <c r="E789" s="82">
        <v>18633.85</v>
      </c>
      <c r="G789" s="79"/>
      <c r="H789" s="79"/>
      <c r="I789" s="79"/>
    </row>
    <row r="790" s="78" customFormat="1" ht="16.5" customHeight="1" spans="1:9">
      <c r="A790" s="79"/>
      <c r="B790" s="79"/>
      <c r="C790" s="79"/>
      <c r="D790" s="81">
        <v>45075</v>
      </c>
      <c r="E790" s="82">
        <v>18598.65</v>
      </c>
      <c r="G790" s="79"/>
      <c r="H790" s="79"/>
      <c r="I790" s="79"/>
    </row>
    <row r="791" s="78" customFormat="1" ht="16.5" customHeight="1" spans="1:9">
      <c r="A791" s="79"/>
      <c r="B791" s="79"/>
      <c r="C791" s="79"/>
      <c r="D791" s="81">
        <v>45072</v>
      </c>
      <c r="E791" s="82">
        <v>18499.35</v>
      </c>
      <c r="G791" s="79"/>
      <c r="H791" s="79"/>
      <c r="I791" s="79"/>
    </row>
    <row r="792" s="78" customFormat="1" ht="16.5" customHeight="1" spans="1:9">
      <c r="A792" s="79"/>
      <c r="B792" s="79"/>
      <c r="C792" s="79"/>
      <c r="D792" s="81">
        <v>45071</v>
      </c>
      <c r="E792" s="82">
        <v>18321.15</v>
      </c>
      <c r="G792" s="79"/>
      <c r="H792" s="79"/>
      <c r="I792" s="79"/>
    </row>
    <row r="793" s="78" customFormat="1" ht="16.5" customHeight="1" spans="1:9">
      <c r="A793" s="79"/>
      <c r="B793" s="79"/>
      <c r="C793" s="79"/>
      <c r="D793" s="81">
        <v>45070</v>
      </c>
      <c r="E793" s="82">
        <v>18285.4</v>
      </c>
      <c r="G793" s="79"/>
      <c r="H793" s="79"/>
      <c r="I793" s="79"/>
    </row>
    <row r="794" s="78" customFormat="1" ht="16.5" customHeight="1" spans="1:9">
      <c r="A794" s="79"/>
      <c r="B794" s="79"/>
      <c r="C794" s="79"/>
      <c r="D794" s="81">
        <v>45069</v>
      </c>
      <c r="E794" s="82">
        <v>18348</v>
      </c>
      <c r="G794" s="79"/>
      <c r="H794" s="79"/>
      <c r="I794" s="79"/>
    </row>
    <row r="795" s="78" customFormat="1" ht="16.5" customHeight="1" spans="1:9">
      <c r="A795" s="79"/>
      <c r="B795" s="79"/>
      <c r="C795" s="79"/>
      <c r="D795" s="81">
        <v>45068</v>
      </c>
      <c r="E795" s="82">
        <v>18314.4</v>
      </c>
      <c r="G795" s="79"/>
      <c r="H795" s="79"/>
      <c r="I795" s="79"/>
    </row>
    <row r="796" s="78" customFormat="1" ht="16.5" customHeight="1" spans="1:9">
      <c r="A796" s="79"/>
      <c r="B796" s="79"/>
      <c r="C796" s="79"/>
      <c r="D796" s="81">
        <v>45065</v>
      </c>
      <c r="E796" s="82">
        <v>18203.4</v>
      </c>
      <c r="G796" s="79"/>
      <c r="H796" s="79"/>
      <c r="I796" s="79"/>
    </row>
    <row r="797" s="78" customFormat="1" ht="16.5" customHeight="1" spans="1:9">
      <c r="A797" s="79"/>
      <c r="B797" s="79"/>
      <c r="C797" s="79"/>
      <c r="D797" s="81">
        <v>45064</v>
      </c>
      <c r="E797" s="82">
        <v>18129.95</v>
      </c>
      <c r="G797" s="79"/>
      <c r="H797" s="79"/>
      <c r="I797" s="79"/>
    </row>
    <row r="798" s="78" customFormat="1" ht="16.5" customHeight="1" spans="1:9">
      <c r="A798" s="79"/>
      <c r="B798" s="79"/>
      <c r="C798" s="79"/>
      <c r="D798" s="81">
        <v>45063</v>
      </c>
      <c r="E798" s="82">
        <v>18181.75</v>
      </c>
      <c r="G798" s="79"/>
      <c r="H798" s="79"/>
      <c r="I798" s="79"/>
    </row>
    <row r="799" s="78" customFormat="1" ht="16.5" customHeight="1" spans="1:9">
      <c r="A799" s="79"/>
      <c r="B799" s="79"/>
      <c r="C799" s="79"/>
      <c r="D799" s="81">
        <v>45062</v>
      </c>
      <c r="E799" s="82">
        <v>18286.5</v>
      </c>
      <c r="G799" s="79"/>
      <c r="H799" s="79"/>
      <c r="I799" s="79"/>
    </row>
    <row r="800" s="78" customFormat="1" ht="16.5" customHeight="1" spans="1:9">
      <c r="A800" s="79"/>
      <c r="B800" s="79"/>
      <c r="C800" s="79"/>
      <c r="D800" s="81">
        <v>45061</v>
      </c>
      <c r="E800" s="82">
        <v>18398.85</v>
      </c>
      <c r="G800" s="79"/>
      <c r="H800" s="79"/>
      <c r="I800" s="79"/>
    </row>
    <row r="801" s="78" customFormat="1" ht="16.5" customHeight="1" spans="1:9">
      <c r="A801" s="79"/>
      <c r="B801" s="79"/>
      <c r="C801" s="79"/>
      <c r="D801" s="81">
        <v>45058</v>
      </c>
      <c r="E801" s="82">
        <v>18314.8</v>
      </c>
      <c r="G801" s="79"/>
      <c r="H801" s="79"/>
      <c r="I801" s="79"/>
    </row>
    <row r="802" s="78" customFormat="1" ht="16.5" customHeight="1" spans="1:9">
      <c r="A802" s="79"/>
      <c r="B802" s="79"/>
      <c r="C802" s="79"/>
      <c r="D802" s="81">
        <v>45057</v>
      </c>
      <c r="E802" s="82">
        <v>18297</v>
      </c>
      <c r="G802" s="79"/>
      <c r="H802" s="79"/>
      <c r="I802" s="79"/>
    </row>
    <row r="803" s="78" customFormat="1" ht="16.5" customHeight="1" spans="1:9">
      <c r="A803" s="79"/>
      <c r="B803" s="79"/>
      <c r="C803" s="79"/>
      <c r="D803" s="81">
        <v>45056</v>
      </c>
      <c r="E803" s="82">
        <v>18315.1</v>
      </c>
      <c r="G803" s="79"/>
      <c r="H803" s="79"/>
      <c r="I803" s="79"/>
    </row>
    <row r="804" s="78" customFormat="1" ht="16.5" customHeight="1" spans="1:9">
      <c r="A804" s="79"/>
      <c r="B804" s="79"/>
      <c r="C804" s="79"/>
      <c r="D804" s="81">
        <v>45055</v>
      </c>
      <c r="E804" s="82">
        <v>18265.95</v>
      </c>
      <c r="G804" s="79"/>
      <c r="H804" s="79"/>
      <c r="I804" s="79"/>
    </row>
    <row r="805" s="78" customFormat="1" ht="16.5" customHeight="1" spans="1:9">
      <c r="A805" s="79"/>
      <c r="B805" s="79"/>
      <c r="C805" s="79"/>
      <c r="D805" s="81">
        <v>45054</v>
      </c>
      <c r="E805" s="82">
        <v>18264.4</v>
      </c>
      <c r="G805" s="79"/>
      <c r="H805" s="79"/>
      <c r="I805" s="79"/>
    </row>
    <row r="806" s="78" customFormat="1" ht="16.5" customHeight="1" spans="1:9">
      <c r="A806" s="79"/>
      <c r="B806" s="79"/>
      <c r="C806" s="79"/>
      <c r="D806" s="81">
        <v>45051</v>
      </c>
      <c r="E806" s="82">
        <v>18069</v>
      </c>
      <c r="G806" s="79"/>
      <c r="H806" s="79"/>
      <c r="I806" s="79"/>
    </row>
    <row r="807" s="78" customFormat="1" ht="16.5" customHeight="1" spans="1:9">
      <c r="A807" s="79"/>
      <c r="B807" s="79"/>
      <c r="C807" s="79"/>
      <c r="D807" s="81">
        <v>45050</v>
      </c>
      <c r="E807" s="82">
        <v>18255.8</v>
      </c>
      <c r="G807" s="79"/>
      <c r="H807" s="79"/>
      <c r="I807" s="79"/>
    </row>
    <row r="808" s="78" customFormat="1" ht="16.5" customHeight="1" spans="1:9">
      <c r="A808" s="79"/>
      <c r="B808" s="79"/>
      <c r="C808" s="79"/>
      <c r="D808" s="81">
        <v>45049</v>
      </c>
      <c r="E808" s="82">
        <v>18089.85</v>
      </c>
      <c r="G808" s="79"/>
      <c r="H808" s="79"/>
      <c r="I808" s="79"/>
    </row>
    <row r="809" s="78" customFormat="1" ht="16.5" customHeight="1" spans="1:9">
      <c r="A809" s="79"/>
      <c r="B809" s="79"/>
      <c r="C809" s="79"/>
      <c r="D809" s="81">
        <v>45048</v>
      </c>
      <c r="E809" s="82">
        <v>18147.65</v>
      </c>
      <c r="G809" s="79"/>
      <c r="H809" s="79"/>
      <c r="I809" s="79"/>
    </row>
    <row r="810" s="78" customFormat="1" ht="16.5" customHeight="1" spans="1:9">
      <c r="A810" s="79"/>
      <c r="B810" s="79"/>
      <c r="C810" s="79"/>
      <c r="D810" s="81">
        <v>45044</v>
      </c>
      <c r="E810" s="82">
        <v>18065</v>
      </c>
      <c r="G810" s="79"/>
      <c r="H810" s="79"/>
      <c r="I810" s="79"/>
    </row>
    <row r="811" s="78" customFormat="1" ht="16.5" customHeight="1" spans="1:9">
      <c r="A811" s="79"/>
      <c r="B811" s="79"/>
      <c r="C811" s="79"/>
      <c r="D811" s="81">
        <v>45043</v>
      </c>
      <c r="E811" s="82">
        <v>17915.05</v>
      </c>
      <c r="G811" s="79"/>
      <c r="H811" s="79"/>
      <c r="I811" s="79"/>
    </row>
    <row r="812" s="78" customFormat="1" ht="16.5" customHeight="1" spans="1:9">
      <c r="A812" s="79"/>
      <c r="B812" s="79"/>
      <c r="C812" s="79"/>
      <c r="D812" s="81">
        <v>45042</v>
      </c>
      <c r="E812" s="82">
        <v>17813.6</v>
      </c>
      <c r="G812" s="79"/>
      <c r="H812" s="79"/>
      <c r="I812" s="79"/>
    </row>
    <row r="813" s="78" customFormat="1" ht="16.5" customHeight="1" spans="1:9">
      <c r="A813" s="79"/>
      <c r="B813" s="79"/>
      <c r="C813" s="79"/>
      <c r="D813" s="81">
        <v>45041</v>
      </c>
      <c r="E813" s="82">
        <v>17769.25</v>
      </c>
      <c r="G813" s="79"/>
      <c r="H813" s="79"/>
      <c r="I813" s="79"/>
    </row>
    <row r="814" s="78" customFormat="1" ht="16.5" customHeight="1" spans="1:9">
      <c r="A814" s="79"/>
      <c r="B814" s="79"/>
      <c r="C814" s="79"/>
      <c r="D814" s="81">
        <v>45040</v>
      </c>
      <c r="E814" s="82">
        <v>17743.4</v>
      </c>
      <c r="G814" s="79"/>
      <c r="H814" s="79"/>
      <c r="I814" s="79"/>
    </row>
    <row r="815" s="78" customFormat="1" ht="16.5" customHeight="1" spans="1:9">
      <c r="A815" s="79"/>
      <c r="B815" s="79"/>
      <c r="C815" s="79"/>
      <c r="D815" s="81">
        <v>45037</v>
      </c>
      <c r="E815" s="82">
        <v>17624.05</v>
      </c>
      <c r="G815" s="79"/>
      <c r="H815" s="79"/>
      <c r="I815" s="79"/>
    </row>
    <row r="816" s="78" customFormat="1" ht="16.5" customHeight="1" spans="1:9">
      <c r="A816" s="79"/>
      <c r="B816" s="79"/>
      <c r="C816" s="79"/>
      <c r="D816" s="81">
        <v>45036</v>
      </c>
      <c r="E816" s="82">
        <v>17624.45</v>
      </c>
      <c r="G816" s="79"/>
      <c r="H816" s="79"/>
      <c r="I816" s="79"/>
    </row>
    <row r="817" s="78" customFormat="1" ht="16.5" customHeight="1" spans="1:9">
      <c r="A817" s="79"/>
      <c r="B817" s="79"/>
      <c r="C817" s="79"/>
      <c r="D817" s="81">
        <v>45035</v>
      </c>
      <c r="E817" s="82">
        <v>17618.75</v>
      </c>
      <c r="G817" s="79"/>
      <c r="H817" s="79"/>
      <c r="I817" s="79"/>
    </row>
    <row r="818" s="78" customFormat="1" ht="16.5" customHeight="1" spans="1:9">
      <c r="A818" s="79"/>
      <c r="B818" s="79"/>
      <c r="C818" s="79"/>
      <c r="D818" s="81">
        <v>45034</v>
      </c>
      <c r="E818" s="82">
        <v>17660.15</v>
      </c>
      <c r="G818" s="79"/>
      <c r="H818" s="79"/>
      <c r="I818" s="79"/>
    </row>
    <row r="819" s="78" customFormat="1" ht="16.5" customHeight="1" spans="1:9">
      <c r="A819" s="79"/>
      <c r="B819" s="79"/>
      <c r="C819" s="79"/>
      <c r="D819" s="81">
        <v>45033</v>
      </c>
      <c r="E819" s="82">
        <v>17706.85</v>
      </c>
      <c r="G819" s="79"/>
      <c r="H819" s="79"/>
      <c r="I819" s="79"/>
    </row>
    <row r="820" s="78" customFormat="1" ht="16.5" customHeight="1" spans="1:9">
      <c r="A820" s="79"/>
      <c r="B820" s="79"/>
      <c r="C820" s="79"/>
      <c r="D820" s="81">
        <v>45029</v>
      </c>
      <c r="E820" s="82">
        <v>17828</v>
      </c>
      <c r="G820" s="79"/>
      <c r="H820" s="79"/>
      <c r="I820" s="79"/>
    </row>
    <row r="821" s="78" customFormat="1" ht="16.5" customHeight="1" spans="1:9">
      <c r="A821" s="79"/>
      <c r="B821" s="79"/>
      <c r="C821" s="79"/>
      <c r="D821" s="81">
        <v>45028</v>
      </c>
      <c r="E821" s="82">
        <v>17812.4</v>
      </c>
      <c r="G821" s="79"/>
      <c r="H821" s="79"/>
      <c r="I821" s="79"/>
    </row>
    <row r="822" s="78" customFormat="1" ht="16.5" customHeight="1" spans="1:9">
      <c r="A822" s="79"/>
      <c r="B822" s="79"/>
      <c r="C822" s="79"/>
      <c r="D822" s="81">
        <v>45027</v>
      </c>
      <c r="E822" s="82">
        <v>17722.3</v>
      </c>
      <c r="G822" s="79"/>
      <c r="H822" s="79"/>
      <c r="I822" s="79"/>
    </row>
    <row r="823" s="78" customFormat="1" ht="16.5" customHeight="1" spans="1:9">
      <c r="A823" s="79"/>
      <c r="B823" s="79"/>
      <c r="C823" s="79"/>
      <c r="D823" s="81">
        <v>45026</v>
      </c>
      <c r="E823" s="82">
        <v>17624.05</v>
      </c>
      <c r="G823" s="79"/>
      <c r="H823" s="79"/>
      <c r="I823" s="79"/>
    </row>
    <row r="824" s="78" customFormat="1" ht="16.5" customHeight="1" spans="1:9">
      <c r="A824" s="79"/>
      <c r="B824" s="79"/>
      <c r="C824" s="79"/>
      <c r="D824" s="81">
        <v>45022</v>
      </c>
      <c r="E824" s="82">
        <v>17599.15</v>
      </c>
      <c r="G824" s="79"/>
      <c r="H824" s="79"/>
      <c r="I824" s="79"/>
    </row>
    <row r="825" s="78" customFormat="1" ht="16.5" customHeight="1" spans="1:9">
      <c r="A825" s="79"/>
      <c r="B825" s="79"/>
      <c r="C825" s="79"/>
      <c r="D825" s="81">
        <v>45021</v>
      </c>
      <c r="E825" s="82">
        <v>17557.05</v>
      </c>
      <c r="G825" s="79"/>
      <c r="H825" s="79"/>
      <c r="I825" s="79"/>
    </row>
    <row r="826" s="78" customFormat="1" ht="16.5" customHeight="1" spans="1:9">
      <c r="A826" s="79"/>
      <c r="B826" s="79"/>
      <c r="C826" s="79"/>
      <c r="D826" s="81">
        <v>45019</v>
      </c>
      <c r="E826" s="82">
        <v>17398.05</v>
      </c>
      <c r="G826" s="79"/>
      <c r="H826" s="79"/>
      <c r="I826" s="79"/>
    </row>
    <row r="827" s="78" customFormat="1" ht="16.5" customHeight="1" spans="1:9">
      <c r="A827" s="79"/>
      <c r="B827" s="79"/>
      <c r="C827" s="79"/>
      <c r="D827" s="81">
        <v>45016</v>
      </c>
      <c r="E827" s="82">
        <v>17359.75</v>
      </c>
      <c r="G827" s="79"/>
      <c r="H827" s="79"/>
      <c r="I827" s="79"/>
    </row>
    <row r="828" s="78" customFormat="1" ht="16.5" customHeight="1" spans="1:9">
      <c r="A828" s="79"/>
      <c r="B828" s="79"/>
      <c r="C828" s="79"/>
      <c r="D828" s="81">
        <v>45014</v>
      </c>
      <c r="E828" s="82">
        <v>17080.7</v>
      </c>
      <c r="G828" s="79"/>
      <c r="H828" s="79"/>
      <c r="I828" s="79"/>
    </row>
    <row r="829" s="78" customFormat="1" ht="16.5" customHeight="1" spans="1:9">
      <c r="A829" s="79"/>
      <c r="B829" s="79"/>
      <c r="C829" s="79"/>
      <c r="D829" s="81">
        <v>45013</v>
      </c>
      <c r="E829" s="82">
        <v>16951.7</v>
      </c>
      <c r="G829" s="79"/>
      <c r="H829" s="79"/>
      <c r="I829" s="79"/>
    </row>
    <row r="830" s="78" customFormat="1" ht="16.5" customHeight="1" spans="1:9">
      <c r="A830" s="79"/>
      <c r="B830" s="79"/>
      <c r="C830" s="79"/>
      <c r="D830" s="81">
        <v>45012</v>
      </c>
      <c r="E830" s="82">
        <v>16985.7</v>
      </c>
      <c r="G830" s="79"/>
      <c r="H830" s="79"/>
      <c r="I830" s="79"/>
    </row>
    <row r="831" s="78" customFormat="1" ht="16.5" customHeight="1" spans="1:9">
      <c r="A831" s="79"/>
      <c r="B831" s="79"/>
      <c r="C831" s="79"/>
      <c r="D831" s="81">
        <v>45009</v>
      </c>
      <c r="E831" s="82">
        <v>16945.05</v>
      </c>
      <c r="G831" s="79"/>
      <c r="H831" s="79"/>
      <c r="I831" s="79"/>
    </row>
    <row r="832" s="78" customFormat="1" ht="16.5" customHeight="1" spans="1:9">
      <c r="A832" s="79"/>
      <c r="B832" s="79"/>
      <c r="C832" s="79"/>
      <c r="D832" s="81">
        <v>45008</v>
      </c>
      <c r="E832" s="82">
        <v>17076.9</v>
      </c>
      <c r="G832" s="79"/>
      <c r="H832" s="79"/>
      <c r="I832" s="79"/>
    </row>
    <row r="833" s="78" customFormat="1" ht="16.5" customHeight="1" spans="1:9">
      <c r="A833" s="79"/>
      <c r="B833" s="79"/>
      <c r="C833" s="79"/>
      <c r="D833" s="81">
        <v>45007</v>
      </c>
      <c r="E833" s="82">
        <v>17151.9</v>
      </c>
      <c r="G833" s="79"/>
      <c r="H833" s="79"/>
      <c r="I833" s="79"/>
    </row>
    <row r="834" s="78" customFormat="1" ht="16.5" customHeight="1" spans="1:9">
      <c r="A834" s="79"/>
      <c r="B834" s="79"/>
      <c r="C834" s="79"/>
      <c r="D834" s="81">
        <v>45006</v>
      </c>
      <c r="E834" s="82">
        <v>17107.5</v>
      </c>
      <c r="G834" s="79"/>
      <c r="H834" s="79"/>
      <c r="I834" s="79"/>
    </row>
    <row r="835" s="78" customFormat="1" ht="16.5" customHeight="1" spans="1:9">
      <c r="A835" s="79"/>
      <c r="B835" s="79"/>
      <c r="C835" s="79"/>
      <c r="D835" s="81">
        <v>45005</v>
      </c>
      <c r="E835" s="82">
        <v>16988.4</v>
      </c>
      <c r="G835" s="79"/>
      <c r="H835" s="79"/>
      <c r="I835" s="79"/>
    </row>
    <row r="836" s="78" customFormat="1" ht="16.5" customHeight="1" spans="1:9">
      <c r="A836" s="79"/>
      <c r="B836" s="79"/>
      <c r="C836" s="79"/>
      <c r="D836" s="81">
        <v>45002</v>
      </c>
      <c r="E836" s="82">
        <v>17100.05</v>
      </c>
      <c r="G836" s="79"/>
      <c r="H836" s="79"/>
      <c r="I836" s="79"/>
    </row>
    <row r="837" s="78" customFormat="1" ht="16.5" customHeight="1" spans="1:9">
      <c r="A837" s="79"/>
      <c r="B837" s="79"/>
      <c r="C837" s="79"/>
      <c r="D837" s="81">
        <v>45001</v>
      </c>
      <c r="E837" s="82">
        <v>16985.6</v>
      </c>
      <c r="G837" s="79"/>
      <c r="H837" s="79"/>
      <c r="I837" s="79"/>
    </row>
    <row r="838" s="78" customFormat="1" ht="16.5" customHeight="1" spans="1:9">
      <c r="A838" s="79"/>
      <c r="B838" s="79"/>
      <c r="C838" s="79"/>
      <c r="D838" s="81">
        <v>45000</v>
      </c>
      <c r="E838" s="82">
        <v>16972.15</v>
      </c>
      <c r="G838" s="79"/>
      <c r="H838" s="79"/>
      <c r="I838" s="79"/>
    </row>
    <row r="839" s="78" customFormat="1" ht="16.5" customHeight="1" spans="1:9">
      <c r="A839" s="79"/>
      <c r="B839" s="79"/>
      <c r="C839" s="79"/>
      <c r="D839" s="81">
        <v>44999</v>
      </c>
      <c r="E839" s="82">
        <v>17043.3</v>
      </c>
      <c r="G839" s="79"/>
      <c r="H839" s="79"/>
      <c r="I839" s="79"/>
    </row>
    <row r="840" s="78" customFormat="1" ht="16.5" customHeight="1" spans="1:9">
      <c r="A840" s="79"/>
      <c r="B840" s="79"/>
      <c r="C840" s="79"/>
      <c r="D840" s="81">
        <v>44998</v>
      </c>
      <c r="E840" s="82">
        <v>17154.3</v>
      </c>
      <c r="G840" s="79"/>
      <c r="H840" s="79"/>
      <c r="I840" s="79"/>
    </row>
    <row r="841" s="78" customFormat="1" ht="16.5" customHeight="1" spans="1:9">
      <c r="A841" s="79"/>
      <c r="B841" s="79"/>
      <c r="C841" s="79"/>
      <c r="D841" s="81">
        <v>44995</v>
      </c>
      <c r="E841" s="82">
        <v>17412.9</v>
      </c>
      <c r="G841" s="79"/>
      <c r="H841" s="79"/>
      <c r="I841" s="79"/>
    </row>
    <row r="842" s="78" customFormat="1" ht="16.5" customHeight="1" spans="1:9">
      <c r="A842" s="79"/>
      <c r="B842" s="79"/>
      <c r="C842" s="79"/>
      <c r="D842" s="81">
        <v>44994</v>
      </c>
      <c r="E842" s="82">
        <v>17589.6</v>
      </c>
      <c r="G842" s="79"/>
      <c r="H842" s="79"/>
      <c r="I842" s="79"/>
    </row>
    <row r="843" s="78" customFormat="1" ht="16.5" customHeight="1" spans="1:9">
      <c r="A843" s="79"/>
      <c r="B843" s="79"/>
      <c r="C843" s="79"/>
      <c r="D843" s="81">
        <v>44993</v>
      </c>
      <c r="E843" s="82">
        <v>17754.4</v>
      </c>
      <c r="G843" s="79"/>
      <c r="H843" s="79"/>
      <c r="I843" s="79"/>
    </row>
    <row r="844" s="78" customFormat="1" ht="16.5" customHeight="1" spans="1:9">
      <c r="A844" s="79"/>
      <c r="B844" s="79"/>
      <c r="C844" s="79"/>
      <c r="D844" s="81">
        <v>44991</v>
      </c>
      <c r="E844" s="82">
        <v>17711.45</v>
      </c>
      <c r="G844" s="79"/>
      <c r="H844" s="79"/>
      <c r="I844" s="79"/>
    </row>
    <row r="845" s="78" customFormat="1" ht="16.5" customHeight="1" spans="1:9">
      <c r="A845" s="79"/>
      <c r="B845" s="79"/>
      <c r="C845" s="79"/>
      <c r="D845" s="81">
        <v>44988</v>
      </c>
      <c r="E845" s="82">
        <v>17594.35</v>
      </c>
      <c r="G845" s="79"/>
      <c r="H845" s="79"/>
      <c r="I845" s="79"/>
    </row>
    <row r="846" s="78" customFormat="1" ht="16.5" customHeight="1" spans="1:9">
      <c r="A846" s="79"/>
      <c r="B846" s="79"/>
      <c r="C846" s="79"/>
      <c r="D846" s="81">
        <v>44987</v>
      </c>
      <c r="E846" s="82">
        <v>17321.9</v>
      </c>
      <c r="G846" s="79"/>
      <c r="H846" s="79"/>
      <c r="I846" s="79"/>
    </row>
    <row r="847" s="78" customFormat="1" ht="16.5" customHeight="1" spans="1:9">
      <c r="A847" s="79"/>
      <c r="B847" s="79"/>
      <c r="C847" s="79"/>
      <c r="D847" s="81">
        <v>44986</v>
      </c>
      <c r="E847" s="82">
        <v>17450.9</v>
      </c>
      <c r="G847" s="79"/>
      <c r="H847" s="79"/>
      <c r="I847" s="79"/>
    </row>
    <row r="848" s="78" customFormat="1" ht="16.5" customHeight="1" spans="1:9">
      <c r="A848" s="79"/>
      <c r="B848" s="79"/>
      <c r="C848" s="79"/>
      <c r="D848" s="81">
        <v>44985</v>
      </c>
      <c r="E848" s="82">
        <v>17303.95</v>
      </c>
      <c r="G848" s="79"/>
      <c r="H848" s="79"/>
      <c r="I848" s="79"/>
    </row>
    <row r="849" s="78" customFormat="1" ht="16.5" customHeight="1" spans="1:9">
      <c r="A849" s="79"/>
      <c r="B849" s="79"/>
      <c r="C849" s="79"/>
      <c r="D849" s="81">
        <v>44984</v>
      </c>
      <c r="E849" s="82">
        <v>17392.7</v>
      </c>
      <c r="G849" s="79"/>
      <c r="H849" s="79"/>
      <c r="I849" s="79"/>
    </row>
    <row r="850" s="78" customFormat="1" ht="16.5" customHeight="1" spans="1:9">
      <c r="A850" s="79"/>
      <c r="B850" s="79"/>
      <c r="C850" s="79"/>
      <c r="D850" s="81">
        <v>44981</v>
      </c>
      <c r="E850" s="82">
        <v>17465.8</v>
      </c>
      <c r="G850" s="79"/>
      <c r="H850" s="79"/>
      <c r="I850" s="79"/>
    </row>
    <row r="851" s="78" customFormat="1" ht="16.5" customHeight="1" spans="1:9">
      <c r="A851" s="79"/>
      <c r="B851" s="79"/>
      <c r="C851" s="79"/>
      <c r="D851" s="81">
        <v>44980</v>
      </c>
      <c r="E851" s="82">
        <v>17511.25</v>
      </c>
      <c r="G851" s="79"/>
      <c r="H851" s="79"/>
      <c r="I851" s="79"/>
    </row>
    <row r="852" s="78" customFormat="1" ht="16.5" customHeight="1" spans="1:9">
      <c r="A852" s="79"/>
      <c r="B852" s="79"/>
      <c r="C852" s="79"/>
      <c r="D852" s="81">
        <v>44979</v>
      </c>
      <c r="E852" s="82">
        <v>17554.3</v>
      </c>
      <c r="G852" s="79"/>
      <c r="H852" s="79"/>
      <c r="I852" s="79"/>
    </row>
    <row r="853" s="78" customFormat="1" ht="16.5" customHeight="1" spans="1:9">
      <c r="A853" s="79"/>
      <c r="B853" s="79"/>
      <c r="C853" s="79"/>
      <c r="D853" s="81">
        <v>44978</v>
      </c>
      <c r="E853" s="82">
        <v>17826.7</v>
      </c>
      <c r="G853" s="79"/>
      <c r="H853" s="79"/>
      <c r="I853" s="79"/>
    </row>
    <row r="854" s="78" customFormat="1" ht="16.5" customHeight="1" spans="1:9">
      <c r="A854" s="79"/>
      <c r="B854" s="79"/>
      <c r="C854" s="79"/>
      <c r="D854" s="81">
        <v>44977</v>
      </c>
      <c r="E854" s="82">
        <v>17844.6</v>
      </c>
      <c r="G854" s="79"/>
      <c r="H854" s="79"/>
      <c r="I854" s="79"/>
    </row>
    <row r="855" s="78" customFormat="1" ht="16.5" customHeight="1" spans="1:9">
      <c r="A855" s="79"/>
      <c r="B855" s="79"/>
      <c r="C855" s="79"/>
      <c r="D855" s="81">
        <v>44974</v>
      </c>
      <c r="E855" s="82">
        <v>17944.2</v>
      </c>
      <c r="G855" s="79"/>
      <c r="H855" s="79"/>
      <c r="I855" s="79"/>
    </row>
    <row r="856" s="78" customFormat="1" ht="16.5" customHeight="1" spans="1:9">
      <c r="A856" s="79"/>
      <c r="B856" s="79"/>
      <c r="C856" s="79"/>
      <c r="D856" s="81">
        <v>44973</v>
      </c>
      <c r="E856" s="82">
        <v>18035.85</v>
      </c>
      <c r="G856" s="79"/>
      <c r="H856" s="79"/>
      <c r="I856" s="79"/>
    </row>
    <row r="857" s="78" customFormat="1" ht="16.5" customHeight="1" spans="1:9">
      <c r="A857" s="79"/>
      <c r="B857" s="79"/>
      <c r="C857" s="79"/>
      <c r="D857" s="81">
        <v>44972</v>
      </c>
      <c r="E857" s="82">
        <v>18015.85</v>
      </c>
      <c r="G857" s="79"/>
      <c r="H857" s="79"/>
      <c r="I857" s="79"/>
    </row>
    <row r="858" s="78" customFormat="1" ht="16.5" customHeight="1" spans="1:9">
      <c r="A858" s="79"/>
      <c r="B858" s="79"/>
      <c r="C858" s="79"/>
      <c r="D858" s="81">
        <v>44971</v>
      </c>
      <c r="E858" s="82">
        <v>17929.85</v>
      </c>
      <c r="G858" s="79"/>
      <c r="H858" s="79"/>
      <c r="I858" s="79"/>
    </row>
    <row r="859" s="78" customFormat="1" ht="16.5" customHeight="1" spans="1:9">
      <c r="A859" s="79"/>
      <c r="B859" s="79"/>
      <c r="C859" s="79"/>
      <c r="D859" s="81">
        <v>44970</v>
      </c>
      <c r="E859" s="82">
        <v>17770.9</v>
      </c>
      <c r="G859" s="79"/>
      <c r="H859" s="79"/>
      <c r="I859" s="79"/>
    </row>
    <row r="860" s="78" customFormat="1" ht="16.5" customHeight="1" spans="1:9">
      <c r="A860" s="79"/>
      <c r="B860" s="79"/>
      <c r="C860" s="79"/>
      <c r="D860" s="81">
        <v>44967</v>
      </c>
      <c r="E860" s="82">
        <v>17856.5</v>
      </c>
      <c r="G860" s="79"/>
      <c r="H860" s="79"/>
      <c r="I860" s="79"/>
    </row>
    <row r="861" s="78" customFormat="1" ht="16.5" customHeight="1" spans="1:9">
      <c r="A861" s="79"/>
      <c r="B861" s="79"/>
      <c r="C861" s="79"/>
      <c r="D861" s="81">
        <v>44966</v>
      </c>
      <c r="E861" s="82">
        <v>17893.45</v>
      </c>
      <c r="G861" s="79"/>
      <c r="H861" s="79"/>
      <c r="I861" s="79"/>
    </row>
    <row r="862" s="78" customFormat="1" ht="16.5" customHeight="1" spans="1:9">
      <c r="A862" s="79"/>
      <c r="B862" s="79"/>
      <c r="C862" s="79"/>
      <c r="D862" s="81">
        <v>44965</v>
      </c>
      <c r="E862" s="82">
        <v>17871.7</v>
      </c>
      <c r="G862" s="79"/>
      <c r="H862" s="79"/>
      <c r="I862" s="79"/>
    </row>
    <row r="863" s="78" customFormat="1" ht="16.5" customHeight="1" spans="1:9">
      <c r="A863" s="79"/>
      <c r="B863" s="79"/>
      <c r="C863" s="79"/>
      <c r="D863" s="81">
        <v>44964</v>
      </c>
      <c r="E863" s="82">
        <v>17721.5</v>
      </c>
      <c r="G863" s="79"/>
      <c r="H863" s="79"/>
      <c r="I863" s="79"/>
    </row>
    <row r="864" s="78" customFormat="1" ht="16.5" customHeight="1" spans="1:9">
      <c r="A864" s="79"/>
      <c r="B864" s="79"/>
      <c r="C864" s="79"/>
      <c r="D864" s="81">
        <v>44963</v>
      </c>
      <c r="E864" s="82">
        <v>17764.6</v>
      </c>
      <c r="G864" s="79"/>
      <c r="H864" s="79"/>
      <c r="I864" s="79"/>
    </row>
    <row r="865" s="78" customFormat="1" ht="16.5" customHeight="1" spans="1:9">
      <c r="A865" s="79"/>
      <c r="B865" s="79"/>
      <c r="C865" s="79"/>
      <c r="D865" s="81">
        <v>44960</v>
      </c>
      <c r="E865" s="82">
        <v>17854.05</v>
      </c>
      <c r="G865" s="79"/>
      <c r="H865" s="79"/>
      <c r="I865" s="79"/>
    </row>
    <row r="866" s="78" customFormat="1" ht="16.5" customHeight="1" spans="1:9">
      <c r="A866" s="79"/>
      <c r="B866" s="79"/>
      <c r="C866" s="79"/>
      <c r="D866" s="81">
        <v>44959</v>
      </c>
      <c r="E866" s="82">
        <v>17610.4</v>
      </c>
      <c r="G866" s="79"/>
      <c r="H866" s="79"/>
      <c r="I866" s="79"/>
    </row>
    <row r="867" s="78" customFormat="1" ht="16.5" customHeight="1" spans="1:9">
      <c r="A867" s="79"/>
      <c r="B867" s="79"/>
      <c r="C867" s="79"/>
      <c r="D867" s="81">
        <v>44958</v>
      </c>
      <c r="E867" s="82">
        <v>17616.3</v>
      </c>
      <c r="G867" s="79"/>
      <c r="H867" s="79"/>
      <c r="I867" s="79"/>
    </row>
    <row r="868" s="78" customFormat="1" ht="16.5" customHeight="1" spans="1:9">
      <c r="A868" s="79"/>
      <c r="B868" s="79"/>
      <c r="C868" s="79"/>
      <c r="D868" s="81">
        <v>44957</v>
      </c>
      <c r="E868" s="82">
        <v>17662.15</v>
      </c>
      <c r="G868" s="79"/>
      <c r="H868" s="79"/>
      <c r="I868" s="79"/>
    </row>
    <row r="869" s="78" customFormat="1" ht="16.5" customHeight="1" spans="1:9">
      <c r="A869" s="79"/>
      <c r="B869" s="79"/>
      <c r="C869" s="79"/>
      <c r="D869" s="81">
        <v>44956</v>
      </c>
      <c r="E869" s="82">
        <v>17648.95</v>
      </c>
      <c r="G869" s="79"/>
      <c r="H869" s="79"/>
      <c r="I869" s="79"/>
    </row>
    <row r="870" s="78" customFormat="1" ht="16.5" customHeight="1" spans="1:9">
      <c r="A870" s="79"/>
      <c r="B870" s="79"/>
      <c r="C870" s="79"/>
      <c r="D870" s="81">
        <v>44953</v>
      </c>
      <c r="E870" s="82">
        <v>17604.35</v>
      </c>
      <c r="G870" s="79"/>
      <c r="H870" s="79"/>
      <c r="I870" s="79"/>
    </row>
    <row r="871" s="78" customFormat="1" ht="16.5" customHeight="1" spans="1:9">
      <c r="A871" s="79"/>
      <c r="B871" s="79"/>
      <c r="C871" s="79"/>
      <c r="D871" s="81">
        <v>44951</v>
      </c>
      <c r="E871" s="82">
        <v>17891.95</v>
      </c>
      <c r="G871" s="79"/>
      <c r="H871" s="79"/>
      <c r="I871" s="79"/>
    </row>
    <row r="872" s="78" customFormat="1" ht="16.5" customHeight="1" spans="1:9">
      <c r="A872" s="79"/>
      <c r="B872" s="79"/>
      <c r="C872" s="79"/>
      <c r="D872" s="81">
        <v>44950</v>
      </c>
      <c r="E872" s="82">
        <v>18118.3</v>
      </c>
      <c r="G872" s="79"/>
      <c r="H872" s="79"/>
      <c r="I872" s="79"/>
    </row>
    <row r="873" s="78" customFormat="1" ht="16.5" customHeight="1" spans="1:9">
      <c r="A873" s="79"/>
      <c r="B873" s="79"/>
      <c r="C873" s="79"/>
      <c r="D873" s="81">
        <v>44949</v>
      </c>
      <c r="E873" s="82">
        <v>18118.55</v>
      </c>
      <c r="G873" s="79"/>
      <c r="H873" s="79"/>
      <c r="I873" s="79"/>
    </row>
    <row r="874" s="78" customFormat="1" ht="16.5" customHeight="1" spans="1:9">
      <c r="A874" s="79"/>
      <c r="B874" s="79"/>
      <c r="C874" s="79"/>
      <c r="D874" s="81">
        <v>44946</v>
      </c>
      <c r="E874" s="82">
        <v>18027.65</v>
      </c>
      <c r="G874" s="79"/>
      <c r="H874" s="79"/>
      <c r="I874" s="79"/>
    </row>
    <row r="875" s="78" customFormat="1" ht="16.5" customHeight="1" spans="1:9">
      <c r="A875" s="79"/>
      <c r="B875" s="79"/>
      <c r="C875" s="79"/>
      <c r="D875" s="81">
        <v>44945</v>
      </c>
      <c r="E875" s="82">
        <v>18107.85</v>
      </c>
      <c r="G875" s="79"/>
      <c r="H875" s="79"/>
      <c r="I875" s="79"/>
    </row>
    <row r="876" s="78" customFormat="1" ht="16.5" customHeight="1" spans="1:9">
      <c r="A876" s="79"/>
      <c r="B876" s="79"/>
      <c r="C876" s="79"/>
      <c r="D876" s="81">
        <v>44944</v>
      </c>
      <c r="E876" s="82">
        <v>18165.35</v>
      </c>
      <c r="G876" s="79"/>
      <c r="H876" s="79"/>
      <c r="I876" s="79"/>
    </row>
    <row r="877" s="78" customFormat="1" ht="16.5" customHeight="1" spans="1:9">
      <c r="A877" s="79"/>
      <c r="B877" s="79"/>
      <c r="C877" s="79"/>
      <c r="D877" s="81">
        <v>44943</v>
      </c>
      <c r="E877" s="82">
        <v>18053.3</v>
      </c>
      <c r="G877" s="79"/>
      <c r="H877" s="79"/>
      <c r="I877" s="79"/>
    </row>
    <row r="878" s="78" customFormat="1" ht="16.5" customHeight="1" spans="1:9">
      <c r="A878" s="79"/>
      <c r="B878" s="79"/>
      <c r="C878" s="79"/>
      <c r="D878" s="81">
        <v>44942</v>
      </c>
      <c r="E878" s="82">
        <v>17894.85</v>
      </c>
      <c r="G878" s="79"/>
      <c r="H878" s="79"/>
      <c r="I878" s="79"/>
    </row>
    <row r="879" s="78" customFormat="1" ht="16.5" customHeight="1" spans="1:9">
      <c r="A879" s="79"/>
      <c r="B879" s="79"/>
      <c r="C879" s="79"/>
      <c r="D879" s="81">
        <v>44939</v>
      </c>
      <c r="E879" s="82">
        <v>17956.6</v>
      </c>
      <c r="G879" s="79"/>
      <c r="H879" s="79"/>
      <c r="I879" s="79"/>
    </row>
    <row r="880" s="78" customFormat="1" ht="16.5" customHeight="1" spans="1:9">
      <c r="A880" s="79"/>
      <c r="B880" s="79"/>
      <c r="C880" s="79"/>
      <c r="D880" s="81">
        <v>44938</v>
      </c>
      <c r="E880" s="82">
        <v>17858.2</v>
      </c>
      <c r="G880" s="79"/>
      <c r="H880" s="79"/>
      <c r="I880" s="79"/>
    </row>
    <row r="881" s="78" customFormat="1" ht="16.5" customHeight="1" spans="1:9">
      <c r="A881" s="79"/>
      <c r="B881" s="79"/>
      <c r="C881" s="79"/>
      <c r="D881" s="81">
        <v>44937</v>
      </c>
      <c r="E881" s="82">
        <v>17895.7</v>
      </c>
      <c r="G881" s="79"/>
      <c r="H881" s="79"/>
      <c r="I881" s="79"/>
    </row>
    <row r="882" s="78" customFormat="1" ht="16.5" customHeight="1" spans="1:9">
      <c r="A882" s="79"/>
      <c r="B882" s="79"/>
      <c r="C882" s="79"/>
      <c r="D882" s="81">
        <v>44936</v>
      </c>
      <c r="E882" s="82">
        <v>17914.15</v>
      </c>
      <c r="G882" s="79"/>
      <c r="H882" s="79"/>
      <c r="I882" s="79"/>
    </row>
    <row r="883" s="78" customFormat="1" ht="16.5" customHeight="1" spans="1:9">
      <c r="A883" s="79"/>
      <c r="B883" s="79"/>
      <c r="C883" s="79"/>
      <c r="D883" s="81">
        <v>44935</v>
      </c>
      <c r="E883" s="82">
        <v>18101.2</v>
      </c>
      <c r="G883" s="79"/>
      <c r="H883" s="79"/>
      <c r="I883" s="79"/>
    </row>
    <row r="884" s="78" customFormat="1" ht="16.5" customHeight="1" spans="1:9">
      <c r="A884" s="79"/>
      <c r="B884" s="79"/>
      <c r="C884" s="79"/>
      <c r="D884" s="81">
        <v>44932</v>
      </c>
      <c r="E884" s="82">
        <v>17859.45</v>
      </c>
      <c r="G884" s="79"/>
      <c r="H884" s="79"/>
      <c r="I884" s="79"/>
    </row>
    <row r="885" s="78" customFormat="1" ht="16.5" customHeight="1" spans="1:9">
      <c r="A885" s="79"/>
      <c r="B885" s="79"/>
      <c r="C885" s="79"/>
      <c r="D885" s="81">
        <v>44931</v>
      </c>
      <c r="E885" s="82">
        <v>17992.15</v>
      </c>
      <c r="G885" s="79"/>
      <c r="H885" s="79"/>
      <c r="I885" s="79"/>
    </row>
    <row r="886" s="78" customFormat="1" ht="16.5" customHeight="1" spans="1:9">
      <c r="A886" s="79"/>
      <c r="B886" s="79"/>
      <c r="C886" s="79"/>
      <c r="D886" s="81">
        <v>44930</v>
      </c>
      <c r="E886" s="82">
        <v>18042.95</v>
      </c>
      <c r="G886" s="79"/>
      <c r="H886" s="79"/>
      <c r="I886" s="79"/>
    </row>
    <row r="887" s="78" customFormat="1" ht="16.5" customHeight="1" spans="1:9">
      <c r="A887" s="79"/>
      <c r="B887" s="79"/>
      <c r="C887" s="79"/>
      <c r="D887" s="81">
        <v>44929</v>
      </c>
      <c r="E887" s="82">
        <v>18232.55</v>
      </c>
      <c r="G887" s="79"/>
      <c r="H887" s="79"/>
      <c r="I887" s="79"/>
    </row>
    <row r="888" s="78" customFormat="1" ht="16.5" customHeight="1" spans="1:9">
      <c r="A888" s="79"/>
      <c r="B888" s="79"/>
      <c r="C888" s="79"/>
      <c r="D888" s="81">
        <v>44928</v>
      </c>
      <c r="E888" s="82">
        <v>18197.45</v>
      </c>
      <c r="G888" s="79"/>
      <c r="H888" s="79"/>
      <c r="I888" s="79"/>
    </row>
    <row r="889" s="78" customFormat="1" ht="16.5" customHeight="1" spans="1:9">
      <c r="A889" s="79"/>
      <c r="B889" s="79"/>
      <c r="C889" s="79"/>
      <c r="D889" s="81">
        <v>44925</v>
      </c>
      <c r="E889" s="82">
        <v>18105.3</v>
      </c>
      <c r="G889" s="79"/>
      <c r="H889" s="79"/>
      <c r="I889" s="79"/>
    </row>
    <row r="890" s="78" customFormat="1" ht="16.5" customHeight="1" spans="1:9">
      <c r="A890" s="79"/>
      <c r="B890" s="79"/>
      <c r="C890" s="79"/>
      <c r="D890" s="81">
        <v>44924</v>
      </c>
      <c r="E890" s="82">
        <v>18191</v>
      </c>
      <c r="G890" s="79"/>
      <c r="H890" s="79"/>
      <c r="I890" s="79"/>
    </row>
    <row r="891" s="78" customFormat="1" ht="16.5" customHeight="1" spans="1:9">
      <c r="A891" s="79"/>
      <c r="B891" s="79"/>
      <c r="C891" s="79"/>
      <c r="D891" s="81">
        <v>44923</v>
      </c>
      <c r="E891" s="82">
        <v>18122.5</v>
      </c>
      <c r="G891" s="79"/>
      <c r="H891" s="79"/>
      <c r="I891" s="79"/>
    </row>
    <row r="892" s="78" customFormat="1" ht="16.5" customHeight="1" spans="1:9">
      <c r="A892" s="79"/>
      <c r="B892" s="79"/>
      <c r="C892" s="79"/>
      <c r="D892" s="81">
        <v>44922</v>
      </c>
      <c r="E892" s="82">
        <v>18132.3</v>
      </c>
      <c r="G892" s="79"/>
      <c r="H892" s="79"/>
      <c r="I892" s="79"/>
    </row>
    <row r="893" s="78" customFormat="1" ht="16.5" customHeight="1" spans="1:9">
      <c r="A893" s="79"/>
      <c r="B893" s="79"/>
      <c r="C893" s="79"/>
      <c r="D893" s="81">
        <v>44921</v>
      </c>
      <c r="E893" s="82">
        <v>18014.6</v>
      </c>
      <c r="G893" s="79"/>
      <c r="H893" s="79"/>
      <c r="I893" s="79"/>
    </row>
    <row r="894" s="78" customFormat="1" ht="16.5" customHeight="1" spans="1:9">
      <c r="A894" s="79"/>
      <c r="B894" s="79"/>
      <c r="C894" s="79"/>
      <c r="D894" s="81">
        <v>44918</v>
      </c>
      <c r="E894" s="82">
        <v>17806.8</v>
      </c>
      <c r="G894" s="79"/>
      <c r="H894" s="79"/>
      <c r="I894" s="79"/>
    </row>
    <row r="895" s="78" customFormat="1" ht="16.5" customHeight="1" spans="1:9">
      <c r="A895" s="79"/>
      <c r="B895" s="79"/>
      <c r="C895" s="79"/>
      <c r="D895" s="81">
        <v>44917</v>
      </c>
      <c r="E895" s="82">
        <v>18127.35</v>
      </c>
      <c r="G895" s="79"/>
      <c r="H895" s="79"/>
      <c r="I895" s="79"/>
    </row>
    <row r="896" s="78" customFormat="1" ht="16.5" customHeight="1" spans="1:9">
      <c r="A896" s="79"/>
      <c r="B896" s="79"/>
      <c r="C896" s="79"/>
      <c r="D896" s="81">
        <v>44916</v>
      </c>
      <c r="E896" s="82">
        <v>18199.1</v>
      </c>
      <c r="G896" s="79"/>
      <c r="H896" s="79"/>
      <c r="I896" s="79"/>
    </row>
    <row r="897" s="78" customFormat="1" ht="16.5" customHeight="1" spans="1:9">
      <c r="A897" s="79"/>
      <c r="B897" s="79"/>
      <c r="C897" s="79"/>
      <c r="D897" s="81">
        <v>44915</v>
      </c>
      <c r="E897" s="82">
        <v>18385.3</v>
      </c>
      <c r="G897" s="79"/>
      <c r="H897" s="79"/>
      <c r="I897" s="79"/>
    </row>
    <row r="898" s="78" customFormat="1" ht="16.5" customHeight="1" spans="1:9">
      <c r="A898" s="79"/>
      <c r="B898" s="79"/>
      <c r="C898" s="79"/>
      <c r="D898" s="81">
        <v>44914</v>
      </c>
      <c r="E898" s="82">
        <v>18420.45</v>
      </c>
      <c r="G898" s="79"/>
      <c r="H898" s="79"/>
      <c r="I898" s="79"/>
    </row>
    <row r="899" s="78" customFormat="1" ht="16.5" customHeight="1" spans="1:9">
      <c r="A899" s="79"/>
      <c r="B899" s="79"/>
      <c r="C899" s="79"/>
      <c r="D899" s="81">
        <v>44911</v>
      </c>
      <c r="E899" s="82">
        <v>18269</v>
      </c>
      <c r="G899" s="79"/>
      <c r="H899" s="79"/>
      <c r="I899" s="79"/>
    </row>
    <row r="900" s="78" customFormat="1" ht="16.5" customHeight="1" spans="1:9">
      <c r="A900" s="79"/>
      <c r="B900" s="79"/>
      <c r="C900" s="79"/>
      <c r="D900" s="81">
        <v>44910</v>
      </c>
      <c r="E900" s="82">
        <v>18414.9</v>
      </c>
      <c r="G900" s="79"/>
      <c r="H900" s="79"/>
      <c r="I900" s="79"/>
    </row>
    <row r="901" s="78" customFormat="1" ht="16.5" customHeight="1" spans="1:9">
      <c r="A901" s="79"/>
      <c r="B901" s="79"/>
      <c r="C901" s="79"/>
      <c r="D901" s="81">
        <v>44909</v>
      </c>
      <c r="E901" s="82">
        <v>18660.3</v>
      </c>
      <c r="G901" s="79"/>
      <c r="H901" s="79"/>
      <c r="I901" s="79"/>
    </row>
    <row r="902" s="78" customFormat="1" ht="16.5" customHeight="1" spans="1:9">
      <c r="A902" s="79"/>
      <c r="B902" s="79"/>
      <c r="C902" s="79"/>
      <c r="D902" s="81">
        <v>44908</v>
      </c>
      <c r="E902" s="82">
        <v>18608</v>
      </c>
      <c r="G902" s="79"/>
      <c r="H902" s="79"/>
      <c r="I902" s="79"/>
    </row>
    <row r="903" s="78" customFormat="1" ht="16.5" customHeight="1" spans="1:9">
      <c r="A903" s="79"/>
      <c r="B903" s="79"/>
      <c r="C903" s="79"/>
      <c r="D903" s="81">
        <v>44907</v>
      </c>
      <c r="E903" s="82">
        <v>18497.15</v>
      </c>
      <c r="G903" s="79"/>
      <c r="H903" s="79"/>
      <c r="I903" s="79"/>
    </row>
    <row r="904" s="78" customFormat="1" ht="16.5" customHeight="1" spans="1:9">
      <c r="A904" s="79"/>
      <c r="B904" s="79"/>
      <c r="C904" s="79"/>
      <c r="D904" s="81">
        <v>44904</v>
      </c>
      <c r="E904" s="82">
        <v>18496.6</v>
      </c>
      <c r="G904" s="79"/>
      <c r="H904" s="79"/>
      <c r="I904" s="79"/>
    </row>
    <row r="905" s="78" customFormat="1" ht="16.5" customHeight="1" spans="1:9">
      <c r="A905" s="79"/>
      <c r="B905" s="79"/>
      <c r="C905" s="79"/>
      <c r="D905" s="81">
        <v>44903</v>
      </c>
      <c r="E905" s="82">
        <v>18609.35</v>
      </c>
      <c r="G905" s="79"/>
      <c r="H905" s="79"/>
      <c r="I905" s="79"/>
    </row>
    <row r="906" s="78" customFormat="1" ht="16.5" customHeight="1" spans="1:9">
      <c r="A906" s="79"/>
      <c r="B906" s="79"/>
      <c r="C906" s="79"/>
      <c r="D906" s="81">
        <v>44902</v>
      </c>
      <c r="E906" s="82">
        <v>18560.5</v>
      </c>
      <c r="G906" s="79"/>
      <c r="H906" s="79"/>
      <c r="I906" s="79"/>
    </row>
    <row r="907" s="78" customFormat="1" ht="16.5" customHeight="1" spans="1:9">
      <c r="A907" s="79"/>
      <c r="B907" s="79"/>
      <c r="C907" s="79"/>
      <c r="D907" s="81">
        <v>44901</v>
      </c>
      <c r="E907" s="82">
        <v>18642.75</v>
      </c>
      <c r="G907" s="79"/>
      <c r="H907" s="79"/>
      <c r="I907" s="79"/>
    </row>
    <row r="908" s="78" customFormat="1" ht="16.5" customHeight="1" spans="1:9">
      <c r="A908" s="79"/>
      <c r="B908" s="79"/>
      <c r="C908" s="79"/>
      <c r="D908" s="81">
        <v>44900</v>
      </c>
      <c r="E908" s="82">
        <v>18701.05</v>
      </c>
      <c r="G908" s="79"/>
      <c r="H908" s="79"/>
      <c r="I908" s="79"/>
    </row>
    <row r="909" s="78" customFormat="1" ht="16.5" customHeight="1" spans="1:9">
      <c r="A909" s="79"/>
      <c r="B909" s="79"/>
      <c r="C909" s="79"/>
      <c r="D909" s="81">
        <v>44897</v>
      </c>
      <c r="E909" s="82">
        <v>18696.1</v>
      </c>
      <c r="G909" s="79"/>
      <c r="H909" s="79"/>
      <c r="I909" s="79"/>
    </row>
    <row r="910" s="78" customFormat="1" ht="16.5" customHeight="1" spans="1:9">
      <c r="A910" s="79"/>
      <c r="B910" s="79"/>
      <c r="C910" s="79"/>
      <c r="D910" s="81">
        <v>44896</v>
      </c>
      <c r="E910" s="82">
        <v>18812.5</v>
      </c>
      <c r="G910" s="79"/>
      <c r="H910" s="79"/>
      <c r="I910" s="79"/>
    </row>
    <row r="911" s="78" customFormat="1" ht="16.5" customHeight="1" spans="1:9">
      <c r="A911" s="79"/>
      <c r="B911" s="79"/>
      <c r="C911" s="79"/>
      <c r="D911" s="81">
        <v>44895</v>
      </c>
      <c r="E911" s="82">
        <v>18758.35</v>
      </c>
      <c r="G911" s="79"/>
      <c r="H911" s="79"/>
      <c r="I911" s="79"/>
    </row>
    <row r="912" s="78" customFormat="1" ht="16.5" customHeight="1" spans="1:9">
      <c r="A912" s="79"/>
      <c r="B912" s="79"/>
      <c r="C912" s="79"/>
      <c r="D912" s="81">
        <v>44894</v>
      </c>
      <c r="E912" s="82">
        <v>18618.05</v>
      </c>
      <c r="G912" s="79"/>
      <c r="H912" s="79"/>
      <c r="I912" s="79"/>
    </row>
    <row r="913" s="78" customFormat="1" ht="16.5" customHeight="1" spans="1:9">
      <c r="A913" s="79"/>
      <c r="B913" s="79"/>
      <c r="C913" s="79"/>
      <c r="D913" s="81">
        <v>44893</v>
      </c>
      <c r="E913" s="82">
        <v>18562.75</v>
      </c>
      <c r="G913" s="79"/>
      <c r="H913" s="79"/>
      <c r="I913" s="79"/>
    </row>
    <row r="914" s="78" customFormat="1" ht="16.5" customHeight="1" spans="1:9">
      <c r="A914" s="79"/>
      <c r="B914" s="79"/>
      <c r="C914" s="79"/>
      <c r="D914" s="81">
        <v>44890</v>
      </c>
      <c r="E914" s="82">
        <v>18512.75</v>
      </c>
      <c r="G914" s="79"/>
      <c r="H914" s="79"/>
      <c r="I914" s="79"/>
    </row>
    <row r="915" s="78" customFormat="1" ht="16.5" customHeight="1" spans="1:9">
      <c r="A915" s="79"/>
      <c r="B915" s="79"/>
      <c r="C915" s="79"/>
      <c r="D915" s="81">
        <v>44889</v>
      </c>
      <c r="E915" s="82">
        <v>18484.1</v>
      </c>
      <c r="G915" s="79"/>
      <c r="H915" s="79"/>
      <c r="I915" s="79"/>
    </row>
    <row r="916" s="78" customFormat="1" ht="16.5" customHeight="1" spans="1:9">
      <c r="A916" s="79"/>
      <c r="B916" s="79"/>
      <c r="C916" s="79"/>
      <c r="D916" s="81">
        <v>44888</v>
      </c>
      <c r="E916" s="82">
        <v>18267.25</v>
      </c>
      <c r="G916" s="79"/>
      <c r="H916" s="79"/>
      <c r="I916" s="79"/>
    </row>
    <row r="917" s="78" customFormat="1" ht="16.5" customHeight="1" spans="1:9">
      <c r="A917" s="79"/>
      <c r="B917" s="79"/>
      <c r="C917" s="79"/>
      <c r="D917" s="81">
        <v>44887</v>
      </c>
      <c r="E917" s="82">
        <v>18244.2</v>
      </c>
      <c r="G917" s="79"/>
      <c r="H917" s="79"/>
      <c r="I917" s="79"/>
    </row>
    <row r="918" s="78" customFormat="1" ht="16.5" customHeight="1" spans="1:9">
      <c r="A918" s="79"/>
      <c r="B918" s="79"/>
      <c r="C918" s="79"/>
      <c r="D918" s="81">
        <v>44886</v>
      </c>
      <c r="E918" s="82">
        <v>18159.95</v>
      </c>
      <c r="G918" s="79"/>
      <c r="H918" s="79"/>
      <c r="I918" s="79"/>
    </row>
    <row r="919" s="78" customFormat="1" ht="16.5" customHeight="1" spans="1:9">
      <c r="A919" s="79"/>
      <c r="B919" s="79"/>
      <c r="C919" s="79"/>
      <c r="D919" s="81">
        <v>44883</v>
      </c>
      <c r="E919" s="82">
        <v>18307.65</v>
      </c>
      <c r="G919" s="79"/>
      <c r="H919" s="79"/>
      <c r="I919" s="79"/>
    </row>
    <row r="920" s="78" customFormat="1" ht="16.5" customHeight="1" spans="1:9">
      <c r="A920" s="79"/>
      <c r="B920" s="79"/>
      <c r="C920" s="79"/>
      <c r="D920" s="81">
        <v>44882</v>
      </c>
      <c r="E920" s="82">
        <v>18343.9</v>
      </c>
      <c r="G920" s="79"/>
      <c r="H920" s="79"/>
      <c r="I920" s="79"/>
    </row>
    <row r="921" s="78" customFormat="1" ht="16.5" customHeight="1" spans="1:9">
      <c r="A921" s="79"/>
      <c r="B921" s="79"/>
      <c r="C921" s="79"/>
      <c r="D921" s="81">
        <v>44881</v>
      </c>
      <c r="E921" s="82">
        <v>18409.65</v>
      </c>
      <c r="G921" s="79"/>
      <c r="H921" s="79"/>
      <c r="I921" s="79"/>
    </row>
    <row r="922" s="78" customFormat="1" ht="16.5" customHeight="1" spans="1:9">
      <c r="A922" s="79"/>
      <c r="B922" s="79"/>
      <c r="C922" s="79"/>
      <c r="D922" s="81">
        <v>44880</v>
      </c>
      <c r="E922" s="82">
        <v>18403.4</v>
      </c>
      <c r="G922" s="79"/>
      <c r="H922" s="79"/>
      <c r="I922" s="79"/>
    </row>
    <row r="923" s="78" customFormat="1" ht="16.5" customHeight="1" spans="1:9">
      <c r="A923" s="79"/>
      <c r="B923" s="79"/>
      <c r="C923" s="79"/>
      <c r="D923" s="81">
        <v>44879</v>
      </c>
      <c r="E923" s="82">
        <v>18329.15</v>
      </c>
      <c r="G923" s="79"/>
      <c r="H923" s="79"/>
      <c r="I923" s="79"/>
    </row>
    <row r="924" s="78" customFormat="1" ht="16.5" customHeight="1" spans="1:9">
      <c r="A924" s="79"/>
      <c r="B924" s="79"/>
      <c r="C924" s="79"/>
      <c r="D924" s="81">
        <v>44876</v>
      </c>
      <c r="E924" s="82">
        <v>18349.7</v>
      </c>
      <c r="G924" s="79"/>
      <c r="H924" s="79"/>
      <c r="I924" s="79"/>
    </row>
    <row r="925" s="78" customFormat="1" ht="16.5" customHeight="1" spans="1:9">
      <c r="A925" s="79"/>
      <c r="B925" s="79"/>
      <c r="C925" s="79"/>
      <c r="D925" s="81">
        <v>44875</v>
      </c>
      <c r="E925" s="82">
        <v>18028.2</v>
      </c>
      <c r="G925" s="79"/>
      <c r="H925" s="79"/>
      <c r="I925" s="79"/>
    </row>
    <row r="926" s="78" customFormat="1" ht="16.5" customHeight="1" spans="1:9">
      <c r="A926" s="79"/>
      <c r="B926" s="79"/>
      <c r="C926" s="79"/>
      <c r="D926" s="81">
        <v>44874</v>
      </c>
      <c r="E926" s="82">
        <v>18157</v>
      </c>
      <c r="G926" s="79"/>
      <c r="H926" s="79"/>
      <c r="I926" s="79"/>
    </row>
    <row r="927" s="78" customFormat="1" ht="16.5" customHeight="1" spans="1:9">
      <c r="A927" s="79"/>
      <c r="B927" s="79"/>
      <c r="C927" s="79"/>
      <c r="D927" s="81">
        <v>44872</v>
      </c>
      <c r="E927" s="82">
        <v>18202.8</v>
      </c>
      <c r="G927" s="79"/>
      <c r="H927" s="79"/>
      <c r="I927" s="79"/>
    </row>
    <row r="928" s="78" customFormat="1" ht="16.5" customHeight="1" spans="1:9">
      <c r="A928" s="79"/>
      <c r="B928" s="79"/>
      <c r="C928" s="79"/>
      <c r="D928" s="81">
        <v>44869</v>
      </c>
      <c r="E928" s="82">
        <v>18117.15</v>
      </c>
      <c r="G928" s="79"/>
      <c r="H928" s="79"/>
      <c r="I928" s="79"/>
    </row>
    <row r="929" s="78" customFormat="1" ht="16.5" customHeight="1" spans="1:9">
      <c r="A929" s="79"/>
      <c r="B929" s="79"/>
      <c r="C929" s="79"/>
      <c r="D929" s="81">
        <v>44868</v>
      </c>
      <c r="E929" s="82">
        <v>18052.7</v>
      </c>
      <c r="G929" s="79"/>
      <c r="H929" s="79"/>
      <c r="I929" s="79"/>
    </row>
    <row r="930" s="78" customFormat="1" ht="16.5" customHeight="1" spans="1:9">
      <c r="A930" s="79"/>
      <c r="B930" s="79"/>
      <c r="C930" s="79"/>
      <c r="D930" s="81">
        <v>44867</v>
      </c>
      <c r="E930" s="82">
        <v>18082.85</v>
      </c>
      <c r="G930" s="79"/>
      <c r="H930" s="79"/>
      <c r="I930" s="79"/>
    </row>
    <row r="931" s="78" customFormat="1" ht="16.5" customHeight="1" spans="1:9">
      <c r="A931" s="79"/>
      <c r="B931" s="79"/>
      <c r="C931" s="79"/>
      <c r="D931" s="81">
        <v>44866</v>
      </c>
      <c r="E931" s="82">
        <v>18145.4</v>
      </c>
      <c r="G931" s="79"/>
      <c r="H931" s="79"/>
      <c r="I931" s="79"/>
    </row>
    <row r="932" s="78" customFormat="1" ht="16.5" customHeight="1" spans="1:9">
      <c r="A932" s="79"/>
      <c r="B932" s="79"/>
      <c r="C932" s="79"/>
      <c r="D932" s="81">
        <v>44865</v>
      </c>
      <c r="E932" s="82">
        <v>18012.2</v>
      </c>
      <c r="G932" s="79"/>
      <c r="H932" s="79"/>
      <c r="I932" s="79"/>
    </row>
    <row r="933" s="78" customFormat="1" ht="16.5" customHeight="1" spans="1:9">
      <c r="A933" s="79"/>
      <c r="B933" s="79"/>
      <c r="C933" s="79"/>
      <c r="D933" s="81">
        <v>44862</v>
      </c>
      <c r="E933" s="82">
        <v>17786.8</v>
      </c>
      <c r="G933" s="79"/>
      <c r="H933" s="79"/>
      <c r="I933" s="79"/>
    </row>
    <row r="934" s="78" customFormat="1" ht="16.5" customHeight="1" spans="1:9">
      <c r="A934" s="79"/>
      <c r="B934" s="79"/>
      <c r="C934" s="79"/>
      <c r="D934" s="81">
        <v>44861</v>
      </c>
      <c r="E934" s="82">
        <v>17736.95</v>
      </c>
      <c r="G934" s="79"/>
      <c r="H934" s="79"/>
      <c r="I934" s="79"/>
    </row>
    <row r="935" s="78" customFormat="1" ht="16.5" customHeight="1" spans="1:9">
      <c r="A935" s="79"/>
      <c r="B935" s="79"/>
      <c r="C935" s="79"/>
      <c r="D935" s="81">
        <v>44859</v>
      </c>
      <c r="E935" s="82">
        <v>17656.35</v>
      </c>
      <c r="G935" s="79"/>
      <c r="H935" s="79"/>
      <c r="I935" s="79"/>
    </row>
    <row r="936" s="78" customFormat="1" ht="16.5" customHeight="1" spans="1:9">
      <c r="A936" s="79"/>
      <c r="B936" s="79"/>
      <c r="C936" s="79"/>
      <c r="D936" s="81">
        <v>44858</v>
      </c>
      <c r="E936" s="82">
        <v>17730.75</v>
      </c>
      <c r="G936" s="79"/>
      <c r="H936" s="79"/>
      <c r="I936" s="79"/>
    </row>
    <row r="937" s="78" customFormat="1" ht="16.5" customHeight="1" spans="1:9">
      <c r="A937" s="79"/>
      <c r="B937" s="79"/>
      <c r="C937" s="79"/>
      <c r="D937" s="81">
        <v>44855</v>
      </c>
      <c r="E937" s="82">
        <v>17576.3</v>
      </c>
      <c r="G937" s="79"/>
      <c r="H937" s="79"/>
      <c r="I937" s="79"/>
    </row>
    <row r="938" s="78" customFormat="1" ht="16.5" customHeight="1" spans="1:9">
      <c r="A938" s="79"/>
      <c r="B938" s="79"/>
      <c r="C938" s="79"/>
      <c r="D938" s="81">
        <v>44854</v>
      </c>
      <c r="E938" s="82">
        <v>17563.95</v>
      </c>
      <c r="G938" s="79"/>
      <c r="H938" s="79"/>
      <c r="I938" s="79"/>
    </row>
    <row r="939" s="78" customFormat="1" ht="16.5" customHeight="1" spans="1:9">
      <c r="A939" s="79"/>
      <c r="B939" s="79"/>
      <c r="C939" s="79"/>
      <c r="D939" s="81">
        <v>44853</v>
      </c>
      <c r="E939" s="82">
        <v>17512.25</v>
      </c>
      <c r="G939" s="79"/>
      <c r="H939" s="79"/>
      <c r="I939" s="79"/>
    </row>
    <row r="940" s="78" customFormat="1" ht="16.5" customHeight="1" spans="1:9">
      <c r="A940" s="79"/>
      <c r="B940" s="79"/>
      <c r="C940" s="79"/>
      <c r="D940" s="81">
        <v>44852</v>
      </c>
      <c r="E940" s="82">
        <v>17486.95</v>
      </c>
      <c r="G940" s="79"/>
      <c r="H940" s="79"/>
      <c r="I940" s="79"/>
    </row>
    <row r="941" s="78" customFormat="1" ht="16.5" customHeight="1" spans="1:9">
      <c r="A941" s="79"/>
      <c r="B941" s="79"/>
      <c r="C941" s="79"/>
      <c r="D941" s="81">
        <v>44851</v>
      </c>
      <c r="E941" s="82">
        <v>17311.8</v>
      </c>
      <c r="G941" s="79"/>
      <c r="H941" s="79"/>
      <c r="I941" s="79"/>
    </row>
    <row r="942" s="78" customFormat="1" ht="16.5" customHeight="1" spans="1:9">
      <c r="A942" s="79"/>
      <c r="B942" s="79"/>
      <c r="C942" s="79"/>
      <c r="D942" s="81">
        <v>44848</v>
      </c>
      <c r="E942" s="82">
        <v>17185.7</v>
      </c>
      <c r="G942" s="79"/>
      <c r="H942" s="79"/>
      <c r="I942" s="79"/>
    </row>
    <row r="943" s="78" customFormat="1" ht="16.5" customHeight="1" spans="1:9">
      <c r="A943" s="79"/>
      <c r="B943" s="79"/>
      <c r="C943" s="79"/>
      <c r="D943" s="81">
        <v>44847</v>
      </c>
      <c r="E943" s="82">
        <v>17014.35</v>
      </c>
      <c r="G943" s="79"/>
      <c r="H943" s="79"/>
      <c r="I943" s="79"/>
    </row>
    <row r="944" s="78" customFormat="1" ht="16.5" customHeight="1" spans="1:9">
      <c r="A944" s="79"/>
      <c r="B944" s="79"/>
      <c r="C944" s="79"/>
      <c r="D944" s="81">
        <v>44846</v>
      </c>
      <c r="E944" s="82">
        <v>17123.6</v>
      </c>
      <c r="G944" s="79"/>
      <c r="H944" s="79"/>
      <c r="I944" s="79"/>
    </row>
    <row r="945" s="78" customFormat="1" ht="16.5" customHeight="1" spans="1:9">
      <c r="A945" s="79"/>
      <c r="B945" s="79"/>
      <c r="C945" s="79"/>
      <c r="D945" s="81">
        <v>44845</v>
      </c>
      <c r="E945" s="82">
        <v>16983.55</v>
      </c>
      <c r="G945" s="79"/>
      <c r="H945" s="79"/>
      <c r="I945" s="79"/>
    </row>
    <row r="946" s="78" customFormat="1" ht="16.5" customHeight="1" spans="1:9">
      <c r="A946" s="79"/>
      <c r="B946" s="79"/>
      <c r="C946" s="79"/>
      <c r="D946" s="81">
        <v>44844</v>
      </c>
      <c r="E946" s="82">
        <v>17241</v>
      </c>
      <c r="G946" s="79"/>
      <c r="H946" s="79"/>
      <c r="I946" s="79"/>
    </row>
    <row r="947" s="78" customFormat="1" ht="16.5" customHeight="1" spans="1:9">
      <c r="A947" s="79"/>
      <c r="B947" s="79"/>
      <c r="C947" s="79"/>
      <c r="D947" s="81">
        <v>44841</v>
      </c>
      <c r="E947" s="82">
        <v>17314.65</v>
      </c>
      <c r="G947" s="79"/>
      <c r="H947" s="79"/>
      <c r="I947" s="79"/>
    </row>
    <row r="948" s="78" customFormat="1" ht="16.5" customHeight="1" spans="1:9">
      <c r="A948" s="79"/>
      <c r="B948" s="79"/>
      <c r="C948" s="79"/>
      <c r="D948" s="81">
        <v>44840</v>
      </c>
      <c r="E948" s="82">
        <v>17331.8</v>
      </c>
      <c r="G948" s="79"/>
      <c r="H948" s="79"/>
      <c r="I948" s="79"/>
    </row>
    <row r="949" s="78" customFormat="1" ht="16.5" customHeight="1" spans="1:9">
      <c r="A949" s="79"/>
      <c r="B949" s="79"/>
      <c r="C949" s="79"/>
      <c r="D949" s="81">
        <v>44838</v>
      </c>
      <c r="E949" s="82">
        <v>17274.3</v>
      </c>
      <c r="G949" s="79"/>
      <c r="H949" s="79"/>
      <c r="I949" s="79"/>
    </row>
    <row r="950" s="78" customFormat="1" ht="16.5" customHeight="1" spans="1:9">
      <c r="A950" s="79"/>
      <c r="B950" s="79"/>
      <c r="C950" s="79"/>
      <c r="D950" s="81">
        <v>44837</v>
      </c>
      <c r="E950" s="82">
        <v>16887.35</v>
      </c>
      <c r="G950" s="79"/>
      <c r="H950" s="79"/>
      <c r="I950" s="79"/>
    </row>
    <row r="951" s="78" customFormat="1" ht="16.5" customHeight="1" spans="1:9">
      <c r="A951" s="79"/>
      <c r="B951" s="79"/>
      <c r="C951" s="79"/>
      <c r="D951" s="81">
        <v>44834</v>
      </c>
      <c r="E951" s="82">
        <v>17094.35</v>
      </c>
      <c r="G951" s="79"/>
      <c r="H951" s="79"/>
      <c r="I951" s="79"/>
    </row>
    <row r="952" s="78" customFormat="1" ht="16.5" customHeight="1" spans="1:9">
      <c r="A952" s="79"/>
      <c r="B952" s="79"/>
      <c r="C952" s="79"/>
      <c r="D952" s="81">
        <v>44833</v>
      </c>
      <c r="E952" s="82">
        <v>16818.1</v>
      </c>
      <c r="G952" s="79"/>
      <c r="H952" s="79"/>
      <c r="I952" s="79"/>
    </row>
    <row r="953" s="78" customFormat="1" ht="16.5" customHeight="1" spans="1:9">
      <c r="A953" s="79"/>
      <c r="B953" s="79"/>
      <c r="C953" s="79"/>
      <c r="D953" s="81">
        <v>44832</v>
      </c>
      <c r="E953" s="82">
        <v>16858.6</v>
      </c>
      <c r="G953" s="79"/>
      <c r="H953" s="79"/>
      <c r="I953" s="79"/>
    </row>
    <row r="954" s="78" customFormat="1" ht="16.5" customHeight="1" spans="1:9">
      <c r="A954" s="79"/>
      <c r="B954" s="79"/>
      <c r="C954" s="79"/>
      <c r="D954" s="81">
        <v>44831</v>
      </c>
      <c r="E954" s="82">
        <v>17007.4</v>
      </c>
      <c r="G954" s="79"/>
      <c r="H954" s="79"/>
      <c r="I954" s="79"/>
    </row>
    <row r="955" s="78" customFormat="1" ht="16.5" customHeight="1" spans="1:9">
      <c r="A955" s="79"/>
      <c r="B955" s="79"/>
      <c r="C955" s="79"/>
      <c r="D955" s="81">
        <v>44830</v>
      </c>
      <c r="E955" s="82">
        <v>17016.3</v>
      </c>
      <c r="G955" s="79"/>
      <c r="H955" s="79"/>
      <c r="I955" s="79"/>
    </row>
    <row r="956" s="78" customFormat="1" ht="16.5" customHeight="1" spans="1:9">
      <c r="A956" s="79"/>
      <c r="B956" s="79"/>
      <c r="C956" s="79"/>
      <c r="D956" s="81">
        <v>44827</v>
      </c>
      <c r="E956" s="82">
        <v>17327.35</v>
      </c>
      <c r="G956" s="79"/>
      <c r="H956" s="79"/>
      <c r="I956" s="79"/>
    </row>
    <row r="957" s="78" customFormat="1" ht="16.5" customHeight="1" spans="1:9">
      <c r="A957" s="79"/>
      <c r="B957" s="79"/>
      <c r="C957" s="79"/>
      <c r="D957" s="81">
        <v>44826</v>
      </c>
      <c r="E957" s="82">
        <v>17629.8</v>
      </c>
      <c r="G957" s="79"/>
      <c r="H957" s="79"/>
      <c r="I957" s="79"/>
    </row>
    <row r="958" s="78" customFormat="1" ht="16.5" customHeight="1" spans="1:9">
      <c r="A958" s="79"/>
      <c r="B958" s="79"/>
      <c r="C958" s="79"/>
      <c r="D958" s="81">
        <v>44825</v>
      </c>
      <c r="E958" s="82">
        <v>17718.35</v>
      </c>
      <c r="G958" s="79"/>
      <c r="H958" s="79"/>
      <c r="I958" s="79"/>
    </row>
    <row r="959" s="78" customFormat="1" ht="16.5" customHeight="1" spans="1:9">
      <c r="A959" s="79"/>
      <c r="B959" s="79"/>
      <c r="C959" s="79"/>
      <c r="D959" s="81">
        <v>44824</v>
      </c>
      <c r="E959" s="82">
        <v>17816.25</v>
      </c>
      <c r="G959" s="79"/>
      <c r="H959" s="79"/>
      <c r="I959" s="79"/>
    </row>
    <row r="960" s="78" customFormat="1" ht="16.5" customHeight="1" spans="1:9">
      <c r="A960" s="79"/>
      <c r="B960" s="79"/>
      <c r="C960" s="79"/>
      <c r="D960" s="81">
        <v>44823</v>
      </c>
      <c r="E960" s="82">
        <v>17622.25</v>
      </c>
      <c r="G960" s="79"/>
      <c r="H960" s="79"/>
      <c r="I960" s="79"/>
    </row>
    <row r="961" s="78" customFormat="1" ht="16.5" customHeight="1" spans="1:9">
      <c r="A961" s="79"/>
      <c r="B961" s="79"/>
      <c r="C961" s="79"/>
      <c r="D961" s="81">
        <v>44820</v>
      </c>
      <c r="E961" s="82">
        <v>17530.85</v>
      </c>
      <c r="G961" s="79"/>
      <c r="H961" s="79"/>
      <c r="I961" s="79"/>
    </row>
    <row r="962" s="78" customFormat="1" ht="16.5" customHeight="1" spans="1:9">
      <c r="A962" s="79"/>
      <c r="B962" s="79"/>
      <c r="C962" s="79"/>
      <c r="D962" s="81">
        <v>44819</v>
      </c>
      <c r="E962" s="82">
        <v>17877.4</v>
      </c>
      <c r="G962" s="79"/>
      <c r="H962" s="79"/>
      <c r="I962" s="79"/>
    </row>
    <row r="963" s="78" customFormat="1" ht="16.5" customHeight="1" spans="1:9">
      <c r="A963" s="79"/>
      <c r="B963" s="79"/>
      <c r="C963" s="79"/>
      <c r="D963" s="81">
        <v>44818</v>
      </c>
      <c r="E963" s="82">
        <v>18003.75</v>
      </c>
      <c r="G963" s="79"/>
      <c r="H963" s="79"/>
      <c r="I963" s="79"/>
    </row>
    <row r="964" s="78" customFormat="1" ht="16.5" customHeight="1" spans="1:9">
      <c r="A964" s="79"/>
      <c r="B964" s="79"/>
      <c r="C964" s="79"/>
      <c r="D964" s="81">
        <v>44817</v>
      </c>
      <c r="E964" s="82">
        <v>18070.05</v>
      </c>
      <c r="G964" s="79"/>
      <c r="H964" s="79"/>
      <c r="I964" s="79"/>
    </row>
    <row r="965" s="78" customFormat="1" ht="16.5" customHeight="1" spans="1:9">
      <c r="A965" s="79"/>
      <c r="B965" s="79"/>
      <c r="C965" s="79"/>
      <c r="D965" s="81">
        <v>44816</v>
      </c>
      <c r="E965" s="82">
        <v>17936.35</v>
      </c>
      <c r="G965" s="79"/>
      <c r="H965" s="79"/>
      <c r="I965" s="79"/>
    </row>
    <row r="966" s="78" customFormat="1" ht="16.5" customHeight="1" spans="1:9">
      <c r="A966" s="79"/>
      <c r="B966" s="79"/>
      <c r="C966" s="79"/>
      <c r="D966" s="81">
        <v>44813</v>
      </c>
      <c r="E966" s="82">
        <v>17833.35</v>
      </c>
      <c r="G966" s="79"/>
      <c r="H966" s="79"/>
      <c r="I966" s="79"/>
    </row>
    <row r="967" s="78" customFormat="1" ht="16.5" customHeight="1" spans="1:9">
      <c r="A967" s="79"/>
      <c r="B967" s="79"/>
      <c r="C967" s="79"/>
      <c r="D967" s="81">
        <v>44812</v>
      </c>
      <c r="E967" s="82">
        <v>17798.75</v>
      </c>
      <c r="G967" s="79"/>
      <c r="H967" s="79"/>
      <c r="I967" s="79"/>
    </row>
    <row r="968" s="78" customFormat="1" ht="16.5" customHeight="1" spans="1:9">
      <c r="A968" s="79"/>
      <c r="B968" s="79"/>
      <c r="C968" s="79"/>
      <c r="D968" s="81">
        <v>44811</v>
      </c>
      <c r="E968" s="82">
        <v>17624.4</v>
      </c>
      <c r="G968" s="79"/>
      <c r="H968" s="79"/>
      <c r="I968" s="79"/>
    </row>
    <row r="969" s="78" customFormat="1" ht="16.5" customHeight="1" spans="1:9">
      <c r="A969" s="79"/>
      <c r="B969" s="79"/>
      <c r="C969" s="79"/>
      <c r="D969" s="81">
        <v>44810</v>
      </c>
      <c r="E969" s="82">
        <v>17655.6</v>
      </c>
      <c r="G969" s="79"/>
      <c r="H969" s="79"/>
      <c r="I969" s="79"/>
    </row>
    <row r="970" s="78" customFormat="1" ht="16.5" customHeight="1" spans="1:9">
      <c r="A970" s="79"/>
      <c r="B970" s="79"/>
      <c r="C970" s="79"/>
      <c r="D970" s="81">
        <v>44809</v>
      </c>
      <c r="E970" s="82">
        <v>17665.8</v>
      </c>
      <c r="G970" s="79"/>
      <c r="H970" s="79"/>
      <c r="I970" s="79"/>
    </row>
    <row r="971" s="78" customFormat="1" ht="16.5" customHeight="1" spans="1:9">
      <c r="A971" s="79"/>
      <c r="B971" s="79"/>
      <c r="C971" s="79"/>
      <c r="D971" s="81">
        <v>44806</v>
      </c>
      <c r="E971" s="82">
        <v>17539.45</v>
      </c>
      <c r="G971" s="79"/>
      <c r="H971" s="79"/>
      <c r="I971" s="79"/>
    </row>
    <row r="972" s="78" customFormat="1" ht="16.5" customHeight="1" spans="1:9">
      <c r="A972" s="79"/>
      <c r="B972" s="79"/>
      <c r="C972" s="79"/>
      <c r="D972" s="81">
        <v>44805</v>
      </c>
      <c r="E972" s="82">
        <v>17542.8</v>
      </c>
      <c r="G972" s="79"/>
      <c r="H972" s="79"/>
      <c r="I972" s="79"/>
    </row>
    <row r="973" s="78" customFormat="1" ht="16.5" customHeight="1" spans="1:9">
      <c r="A973" s="79"/>
      <c r="B973" s="79"/>
      <c r="C973" s="79"/>
      <c r="D973" s="81">
        <v>44803</v>
      </c>
      <c r="E973" s="82">
        <v>17759.3</v>
      </c>
      <c r="G973" s="79"/>
      <c r="H973" s="79"/>
      <c r="I973" s="79"/>
    </row>
    <row r="974" s="78" customFormat="1" ht="16.5" customHeight="1" spans="1:9">
      <c r="A974" s="79"/>
      <c r="B974" s="79"/>
      <c r="C974" s="79"/>
      <c r="D974" s="81">
        <v>44802</v>
      </c>
      <c r="E974" s="82">
        <v>17312.9</v>
      </c>
      <c r="G974" s="79"/>
      <c r="H974" s="79"/>
      <c r="I974" s="79"/>
    </row>
    <row r="975" s="78" customFormat="1" ht="16.5" customHeight="1" spans="1:9">
      <c r="A975" s="79"/>
      <c r="B975" s="79"/>
      <c r="C975" s="79"/>
      <c r="D975" s="81">
        <v>44799</v>
      </c>
      <c r="E975" s="82">
        <v>17558.9</v>
      </c>
      <c r="G975" s="79"/>
      <c r="H975" s="79"/>
      <c r="I975" s="79"/>
    </row>
    <row r="976" s="78" customFormat="1" ht="16.5" customHeight="1" spans="1:9">
      <c r="A976" s="79"/>
      <c r="B976" s="79"/>
      <c r="C976" s="79"/>
      <c r="D976" s="81">
        <v>44798</v>
      </c>
      <c r="E976" s="82">
        <v>17522.45</v>
      </c>
      <c r="G976" s="79"/>
      <c r="H976" s="79"/>
      <c r="I976" s="79"/>
    </row>
    <row r="977" s="78" customFormat="1" ht="16.5" customHeight="1" spans="1:9">
      <c r="A977" s="79"/>
      <c r="B977" s="79"/>
      <c r="C977" s="79"/>
      <c r="D977" s="81">
        <v>44797</v>
      </c>
      <c r="E977" s="82">
        <v>17604.95</v>
      </c>
      <c r="G977" s="79"/>
      <c r="H977" s="79"/>
      <c r="I977" s="79"/>
    </row>
    <row r="978" s="78" customFormat="1" ht="16.5" customHeight="1" spans="1:9">
      <c r="A978" s="79"/>
      <c r="B978" s="79"/>
      <c r="C978" s="79"/>
      <c r="D978" s="81">
        <v>44796</v>
      </c>
      <c r="E978" s="82">
        <v>17577.5</v>
      </c>
      <c r="G978" s="79"/>
      <c r="H978" s="79"/>
      <c r="I978" s="79"/>
    </row>
    <row r="979" s="78" customFormat="1" ht="16.5" customHeight="1" spans="1:9">
      <c r="A979" s="79"/>
      <c r="B979" s="79"/>
      <c r="C979" s="79"/>
      <c r="D979" s="81">
        <v>44795</v>
      </c>
      <c r="E979" s="82">
        <v>17490.7</v>
      </c>
      <c r="G979" s="79"/>
      <c r="H979" s="79"/>
      <c r="I979" s="79"/>
    </row>
    <row r="980" s="78" customFormat="1" ht="16.5" customHeight="1" spans="1:9">
      <c r="A980" s="79"/>
      <c r="B980" s="79"/>
      <c r="C980" s="79"/>
      <c r="D980" s="81">
        <v>44792</v>
      </c>
      <c r="E980" s="82">
        <v>17758.45</v>
      </c>
      <c r="G980" s="79"/>
      <c r="H980" s="79"/>
      <c r="I980" s="79"/>
    </row>
    <row r="981" s="78" customFormat="1" ht="16.5" customHeight="1" spans="1:9">
      <c r="A981" s="79"/>
      <c r="B981" s="79"/>
      <c r="C981" s="79"/>
      <c r="D981" s="81">
        <v>44791</v>
      </c>
      <c r="E981" s="82">
        <v>17956.5</v>
      </c>
      <c r="G981" s="79"/>
      <c r="H981" s="79"/>
      <c r="I981" s="79"/>
    </row>
    <row r="982" s="78" customFormat="1" ht="16.5" customHeight="1" spans="1:9">
      <c r="A982" s="79"/>
      <c r="B982" s="79"/>
      <c r="C982" s="79"/>
      <c r="D982" s="81">
        <v>44790</v>
      </c>
      <c r="E982" s="82">
        <v>17944.25</v>
      </c>
      <c r="G982" s="79"/>
      <c r="H982" s="79"/>
      <c r="I982" s="79"/>
    </row>
    <row r="983" s="78" customFormat="1" ht="16.5" customHeight="1" spans="1:9">
      <c r="A983" s="79"/>
      <c r="B983" s="79"/>
      <c r="C983" s="79"/>
      <c r="D983" s="81">
        <v>44789</v>
      </c>
      <c r="E983" s="82">
        <v>17825.25</v>
      </c>
      <c r="G983" s="79"/>
      <c r="H983" s="79"/>
      <c r="I983" s="79"/>
    </row>
    <row r="984" s="78" customFormat="1" ht="16.5" customHeight="1" spans="1:9">
      <c r="A984" s="79"/>
      <c r="B984" s="79"/>
      <c r="C984" s="79"/>
      <c r="D984" s="81">
        <v>44785</v>
      </c>
      <c r="E984" s="82">
        <v>17698.15</v>
      </c>
      <c r="G984" s="79"/>
      <c r="H984" s="79"/>
      <c r="I984" s="79"/>
    </row>
    <row r="985" s="78" customFormat="1" ht="16.5" customHeight="1" spans="1:9">
      <c r="A985" s="79"/>
      <c r="B985" s="79"/>
      <c r="C985" s="79"/>
      <c r="D985" s="81">
        <v>44784</v>
      </c>
      <c r="E985" s="82">
        <v>17659</v>
      </c>
      <c r="G985" s="79"/>
      <c r="H985" s="79"/>
      <c r="I985" s="79"/>
    </row>
    <row r="986" s="78" customFormat="1" ht="16.5" customHeight="1" spans="1:9">
      <c r="A986" s="79"/>
      <c r="B986" s="79"/>
      <c r="C986" s="79"/>
      <c r="D986" s="81">
        <v>44783</v>
      </c>
      <c r="E986" s="82">
        <v>17534.75</v>
      </c>
      <c r="G986" s="79"/>
      <c r="H986" s="79"/>
      <c r="I986" s="79"/>
    </row>
    <row r="987" s="78" customFormat="1" ht="16.5" customHeight="1" spans="1:9">
      <c r="A987" s="79"/>
      <c r="B987" s="79"/>
      <c r="C987" s="79"/>
      <c r="D987" s="81">
        <v>44781</v>
      </c>
      <c r="E987" s="82">
        <v>17525.1</v>
      </c>
      <c r="G987" s="79"/>
      <c r="H987" s="79"/>
      <c r="I987" s="79"/>
    </row>
    <row r="988" s="78" customFormat="1" ht="16.5" customHeight="1" spans="1:9">
      <c r="A988" s="79"/>
      <c r="B988" s="79"/>
      <c r="C988" s="79"/>
      <c r="D988" s="81">
        <v>44778</v>
      </c>
      <c r="E988" s="82">
        <v>17397.5</v>
      </c>
      <c r="G988" s="79"/>
      <c r="H988" s="79"/>
      <c r="I988" s="79"/>
    </row>
    <row r="989" s="78" customFormat="1" ht="16.5" customHeight="1" spans="1:9">
      <c r="A989" s="79"/>
      <c r="B989" s="79"/>
      <c r="C989" s="79"/>
      <c r="D989" s="81">
        <v>44777</v>
      </c>
      <c r="E989" s="82">
        <v>17382</v>
      </c>
      <c r="G989" s="79"/>
      <c r="H989" s="79"/>
      <c r="I989" s="79"/>
    </row>
    <row r="990" s="78" customFormat="1" ht="16.5" customHeight="1" spans="1:9">
      <c r="A990" s="79"/>
      <c r="B990" s="79"/>
      <c r="C990" s="79"/>
      <c r="D990" s="81">
        <v>44776</v>
      </c>
      <c r="E990" s="82">
        <v>17388.15</v>
      </c>
      <c r="G990" s="79"/>
      <c r="H990" s="79"/>
      <c r="I990" s="79"/>
    </row>
    <row r="991" s="78" customFormat="1" ht="16.5" customHeight="1" spans="1:9">
      <c r="A991" s="79"/>
      <c r="B991" s="79"/>
      <c r="C991" s="79"/>
      <c r="D991" s="81">
        <v>44775</v>
      </c>
      <c r="E991" s="82">
        <v>17345.45</v>
      </c>
      <c r="G991" s="79"/>
      <c r="H991" s="79"/>
      <c r="I991" s="79"/>
    </row>
    <row r="992" s="78" customFormat="1" ht="16.5" customHeight="1" spans="1:9">
      <c r="A992" s="79"/>
      <c r="B992" s="79"/>
      <c r="C992" s="79"/>
      <c r="D992" s="81">
        <v>44774</v>
      </c>
      <c r="E992" s="82">
        <v>17340.05</v>
      </c>
      <c r="G992" s="79"/>
      <c r="H992" s="79"/>
      <c r="I992" s="79"/>
    </row>
    <row r="993" s="78" customFormat="1" ht="16.5" customHeight="1" spans="1:9">
      <c r="A993" s="79"/>
      <c r="B993" s="79"/>
      <c r="C993" s="79"/>
      <c r="D993" s="81">
        <v>44771</v>
      </c>
      <c r="E993" s="82">
        <v>17158.25</v>
      </c>
      <c r="G993" s="79"/>
      <c r="H993" s="79"/>
      <c r="I993" s="79"/>
    </row>
    <row r="994" s="78" customFormat="1" ht="16.5" customHeight="1" spans="1:9">
      <c r="A994" s="79"/>
      <c r="B994" s="79"/>
      <c r="C994" s="79"/>
      <c r="D994" s="81">
        <v>44770</v>
      </c>
      <c r="E994" s="82">
        <v>16929.6</v>
      </c>
      <c r="G994" s="79"/>
      <c r="H994" s="79"/>
      <c r="I994" s="79"/>
    </row>
    <row r="995" s="78" customFormat="1" ht="16.5" customHeight="1" spans="1:9">
      <c r="A995" s="79"/>
      <c r="B995" s="79"/>
      <c r="C995" s="79"/>
      <c r="D995" s="81">
        <v>44769</v>
      </c>
      <c r="E995" s="82">
        <v>16641.8</v>
      </c>
      <c r="G995" s="79"/>
      <c r="H995" s="79"/>
      <c r="I995" s="79"/>
    </row>
    <row r="996" s="78" customFormat="1" ht="16.5" customHeight="1" spans="1:9">
      <c r="A996" s="79"/>
      <c r="B996" s="79"/>
      <c r="C996" s="79"/>
      <c r="D996" s="81">
        <v>44768</v>
      </c>
      <c r="E996" s="82">
        <v>16483.85</v>
      </c>
      <c r="G996" s="79"/>
      <c r="H996" s="79"/>
      <c r="I996" s="79"/>
    </row>
    <row r="997" s="78" customFormat="1" ht="16.5" customHeight="1" spans="1:9">
      <c r="A997" s="79"/>
      <c r="B997" s="79"/>
      <c r="C997" s="79"/>
      <c r="D997" s="81">
        <v>44767</v>
      </c>
      <c r="E997" s="82">
        <v>16631</v>
      </c>
      <c r="G997" s="79"/>
      <c r="H997" s="79"/>
      <c r="I997" s="79"/>
    </row>
    <row r="998" s="78" customFormat="1" ht="16.5" customHeight="1" spans="1:9">
      <c r="A998" s="79"/>
      <c r="B998" s="79"/>
      <c r="C998" s="79"/>
      <c r="D998" s="81">
        <v>44764</v>
      </c>
      <c r="E998" s="82">
        <v>16719.45</v>
      </c>
      <c r="G998" s="79"/>
      <c r="H998" s="79"/>
      <c r="I998" s="79"/>
    </row>
    <row r="999" s="78" customFormat="1" ht="16.5" customHeight="1" spans="1:9">
      <c r="A999" s="79"/>
      <c r="B999" s="79"/>
      <c r="C999" s="79"/>
      <c r="D999" s="81">
        <v>44763</v>
      </c>
      <c r="E999" s="82">
        <v>16605.25</v>
      </c>
      <c r="G999" s="79"/>
      <c r="H999" s="79"/>
      <c r="I999" s="79"/>
    </row>
    <row r="1000" s="78" customFormat="1" ht="16.5" customHeight="1" spans="1:9">
      <c r="A1000" s="79"/>
      <c r="B1000" s="79"/>
      <c r="C1000" s="79"/>
      <c r="D1000" s="81">
        <v>44762</v>
      </c>
      <c r="E1000" s="82">
        <v>16520.85</v>
      </c>
      <c r="G1000" s="79"/>
      <c r="H1000" s="79"/>
      <c r="I1000" s="79"/>
    </row>
    <row r="1001" s="78" customFormat="1" ht="16.5" customHeight="1" spans="1:9">
      <c r="A1001" s="79"/>
      <c r="B1001" s="79"/>
      <c r="C1001" s="79"/>
      <c r="D1001" s="81">
        <v>44761</v>
      </c>
      <c r="E1001" s="82">
        <v>16340.55</v>
      </c>
      <c r="G1001" s="79"/>
      <c r="H1001" s="79"/>
      <c r="I1001" s="79"/>
    </row>
    <row r="1002" s="78" customFormat="1" ht="16.5" customHeight="1" spans="1:9">
      <c r="A1002" s="79"/>
      <c r="B1002" s="79"/>
      <c r="C1002" s="79"/>
      <c r="D1002" s="81">
        <v>44760</v>
      </c>
      <c r="E1002" s="82">
        <v>16278.5</v>
      </c>
      <c r="G1002" s="79"/>
      <c r="H1002" s="79"/>
      <c r="I1002" s="79"/>
    </row>
    <row r="1003" s="78" customFormat="1" ht="16.5" customHeight="1" spans="1:9">
      <c r="A1003" s="79"/>
      <c r="B1003" s="79"/>
      <c r="C1003" s="79"/>
      <c r="D1003" s="81">
        <v>44757</v>
      </c>
      <c r="E1003" s="82">
        <v>16049.2</v>
      </c>
      <c r="G1003" s="79"/>
      <c r="H1003" s="79"/>
      <c r="I1003" s="79"/>
    </row>
    <row r="1004" s="78" customFormat="1" ht="16.5" customHeight="1" spans="1:9">
      <c r="A1004" s="79"/>
      <c r="B1004" s="79"/>
      <c r="C1004" s="79"/>
      <c r="D1004" s="81">
        <v>44756</v>
      </c>
      <c r="E1004" s="82">
        <v>15938.65</v>
      </c>
      <c r="G1004" s="79"/>
      <c r="H1004" s="79"/>
      <c r="I1004" s="79"/>
    </row>
    <row r="1005" s="78" customFormat="1" ht="16.5" customHeight="1" spans="1:9">
      <c r="A1005" s="79"/>
      <c r="B1005" s="79"/>
      <c r="C1005" s="79"/>
      <c r="D1005" s="81">
        <v>44755</v>
      </c>
      <c r="E1005" s="82">
        <v>15966.65</v>
      </c>
      <c r="G1005" s="79"/>
      <c r="H1005" s="79"/>
      <c r="I1005" s="79"/>
    </row>
    <row r="1006" s="78" customFormat="1" ht="16.5" customHeight="1" spans="1:9">
      <c r="A1006" s="79"/>
      <c r="B1006" s="79"/>
      <c r="C1006" s="79"/>
      <c r="D1006" s="81">
        <v>44754</v>
      </c>
      <c r="E1006" s="82">
        <v>16058.3</v>
      </c>
      <c r="G1006" s="79"/>
      <c r="H1006" s="79"/>
      <c r="I1006" s="79"/>
    </row>
    <row r="1007" s="78" customFormat="1" ht="16.5" customHeight="1" spans="1:9">
      <c r="A1007" s="79"/>
      <c r="B1007" s="79"/>
      <c r="C1007" s="79"/>
      <c r="D1007" s="81">
        <v>44753</v>
      </c>
      <c r="E1007" s="82">
        <v>16216</v>
      </c>
      <c r="G1007" s="79"/>
      <c r="H1007" s="79"/>
      <c r="I1007" s="79"/>
    </row>
    <row r="1008" s="78" customFormat="1" ht="16.5" customHeight="1" spans="1:9">
      <c r="A1008" s="79"/>
      <c r="B1008" s="79"/>
      <c r="C1008" s="79"/>
      <c r="D1008" s="81">
        <v>44750</v>
      </c>
      <c r="E1008" s="82">
        <v>16220.6</v>
      </c>
      <c r="G1008" s="79"/>
      <c r="H1008" s="79"/>
      <c r="I1008" s="79"/>
    </row>
    <row r="1009" s="78" customFormat="1" ht="16.5" customHeight="1" spans="1:9">
      <c r="A1009" s="79"/>
      <c r="B1009" s="79"/>
      <c r="C1009" s="79"/>
      <c r="D1009" s="81">
        <v>44749</v>
      </c>
      <c r="E1009" s="82">
        <v>16132.9</v>
      </c>
      <c r="G1009" s="79"/>
      <c r="H1009" s="79"/>
      <c r="I1009" s="79"/>
    </row>
    <row r="1010" s="78" customFormat="1" ht="16.5" customHeight="1" spans="1:9">
      <c r="A1010" s="79"/>
      <c r="B1010" s="79"/>
      <c r="C1010" s="79"/>
      <c r="D1010" s="81">
        <v>44748</v>
      </c>
      <c r="E1010" s="82">
        <v>15989.8</v>
      </c>
      <c r="G1010" s="79"/>
      <c r="H1010" s="79"/>
      <c r="I1010" s="79"/>
    </row>
    <row r="1011" s="78" customFormat="1" ht="16.5" customHeight="1" spans="1:9">
      <c r="A1011" s="79"/>
      <c r="B1011" s="79"/>
      <c r="C1011" s="79"/>
      <c r="D1011" s="81">
        <v>44747</v>
      </c>
      <c r="E1011" s="82">
        <v>15810.85</v>
      </c>
      <c r="G1011" s="79"/>
      <c r="H1011" s="79"/>
      <c r="I1011" s="79"/>
    </row>
    <row r="1012" s="78" customFormat="1" ht="16.5" customHeight="1" spans="1:9">
      <c r="A1012" s="79"/>
      <c r="B1012" s="79"/>
      <c r="C1012" s="79"/>
      <c r="D1012" s="81">
        <v>44746</v>
      </c>
      <c r="E1012" s="82">
        <v>15835.35</v>
      </c>
      <c r="G1012" s="79"/>
      <c r="H1012" s="79"/>
      <c r="I1012" s="79"/>
    </row>
    <row r="1013" s="78" customFormat="1" ht="16.5" customHeight="1" spans="1:9">
      <c r="A1013" s="79"/>
      <c r="B1013" s="79"/>
      <c r="C1013" s="79"/>
      <c r="D1013" s="81">
        <v>44743</v>
      </c>
      <c r="E1013" s="82">
        <v>15752.05</v>
      </c>
      <c r="G1013" s="79"/>
      <c r="H1013" s="79"/>
      <c r="I1013" s="79"/>
    </row>
    <row r="1014" s="78" customFormat="1" ht="16.5" customHeight="1" spans="1:9">
      <c r="A1014" s="79"/>
      <c r="B1014" s="79"/>
      <c r="C1014" s="79"/>
      <c r="D1014" s="81">
        <v>44742</v>
      </c>
      <c r="E1014" s="82">
        <v>15780.25</v>
      </c>
      <c r="G1014" s="79"/>
      <c r="H1014" s="79"/>
      <c r="I1014" s="79"/>
    </row>
    <row r="1015" s="78" customFormat="1" ht="16.5" customHeight="1" spans="1:9">
      <c r="A1015" s="79"/>
      <c r="B1015" s="79"/>
      <c r="C1015" s="79"/>
      <c r="D1015" s="81">
        <v>44741</v>
      </c>
      <c r="E1015" s="82">
        <v>15799.1</v>
      </c>
      <c r="G1015" s="79"/>
      <c r="H1015" s="79"/>
      <c r="I1015" s="79"/>
    </row>
    <row r="1016" s="78" customFormat="1" ht="16.5" customHeight="1" spans="1:9">
      <c r="A1016" s="79"/>
      <c r="B1016" s="79"/>
      <c r="C1016" s="79"/>
      <c r="D1016" s="81">
        <v>44740</v>
      </c>
      <c r="E1016" s="82">
        <v>15850.2</v>
      </c>
      <c r="G1016" s="79"/>
      <c r="H1016" s="79"/>
      <c r="I1016" s="79"/>
    </row>
    <row r="1017" s="78" customFormat="1" ht="16.5" customHeight="1" spans="1:9">
      <c r="A1017" s="79"/>
      <c r="B1017" s="79"/>
      <c r="C1017" s="79"/>
      <c r="D1017" s="81">
        <v>44739</v>
      </c>
      <c r="E1017" s="82">
        <v>15832.05</v>
      </c>
      <c r="G1017" s="79"/>
      <c r="H1017" s="79"/>
      <c r="I1017" s="79"/>
    </row>
    <row r="1018" s="78" customFormat="1" ht="16.5" customHeight="1" spans="1:9">
      <c r="A1018" s="79"/>
      <c r="B1018" s="79"/>
      <c r="C1018" s="79"/>
      <c r="D1018" s="81">
        <v>44736</v>
      </c>
      <c r="E1018" s="82">
        <v>15699.25</v>
      </c>
      <c r="G1018" s="79"/>
      <c r="H1018" s="79"/>
      <c r="I1018" s="79"/>
    </row>
    <row r="1019" s="78" customFormat="1" ht="16.5" customHeight="1" spans="1:9">
      <c r="A1019" s="79"/>
      <c r="B1019" s="79"/>
      <c r="C1019" s="79"/>
      <c r="D1019" s="81">
        <v>44735</v>
      </c>
      <c r="E1019" s="82">
        <v>15556.65</v>
      </c>
      <c r="G1019" s="79"/>
      <c r="H1019" s="79"/>
      <c r="I1019" s="79"/>
    </row>
    <row r="1020" s="78" customFormat="1" ht="16.5" customHeight="1" spans="1:9">
      <c r="A1020" s="79"/>
      <c r="B1020" s="79"/>
      <c r="C1020" s="79"/>
      <c r="D1020" s="81">
        <v>44734</v>
      </c>
      <c r="E1020" s="82">
        <v>15413.3</v>
      </c>
      <c r="G1020" s="79"/>
      <c r="H1020" s="79"/>
      <c r="I1020" s="79"/>
    </row>
    <row r="1021" s="78" customFormat="1" ht="16.5" customHeight="1" spans="1:9">
      <c r="A1021" s="79"/>
      <c r="B1021" s="79"/>
      <c r="C1021" s="79"/>
      <c r="D1021" s="81">
        <v>44733</v>
      </c>
      <c r="E1021" s="82">
        <v>15638.8</v>
      </c>
      <c r="G1021" s="79"/>
      <c r="H1021" s="79"/>
      <c r="I1021" s="79"/>
    </row>
    <row r="1022" s="78" customFormat="1" ht="16.5" customHeight="1" spans="1:9">
      <c r="A1022" s="79"/>
      <c r="B1022" s="79"/>
      <c r="C1022" s="79"/>
      <c r="D1022" s="81">
        <v>44732</v>
      </c>
      <c r="E1022" s="82">
        <v>15350.15</v>
      </c>
      <c r="G1022" s="79"/>
      <c r="H1022" s="79"/>
      <c r="I1022" s="79"/>
    </row>
    <row r="1023" s="78" customFormat="1" ht="16.5" customHeight="1" spans="1:9">
      <c r="A1023" s="79"/>
      <c r="B1023" s="79"/>
      <c r="C1023" s="79"/>
      <c r="D1023" s="81">
        <v>44729</v>
      </c>
      <c r="E1023" s="82">
        <v>15293.5</v>
      </c>
      <c r="G1023" s="79"/>
      <c r="H1023" s="79"/>
      <c r="I1023" s="79"/>
    </row>
    <row r="1024" s="78" customFormat="1" ht="16.5" customHeight="1" spans="1:9">
      <c r="A1024" s="79"/>
      <c r="B1024" s="79"/>
      <c r="C1024" s="79"/>
      <c r="D1024" s="81">
        <v>44728</v>
      </c>
      <c r="E1024" s="82">
        <v>15360.6</v>
      </c>
      <c r="G1024" s="79"/>
      <c r="H1024" s="79"/>
      <c r="I1024" s="79"/>
    </row>
    <row r="1025" s="78" customFormat="1" ht="16.5" customHeight="1" spans="1:9">
      <c r="A1025" s="79"/>
      <c r="B1025" s="79"/>
      <c r="C1025" s="79"/>
      <c r="D1025" s="81">
        <v>44727</v>
      </c>
      <c r="E1025" s="82">
        <v>15692.15</v>
      </c>
      <c r="G1025" s="79"/>
      <c r="H1025" s="79"/>
      <c r="I1025" s="79"/>
    </row>
    <row r="1026" s="78" customFormat="1" ht="16.5" customHeight="1" spans="1:9">
      <c r="A1026" s="79"/>
      <c r="B1026" s="79"/>
      <c r="C1026" s="79"/>
      <c r="D1026" s="81">
        <v>44726</v>
      </c>
      <c r="E1026" s="82">
        <v>15732.1</v>
      </c>
      <c r="G1026" s="79"/>
      <c r="H1026" s="79"/>
      <c r="I1026" s="79"/>
    </row>
    <row r="1027" s="78" customFormat="1" ht="16.5" customHeight="1" spans="1:9">
      <c r="A1027" s="79"/>
      <c r="B1027" s="79"/>
      <c r="C1027" s="79"/>
      <c r="D1027" s="81">
        <v>44725</v>
      </c>
      <c r="E1027" s="82">
        <v>15774.4</v>
      </c>
      <c r="G1027" s="79"/>
      <c r="H1027" s="79"/>
      <c r="I1027" s="79"/>
    </row>
    <row r="1028" s="78" customFormat="1" ht="16.5" customHeight="1" spans="1:9">
      <c r="A1028" s="79"/>
      <c r="B1028" s="79"/>
      <c r="C1028" s="79"/>
      <c r="D1028" s="81">
        <v>44722</v>
      </c>
      <c r="E1028" s="82">
        <v>16201.8</v>
      </c>
      <c r="G1028" s="79"/>
      <c r="H1028" s="79"/>
      <c r="I1028" s="79"/>
    </row>
    <row r="1029" s="78" customFormat="1" ht="16.5" customHeight="1" spans="1:9">
      <c r="A1029" s="79"/>
      <c r="B1029" s="79"/>
      <c r="C1029" s="79"/>
      <c r="D1029" s="81">
        <v>44721</v>
      </c>
      <c r="E1029" s="82">
        <v>16478.1</v>
      </c>
      <c r="G1029" s="79"/>
      <c r="H1029" s="79"/>
      <c r="I1029" s="79"/>
    </row>
    <row r="1030" s="78" customFormat="1" ht="16.5" customHeight="1" spans="1:9">
      <c r="A1030" s="79"/>
      <c r="B1030" s="79"/>
      <c r="C1030" s="79"/>
      <c r="D1030" s="81">
        <v>44720</v>
      </c>
      <c r="E1030" s="82">
        <v>16356.25</v>
      </c>
      <c r="G1030" s="79"/>
      <c r="H1030" s="79"/>
      <c r="I1030" s="79"/>
    </row>
    <row r="1031" s="78" customFormat="1" ht="16.5" customHeight="1" spans="1:9">
      <c r="A1031" s="79"/>
      <c r="B1031" s="79"/>
      <c r="C1031" s="79"/>
      <c r="D1031" s="81">
        <v>44719</v>
      </c>
      <c r="E1031" s="82">
        <v>16416.35</v>
      </c>
      <c r="G1031" s="79"/>
      <c r="H1031" s="79"/>
      <c r="I1031" s="79"/>
    </row>
    <row r="1032" s="78" customFormat="1" ht="16.5" customHeight="1" spans="1:9">
      <c r="A1032" s="79"/>
      <c r="B1032" s="79"/>
      <c r="C1032" s="79"/>
      <c r="D1032" s="81">
        <v>44718</v>
      </c>
      <c r="E1032" s="82">
        <v>16569.55</v>
      </c>
      <c r="G1032" s="79"/>
      <c r="H1032" s="79"/>
      <c r="I1032" s="79"/>
    </row>
    <row r="1033" s="78" customFormat="1" ht="16.5" customHeight="1" spans="1:9">
      <c r="A1033" s="79"/>
      <c r="B1033" s="79"/>
      <c r="C1033" s="79"/>
      <c r="D1033" s="81">
        <v>44715</v>
      </c>
      <c r="E1033" s="82">
        <v>16584.3</v>
      </c>
      <c r="G1033" s="79"/>
      <c r="H1033" s="79"/>
      <c r="I1033" s="79"/>
    </row>
    <row r="1034" s="78" customFormat="1" ht="16.5" customHeight="1" spans="1:9">
      <c r="A1034" s="79"/>
      <c r="B1034" s="79"/>
      <c r="C1034" s="79"/>
      <c r="D1034" s="81">
        <v>44714</v>
      </c>
      <c r="E1034" s="82">
        <v>16628</v>
      </c>
      <c r="G1034" s="79"/>
      <c r="H1034" s="79"/>
      <c r="I1034" s="79"/>
    </row>
    <row r="1035" s="78" customFormat="1" ht="16.5" customHeight="1" spans="1:9">
      <c r="A1035" s="79"/>
      <c r="B1035" s="79"/>
      <c r="C1035" s="79"/>
      <c r="D1035" s="81">
        <v>44713</v>
      </c>
      <c r="E1035" s="82">
        <v>16522.75</v>
      </c>
      <c r="G1035" s="79"/>
      <c r="H1035" s="79"/>
      <c r="I1035" s="79"/>
    </row>
    <row r="1036" s="78" customFormat="1" ht="16.5" customHeight="1" spans="1:9">
      <c r="A1036" s="79"/>
      <c r="B1036" s="79"/>
      <c r="C1036" s="79"/>
      <c r="D1036" s="81">
        <v>44712</v>
      </c>
      <c r="E1036" s="82">
        <v>16584.55</v>
      </c>
      <c r="G1036" s="79"/>
      <c r="H1036" s="79"/>
      <c r="I1036" s="79"/>
    </row>
    <row r="1037" s="78" customFormat="1" ht="16.5" customHeight="1" spans="1:9">
      <c r="A1037" s="79"/>
      <c r="B1037" s="79"/>
      <c r="C1037" s="79"/>
      <c r="D1037" s="81">
        <v>44711</v>
      </c>
      <c r="E1037" s="82">
        <v>16661.4</v>
      </c>
      <c r="G1037" s="79"/>
      <c r="H1037" s="79"/>
      <c r="I1037" s="79"/>
    </row>
    <row r="1038" s="78" customFormat="1" ht="16.5" customHeight="1" spans="1:9">
      <c r="A1038" s="79"/>
      <c r="B1038" s="79"/>
      <c r="C1038" s="79"/>
      <c r="D1038" s="81">
        <v>44708</v>
      </c>
      <c r="E1038" s="82">
        <v>16352.45</v>
      </c>
      <c r="G1038" s="79"/>
      <c r="H1038" s="79"/>
      <c r="I1038" s="79"/>
    </row>
    <row r="1039" s="78" customFormat="1" ht="16.5" customHeight="1" spans="1:9">
      <c r="A1039" s="79"/>
      <c r="B1039" s="79"/>
      <c r="C1039" s="79"/>
      <c r="D1039" s="81">
        <v>44707</v>
      </c>
      <c r="E1039" s="82">
        <v>16170.15</v>
      </c>
      <c r="G1039" s="79"/>
      <c r="H1039" s="79"/>
      <c r="I1039" s="79"/>
    </row>
    <row r="1040" s="78" customFormat="1" ht="16.5" customHeight="1" spans="1:9">
      <c r="A1040" s="79"/>
      <c r="B1040" s="79"/>
      <c r="C1040" s="79"/>
      <c r="D1040" s="81">
        <v>44706</v>
      </c>
      <c r="E1040" s="82">
        <v>16025.8</v>
      </c>
      <c r="G1040" s="79"/>
      <c r="H1040" s="79"/>
      <c r="I1040" s="79"/>
    </row>
    <row r="1041" s="78" customFormat="1" ht="16.5" customHeight="1" spans="1:9">
      <c r="A1041" s="79"/>
      <c r="B1041" s="79"/>
      <c r="C1041" s="79"/>
      <c r="D1041" s="81">
        <v>44705</v>
      </c>
      <c r="E1041" s="82">
        <v>16125.15</v>
      </c>
      <c r="G1041" s="79"/>
      <c r="H1041" s="79"/>
      <c r="I1041" s="79"/>
    </row>
    <row r="1042" s="78" customFormat="1" ht="16.5" customHeight="1" spans="1:9">
      <c r="A1042" s="79"/>
      <c r="B1042" s="79"/>
      <c r="C1042" s="79"/>
      <c r="D1042" s="81">
        <v>44704</v>
      </c>
      <c r="E1042" s="82">
        <v>16214.7</v>
      </c>
      <c r="G1042" s="79"/>
      <c r="H1042" s="79"/>
      <c r="I1042" s="79"/>
    </row>
    <row r="1043" s="78" customFormat="1" ht="16.5" customHeight="1" spans="1:9">
      <c r="A1043" s="79"/>
      <c r="B1043" s="79"/>
      <c r="C1043" s="79"/>
      <c r="D1043" s="81">
        <v>44701</v>
      </c>
      <c r="E1043" s="82">
        <v>16266.15</v>
      </c>
      <c r="G1043" s="79"/>
      <c r="H1043" s="79"/>
      <c r="I1043" s="79"/>
    </row>
    <row r="1044" s="78" customFormat="1" ht="16.5" customHeight="1" spans="1:9">
      <c r="A1044" s="79"/>
      <c r="B1044" s="79"/>
      <c r="C1044" s="79"/>
      <c r="D1044" s="81">
        <v>44700</v>
      </c>
      <c r="E1044" s="82">
        <v>15809.4</v>
      </c>
      <c r="G1044" s="79"/>
      <c r="H1044" s="79"/>
      <c r="I1044" s="79"/>
    </row>
    <row r="1045" s="78" customFormat="1" ht="16.5" customHeight="1" spans="1:9">
      <c r="A1045" s="79"/>
      <c r="B1045" s="79"/>
      <c r="C1045" s="79"/>
      <c r="D1045" s="81">
        <v>44699</v>
      </c>
      <c r="E1045" s="82">
        <v>16240.3</v>
      </c>
      <c r="G1045" s="79"/>
      <c r="H1045" s="79"/>
      <c r="I1045" s="79"/>
    </row>
    <row r="1046" s="78" customFormat="1" ht="16.5" customHeight="1" spans="1:9">
      <c r="A1046" s="79"/>
      <c r="B1046" s="79"/>
      <c r="C1046" s="79"/>
      <c r="D1046" s="81">
        <v>44698</v>
      </c>
      <c r="E1046" s="82">
        <v>16259.3</v>
      </c>
      <c r="G1046" s="79"/>
      <c r="H1046" s="79"/>
      <c r="I1046" s="79"/>
    </row>
    <row r="1047" s="78" customFormat="1" ht="16.5" customHeight="1" spans="1:9">
      <c r="A1047" s="79"/>
      <c r="B1047" s="79"/>
      <c r="C1047" s="79"/>
      <c r="D1047" s="81">
        <v>44697</v>
      </c>
      <c r="E1047" s="82">
        <v>15842.3</v>
      </c>
      <c r="G1047" s="79"/>
      <c r="H1047" s="79"/>
      <c r="I1047" s="79"/>
    </row>
    <row r="1048" s="78" customFormat="1" ht="16.5" customHeight="1" spans="1:9">
      <c r="A1048" s="79"/>
      <c r="B1048" s="79"/>
      <c r="C1048" s="79"/>
      <c r="D1048" s="81">
        <v>44694</v>
      </c>
      <c r="E1048" s="82">
        <v>15782.15</v>
      </c>
      <c r="G1048" s="79"/>
      <c r="H1048" s="79"/>
      <c r="I1048" s="79"/>
    </row>
    <row r="1049" s="78" customFormat="1" ht="16.5" customHeight="1" spans="1:9">
      <c r="A1049" s="79"/>
      <c r="B1049" s="79"/>
      <c r="C1049" s="79"/>
      <c r="D1049" s="81">
        <v>44693</v>
      </c>
      <c r="E1049" s="82">
        <v>15808</v>
      </c>
      <c r="G1049" s="79"/>
      <c r="H1049" s="79"/>
      <c r="I1049" s="79"/>
    </row>
    <row r="1050" s="78" customFormat="1" ht="16.5" customHeight="1" spans="1:9">
      <c r="A1050" s="79"/>
      <c r="B1050" s="79"/>
      <c r="C1050" s="79"/>
      <c r="D1050" s="81">
        <v>44692</v>
      </c>
      <c r="E1050" s="82">
        <v>16167.1</v>
      </c>
      <c r="G1050" s="79"/>
      <c r="H1050" s="79"/>
      <c r="I1050" s="79"/>
    </row>
    <row r="1051" s="78" customFormat="1" ht="16.5" customHeight="1" spans="1:9">
      <c r="A1051" s="79"/>
      <c r="B1051" s="79"/>
      <c r="C1051" s="79"/>
      <c r="D1051" s="81">
        <v>44691</v>
      </c>
      <c r="E1051" s="82">
        <v>16240.05</v>
      </c>
      <c r="G1051" s="79"/>
      <c r="H1051" s="79"/>
      <c r="I1051" s="79"/>
    </row>
    <row r="1052" s="78" customFormat="1" ht="16.5" customHeight="1" spans="1:9">
      <c r="A1052" s="79"/>
      <c r="B1052" s="79"/>
      <c r="C1052" s="79"/>
      <c r="D1052" s="81">
        <v>44690</v>
      </c>
      <c r="E1052" s="82">
        <v>16301.85</v>
      </c>
      <c r="G1052" s="79"/>
      <c r="H1052" s="79"/>
      <c r="I1052" s="79"/>
    </row>
    <row r="1053" s="78" customFormat="1" ht="16.5" customHeight="1" spans="1:9">
      <c r="A1053" s="79"/>
      <c r="B1053" s="79"/>
      <c r="C1053" s="79"/>
      <c r="D1053" s="81">
        <v>44687</v>
      </c>
      <c r="E1053" s="82">
        <v>16411.25</v>
      </c>
      <c r="G1053" s="79"/>
      <c r="H1053" s="79"/>
      <c r="I1053" s="79"/>
    </row>
    <row r="1054" s="78" customFormat="1" ht="16.5" customHeight="1" spans="1:9">
      <c r="A1054" s="79"/>
      <c r="B1054" s="79"/>
      <c r="C1054" s="79"/>
      <c r="D1054" s="81">
        <v>44686</v>
      </c>
      <c r="E1054" s="82">
        <v>16682.65</v>
      </c>
      <c r="G1054" s="79"/>
      <c r="H1054" s="79"/>
      <c r="I1054" s="79"/>
    </row>
    <row r="1055" s="78" customFormat="1" ht="16.5" customHeight="1" spans="1:9">
      <c r="A1055" s="79"/>
      <c r="B1055" s="79"/>
      <c r="C1055" s="79"/>
      <c r="D1055" s="81">
        <v>44685</v>
      </c>
      <c r="E1055" s="82">
        <v>16677.6</v>
      </c>
      <c r="G1055" s="79"/>
      <c r="H1055" s="79"/>
      <c r="I1055" s="79"/>
    </row>
    <row r="1056" s="78" customFormat="1" ht="16.5" customHeight="1" spans="1:9">
      <c r="A1056" s="79"/>
      <c r="B1056" s="79"/>
      <c r="C1056" s="79"/>
      <c r="D1056" s="81">
        <v>44683</v>
      </c>
      <c r="E1056" s="82">
        <v>17069.1</v>
      </c>
      <c r="G1056" s="79"/>
      <c r="H1056" s="79"/>
      <c r="I1056" s="79"/>
    </row>
    <row r="1057" s="78" customFormat="1" ht="16.5" customHeight="1" spans="1:9">
      <c r="A1057" s="79"/>
      <c r="B1057" s="79"/>
      <c r="C1057" s="79"/>
      <c r="D1057" s="81">
        <v>44680</v>
      </c>
      <c r="E1057" s="82">
        <v>17102.55</v>
      </c>
      <c r="G1057" s="79"/>
      <c r="H1057" s="79"/>
      <c r="I1057" s="79"/>
    </row>
    <row r="1058" s="78" customFormat="1" ht="16.5" customHeight="1" spans="1:9">
      <c r="A1058" s="79"/>
      <c r="B1058" s="79"/>
      <c r="C1058" s="79"/>
      <c r="D1058" s="81">
        <v>44679</v>
      </c>
      <c r="E1058" s="82">
        <v>17245.05</v>
      </c>
      <c r="G1058" s="79"/>
      <c r="H1058" s="79"/>
      <c r="I1058" s="79"/>
    </row>
    <row r="1059" s="78" customFormat="1" ht="16.5" customHeight="1" spans="1:9">
      <c r="A1059" s="79"/>
      <c r="B1059" s="79"/>
      <c r="C1059" s="79"/>
      <c r="D1059" s="81">
        <v>44678</v>
      </c>
      <c r="E1059" s="82">
        <v>17038.4</v>
      </c>
      <c r="G1059" s="79"/>
      <c r="H1059" s="79"/>
      <c r="I1059" s="79"/>
    </row>
    <row r="1060" s="78" customFormat="1" ht="16.5" customHeight="1" spans="1:9">
      <c r="A1060" s="79"/>
      <c r="B1060" s="79"/>
      <c r="C1060" s="79"/>
      <c r="D1060" s="81">
        <v>44677</v>
      </c>
      <c r="E1060" s="82">
        <v>17200.8</v>
      </c>
      <c r="G1060" s="79"/>
      <c r="H1060" s="79"/>
      <c r="I1060" s="79"/>
    </row>
    <row r="1061" s="78" customFormat="1" ht="16.5" customHeight="1" spans="1:9">
      <c r="A1061" s="79"/>
      <c r="B1061" s="79"/>
      <c r="C1061" s="79"/>
      <c r="D1061" s="81">
        <v>44676</v>
      </c>
      <c r="E1061" s="82">
        <v>16953.95</v>
      </c>
      <c r="G1061" s="79"/>
      <c r="H1061" s="79"/>
      <c r="I1061" s="79"/>
    </row>
    <row r="1062" s="78" customFormat="1" ht="16.5" customHeight="1" spans="1:9">
      <c r="A1062" s="79"/>
      <c r="B1062" s="79"/>
      <c r="C1062" s="79"/>
      <c r="D1062" s="81">
        <v>44673</v>
      </c>
      <c r="E1062" s="82">
        <v>17171.95</v>
      </c>
      <c r="G1062" s="79"/>
      <c r="H1062" s="79"/>
      <c r="I1062" s="79"/>
    </row>
    <row r="1063" s="78" customFormat="1" ht="16.5" customHeight="1" spans="1:9">
      <c r="A1063" s="79"/>
      <c r="B1063" s="79"/>
      <c r="C1063" s="79"/>
      <c r="D1063" s="81">
        <v>44672</v>
      </c>
      <c r="E1063" s="82">
        <v>17392.6</v>
      </c>
      <c r="G1063" s="79"/>
      <c r="H1063" s="79"/>
      <c r="I1063" s="79"/>
    </row>
    <row r="1064" s="78" customFormat="1" ht="16.5" customHeight="1" spans="1:9">
      <c r="A1064" s="79"/>
      <c r="B1064" s="79"/>
      <c r="C1064" s="79"/>
      <c r="D1064" s="81">
        <v>44671</v>
      </c>
      <c r="E1064" s="82">
        <v>17136.55</v>
      </c>
      <c r="G1064" s="79"/>
      <c r="H1064" s="79"/>
      <c r="I1064" s="79"/>
    </row>
    <row r="1065" s="78" customFormat="1" ht="16.5" customHeight="1" spans="1:9">
      <c r="A1065" s="79"/>
      <c r="B1065" s="79"/>
      <c r="C1065" s="79"/>
      <c r="D1065" s="81">
        <v>44670</v>
      </c>
      <c r="E1065" s="82">
        <v>16958.65</v>
      </c>
      <c r="G1065" s="79"/>
      <c r="H1065" s="79"/>
      <c r="I1065" s="79"/>
    </row>
    <row r="1066" s="78" customFormat="1" ht="16.5" customHeight="1" spans="1:9">
      <c r="A1066" s="79"/>
      <c r="B1066" s="79"/>
      <c r="C1066" s="79"/>
      <c r="D1066" s="81">
        <v>44669</v>
      </c>
      <c r="E1066" s="82">
        <v>17173.65</v>
      </c>
      <c r="G1066" s="79"/>
      <c r="H1066" s="79"/>
      <c r="I1066" s="79"/>
    </row>
    <row r="1067" s="78" customFormat="1" ht="16.5" customHeight="1" spans="1:9">
      <c r="A1067" s="79"/>
      <c r="B1067" s="79"/>
      <c r="C1067" s="79"/>
      <c r="D1067" s="81">
        <v>44664</v>
      </c>
      <c r="E1067" s="82">
        <v>17475.65</v>
      </c>
      <c r="G1067" s="79"/>
      <c r="H1067" s="79"/>
      <c r="I1067" s="79"/>
    </row>
    <row r="1068" s="78" customFormat="1" ht="16.5" customHeight="1" spans="1:9">
      <c r="A1068" s="79"/>
      <c r="B1068" s="79"/>
      <c r="C1068" s="79"/>
      <c r="D1068" s="81">
        <v>44663</v>
      </c>
      <c r="E1068" s="82">
        <v>17530.3</v>
      </c>
      <c r="G1068" s="79"/>
      <c r="H1068" s="79"/>
      <c r="I1068" s="79"/>
    </row>
    <row r="1069" s="78" customFormat="1" ht="16.5" customHeight="1" spans="1:9">
      <c r="A1069" s="79"/>
      <c r="B1069" s="79"/>
      <c r="C1069" s="79"/>
      <c r="D1069" s="81">
        <v>44662</v>
      </c>
      <c r="E1069" s="82">
        <v>17674.95</v>
      </c>
      <c r="G1069" s="79"/>
      <c r="H1069" s="79"/>
      <c r="I1069" s="79"/>
    </row>
    <row r="1070" s="78" customFormat="1" ht="16.5" customHeight="1" spans="1:9">
      <c r="A1070" s="79"/>
      <c r="B1070" s="79"/>
      <c r="C1070" s="79"/>
      <c r="D1070" s="81">
        <v>44659</v>
      </c>
      <c r="E1070" s="82">
        <v>17784.35</v>
      </c>
      <c r="G1070" s="79"/>
      <c r="H1070" s="79"/>
      <c r="I1070" s="79"/>
    </row>
    <row r="1071" s="78" customFormat="1" ht="16.5" customHeight="1" spans="1:9">
      <c r="A1071" s="79"/>
      <c r="B1071" s="79"/>
      <c r="C1071" s="79"/>
      <c r="D1071" s="81">
        <v>44658</v>
      </c>
      <c r="E1071" s="82">
        <v>17639.55</v>
      </c>
      <c r="G1071" s="79"/>
      <c r="H1071" s="79"/>
      <c r="I1071" s="79"/>
    </row>
    <row r="1072" s="78" customFormat="1" ht="16.5" customHeight="1" spans="1:9">
      <c r="A1072" s="79"/>
      <c r="B1072" s="79"/>
      <c r="C1072" s="79"/>
      <c r="D1072" s="81">
        <v>44657</v>
      </c>
      <c r="E1072" s="82">
        <v>17807.65</v>
      </c>
      <c r="G1072" s="79"/>
      <c r="H1072" s="79"/>
      <c r="I1072" s="79"/>
    </row>
    <row r="1073" s="78" customFormat="1" ht="16.5" customHeight="1" spans="1:9">
      <c r="A1073" s="79"/>
      <c r="B1073" s="79"/>
      <c r="C1073" s="79"/>
      <c r="D1073" s="81">
        <v>44656</v>
      </c>
      <c r="E1073" s="82">
        <v>17957.4</v>
      </c>
      <c r="G1073" s="79"/>
      <c r="H1073" s="79"/>
      <c r="I1073" s="79"/>
    </row>
    <row r="1074" s="78" customFormat="1" ht="16.5" customHeight="1" spans="1:9">
      <c r="A1074" s="79"/>
      <c r="B1074" s="79"/>
      <c r="C1074" s="79"/>
      <c r="D1074" s="81">
        <v>44655</v>
      </c>
      <c r="E1074" s="82">
        <v>18053.4</v>
      </c>
      <c r="G1074" s="79"/>
      <c r="H1074" s="79"/>
      <c r="I1074" s="79"/>
    </row>
    <row r="1075" s="78" customFormat="1" ht="16.5" customHeight="1" spans="1:9">
      <c r="A1075" s="79"/>
      <c r="B1075" s="79"/>
      <c r="C1075" s="79"/>
      <c r="D1075" s="81">
        <v>44652</v>
      </c>
      <c r="E1075" s="82">
        <v>17670.45</v>
      </c>
      <c r="G1075" s="79"/>
      <c r="H1075" s="79"/>
      <c r="I1075" s="79"/>
    </row>
    <row r="1076" s="78" customFormat="1" ht="16.5" customHeight="1" spans="1:9">
      <c r="A1076" s="79"/>
      <c r="B1076" s="79"/>
      <c r="C1076" s="79"/>
      <c r="D1076" s="81">
        <v>44651</v>
      </c>
      <c r="E1076" s="82">
        <v>17464.75</v>
      </c>
      <c r="G1076" s="79"/>
      <c r="H1076" s="79"/>
      <c r="I1076" s="79"/>
    </row>
    <row r="1077" s="78" customFormat="1" ht="16.5" customHeight="1" spans="1:9">
      <c r="A1077" s="79"/>
      <c r="B1077" s="79"/>
      <c r="C1077" s="79"/>
      <c r="D1077" s="81">
        <v>44650</v>
      </c>
      <c r="E1077" s="82">
        <v>17498.25</v>
      </c>
      <c r="G1077" s="79"/>
      <c r="H1077" s="79"/>
      <c r="I1077" s="79"/>
    </row>
    <row r="1078" s="78" customFormat="1" ht="16.5" customHeight="1" spans="1:9">
      <c r="A1078" s="79"/>
      <c r="B1078" s="79"/>
      <c r="C1078" s="79"/>
      <c r="D1078" s="81">
        <v>44649</v>
      </c>
      <c r="E1078" s="82">
        <v>17325.3</v>
      </c>
      <c r="G1078" s="79"/>
      <c r="H1078" s="79"/>
      <c r="I1078" s="79"/>
    </row>
    <row r="1079" s="78" customFormat="1" ht="16.5" customHeight="1" spans="1:9">
      <c r="A1079" s="79"/>
      <c r="B1079" s="79"/>
      <c r="C1079" s="79"/>
      <c r="D1079" s="81">
        <v>44648</v>
      </c>
      <c r="E1079" s="82">
        <v>17222</v>
      </c>
      <c r="G1079" s="79"/>
      <c r="H1079" s="79"/>
      <c r="I1079" s="79"/>
    </row>
    <row r="1080" s="78" customFormat="1" ht="16.5" customHeight="1" spans="1:9">
      <c r="A1080" s="79"/>
      <c r="B1080" s="79"/>
      <c r="C1080" s="79"/>
      <c r="D1080" s="81">
        <v>44645</v>
      </c>
      <c r="E1080" s="82">
        <v>17153</v>
      </c>
      <c r="G1080" s="79"/>
      <c r="H1080" s="79"/>
      <c r="I1080" s="79"/>
    </row>
    <row r="1081" s="78" customFormat="1" ht="16.5" customHeight="1" spans="1:9">
      <c r="A1081" s="79"/>
      <c r="B1081" s="79"/>
      <c r="C1081" s="79"/>
      <c r="D1081" s="81">
        <v>44644</v>
      </c>
      <c r="E1081" s="82">
        <v>17222.75</v>
      </c>
      <c r="G1081" s="79"/>
      <c r="H1081" s="79"/>
      <c r="I1081" s="79"/>
    </row>
    <row r="1082" s="78" customFormat="1" ht="16.5" customHeight="1" spans="1:9">
      <c r="A1082" s="79"/>
      <c r="B1082" s="79"/>
      <c r="C1082" s="79"/>
      <c r="D1082" s="81">
        <v>44643</v>
      </c>
      <c r="E1082" s="82">
        <v>17245.65</v>
      </c>
      <c r="G1082" s="79"/>
      <c r="H1082" s="79"/>
      <c r="I1082" s="79"/>
    </row>
    <row r="1083" s="78" customFormat="1" ht="16.5" customHeight="1" spans="1:9">
      <c r="A1083" s="79"/>
      <c r="B1083" s="79"/>
      <c r="C1083" s="79"/>
      <c r="D1083" s="81">
        <v>44642</v>
      </c>
      <c r="E1083" s="82">
        <v>17315.5</v>
      </c>
      <c r="G1083" s="79"/>
      <c r="H1083" s="79"/>
      <c r="I1083" s="79"/>
    </row>
    <row r="1084" s="78" customFormat="1" ht="16.5" customHeight="1" spans="1:9">
      <c r="A1084" s="79"/>
      <c r="B1084" s="79"/>
      <c r="C1084" s="79"/>
      <c r="D1084" s="81">
        <v>44641</v>
      </c>
      <c r="E1084" s="82">
        <v>17117.6</v>
      </c>
      <c r="G1084" s="79"/>
      <c r="H1084" s="79"/>
      <c r="I1084" s="79"/>
    </row>
    <row r="1085" s="78" customFormat="1" ht="16.5" customHeight="1" spans="1:9">
      <c r="A1085" s="79"/>
      <c r="B1085" s="79"/>
      <c r="C1085" s="79"/>
      <c r="D1085" s="81">
        <v>44637</v>
      </c>
      <c r="E1085" s="82">
        <v>17287.05</v>
      </c>
      <c r="G1085" s="79"/>
      <c r="H1085" s="79"/>
      <c r="I1085" s="79"/>
    </row>
    <row r="1086" s="78" customFormat="1" ht="16.5" customHeight="1" spans="1:9">
      <c r="A1086" s="79"/>
      <c r="B1086" s="79"/>
      <c r="C1086" s="79"/>
      <c r="D1086" s="81">
        <v>44636</v>
      </c>
      <c r="E1086" s="82">
        <v>16975.35</v>
      </c>
      <c r="G1086" s="79"/>
      <c r="H1086" s="79"/>
      <c r="I1086" s="79"/>
    </row>
    <row r="1087" s="78" customFormat="1" ht="16.5" customHeight="1" spans="1:9">
      <c r="A1087" s="79"/>
      <c r="B1087" s="79"/>
      <c r="C1087" s="79"/>
      <c r="D1087" s="81">
        <v>44635</v>
      </c>
      <c r="E1087" s="82">
        <v>16663</v>
      </c>
      <c r="G1087" s="79"/>
      <c r="H1087" s="79"/>
      <c r="I1087" s="79"/>
    </row>
    <row r="1088" s="78" customFormat="1" ht="16.5" customHeight="1" spans="1:9">
      <c r="A1088" s="79"/>
      <c r="B1088" s="79"/>
      <c r="C1088" s="79"/>
      <c r="D1088" s="81">
        <v>44634</v>
      </c>
      <c r="E1088" s="82">
        <v>16871.3</v>
      </c>
      <c r="G1088" s="79"/>
      <c r="H1088" s="79"/>
      <c r="I1088" s="79"/>
    </row>
    <row r="1089" s="78" customFormat="1" ht="16.5" customHeight="1" spans="1:9">
      <c r="A1089" s="79"/>
      <c r="B1089" s="79"/>
      <c r="C1089" s="79"/>
      <c r="D1089" s="81">
        <v>44631</v>
      </c>
      <c r="E1089" s="82">
        <v>16630.45</v>
      </c>
      <c r="G1089" s="79"/>
      <c r="H1089" s="79"/>
      <c r="I1089" s="79"/>
    </row>
    <row r="1090" s="78" customFormat="1" ht="16.5" customHeight="1" spans="1:9">
      <c r="A1090" s="79"/>
      <c r="B1090" s="79"/>
      <c r="C1090" s="79"/>
      <c r="D1090" s="81">
        <v>44630</v>
      </c>
      <c r="E1090" s="82">
        <v>16594.9</v>
      </c>
      <c r="G1090" s="79"/>
      <c r="H1090" s="79"/>
      <c r="I1090" s="79"/>
    </row>
    <row r="1091" s="78" customFormat="1" ht="16.5" customHeight="1" spans="1:9">
      <c r="A1091" s="79"/>
      <c r="B1091" s="79"/>
      <c r="C1091" s="79"/>
      <c r="D1091" s="81">
        <v>44629</v>
      </c>
      <c r="E1091" s="82">
        <v>16345.35</v>
      </c>
      <c r="G1091" s="79"/>
      <c r="H1091" s="79"/>
      <c r="I1091" s="79"/>
    </row>
    <row r="1092" s="78" customFormat="1" ht="16.5" customHeight="1" spans="1:9">
      <c r="A1092" s="79"/>
      <c r="B1092" s="79"/>
      <c r="C1092" s="79"/>
      <c r="D1092" s="81">
        <v>44628</v>
      </c>
      <c r="E1092" s="82">
        <v>16013.45</v>
      </c>
      <c r="G1092" s="79"/>
      <c r="H1092" s="79"/>
      <c r="I1092" s="79"/>
    </row>
    <row r="1093" s="78" customFormat="1" ht="16.5" customHeight="1" spans="1:9">
      <c r="A1093" s="79"/>
      <c r="B1093" s="79"/>
      <c r="C1093" s="79"/>
      <c r="D1093" s="81">
        <v>44627</v>
      </c>
      <c r="E1093" s="82">
        <v>15863.15</v>
      </c>
      <c r="G1093" s="79"/>
      <c r="H1093" s="79"/>
      <c r="I1093" s="79"/>
    </row>
    <row r="1094" s="78" customFormat="1" ht="16.5" customHeight="1" spans="1:9">
      <c r="A1094" s="79"/>
      <c r="B1094" s="79"/>
      <c r="C1094" s="79"/>
      <c r="D1094" s="81">
        <v>44624</v>
      </c>
      <c r="E1094" s="82">
        <v>16245.35</v>
      </c>
      <c r="G1094" s="79"/>
      <c r="H1094" s="79"/>
      <c r="I1094" s="79"/>
    </row>
    <row r="1095" s="78" customFormat="1" ht="16.5" customHeight="1" spans="1:9">
      <c r="A1095" s="79"/>
      <c r="B1095" s="79"/>
      <c r="C1095" s="79"/>
      <c r="D1095" s="81">
        <v>44623</v>
      </c>
      <c r="E1095" s="82">
        <v>16498.05</v>
      </c>
      <c r="G1095" s="79"/>
      <c r="H1095" s="79"/>
      <c r="I1095" s="79"/>
    </row>
    <row r="1096" s="78" customFormat="1" ht="16.5" customHeight="1" spans="1:9">
      <c r="A1096" s="79"/>
      <c r="B1096" s="79"/>
      <c r="C1096" s="79"/>
      <c r="D1096" s="81">
        <v>44622</v>
      </c>
      <c r="E1096" s="82">
        <v>16605.95</v>
      </c>
      <c r="G1096" s="79"/>
      <c r="H1096" s="79"/>
      <c r="I1096" s="79"/>
    </row>
    <row r="1097" s="78" customFormat="1" ht="16.5" customHeight="1" spans="1:9">
      <c r="A1097" s="79"/>
      <c r="B1097" s="79"/>
      <c r="C1097" s="79"/>
      <c r="D1097" s="81">
        <v>44620</v>
      </c>
      <c r="E1097" s="82">
        <v>16793.9</v>
      </c>
      <c r="G1097" s="79"/>
      <c r="H1097" s="79"/>
      <c r="I1097" s="79"/>
    </row>
    <row r="1098" s="78" customFormat="1" ht="16.5" customHeight="1" spans="1:9">
      <c r="A1098" s="79"/>
      <c r="B1098" s="79"/>
      <c r="C1098" s="79"/>
      <c r="D1098" s="81">
        <v>44617</v>
      </c>
      <c r="E1098" s="82">
        <v>16658.4</v>
      </c>
      <c r="G1098" s="79"/>
      <c r="H1098" s="79"/>
      <c r="I1098" s="79"/>
    </row>
    <row r="1099" s="78" customFormat="1" ht="16.5" customHeight="1" spans="1:9">
      <c r="A1099" s="79"/>
      <c r="B1099" s="79"/>
      <c r="C1099" s="79"/>
      <c r="D1099" s="81">
        <v>44616</v>
      </c>
      <c r="E1099" s="82">
        <v>16247.95</v>
      </c>
      <c r="G1099" s="79"/>
      <c r="H1099" s="79"/>
      <c r="I1099" s="79"/>
    </row>
    <row r="1100" s="78" customFormat="1" ht="16.5" customHeight="1" spans="1:9">
      <c r="A1100" s="79"/>
      <c r="B1100" s="79"/>
      <c r="C1100" s="79"/>
      <c r="D1100" s="81">
        <v>44615</v>
      </c>
      <c r="E1100" s="82">
        <v>17063.25</v>
      </c>
      <c r="G1100" s="79"/>
      <c r="H1100" s="79"/>
      <c r="I1100" s="79"/>
    </row>
    <row r="1101" s="78" customFormat="1" ht="16.5" customHeight="1" spans="1:9">
      <c r="A1101" s="79"/>
      <c r="B1101" s="79"/>
      <c r="C1101" s="79"/>
      <c r="D1101" s="81">
        <v>44614</v>
      </c>
      <c r="E1101" s="82">
        <v>17092.2</v>
      </c>
      <c r="G1101" s="79"/>
      <c r="H1101" s="79"/>
      <c r="I1101" s="79"/>
    </row>
    <row r="1102" s="78" customFormat="1" ht="16.5" customHeight="1" spans="1:9">
      <c r="A1102" s="79"/>
      <c r="B1102" s="79"/>
      <c r="C1102" s="79"/>
      <c r="D1102" s="81">
        <v>44613</v>
      </c>
      <c r="E1102" s="82">
        <v>17206.65</v>
      </c>
      <c r="G1102" s="79"/>
      <c r="H1102" s="79"/>
      <c r="I1102" s="79"/>
    </row>
    <row r="1103" s="78" customFormat="1" ht="16.5" customHeight="1" spans="1:9">
      <c r="A1103" s="79"/>
      <c r="B1103" s="79"/>
      <c r="C1103" s="79"/>
      <c r="D1103" s="81">
        <v>44610</v>
      </c>
      <c r="E1103" s="82">
        <v>17276.3</v>
      </c>
      <c r="G1103" s="79"/>
      <c r="H1103" s="79"/>
      <c r="I1103" s="79"/>
    </row>
    <row r="1104" s="78" customFormat="1" ht="16.5" customHeight="1" spans="1:9">
      <c r="A1104" s="79"/>
      <c r="B1104" s="79"/>
      <c r="C1104" s="79"/>
      <c r="D1104" s="81">
        <v>44609</v>
      </c>
      <c r="E1104" s="82">
        <v>17304.6</v>
      </c>
      <c r="G1104" s="79"/>
      <c r="H1104" s="79"/>
      <c r="I1104" s="79"/>
    </row>
    <row r="1105" s="78" customFormat="1" ht="16.5" customHeight="1" spans="1:9">
      <c r="A1105" s="79"/>
      <c r="B1105" s="79"/>
      <c r="C1105" s="79"/>
      <c r="D1105" s="81">
        <v>44608</v>
      </c>
      <c r="E1105" s="82">
        <v>17322.2</v>
      </c>
      <c r="G1105" s="79"/>
      <c r="H1105" s="79"/>
      <c r="I1105" s="79"/>
    </row>
    <row r="1106" s="78" customFormat="1" ht="16.5" customHeight="1" spans="1:9">
      <c r="A1106" s="79"/>
      <c r="B1106" s="79"/>
      <c r="C1106" s="79"/>
      <c r="D1106" s="81">
        <v>44607</v>
      </c>
      <c r="E1106" s="82">
        <v>17352.45</v>
      </c>
      <c r="G1106" s="79"/>
      <c r="H1106" s="79"/>
      <c r="I1106" s="79"/>
    </row>
    <row r="1107" s="78" customFormat="1" ht="16.5" customHeight="1" spans="1:9">
      <c r="A1107" s="79"/>
      <c r="B1107" s="79"/>
      <c r="C1107" s="79"/>
      <c r="D1107" s="81">
        <v>44606</v>
      </c>
      <c r="E1107" s="82">
        <v>16842.8</v>
      </c>
      <c r="G1107" s="79"/>
      <c r="H1107" s="79"/>
      <c r="I1107" s="79"/>
    </row>
    <row r="1108" s="78" customFormat="1" ht="16.5" customHeight="1" spans="1:9">
      <c r="A1108" s="79"/>
      <c r="B1108" s="79"/>
      <c r="C1108" s="79"/>
      <c r="D1108" s="81">
        <v>44603</v>
      </c>
      <c r="E1108" s="82">
        <v>17374.75</v>
      </c>
      <c r="G1108" s="79"/>
      <c r="H1108" s="79"/>
      <c r="I1108" s="79"/>
    </row>
    <row r="1109" s="78" customFormat="1" ht="16.5" customHeight="1" spans="1:9">
      <c r="A1109" s="79"/>
      <c r="B1109" s="79"/>
      <c r="C1109" s="79"/>
      <c r="D1109" s="81">
        <v>44602</v>
      </c>
      <c r="E1109" s="82">
        <v>17605.85</v>
      </c>
      <c r="G1109" s="79"/>
      <c r="H1109" s="79"/>
      <c r="I1109" s="79"/>
    </row>
    <row r="1110" s="78" customFormat="1" ht="16.5" customHeight="1" spans="1:9">
      <c r="A1110" s="79"/>
      <c r="B1110" s="79"/>
      <c r="C1110" s="79"/>
      <c r="D1110" s="81">
        <v>44601</v>
      </c>
      <c r="E1110" s="82">
        <v>17463.8</v>
      </c>
      <c r="G1110" s="79"/>
      <c r="H1110" s="79"/>
      <c r="I1110" s="79"/>
    </row>
    <row r="1111" s="78" customFormat="1" ht="16.5" customHeight="1" spans="1:9">
      <c r="A1111" s="79"/>
      <c r="B1111" s="79"/>
      <c r="C1111" s="79"/>
      <c r="D1111" s="81">
        <v>44600</v>
      </c>
      <c r="E1111" s="82">
        <v>17266.75</v>
      </c>
      <c r="G1111" s="79"/>
      <c r="H1111" s="79"/>
      <c r="I1111" s="79"/>
    </row>
    <row r="1112" s="78" customFormat="1" ht="16.5" customHeight="1" spans="1:9">
      <c r="A1112" s="79"/>
      <c r="B1112" s="79"/>
      <c r="C1112" s="79"/>
      <c r="D1112" s="81">
        <v>44599</v>
      </c>
      <c r="E1112" s="82">
        <v>17213.6</v>
      </c>
      <c r="G1112" s="79"/>
      <c r="H1112" s="79"/>
      <c r="I1112" s="79"/>
    </row>
    <row r="1113" s="78" customFormat="1" ht="16.5" customHeight="1" spans="1:9">
      <c r="A1113" s="79"/>
      <c r="B1113" s="79"/>
      <c r="C1113" s="79"/>
      <c r="D1113" s="81">
        <v>44596</v>
      </c>
      <c r="E1113" s="82">
        <v>17516.3</v>
      </c>
      <c r="G1113" s="79"/>
      <c r="H1113" s="79"/>
      <c r="I1113" s="79"/>
    </row>
    <row r="1114" s="78" customFormat="1" ht="16.5" customHeight="1" spans="1:9">
      <c r="A1114" s="79"/>
      <c r="B1114" s="79"/>
      <c r="C1114" s="79"/>
      <c r="D1114" s="81">
        <v>44595</v>
      </c>
      <c r="E1114" s="82">
        <v>17560.2</v>
      </c>
      <c r="G1114" s="79"/>
      <c r="H1114" s="79"/>
      <c r="I1114" s="79"/>
    </row>
    <row r="1115" s="78" customFormat="1" ht="16.5" customHeight="1" spans="1:9">
      <c r="A1115" s="79"/>
      <c r="B1115" s="79"/>
      <c r="C1115" s="79"/>
      <c r="D1115" s="81">
        <v>44594</v>
      </c>
      <c r="E1115" s="82">
        <v>17780</v>
      </c>
      <c r="G1115" s="79"/>
      <c r="H1115" s="79"/>
      <c r="I1115" s="79"/>
    </row>
    <row r="1116" s="78" customFormat="1" ht="16.5" customHeight="1" spans="1:9">
      <c r="A1116" s="79"/>
      <c r="B1116" s="79"/>
      <c r="C1116" s="79"/>
      <c r="D1116" s="81">
        <v>44593</v>
      </c>
      <c r="E1116" s="82">
        <v>17576.85</v>
      </c>
      <c r="G1116" s="79"/>
      <c r="H1116" s="79"/>
      <c r="I1116" s="79"/>
    </row>
    <row r="1117" s="78" customFormat="1" ht="16.5" customHeight="1" spans="1:9">
      <c r="A1117" s="79"/>
      <c r="B1117" s="79"/>
      <c r="C1117" s="79"/>
      <c r="D1117" s="81">
        <v>44592</v>
      </c>
      <c r="E1117" s="82">
        <v>17339.85</v>
      </c>
      <c r="G1117" s="79"/>
      <c r="H1117" s="79"/>
      <c r="I1117" s="79"/>
    </row>
    <row r="1118" s="78" customFormat="1" ht="16.5" customHeight="1" spans="1:9">
      <c r="A1118" s="79"/>
      <c r="B1118" s="79"/>
      <c r="C1118" s="79"/>
      <c r="D1118" s="81">
        <v>44589</v>
      </c>
      <c r="E1118" s="82">
        <v>17101.95</v>
      </c>
      <c r="G1118" s="79"/>
      <c r="H1118" s="79"/>
      <c r="I1118" s="79"/>
    </row>
    <row r="1119" s="78" customFormat="1" ht="16.5" customHeight="1" spans="1:9">
      <c r="A1119" s="79"/>
      <c r="B1119" s="79"/>
      <c r="C1119" s="79"/>
      <c r="D1119" s="81">
        <v>44588</v>
      </c>
      <c r="E1119" s="82">
        <v>17110.15</v>
      </c>
      <c r="G1119" s="79"/>
      <c r="H1119" s="79"/>
      <c r="I1119" s="79"/>
    </row>
    <row r="1120" s="78" customFormat="1" ht="16.5" customHeight="1" spans="1:9">
      <c r="A1120" s="79"/>
      <c r="B1120" s="79"/>
      <c r="C1120" s="79"/>
      <c r="D1120" s="81">
        <v>44586</v>
      </c>
      <c r="E1120" s="82">
        <v>17277.95</v>
      </c>
      <c r="G1120" s="79"/>
      <c r="H1120" s="79"/>
      <c r="I1120" s="79"/>
    </row>
    <row r="1121" s="78" customFormat="1" ht="16.5" customHeight="1" spans="1:9">
      <c r="A1121" s="79"/>
      <c r="B1121" s="79"/>
      <c r="C1121" s="79"/>
      <c r="D1121" s="81">
        <v>44585</v>
      </c>
      <c r="E1121" s="82">
        <v>17149.1</v>
      </c>
      <c r="G1121" s="79"/>
      <c r="H1121" s="79"/>
      <c r="I1121" s="79"/>
    </row>
    <row r="1122" s="78" customFormat="1" ht="16.5" customHeight="1" spans="1:9">
      <c r="A1122" s="79"/>
      <c r="B1122" s="79"/>
      <c r="C1122" s="79"/>
      <c r="D1122" s="81">
        <v>44582</v>
      </c>
      <c r="E1122" s="82">
        <v>17617.15</v>
      </c>
      <c r="G1122" s="79"/>
      <c r="H1122" s="79"/>
      <c r="I1122" s="79"/>
    </row>
    <row r="1123" s="78" customFormat="1" ht="16.5" customHeight="1" spans="1:9">
      <c r="A1123" s="79"/>
      <c r="B1123" s="79"/>
      <c r="C1123" s="79"/>
      <c r="D1123" s="81">
        <v>44581</v>
      </c>
      <c r="E1123" s="82">
        <v>17757</v>
      </c>
      <c r="G1123" s="79"/>
      <c r="H1123" s="79"/>
      <c r="I1123" s="79"/>
    </row>
    <row r="1124" s="78" customFormat="1" ht="16.5" customHeight="1" spans="1:9">
      <c r="A1124" s="79"/>
      <c r="B1124" s="79"/>
      <c r="C1124" s="79"/>
      <c r="D1124" s="81">
        <v>44580</v>
      </c>
      <c r="E1124" s="82">
        <v>17938.4</v>
      </c>
      <c r="G1124" s="79"/>
      <c r="H1124" s="79"/>
      <c r="I1124" s="79"/>
    </row>
    <row r="1125" s="78" customFormat="1" ht="16.5" customHeight="1" spans="1:9">
      <c r="A1125" s="79"/>
      <c r="B1125" s="79"/>
      <c r="C1125" s="79"/>
      <c r="D1125" s="81">
        <v>44579</v>
      </c>
      <c r="E1125" s="82">
        <v>18113.05</v>
      </c>
      <c r="G1125" s="79"/>
      <c r="H1125" s="79"/>
      <c r="I1125" s="79"/>
    </row>
    <row r="1126" s="78" customFormat="1" ht="16.5" customHeight="1" spans="1:9">
      <c r="A1126" s="79"/>
      <c r="B1126" s="79"/>
      <c r="C1126" s="79"/>
      <c r="D1126" s="81">
        <v>44578</v>
      </c>
      <c r="E1126" s="82">
        <v>18308.1</v>
      </c>
      <c r="G1126" s="79"/>
      <c r="H1126" s="79"/>
      <c r="I1126" s="79"/>
    </row>
    <row r="1127" s="78" customFormat="1" ht="16.5" customHeight="1" spans="1:9">
      <c r="A1127" s="79"/>
      <c r="B1127" s="79"/>
      <c r="C1127" s="79"/>
      <c r="D1127" s="81">
        <v>44575</v>
      </c>
      <c r="E1127" s="82">
        <v>18255.75</v>
      </c>
      <c r="G1127" s="79"/>
      <c r="H1127" s="79"/>
      <c r="I1127" s="79"/>
    </row>
    <row r="1128" s="78" customFormat="1" ht="16.5" customHeight="1" spans="1:9">
      <c r="A1128" s="79"/>
      <c r="B1128" s="79"/>
      <c r="C1128" s="79"/>
      <c r="D1128" s="81">
        <v>44574</v>
      </c>
      <c r="E1128" s="82">
        <v>18257.8</v>
      </c>
      <c r="G1128" s="79"/>
      <c r="H1128" s="79"/>
      <c r="I1128" s="79"/>
    </row>
    <row r="1129" s="78" customFormat="1" ht="16.5" customHeight="1" spans="1:9">
      <c r="A1129" s="79"/>
      <c r="B1129" s="79"/>
      <c r="C1129" s="79"/>
      <c r="D1129" s="81">
        <v>44573</v>
      </c>
      <c r="E1129" s="82">
        <v>18212.35</v>
      </c>
      <c r="G1129" s="79"/>
      <c r="H1129" s="79"/>
      <c r="I1129" s="79"/>
    </row>
    <row r="1130" s="78" customFormat="1" ht="16.5" customHeight="1" spans="1:9">
      <c r="A1130" s="79"/>
      <c r="B1130" s="79"/>
      <c r="C1130" s="79"/>
      <c r="D1130" s="81">
        <v>44572</v>
      </c>
      <c r="E1130" s="82">
        <v>18055.75</v>
      </c>
      <c r="G1130" s="79"/>
      <c r="H1130" s="79"/>
      <c r="I1130" s="79"/>
    </row>
    <row r="1131" s="78" customFormat="1" ht="16.5" customHeight="1" spans="1:9">
      <c r="A1131" s="79"/>
      <c r="B1131" s="79"/>
      <c r="C1131" s="79"/>
      <c r="D1131" s="81">
        <v>44571</v>
      </c>
      <c r="E1131" s="82">
        <v>18003.3</v>
      </c>
      <c r="G1131" s="79"/>
      <c r="H1131" s="79"/>
      <c r="I1131" s="79"/>
    </row>
    <row r="1132" s="78" customFormat="1" ht="16.5" customHeight="1" spans="1:9">
      <c r="A1132" s="79"/>
      <c r="B1132" s="79"/>
      <c r="C1132" s="79"/>
      <c r="D1132" s="81">
        <v>44568</v>
      </c>
      <c r="E1132" s="82">
        <v>17812.7</v>
      </c>
      <c r="G1132" s="79"/>
      <c r="H1132" s="79"/>
      <c r="I1132" s="79"/>
    </row>
    <row r="1133" s="78" customFormat="1" ht="16.5" customHeight="1" spans="1:9">
      <c r="A1133" s="79"/>
      <c r="B1133" s="79"/>
      <c r="C1133" s="79"/>
      <c r="D1133" s="81">
        <v>44567</v>
      </c>
      <c r="E1133" s="82">
        <v>17745.9</v>
      </c>
      <c r="G1133" s="79"/>
      <c r="H1133" s="79"/>
      <c r="I1133" s="79"/>
    </row>
    <row r="1134" s="78" customFormat="1" ht="16.5" customHeight="1" spans="1:9">
      <c r="A1134" s="79"/>
      <c r="B1134" s="79"/>
      <c r="C1134" s="79"/>
      <c r="D1134" s="81">
        <v>44566</v>
      </c>
      <c r="E1134" s="82">
        <v>17925.25</v>
      </c>
      <c r="G1134" s="79"/>
      <c r="H1134" s="79"/>
      <c r="I1134" s="79"/>
    </row>
    <row r="1135" s="78" customFormat="1" ht="16.5" customHeight="1" spans="1:9">
      <c r="A1135" s="79"/>
      <c r="B1135" s="79"/>
      <c r="C1135" s="79"/>
      <c r="D1135" s="81">
        <v>44565</v>
      </c>
      <c r="E1135" s="82">
        <v>17805.25</v>
      </c>
      <c r="G1135" s="79"/>
      <c r="H1135" s="79"/>
      <c r="I1135" s="79"/>
    </row>
    <row r="1136" s="78" customFormat="1" ht="16.5" customHeight="1" spans="1:9">
      <c r="A1136" s="79"/>
      <c r="B1136" s="79"/>
      <c r="C1136" s="79"/>
      <c r="D1136" s="81">
        <v>44564</v>
      </c>
      <c r="E1136" s="82">
        <v>17625.7</v>
      </c>
      <c r="G1136" s="79"/>
      <c r="H1136" s="79"/>
      <c r="I1136" s="79"/>
    </row>
    <row r="1137" s="78" customFormat="1" ht="16.5" customHeight="1" spans="1:9">
      <c r="A1137" s="79"/>
      <c r="B1137" s="79"/>
      <c r="C1137" s="79"/>
      <c r="D1137" s="81">
        <v>44561</v>
      </c>
      <c r="E1137" s="82">
        <v>17354.05</v>
      </c>
      <c r="G1137" s="79"/>
      <c r="H1137" s="79"/>
      <c r="I1137" s="79"/>
    </row>
    <row r="1138" s="78" customFormat="1" ht="16.5" customHeight="1" spans="1:9">
      <c r="A1138" s="79"/>
      <c r="B1138" s="79"/>
      <c r="C1138" s="79"/>
      <c r="D1138" s="81">
        <v>44560</v>
      </c>
      <c r="E1138" s="82">
        <v>17203.95</v>
      </c>
      <c r="G1138" s="79"/>
      <c r="H1138" s="79"/>
      <c r="I1138" s="79"/>
    </row>
    <row r="1139" s="78" customFormat="1" ht="16.5" customHeight="1" spans="1:9">
      <c r="A1139" s="79"/>
      <c r="B1139" s="79"/>
      <c r="C1139" s="79"/>
      <c r="D1139" s="81">
        <v>44559</v>
      </c>
      <c r="E1139" s="82">
        <v>17213.6</v>
      </c>
      <c r="G1139" s="79"/>
      <c r="H1139" s="79"/>
      <c r="I1139" s="79"/>
    </row>
    <row r="1140" s="78" customFormat="1" ht="16.5" customHeight="1" spans="1:9">
      <c r="A1140" s="79"/>
      <c r="B1140" s="79"/>
      <c r="C1140" s="79"/>
      <c r="D1140" s="81">
        <v>44558</v>
      </c>
      <c r="E1140" s="82">
        <v>17233.25</v>
      </c>
      <c r="G1140" s="79"/>
      <c r="H1140" s="79"/>
      <c r="I1140" s="79"/>
    </row>
    <row r="1141" s="78" customFormat="1" ht="16.5" customHeight="1" spans="1:9">
      <c r="A1141" s="79"/>
      <c r="B1141" s="79"/>
      <c r="C1141" s="79"/>
      <c r="D1141" s="81">
        <v>44557</v>
      </c>
      <c r="E1141" s="82">
        <v>17086.25</v>
      </c>
      <c r="G1141" s="79"/>
      <c r="H1141" s="79"/>
      <c r="I1141" s="79"/>
    </row>
    <row r="1142" s="78" customFormat="1" ht="16.5" customHeight="1" spans="1:9">
      <c r="A1142" s="79"/>
      <c r="B1142" s="79"/>
      <c r="C1142" s="79"/>
      <c r="D1142" s="81">
        <v>44554</v>
      </c>
      <c r="E1142" s="82">
        <v>17003.75</v>
      </c>
      <c r="G1142" s="79"/>
      <c r="H1142" s="79"/>
      <c r="I1142" s="79"/>
    </row>
    <row r="1143" s="78" customFormat="1" ht="16.5" customHeight="1" spans="1:9">
      <c r="A1143" s="79"/>
      <c r="B1143" s="79"/>
      <c r="C1143" s="79"/>
      <c r="D1143" s="81">
        <v>44553</v>
      </c>
      <c r="E1143" s="82">
        <v>17072.6</v>
      </c>
      <c r="G1143" s="79"/>
      <c r="H1143" s="79"/>
      <c r="I1143" s="79"/>
    </row>
    <row r="1144" s="78" customFormat="1" ht="16.5" customHeight="1" spans="1:9">
      <c r="A1144" s="79"/>
      <c r="B1144" s="79"/>
      <c r="C1144" s="79"/>
      <c r="D1144" s="81">
        <v>44552</v>
      </c>
      <c r="E1144" s="82">
        <v>16955.45</v>
      </c>
      <c r="G1144" s="79"/>
      <c r="H1144" s="79"/>
      <c r="I1144" s="79"/>
    </row>
    <row r="1145" s="78" customFormat="1" ht="16.5" customHeight="1" spans="1:9">
      <c r="A1145" s="79"/>
      <c r="B1145" s="79"/>
      <c r="C1145" s="79"/>
      <c r="D1145" s="81">
        <v>44551</v>
      </c>
      <c r="E1145" s="82">
        <v>16770.85</v>
      </c>
      <c r="G1145" s="79"/>
      <c r="H1145" s="79"/>
      <c r="I1145" s="79"/>
    </row>
    <row r="1146" s="78" customFormat="1" ht="16.5" customHeight="1" spans="1:9">
      <c r="A1146" s="79"/>
      <c r="B1146" s="79"/>
      <c r="C1146" s="79"/>
      <c r="D1146" s="81">
        <v>44550</v>
      </c>
      <c r="E1146" s="82">
        <v>16614.2</v>
      </c>
      <c r="G1146" s="79"/>
      <c r="H1146" s="79"/>
      <c r="I1146" s="79"/>
    </row>
    <row r="1147" s="78" customFormat="1" ht="16.5" customHeight="1" spans="1:9">
      <c r="A1147" s="79"/>
      <c r="B1147" s="79"/>
      <c r="C1147" s="79"/>
      <c r="D1147" s="81">
        <v>44547</v>
      </c>
      <c r="E1147" s="82">
        <v>16985.2</v>
      </c>
      <c r="G1147" s="79"/>
      <c r="H1147" s="79"/>
      <c r="I1147" s="79"/>
    </row>
    <row r="1148" s="78" customFormat="1" ht="16.5" customHeight="1" spans="1:9">
      <c r="A1148" s="79"/>
      <c r="B1148" s="79"/>
      <c r="C1148" s="79"/>
      <c r="D1148" s="81">
        <v>44546</v>
      </c>
      <c r="E1148" s="82">
        <v>17248.4</v>
      </c>
      <c r="G1148" s="79"/>
      <c r="H1148" s="79"/>
      <c r="I1148" s="79"/>
    </row>
    <row r="1149" s="78" customFormat="1" ht="16.5" customHeight="1" spans="1:9">
      <c r="A1149" s="79"/>
      <c r="B1149" s="79"/>
      <c r="C1149" s="79"/>
      <c r="D1149" s="81">
        <v>44545</v>
      </c>
      <c r="E1149" s="82">
        <v>17221.4</v>
      </c>
      <c r="G1149" s="79"/>
      <c r="H1149" s="79"/>
      <c r="I1149" s="79"/>
    </row>
    <row r="1150" s="78" customFormat="1" ht="16.5" customHeight="1" spans="1:9">
      <c r="A1150" s="79"/>
      <c r="B1150" s="79"/>
      <c r="C1150" s="79"/>
      <c r="D1150" s="81">
        <v>44544</v>
      </c>
      <c r="E1150" s="82">
        <v>17324.9</v>
      </c>
      <c r="G1150" s="79"/>
      <c r="H1150" s="79"/>
      <c r="I1150" s="79"/>
    </row>
    <row r="1151" s="78" customFormat="1" ht="16.5" customHeight="1" spans="1:9">
      <c r="A1151" s="79"/>
      <c r="B1151" s="79"/>
      <c r="C1151" s="79"/>
      <c r="D1151" s="81">
        <v>44543</v>
      </c>
      <c r="E1151" s="82">
        <v>17368.25</v>
      </c>
      <c r="G1151" s="79"/>
      <c r="H1151" s="79"/>
      <c r="I1151" s="79"/>
    </row>
    <row r="1152" s="78" customFormat="1" ht="16.5" customHeight="1" spans="1:9">
      <c r="A1152" s="79"/>
      <c r="B1152" s="79"/>
      <c r="C1152" s="79"/>
      <c r="D1152" s="81">
        <v>44540</v>
      </c>
      <c r="E1152" s="82">
        <v>17511.3</v>
      </c>
      <c r="G1152" s="79"/>
      <c r="H1152" s="79"/>
      <c r="I1152" s="79"/>
    </row>
    <row r="1153" s="78" customFormat="1" ht="16.5" customHeight="1" spans="1:9">
      <c r="A1153" s="79"/>
      <c r="B1153" s="79"/>
      <c r="C1153" s="79"/>
      <c r="D1153" s="81">
        <v>44539</v>
      </c>
      <c r="E1153" s="82">
        <v>17516.85</v>
      </c>
      <c r="G1153" s="79"/>
      <c r="H1153" s="79"/>
      <c r="I1153" s="79"/>
    </row>
    <row r="1154" s="78" customFormat="1" ht="16.5" customHeight="1" spans="1:9">
      <c r="A1154" s="79"/>
      <c r="B1154" s="79"/>
      <c r="C1154" s="79"/>
      <c r="D1154" s="81">
        <v>44538</v>
      </c>
      <c r="E1154" s="82">
        <v>17469.75</v>
      </c>
      <c r="G1154" s="79"/>
      <c r="H1154" s="79"/>
      <c r="I1154" s="79"/>
    </row>
    <row r="1155" s="78" customFormat="1" ht="16.5" customHeight="1" spans="1:9">
      <c r="A1155" s="79"/>
      <c r="B1155" s="79"/>
      <c r="C1155" s="79"/>
      <c r="D1155" s="81">
        <v>44537</v>
      </c>
      <c r="E1155" s="82">
        <v>17176.7</v>
      </c>
      <c r="G1155" s="79"/>
      <c r="H1155" s="79"/>
      <c r="I1155" s="79"/>
    </row>
    <row r="1156" s="78" customFormat="1" ht="16.5" customHeight="1" spans="1:9">
      <c r="A1156" s="79"/>
      <c r="B1156" s="79"/>
      <c r="C1156" s="79"/>
      <c r="D1156" s="81">
        <v>44536</v>
      </c>
      <c r="E1156" s="82">
        <v>16912.25</v>
      </c>
      <c r="G1156" s="79"/>
      <c r="H1156" s="79"/>
      <c r="I1156" s="79"/>
    </row>
    <row r="1157" s="78" customFormat="1" ht="16.5" customHeight="1" spans="1:9">
      <c r="A1157" s="79"/>
      <c r="B1157" s="79"/>
      <c r="C1157" s="79"/>
      <c r="D1157" s="81">
        <v>44533</v>
      </c>
      <c r="E1157" s="82">
        <v>17196.7</v>
      </c>
      <c r="G1157" s="79"/>
      <c r="H1157" s="79"/>
      <c r="I1157" s="79"/>
    </row>
    <row r="1158" s="78" customFormat="1" ht="16.5" customHeight="1" spans="1:9">
      <c r="A1158" s="79"/>
      <c r="B1158" s="79"/>
      <c r="C1158" s="79"/>
      <c r="D1158" s="81">
        <v>44532</v>
      </c>
      <c r="E1158" s="82">
        <v>17401.65</v>
      </c>
      <c r="G1158" s="79"/>
      <c r="H1158" s="79"/>
      <c r="I1158" s="79"/>
    </row>
    <row r="1159" s="78" customFormat="1" ht="16.5" customHeight="1" spans="1:9">
      <c r="A1159" s="79"/>
      <c r="B1159" s="79"/>
      <c r="C1159" s="79"/>
      <c r="D1159" s="81">
        <v>44531</v>
      </c>
      <c r="E1159" s="82">
        <v>17166.9</v>
      </c>
      <c r="G1159" s="79"/>
      <c r="H1159" s="79"/>
      <c r="I1159" s="79"/>
    </row>
    <row r="1160" s="78" customFormat="1" ht="16.5" customHeight="1" spans="1:9">
      <c r="A1160" s="79"/>
      <c r="B1160" s="79"/>
      <c r="C1160" s="79"/>
      <c r="D1160" s="81">
        <v>44530</v>
      </c>
      <c r="E1160" s="82">
        <v>16983.2</v>
      </c>
      <c r="G1160" s="79"/>
      <c r="H1160" s="79"/>
      <c r="I1160" s="79"/>
    </row>
    <row r="1161" s="78" customFormat="1" ht="16.5" customHeight="1" spans="1:9">
      <c r="A1161" s="79"/>
      <c r="B1161" s="79"/>
      <c r="C1161" s="79"/>
      <c r="D1161" s="81">
        <v>44529</v>
      </c>
      <c r="E1161" s="82">
        <v>17053.95</v>
      </c>
      <c r="G1161" s="79"/>
      <c r="H1161" s="79"/>
      <c r="I1161" s="79"/>
    </row>
    <row r="1162" s="78" customFormat="1" ht="16.5" customHeight="1" spans="1:9">
      <c r="A1162" s="79"/>
      <c r="B1162" s="79"/>
      <c r="C1162" s="79"/>
      <c r="D1162" s="81">
        <v>44526</v>
      </c>
      <c r="E1162" s="82">
        <v>17026.45</v>
      </c>
      <c r="G1162" s="79"/>
      <c r="H1162" s="79"/>
      <c r="I1162" s="79"/>
    </row>
    <row r="1163" s="78" customFormat="1" ht="16.5" customHeight="1" spans="1:9">
      <c r="A1163" s="79"/>
      <c r="B1163" s="79"/>
      <c r="C1163" s="79"/>
      <c r="D1163" s="81">
        <v>44525</v>
      </c>
      <c r="E1163" s="82">
        <v>17536.25</v>
      </c>
      <c r="G1163" s="79"/>
      <c r="H1163" s="79"/>
      <c r="I1163" s="79"/>
    </row>
    <row r="1164" s="78" customFormat="1" ht="16.5" customHeight="1" spans="1:9">
      <c r="A1164" s="79"/>
      <c r="B1164" s="79"/>
      <c r="C1164" s="79"/>
      <c r="D1164" s="81">
        <v>44524</v>
      </c>
      <c r="E1164" s="82">
        <v>17415.05</v>
      </c>
      <c r="G1164" s="79"/>
      <c r="H1164" s="79"/>
      <c r="I1164" s="79"/>
    </row>
    <row r="1165" s="78" customFormat="1" ht="16.5" customHeight="1" spans="1:9">
      <c r="A1165" s="79"/>
      <c r="B1165" s="79"/>
      <c r="C1165" s="79"/>
      <c r="D1165" s="81">
        <v>44523</v>
      </c>
      <c r="E1165" s="82">
        <v>17503.35</v>
      </c>
      <c r="G1165" s="79"/>
      <c r="H1165" s="79"/>
      <c r="I1165" s="79"/>
    </row>
    <row r="1166" s="78" customFormat="1" ht="16.5" customHeight="1" spans="1:9">
      <c r="A1166" s="79"/>
      <c r="B1166" s="79"/>
      <c r="C1166" s="79"/>
      <c r="D1166" s="81">
        <v>44522</v>
      </c>
      <c r="E1166" s="82">
        <v>17416.55</v>
      </c>
      <c r="G1166" s="79"/>
      <c r="H1166" s="79"/>
      <c r="I1166" s="79"/>
    </row>
    <row r="1167" s="78" customFormat="1" ht="16.5" customHeight="1" spans="1:9">
      <c r="A1167" s="79"/>
      <c r="B1167" s="79"/>
      <c r="C1167" s="79"/>
      <c r="D1167" s="81">
        <v>44518</v>
      </c>
      <c r="E1167" s="82">
        <v>17764.8</v>
      </c>
      <c r="G1167" s="79"/>
      <c r="H1167" s="79"/>
      <c r="I1167" s="79"/>
    </row>
    <row r="1168" s="78" customFormat="1" ht="16.5" customHeight="1" spans="1:9">
      <c r="A1168" s="79"/>
      <c r="B1168" s="79"/>
      <c r="C1168" s="79"/>
      <c r="D1168" s="81">
        <v>44517</v>
      </c>
      <c r="E1168" s="82">
        <v>17898.65</v>
      </c>
      <c r="G1168" s="79"/>
      <c r="H1168" s="79"/>
      <c r="I1168" s="79"/>
    </row>
    <row r="1169" s="78" customFormat="1" ht="16.5" customHeight="1" spans="1:9">
      <c r="A1169" s="79"/>
      <c r="B1169" s="79"/>
      <c r="C1169" s="79"/>
      <c r="D1169" s="81">
        <v>44516</v>
      </c>
      <c r="E1169" s="82">
        <v>17999.2</v>
      </c>
      <c r="G1169" s="79"/>
      <c r="H1169" s="79"/>
      <c r="I1169" s="79"/>
    </row>
    <row r="1170" s="78" customFormat="1" ht="16.5" customHeight="1" spans="1:9">
      <c r="A1170" s="79"/>
      <c r="B1170" s="79"/>
      <c r="C1170" s="79"/>
      <c r="D1170" s="81">
        <v>44515</v>
      </c>
      <c r="E1170" s="82">
        <v>18109.45</v>
      </c>
      <c r="G1170" s="79"/>
      <c r="H1170" s="79"/>
      <c r="I1170" s="79"/>
    </row>
    <row r="1171" s="78" customFormat="1" ht="16.5" customHeight="1" spans="1:9">
      <c r="A1171" s="79"/>
      <c r="B1171" s="79"/>
      <c r="C1171" s="79"/>
      <c r="D1171" s="81">
        <v>44512</v>
      </c>
      <c r="E1171" s="82">
        <v>18102.75</v>
      </c>
      <c r="G1171" s="79"/>
      <c r="H1171" s="79"/>
      <c r="I1171" s="79"/>
    </row>
    <row r="1172" s="78" customFormat="1" ht="16.5" customHeight="1" spans="1:9">
      <c r="A1172" s="79"/>
      <c r="B1172" s="79"/>
      <c r="C1172" s="79"/>
      <c r="D1172" s="81">
        <v>44511</v>
      </c>
      <c r="E1172" s="82">
        <v>17873.6</v>
      </c>
      <c r="G1172" s="79"/>
      <c r="H1172" s="79"/>
      <c r="I1172" s="79"/>
    </row>
    <row r="1173" s="78" customFormat="1" ht="16.5" customHeight="1" spans="1:9">
      <c r="A1173" s="79"/>
      <c r="B1173" s="79"/>
      <c r="C1173" s="79"/>
      <c r="D1173" s="81">
        <v>44510</v>
      </c>
      <c r="E1173" s="82">
        <v>18017.2</v>
      </c>
      <c r="G1173" s="79"/>
      <c r="H1173" s="79"/>
      <c r="I1173" s="79"/>
    </row>
    <row r="1174" s="78" customFormat="1" ht="16.5" customHeight="1" spans="1:9">
      <c r="A1174" s="79"/>
      <c r="B1174" s="79"/>
      <c r="C1174" s="79"/>
      <c r="D1174" s="81">
        <v>44509</v>
      </c>
      <c r="E1174" s="82">
        <v>18044.25</v>
      </c>
      <c r="G1174" s="79"/>
      <c r="H1174" s="79"/>
      <c r="I1174" s="79"/>
    </row>
    <row r="1175" s="78" customFormat="1" ht="16.5" customHeight="1" spans="1:9">
      <c r="A1175" s="79"/>
      <c r="B1175" s="79"/>
      <c r="C1175" s="79"/>
      <c r="D1175" s="81">
        <v>44508</v>
      </c>
      <c r="E1175" s="82">
        <v>18068.55</v>
      </c>
      <c r="G1175" s="79"/>
      <c r="H1175" s="79"/>
      <c r="I1175" s="79"/>
    </row>
    <row r="1176" s="78" customFormat="1" ht="16.5" customHeight="1" spans="1:9">
      <c r="A1176" s="79"/>
      <c r="B1176" s="79"/>
      <c r="C1176" s="79"/>
      <c r="D1176" s="81">
        <v>44504</v>
      </c>
      <c r="E1176" s="82">
        <v>17916.8</v>
      </c>
      <c r="G1176" s="79"/>
      <c r="H1176" s="79"/>
      <c r="I1176" s="79"/>
    </row>
    <row r="1177" s="78" customFormat="1" ht="16.5" customHeight="1" spans="1:9">
      <c r="A1177" s="79"/>
      <c r="B1177" s="79"/>
      <c r="C1177" s="79"/>
      <c r="D1177" s="81">
        <v>44503</v>
      </c>
      <c r="E1177" s="82">
        <v>17829.2</v>
      </c>
      <c r="G1177" s="79"/>
      <c r="H1177" s="79"/>
      <c r="I1177" s="79"/>
    </row>
    <row r="1178" s="78" customFormat="1" ht="16.5" customHeight="1" spans="1:9">
      <c r="A1178" s="79"/>
      <c r="B1178" s="79"/>
      <c r="C1178" s="79"/>
      <c r="D1178" s="81">
        <v>44502</v>
      </c>
      <c r="E1178" s="82">
        <v>17888.95</v>
      </c>
      <c r="G1178" s="79"/>
      <c r="H1178" s="79"/>
      <c r="I1178" s="79"/>
    </row>
    <row r="1179" s="78" customFormat="1" ht="16.5" customHeight="1" spans="1:9">
      <c r="A1179" s="79"/>
      <c r="B1179" s="79"/>
      <c r="C1179" s="79"/>
      <c r="D1179" s="81">
        <v>44501</v>
      </c>
      <c r="E1179" s="82">
        <v>17929.65</v>
      </c>
      <c r="G1179" s="79"/>
      <c r="H1179" s="79"/>
      <c r="I1179" s="79"/>
    </row>
    <row r="1180" s="78" customFormat="1" ht="16.5" customHeight="1" spans="1:9">
      <c r="A1180" s="79"/>
      <c r="B1180" s="79"/>
      <c r="C1180" s="79"/>
      <c r="D1180" s="81">
        <v>44498</v>
      </c>
      <c r="E1180" s="82">
        <v>17671.65</v>
      </c>
      <c r="G1180" s="79"/>
      <c r="H1180" s="79"/>
      <c r="I1180" s="79"/>
    </row>
    <row r="1181" s="78" customFormat="1" ht="16.5" customHeight="1" spans="1:9">
      <c r="A1181" s="79"/>
      <c r="B1181" s="79"/>
      <c r="C1181" s="79"/>
      <c r="D1181" s="81">
        <v>44497</v>
      </c>
      <c r="E1181" s="82">
        <v>17857.25</v>
      </c>
      <c r="G1181" s="79"/>
      <c r="H1181" s="79"/>
      <c r="I1181" s="79"/>
    </row>
    <row r="1182" s="78" customFormat="1" ht="16.5" customHeight="1" spans="1:9">
      <c r="A1182" s="79"/>
      <c r="B1182" s="79"/>
      <c r="C1182" s="79"/>
      <c r="D1182" s="81">
        <v>44496</v>
      </c>
      <c r="E1182" s="82">
        <v>18210.95</v>
      </c>
      <c r="G1182" s="79"/>
      <c r="H1182" s="79"/>
      <c r="I1182" s="79"/>
    </row>
    <row r="1183" s="78" customFormat="1" ht="16.5" customHeight="1" spans="1:9">
      <c r="A1183" s="79"/>
      <c r="B1183" s="79"/>
      <c r="C1183" s="79"/>
      <c r="D1183" s="81">
        <v>44495</v>
      </c>
      <c r="E1183" s="82">
        <v>18268.4</v>
      </c>
      <c r="G1183" s="79"/>
      <c r="H1183" s="79"/>
      <c r="I1183" s="79"/>
    </row>
    <row r="1184" s="78" customFormat="1" ht="16.5" customHeight="1" spans="1:9">
      <c r="A1184" s="79"/>
      <c r="B1184" s="79"/>
      <c r="C1184" s="79"/>
      <c r="D1184" s="81">
        <v>44494</v>
      </c>
      <c r="E1184" s="82">
        <v>18125.4</v>
      </c>
      <c r="G1184" s="79"/>
      <c r="H1184" s="79"/>
      <c r="I1184" s="79"/>
    </row>
    <row r="1185" s="78" customFormat="1" ht="16.5" customHeight="1" spans="1:9">
      <c r="A1185" s="79"/>
      <c r="B1185" s="79"/>
      <c r="C1185" s="79"/>
      <c r="D1185" s="81">
        <v>44491</v>
      </c>
      <c r="E1185" s="82">
        <v>18114.9</v>
      </c>
      <c r="G1185" s="79"/>
      <c r="H1185" s="79"/>
      <c r="I1185" s="79"/>
    </row>
    <row r="1186" s="78" customFormat="1" ht="16.5" customHeight="1" spans="1:9">
      <c r="A1186" s="79"/>
      <c r="B1186" s="79"/>
      <c r="C1186" s="79"/>
      <c r="D1186" s="81">
        <v>44490</v>
      </c>
      <c r="E1186" s="82">
        <v>18178.1</v>
      </c>
      <c r="G1186" s="79"/>
      <c r="H1186" s="79"/>
      <c r="I1186" s="79"/>
    </row>
    <row r="1187" s="78" customFormat="1" ht="16.5" customHeight="1" spans="1:9">
      <c r="A1187" s="79"/>
      <c r="B1187" s="79"/>
      <c r="C1187" s="79"/>
      <c r="D1187" s="81">
        <v>44489</v>
      </c>
      <c r="E1187" s="82">
        <v>18266.6</v>
      </c>
      <c r="G1187" s="79"/>
      <c r="H1187" s="79"/>
      <c r="I1187" s="79"/>
    </row>
    <row r="1188" s="78" customFormat="1" ht="16.5" customHeight="1" spans="1:9">
      <c r="A1188" s="79"/>
      <c r="B1188" s="79"/>
      <c r="C1188" s="79"/>
      <c r="D1188" s="81">
        <v>44488</v>
      </c>
      <c r="E1188" s="82">
        <v>18418.75</v>
      </c>
      <c r="G1188" s="79"/>
      <c r="H1188" s="79"/>
      <c r="I1188" s="79"/>
    </row>
    <row r="1189" s="78" customFormat="1" ht="16.5" customHeight="1" spans="1:9">
      <c r="A1189" s="79"/>
      <c r="B1189" s="79"/>
      <c r="C1189" s="79"/>
      <c r="D1189" s="81">
        <v>44487</v>
      </c>
      <c r="E1189" s="82">
        <v>18477.05</v>
      </c>
      <c r="G1189" s="79"/>
      <c r="H1189" s="79"/>
      <c r="I1189" s="79"/>
    </row>
    <row r="1190" s="78" customFormat="1" ht="16.5" customHeight="1" spans="1:9">
      <c r="A1190" s="79"/>
      <c r="B1190" s="79"/>
      <c r="C1190" s="79"/>
      <c r="D1190" s="81">
        <v>44483</v>
      </c>
      <c r="E1190" s="82">
        <v>18338.55</v>
      </c>
      <c r="G1190" s="79"/>
      <c r="H1190" s="79"/>
      <c r="I1190" s="79"/>
    </row>
    <row r="1191" s="78" customFormat="1" ht="16.5" customHeight="1" spans="1:9">
      <c r="A1191" s="79"/>
      <c r="B1191" s="79"/>
      <c r="C1191" s="79"/>
      <c r="D1191" s="81">
        <v>44482</v>
      </c>
      <c r="E1191" s="82">
        <v>18161.75</v>
      </c>
      <c r="G1191" s="79"/>
      <c r="H1191" s="79"/>
      <c r="I1191" s="79"/>
    </row>
    <row r="1192" s="78" customFormat="1" ht="16.5" customHeight="1" spans="1:9">
      <c r="A1192" s="79"/>
      <c r="B1192" s="79"/>
      <c r="C1192" s="79"/>
      <c r="D1192" s="81">
        <v>44481</v>
      </c>
      <c r="E1192" s="82">
        <v>17991.95</v>
      </c>
      <c r="G1192" s="79"/>
      <c r="H1192" s="79"/>
      <c r="I1192" s="79"/>
    </row>
    <row r="1193" s="78" customFormat="1" ht="16.5" customHeight="1" spans="1:9">
      <c r="A1193" s="79"/>
      <c r="B1193" s="79"/>
      <c r="C1193" s="79"/>
      <c r="D1193" s="81">
        <v>44480</v>
      </c>
      <c r="E1193" s="82">
        <v>17945.95</v>
      </c>
      <c r="G1193" s="79"/>
      <c r="H1193" s="79"/>
      <c r="I1193" s="79"/>
    </row>
    <row r="1194" s="78" customFormat="1" ht="16.5" customHeight="1" spans="1:9">
      <c r="A1194" s="79"/>
      <c r="B1194" s="79"/>
      <c r="C1194" s="79"/>
      <c r="D1194" s="81">
        <v>44477</v>
      </c>
      <c r="E1194" s="82">
        <v>17895.2</v>
      </c>
      <c r="G1194" s="79"/>
      <c r="H1194" s="79"/>
      <c r="I1194" s="79"/>
    </row>
    <row r="1195" s="78" customFormat="1" ht="16.5" customHeight="1" spans="1:9">
      <c r="A1195" s="79"/>
      <c r="B1195" s="79"/>
      <c r="C1195" s="79"/>
      <c r="D1195" s="81">
        <v>44476</v>
      </c>
      <c r="E1195" s="82">
        <v>17790.35</v>
      </c>
      <c r="G1195" s="79"/>
      <c r="H1195" s="79"/>
      <c r="I1195" s="79"/>
    </row>
    <row r="1196" s="78" customFormat="1" ht="16.5" customHeight="1" spans="1:9">
      <c r="A1196" s="79"/>
      <c r="B1196" s="79"/>
      <c r="C1196" s="79"/>
      <c r="D1196" s="81">
        <v>44475</v>
      </c>
      <c r="E1196" s="82">
        <v>17646</v>
      </c>
      <c r="G1196" s="79"/>
      <c r="H1196" s="79"/>
      <c r="I1196" s="79"/>
    </row>
    <row r="1197" s="78" customFormat="1" ht="16.5" customHeight="1" spans="1:9">
      <c r="A1197" s="79"/>
      <c r="B1197" s="79"/>
      <c r="C1197" s="79"/>
      <c r="D1197" s="81">
        <v>44474</v>
      </c>
      <c r="E1197" s="82">
        <v>17822.3</v>
      </c>
      <c r="G1197" s="79"/>
      <c r="H1197" s="79"/>
      <c r="I1197" s="79"/>
    </row>
    <row r="1198" s="78" customFormat="1" ht="16.5" customHeight="1" spans="1:9">
      <c r="A1198" s="79"/>
      <c r="B1198" s="79"/>
      <c r="C1198" s="79"/>
      <c r="D1198" s="81">
        <v>44473</v>
      </c>
      <c r="E1198" s="82">
        <v>17691.25</v>
      </c>
      <c r="G1198" s="79"/>
      <c r="H1198" s="79"/>
      <c r="I1198" s="79"/>
    </row>
    <row r="1199" s="78" customFormat="1" ht="16.5" customHeight="1" spans="1:9">
      <c r="A1199" s="79"/>
      <c r="B1199" s="79"/>
      <c r="C1199" s="79"/>
      <c r="D1199" s="81">
        <v>44470</v>
      </c>
      <c r="E1199" s="82">
        <v>17532.05</v>
      </c>
      <c r="G1199" s="79"/>
      <c r="H1199" s="79"/>
      <c r="I1199" s="79"/>
    </row>
    <row r="1200" s="78" customFormat="1" ht="16.5" customHeight="1" spans="1:9">
      <c r="A1200" s="79"/>
      <c r="B1200" s="79"/>
      <c r="C1200" s="79"/>
      <c r="D1200" s="81">
        <v>44469</v>
      </c>
      <c r="E1200" s="82">
        <v>17618.15</v>
      </c>
      <c r="G1200" s="79"/>
      <c r="H1200" s="79"/>
      <c r="I1200" s="79"/>
    </row>
    <row r="1201" s="78" customFormat="1" ht="16.5" customHeight="1" spans="1:9">
      <c r="A1201" s="79"/>
      <c r="B1201" s="79"/>
      <c r="C1201" s="79"/>
      <c r="D1201" s="81">
        <v>44468</v>
      </c>
      <c r="E1201" s="82">
        <v>17711.3</v>
      </c>
      <c r="G1201" s="79"/>
      <c r="H1201" s="79"/>
      <c r="I1201" s="79"/>
    </row>
    <row r="1202" s="78" customFormat="1" ht="16.5" customHeight="1" spans="1:9">
      <c r="A1202" s="79"/>
      <c r="B1202" s="79"/>
      <c r="C1202" s="79"/>
      <c r="D1202" s="81">
        <v>44467</v>
      </c>
      <c r="E1202" s="82">
        <v>17748.6</v>
      </c>
      <c r="G1202" s="79"/>
      <c r="H1202" s="79"/>
      <c r="I1202" s="79"/>
    </row>
    <row r="1203" s="78" customFormat="1" ht="16.5" customHeight="1" spans="1:9">
      <c r="A1203" s="79"/>
      <c r="B1203" s="79"/>
      <c r="C1203" s="79"/>
      <c r="D1203" s="81">
        <v>44466</v>
      </c>
      <c r="E1203" s="82">
        <v>17855.1</v>
      </c>
      <c r="G1203" s="79"/>
      <c r="H1203" s="79"/>
      <c r="I1203" s="79"/>
    </row>
    <row r="1204" s="78" customFormat="1" ht="16.5" customHeight="1" spans="1:9">
      <c r="A1204" s="79"/>
      <c r="B1204" s="79"/>
      <c r="C1204" s="79"/>
      <c r="D1204" s="81">
        <v>44463</v>
      </c>
      <c r="E1204" s="82">
        <v>17853.2</v>
      </c>
      <c r="G1204" s="79"/>
      <c r="H1204" s="79"/>
      <c r="I1204" s="79"/>
    </row>
    <row r="1205" s="78" customFormat="1" ht="16.5" customHeight="1" spans="1:9">
      <c r="A1205" s="79"/>
      <c r="B1205" s="79"/>
      <c r="C1205" s="79"/>
      <c r="D1205" s="81">
        <v>44462</v>
      </c>
      <c r="E1205" s="82">
        <v>17822.95</v>
      </c>
      <c r="G1205" s="79"/>
      <c r="H1205" s="79"/>
      <c r="I1205" s="79"/>
    </row>
    <row r="1206" s="78" customFormat="1" ht="16.5" customHeight="1" spans="1:9">
      <c r="A1206" s="79"/>
      <c r="B1206" s="79"/>
      <c r="C1206" s="79"/>
      <c r="D1206" s="81">
        <v>44461</v>
      </c>
      <c r="E1206" s="82">
        <v>17546.65</v>
      </c>
      <c r="G1206" s="79"/>
      <c r="H1206" s="79"/>
      <c r="I1206" s="79"/>
    </row>
    <row r="1207" s="78" customFormat="1" ht="16.5" customHeight="1" spans="1:9">
      <c r="A1207" s="79"/>
      <c r="B1207" s="79"/>
      <c r="C1207" s="79"/>
      <c r="D1207" s="81">
        <v>44460</v>
      </c>
      <c r="E1207" s="82">
        <v>17562</v>
      </c>
      <c r="G1207" s="79"/>
      <c r="H1207" s="79"/>
      <c r="I1207" s="79"/>
    </row>
    <row r="1208" s="78" customFormat="1" ht="16.5" customHeight="1" spans="1:9">
      <c r="A1208" s="79"/>
      <c r="B1208" s="79"/>
      <c r="C1208" s="79"/>
      <c r="D1208" s="81">
        <v>44459</v>
      </c>
      <c r="E1208" s="82">
        <v>17396.9</v>
      </c>
      <c r="G1208" s="79"/>
      <c r="H1208" s="79"/>
      <c r="I1208" s="79"/>
    </row>
    <row r="1209" s="78" customFormat="1" ht="16.5" customHeight="1" spans="1:9">
      <c r="A1209" s="79"/>
      <c r="B1209" s="79"/>
      <c r="C1209" s="79"/>
      <c r="D1209" s="81">
        <v>44456</v>
      </c>
      <c r="E1209" s="82">
        <v>17585.15</v>
      </c>
      <c r="G1209" s="79"/>
      <c r="H1209" s="79"/>
      <c r="I1209" s="79"/>
    </row>
    <row r="1210" s="78" customFormat="1" ht="16.5" customHeight="1" spans="1:9">
      <c r="A1210" s="79"/>
      <c r="B1210" s="79"/>
      <c r="C1210" s="79"/>
      <c r="D1210" s="81">
        <v>44455</v>
      </c>
      <c r="E1210" s="82">
        <v>17629.5</v>
      </c>
      <c r="G1210" s="79"/>
      <c r="H1210" s="79"/>
      <c r="I1210" s="79"/>
    </row>
    <row r="1211" s="78" customFormat="1" ht="16.5" customHeight="1" spans="1:9">
      <c r="A1211" s="79"/>
      <c r="B1211" s="79"/>
      <c r="C1211" s="79"/>
      <c r="D1211" s="81">
        <v>44454</v>
      </c>
      <c r="E1211" s="82">
        <v>17519.45</v>
      </c>
      <c r="G1211" s="79"/>
      <c r="H1211" s="79"/>
      <c r="I1211" s="79"/>
    </row>
    <row r="1212" s="78" customFormat="1" ht="16.5" customHeight="1" spans="1:9">
      <c r="A1212" s="79"/>
      <c r="B1212" s="79"/>
      <c r="C1212" s="79"/>
      <c r="D1212" s="81">
        <v>44453</v>
      </c>
      <c r="E1212" s="82">
        <v>17380</v>
      </c>
      <c r="G1212" s="79"/>
      <c r="H1212" s="79"/>
      <c r="I1212" s="79"/>
    </row>
    <row r="1213" s="78" customFormat="1" ht="16.5" customHeight="1" spans="1:9">
      <c r="A1213" s="79"/>
      <c r="B1213" s="79"/>
      <c r="C1213" s="79"/>
      <c r="D1213" s="81">
        <v>44452</v>
      </c>
      <c r="E1213" s="82">
        <v>17355.3</v>
      </c>
      <c r="G1213" s="79"/>
      <c r="H1213" s="79"/>
      <c r="I1213" s="79"/>
    </row>
    <row r="1214" s="78" customFormat="1" ht="16.5" customHeight="1" spans="1:9">
      <c r="A1214" s="79"/>
      <c r="B1214" s="79"/>
      <c r="C1214" s="79"/>
      <c r="D1214" s="81">
        <v>44448</v>
      </c>
      <c r="E1214" s="82">
        <v>17369.25</v>
      </c>
      <c r="G1214" s="79"/>
      <c r="H1214" s="79"/>
      <c r="I1214" s="79"/>
    </row>
    <row r="1215" s="78" customFormat="1" ht="16.5" customHeight="1" spans="1:9">
      <c r="A1215" s="79"/>
      <c r="B1215" s="79"/>
      <c r="C1215" s="79"/>
      <c r="D1215" s="81">
        <v>44447</v>
      </c>
      <c r="E1215" s="82">
        <v>17353.5</v>
      </c>
      <c r="G1215" s="79"/>
      <c r="H1215" s="79"/>
      <c r="I1215" s="79"/>
    </row>
    <row r="1216" s="78" customFormat="1" ht="16.5" customHeight="1" spans="1:9">
      <c r="A1216" s="79"/>
      <c r="B1216" s="79"/>
      <c r="C1216" s="79"/>
      <c r="D1216" s="81">
        <v>44446</v>
      </c>
      <c r="E1216" s="82">
        <v>17362.1</v>
      </c>
      <c r="G1216" s="79"/>
      <c r="H1216" s="79"/>
      <c r="I1216" s="79"/>
    </row>
    <row r="1217" s="78" customFormat="1" ht="16.5" customHeight="1" spans="1:9">
      <c r="A1217" s="79"/>
      <c r="B1217" s="79"/>
      <c r="C1217" s="79"/>
      <c r="D1217" s="81">
        <v>44445</v>
      </c>
      <c r="E1217" s="82">
        <v>17377.8</v>
      </c>
      <c r="G1217" s="79"/>
      <c r="H1217" s="79"/>
      <c r="I1217" s="79"/>
    </row>
    <row r="1218" s="78" customFormat="1" ht="16.5" customHeight="1" spans="1:9">
      <c r="A1218" s="79"/>
      <c r="B1218" s="79"/>
      <c r="C1218" s="79"/>
      <c r="D1218" s="81">
        <v>44442</v>
      </c>
      <c r="E1218" s="82">
        <v>17323.6</v>
      </c>
      <c r="G1218" s="79"/>
      <c r="H1218" s="79"/>
      <c r="I1218" s="79"/>
    </row>
    <row r="1219" s="78" customFormat="1" ht="16.5" customHeight="1" spans="1:9">
      <c r="A1219" s="79"/>
      <c r="B1219" s="79"/>
      <c r="C1219" s="79"/>
      <c r="D1219" s="81">
        <v>44441</v>
      </c>
      <c r="E1219" s="82">
        <v>17234.15</v>
      </c>
      <c r="G1219" s="79"/>
      <c r="H1219" s="79"/>
      <c r="I1219" s="79"/>
    </row>
    <row r="1220" s="78" customFormat="1" ht="16.5" customHeight="1" spans="1:9">
      <c r="A1220" s="79"/>
      <c r="B1220" s="79"/>
      <c r="C1220" s="79"/>
      <c r="D1220" s="81">
        <v>44440</v>
      </c>
      <c r="E1220" s="82">
        <v>17076.25</v>
      </c>
      <c r="G1220" s="79"/>
      <c r="H1220" s="79"/>
      <c r="I1220" s="79"/>
    </row>
    <row r="1221" s="78" customFormat="1" ht="16.5" customHeight="1" spans="1:9">
      <c r="A1221" s="79"/>
      <c r="B1221" s="79"/>
      <c r="C1221" s="79"/>
      <c r="D1221" s="81">
        <v>44439</v>
      </c>
      <c r="E1221" s="82">
        <v>17132.2</v>
      </c>
      <c r="G1221" s="79"/>
      <c r="H1221" s="79"/>
      <c r="I1221" s="79"/>
    </row>
    <row r="1222" s="78" customFormat="1" ht="16.5" customHeight="1" spans="1:9">
      <c r="A1222" s="79"/>
      <c r="B1222" s="79"/>
      <c r="C1222" s="79"/>
      <c r="D1222" s="81">
        <v>44438</v>
      </c>
      <c r="E1222" s="82">
        <v>16931.05</v>
      </c>
      <c r="G1222" s="79"/>
      <c r="H1222" s="79"/>
      <c r="I1222" s="79"/>
    </row>
    <row r="1223" s="78" customFormat="1" ht="16.5" customHeight="1" spans="1:9">
      <c r="A1223" s="79"/>
      <c r="B1223" s="79"/>
      <c r="C1223" s="79"/>
      <c r="D1223" s="81">
        <v>44435</v>
      </c>
      <c r="E1223" s="82">
        <v>16705.2</v>
      </c>
      <c r="G1223" s="79"/>
      <c r="H1223" s="79"/>
      <c r="I1223" s="79"/>
    </row>
    <row r="1224" s="78" customFormat="1" ht="16.5" customHeight="1" spans="1:9">
      <c r="A1224" s="79"/>
      <c r="B1224" s="79"/>
      <c r="C1224" s="79"/>
      <c r="D1224" s="81">
        <v>44434</v>
      </c>
      <c r="E1224" s="82">
        <v>16636.9</v>
      </c>
      <c r="G1224" s="79"/>
      <c r="H1224" s="79"/>
      <c r="I1224" s="79"/>
    </row>
    <row r="1225" s="78" customFormat="1" ht="16.5" customHeight="1" spans="1:9">
      <c r="A1225" s="79"/>
      <c r="B1225" s="79"/>
      <c r="C1225" s="79"/>
      <c r="D1225" s="81">
        <v>44433</v>
      </c>
      <c r="E1225" s="82">
        <v>16634.65</v>
      </c>
      <c r="G1225" s="79"/>
      <c r="H1225" s="79"/>
      <c r="I1225" s="79"/>
    </row>
    <row r="1226" s="78" customFormat="1" ht="16.5" customHeight="1" spans="1:9">
      <c r="A1226" s="79"/>
      <c r="B1226" s="79"/>
      <c r="C1226" s="79"/>
      <c r="D1226" s="81">
        <v>44432</v>
      </c>
      <c r="E1226" s="82">
        <v>16624.6</v>
      </c>
      <c r="G1226" s="79"/>
      <c r="H1226" s="79"/>
      <c r="I1226" s="79"/>
    </row>
    <row r="1227" s="78" customFormat="1" ht="16.5" customHeight="1" spans="1:9">
      <c r="A1227" s="79"/>
      <c r="B1227" s="79"/>
      <c r="C1227" s="79"/>
      <c r="D1227" s="81">
        <v>44431</v>
      </c>
      <c r="E1227" s="82">
        <v>16496.45</v>
      </c>
      <c r="G1227" s="79"/>
      <c r="H1227" s="79"/>
      <c r="I1227" s="79"/>
    </row>
    <row r="1228" s="78" customFormat="1" ht="16.5" customHeight="1" spans="1:9">
      <c r="A1228" s="79"/>
      <c r="B1228" s="79"/>
      <c r="C1228" s="79"/>
      <c r="D1228" s="81">
        <v>44428</v>
      </c>
      <c r="E1228" s="82">
        <v>16450.5</v>
      </c>
      <c r="G1228" s="79"/>
      <c r="H1228" s="79"/>
      <c r="I1228" s="79"/>
    </row>
    <row r="1229" s="78" customFormat="1" ht="16.5" customHeight="1" spans="1:9">
      <c r="A1229" s="79"/>
      <c r="B1229" s="79"/>
      <c r="C1229" s="79"/>
      <c r="D1229" s="81">
        <v>44426</v>
      </c>
      <c r="E1229" s="82">
        <v>16568.85</v>
      </c>
      <c r="G1229" s="79"/>
      <c r="H1229" s="79"/>
      <c r="I1229" s="79"/>
    </row>
    <row r="1230" s="78" customFormat="1" ht="16.5" customHeight="1" spans="1:9">
      <c r="A1230" s="79"/>
      <c r="B1230" s="79"/>
      <c r="C1230" s="79"/>
      <c r="D1230" s="81">
        <v>44425</v>
      </c>
      <c r="E1230" s="82">
        <v>16614.6</v>
      </c>
      <c r="G1230" s="79"/>
      <c r="H1230" s="79"/>
      <c r="I1230" s="79"/>
    </row>
    <row r="1231" s="78" customFormat="1" ht="16.5" customHeight="1" spans="1:9">
      <c r="A1231" s="79"/>
      <c r="B1231" s="79"/>
      <c r="C1231" s="79"/>
      <c r="D1231" s="81">
        <v>44424</v>
      </c>
      <c r="E1231" s="82">
        <v>16563.05</v>
      </c>
      <c r="G1231" s="79"/>
      <c r="H1231" s="79"/>
      <c r="I1231" s="79"/>
    </row>
    <row r="1232" s="78" customFormat="1" ht="16.5" customHeight="1" spans="1:9">
      <c r="A1232" s="79"/>
      <c r="B1232" s="79"/>
      <c r="C1232" s="79"/>
      <c r="D1232" s="81">
        <v>44421</v>
      </c>
      <c r="E1232" s="82">
        <v>16529.1</v>
      </c>
      <c r="G1232" s="79"/>
      <c r="H1232" s="79"/>
      <c r="I1232" s="79"/>
    </row>
    <row r="1233" s="78" customFormat="1" ht="16.5" customHeight="1" spans="1:9">
      <c r="A1233" s="79"/>
      <c r="B1233" s="79"/>
      <c r="C1233" s="79"/>
      <c r="D1233" s="81">
        <v>44420</v>
      </c>
      <c r="E1233" s="82">
        <v>16364.4</v>
      </c>
      <c r="G1233" s="79"/>
      <c r="H1233" s="79"/>
      <c r="I1233" s="79"/>
    </row>
    <row r="1234" s="78" customFormat="1" ht="16.5" customHeight="1" spans="1:9">
      <c r="A1234" s="79"/>
      <c r="B1234" s="79"/>
      <c r="C1234" s="79"/>
      <c r="D1234" s="81">
        <v>44419</v>
      </c>
      <c r="E1234" s="82">
        <v>16282.25</v>
      </c>
      <c r="G1234" s="79"/>
      <c r="H1234" s="79"/>
      <c r="I1234" s="79"/>
    </row>
    <row r="1235" s="78" customFormat="1" ht="16.5" customHeight="1" spans="1:9">
      <c r="A1235" s="79"/>
      <c r="B1235" s="79"/>
      <c r="C1235" s="79"/>
      <c r="D1235" s="81">
        <v>44418</v>
      </c>
      <c r="E1235" s="82">
        <v>16280.1</v>
      </c>
      <c r="G1235" s="79"/>
      <c r="H1235" s="79"/>
      <c r="I1235" s="79"/>
    </row>
    <row r="1236" s="78" customFormat="1" ht="16.5" customHeight="1" spans="1:9">
      <c r="A1236" s="79"/>
      <c r="B1236" s="79"/>
      <c r="C1236" s="79"/>
      <c r="D1236" s="81">
        <v>44417</v>
      </c>
      <c r="E1236" s="82">
        <v>16258.25</v>
      </c>
      <c r="G1236" s="79"/>
      <c r="H1236" s="79"/>
      <c r="I1236" s="79"/>
    </row>
    <row r="1237" s="78" customFormat="1" ht="16.5" customHeight="1" spans="1:9">
      <c r="A1237" s="79"/>
      <c r="B1237" s="79"/>
      <c r="C1237" s="79"/>
      <c r="D1237" s="81">
        <v>44414</v>
      </c>
      <c r="E1237" s="82">
        <v>16238.2</v>
      </c>
      <c r="G1237" s="79"/>
      <c r="H1237" s="79"/>
      <c r="I1237" s="79"/>
    </row>
    <row r="1238" s="78" customFormat="1" ht="16.5" customHeight="1" spans="1:9">
      <c r="A1238" s="79"/>
      <c r="B1238" s="79"/>
      <c r="C1238" s="79"/>
      <c r="D1238" s="81">
        <v>44413</v>
      </c>
      <c r="E1238" s="82">
        <v>16294.6</v>
      </c>
      <c r="G1238" s="79"/>
      <c r="H1238" s="79"/>
      <c r="I1238" s="79"/>
    </row>
    <row r="1239" s="78" customFormat="1" ht="16.5" customHeight="1" spans="1:9">
      <c r="A1239" s="79"/>
      <c r="B1239" s="79"/>
      <c r="C1239" s="79"/>
      <c r="D1239" s="81">
        <v>44412</v>
      </c>
      <c r="E1239" s="82">
        <v>16258.8</v>
      </c>
      <c r="G1239" s="79"/>
      <c r="H1239" s="79"/>
      <c r="I1239" s="79"/>
    </row>
    <row r="1240" s="78" customFormat="1" ht="16.5" customHeight="1" spans="1:9">
      <c r="A1240" s="79"/>
      <c r="B1240" s="79"/>
      <c r="C1240" s="79"/>
      <c r="D1240" s="81">
        <v>44411</v>
      </c>
      <c r="E1240" s="82">
        <v>16130.75</v>
      </c>
      <c r="G1240" s="79"/>
      <c r="H1240" s="79"/>
      <c r="I1240" s="79"/>
    </row>
    <row r="1241" s="78" customFormat="1" ht="16.5" customHeight="1" spans="1:9">
      <c r="A1241" s="79"/>
      <c r="B1241" s="79"/>
      <c r="C1241" s="79"/>
      <c r="D1241" s="81">
        <v>44410</v>
      </c>
      <c r="E1241" s="82">
        <v>15885.15</v>
      </c>
      <c r="G1241" s="79"/>
      <c r="H1241" s="79"/>
      <c r="I1241" s="79"/>
    </row>
    <row r="1242" s="78" customFormat="1" ht="16.5" customHeight="1" spans="1:9">
      <c r="A1242" s="79"/>
      <c r="B1242" s="79"/>
      <c r="C1242" s="79"/>
      <c r="D1242" s="81">
        <v>44407</v>
      </c>
      <c r="E1242" s="82">
        <v>15763.05</v>
      </c>
      <c r="G1242" s="79"/>
      <c r="H1242" s="79"/>
      <c r="I1242" s="79"/>
    </row>
    <row r="1243" s="78" customFormat="1" ht="16.5" customHeight="1" spans="1:9">
      <c r="A1243" s="79"/>
      <c r="B1243" s="79"/>
      <c r="C1243" s="79"/>
      <c r="D1243" s="81">
        <v>44406</v>
      </c>
      <c r="E1243" s="82">
        <v>15778.45</v>
      </c>
      <c r="G1243" s="79"/>
      <c r="H1243" s="79"/>
      <c r="I1243" s="79"/>
    </row>
    <row r="1244" s="78" customFormat="1" ht="16.5" customHeight="1" spans="1:9">
      <c r="A1244" s="79"/>
      <c r="B1244" s="79"/>
      <c r="C1244" s="79"/>
      <c r="D1244" s="81">
        <v>44405</v>
      </c>
      <c r="E1244" s="82">
        <v>15709.4</v>
      </c>
      <c r="G1244" s="79"/>
      <c r="H1244" s="79"/>
      <c r="I1244" s="79"/>
    </row>
    <row r="1245" s="78" customFormat="1" ht="16.5" customHeight="1" spans="1:9">
      <c r="A1245" s="79"/>
      <c r="B1245" s="79"/>
      <c r="C1245" s="79"/>
      <c r="D1245" s="81">
        <v>44404</v>
      </c>
      <c r="E1245" s="82">
        <v>15746.45</v>
      </c>
      <c r="G1245" s="79"/>
      <c r="H1245" s="79"/>
      <c r="I1245" s="79"/>
    </row>
    <row r="1246" s="78" customFormat="1" ht="16.5" customHeight="1" spans="1:9">
      <c r="A1246" s="79"/>
      <c r="B1246" s="79"/>
      <c r="C1246" s="79"/>
      <c r="D1246" s="81">
        <v>44403</v>
      </c>
      <c r="E1246" s="82">
        <v>15824.45</v>
      </c>
      <c r="G1246" s="79"/>
      <c r="H1246" s="79"/>
      <c r="I1246" s="79"/>
    </row>
    <row r="1247" s="78" customFormat="1" ht="16.5" customHeight="1" spans="1:9">
      <c r="A1247" s="79"/>
      <c r="B1247" s="79"/>
      <c r="C1247" s="79"/>
      <c r="D1247" s="81">
        <v>44400</v>
      </c>
      <c r="E1247" s="82">
        <v>15856.05</v>
      </c>
      <c r="G1247" s="79"/>
      <c r="H1247" s="79"/>
      <c r="I1247" s="79"/>
    </row>
    <row r="1248" s="78" customFormat="1" ht="16.5" customHeight="1" spans="1:9">
      <c r="A1248" s="79"/>
      <c r="B1248" s="79"/>
      <c r="C1248" s="79"/>
      <c r="D1248" s="81">
        <v>44399</v>
      </c>
      <c r="E1248" s="82">
        <v>15824.05</v>
      </c>
      <c r="G1248" s="79"/>
      <c r="H1248" s="79"/>
      <c r="I1248" s="79"/>
    </row>
    <row r="1249" s="78" customFormat="1" ht="16.5" customHeight="1" spans="1:9">
      <c r="A1249" s="79"/>
      <c r="B1249" s="79"/>
      <c r="C1249" s="79"/>
      <c r="D1249" s="81">
        <v>44397</v>
      </c>
      <c r="E1249" s="82">
        <v>15632.1</v>
      </c>
      <c r="G1249" s="79"/>
      <c r="H1249" s="79"/>
      <c r="I1249" s="79"/>
    </row>
    <row r="1250" s="78" customFormat="1" ht="16.5" customHeight="1" spans="1:9">
      <c r="A1250" s="79"/>
      <c r="B1250" s="79"/>
      <c r="C1250" s="79"/>
      <c r="D1250" s="81">
        <v>44396</v>
      </c>
      <c r="E1250" s="82">
        <v>15752.4</v>
      </c>
      <c r="G1250" s="79"/>
      <c r="H1250" s="79"/>
      <c r="I1250" s="79"/>
    </row>
    <row r="1251" s="78" customFormat="1" ht="16.5" customHeight="1" spans="1:9">
      <c r="A1251" s="79"/>
      <c r="B1251" s="79"/>
      <c r="C1251" s="79"/>
      <c r="D1251" s="81">
        <v>44393</v>
      </c>
      <c r="E1251" s="82">
        <v>15923.4</v>
      </c>
      <c r="G1251" s="79"/>
      <c r="H1251" s="79"/>
      <c r="I1251" s="79"/>
    </row>
    <row r="1252" s="78" customFormat="1" ht="16.5" customHeight="1" spans="1:9">
      <c r="A1252" s="79"/>
      <c r="B1252" s="79"/>
      <c r="C1252" s="79"/>
      <c r="D1252" s="81">
        <v>44392</v>
      </c>
      <c r="E1252" s="82">
        <v>15924.2</v>
      </c>
      <c r="G1252" s="79"/>
      <c r="H1252" s="79"/>
      <c r="I1252" s="79"/>
    </row>
    <row r="1253" s="78" customFormat="1" ht="16.5" customHeight="1" spans="1:9">
      <c r="A1253" s="79"/>
      <c r="B1253" s="79"/>
      <c r="C1253" s="79"/>
      <c r="D1253" s="81">
        <v>44391</v>
      </c>
      <c r="E1253" s="82">
        <v>15853.95</v>
      </c>
      <c r="G1253" s="79"/>
      <c r="H1253" s="79"/>
      <c r="I1253" s="79"/>
    </row>
    <row r="1254" s="78" customFormat="1" ht="16.5" customHeight="1" spans="1:9">
      <c r="A1254" s="79"/>
      <c r="B1254" s="79"/>
      <c r="C1254" s="79"/>
      <c r="D1254" s="81">
        <v>44390</v>
      </c>
      <c r="E1254" s="82">
        <v>15812.35</v>
      </c>
      <c r="G1254" s="79"/>
      <c r="H1254" s="79"/>
      <c r="I1254" s="79"/>
    </row>
    <row r="1255" s="78" customFormat="1" ht="16.5" customHeight="1" spans="1:9">
      <c r="A1255" s="79"/>
      <c r="B1255" s="79"/>
      <c r="C1255" s="79"/>
      <c r="D1255" s="81">
        <v>44389</v>
      </c>
      <c r="E1255" s="82">
        <v>15692.6</v>
      </c>
      <c r="G1255" s="79"/>
      <c r="H1255" s="79"/>
      <c r="I1255" s="79"/>
    </row>
    <row r="1256" s="78" customFormat="1" ht="16.5" customHeight="1" spans="1:9">
      <c r="A1256" s="79"/>
      <c r="B1256" s="79"/>
      <c r="C1256" s="79"/>
      <c r="D1256" s="81">
        <v>44386</v>
      </c>
      <c r="E1256" s="82">
        <v>15689.8</v>
      </c>
      <c r="G1256" s="79"/>
      <c r="H1256" s="79"/>
      <c r="I1256" s="79"/>
    </row>
    <row r="1257" s="78" customFormat="1" ht="16.5" customHeight="1" spans="1:9">
      <c r="A1257" s="79"/>
      <c r="B1257" s="79"/>
      <c r="C1257" s="79"/>
      <c r="D1257" s="81">
        <v>44385</v>
      </c>
      <c r="E1257" s="82">
        <v>15727.9</v>
      </c>
      <c r="G1257" s="79"/>
      <c r="H1257" s="79"/>
      <c r="I1257" s="79"/>
    </row>
    <row r="1258" s="78" customFormat="1" ht="16.5" customHeight="1" spans="1:9">
      <c r="A1258" s="79"/>
      <c r="B1258" s="79"/>
      <c r="C1258" s="79"/>
      <c r="D1258" s="81">
        <v>44384</v>
      </c>
      <c r="E1258" s="82">
        <v>15879.65</v>
      </c>
      <c r="G1258" s="79"/>
      <c r="H1258" s="79"/>
      <c r="I1258" s="79"/>
    </row>
    <row r="1259" s="78" customFormat="1" ht="16.5" customHeight="1" spans="1:9">
      <c r="A1259" s="79"/>
      <c r="B1259" s="79"/>
      <c r="C1259" s="79"/>
      <c r="D1259" s="81">
        <v>44383</v>
      </c>
      <c r="E1259" s="82">
        <v>15818.25</v>
      </c>
      <c r="G1259" s="79"/>
      <c r="H1259" s="79"/>
      <c r="I1259" s="79"/>
    </row>
    <row r="1260" s="78" customFormat="1" ht="16.5" customHeight="1" spans="1:9">
      <c r="A1260" s="79"/>
      <c r="B1260" s="79"/>
      <c r="C1260" s="79"/>
      <c r="D1260" s="81">
        <v>44382</v>
      </c>
      <c r="E1260" s="82">
        <v>15834.35</v>
      </c>
      <c r="G1260" s="79"/>
      <c r="H1260" s="79"/>
      <c r="I1260" s="79"/>
    </row>
    <row r="1261" s="78" customFormat="1" ht="16.5" customHeight="1" spans="1:9">
      <c r="A1261" s="79"/>
      <c r="B1261" s="79"/>
      <c r="C1261" s="79"/>
      <c r="D1261" s="81">
        <v>44379</v>
      </c>
      <c r="E1261" s="82">
        <v>15722.2</v>
      </c>
      <c r="G1261" s="79"/>
      <c r="H1261" s="79"/>
      <c r="I1261" s="79"/>
    </row>
    <row r="1262" s="78" customFormat="1" ht="16.5" customHeight="1" spans="1:9">
      <c r="A1262" s="79"/>
      <c r="B1262" s="79"/>
      <c r="C1262" s="79"/>
      <c r="D1262" s="81">
        <v>44378</v>
      </c>
      <c r="E1262" s="82">
        <v>15680</v>
      </c>
      <c r="G1262" s="79"/>
      <c r="H1262" s="79"/>
      <c r="I1262" s="79"/>
    </row>
    <row r="1263" s="78" customFormat="1" ht="16.5" customHeight="1" spans="1:9">
      <c r="A1263" s="79"/>
      <c r="B1263" s="79"/>
      <c r="C1263" s="79"/>
      <c r="D1263" s="81">
        <v>44377</v>
      </c>
      <c r="E1263" s="82">
        <v>15721.5</v>
      </c>
      <c r="G1263" s="79"/>
      <c r="H1263" s="79"/>
      <c r="I1263" s="79"/>
    </row>
    <row r="1264" s="78" customFormat="1" ht="16.5" customHeight="1" spans="1:9">
      <c r="A1264" s="79"/>
      <c r="B1264" s="79"/>
      <c r="C1264" s="79"/>
      <c r="D1264" s="81">
        <v>44376</v>
      </c>
      <c r="E1264" s="82">
        <v>15748.45</v>
      </c>
      <c r="G1264" s="79"/>
      <c r="H1264" s="79"/>
      <c r="I1264" s="79"/>
    </row>
    <row r="1265" s="78" customFormat="1" ht="16.5" customHeight="1" spans="1:9">
      <c r="A1265" s="79"/>
      <c r="B1265" s="79"/>
      <c r="C1265" s="79"/>
      <c r="D1265" s="81">
        <v>44375</v>
      </c>
      <c r="E1265" s="82">
        <v>15814.7</v>
      </c>
      <c r="G1265" s="79"/>
      <c r="H1265" s="79"/>
      <c r="I1265" s="79"/>
    </row>
    <row r="1266" s="78" customFormat="1" ht="16.5" customHeight="1" spans="1:9">
      <c r="A1266" s="79"/>
      <c r="B1266" s="79"/>
      <c r="C1266" s="79"/>
      <c r="D1266" s="81">
        <v>44372</v>
      </c>
      <c r="E1266" s="82">
        <v>15860.35</v>
      </c>
      <c r="G1266" s="79"/>
      <c r="H1266" s="79"/>
      <c r="I1266" s="79"/>
    </row>
    <row r="1267" s="78" customFormat="1" ht="16.5" customHeight="1" spans="1:9">
      <c r="A1267" s="79"/>
      <c r="B1267" s="79"/>
      <c r="C1267" s="79"/>
      <c r="D1267" s="81">
        <v>44371</v>
      </c>
      <c r="E1267" s="82">
        <v>15790.45</v>
      </c>
      <c r="G1267" s="79"/>
      <c r="H1267" s="79"/>
      <c r="I1267" s="79"/>
    </row>
    <row r="1268" s="78" customFormat="1" ht="16.5" customHeight="1" spans="1:9">
      <c r="A1268" s="79"/>
      <c r="B1268" s="79"/>
      <c r="C1268" s="79"/>
      <c r="D1268" s="81">
        <v>44370</v>
      </c>
      <c r="E1268" s="82">
        <v>15686.95</v>
      </c>
      <c r="G1268" s="79"/>
      <c r="H1268" s="79"/>
      <c r="I1268" s="79"/>
    </row>
    <row r="1269" s="78" customFormat="1" ht="16.5" customHeight="1" spans="1:9">
      <c r="A1269" s="79"/>
      <c r="B1269" s="79"/>
      <c r="C1269" s="79"/>
      <c r="D1269" s="81">
        <v>44369</v>
      </c>
      <c r="E1269" s="82">
        <v>15772.75</v>
      </c>
      <c r="G1269" s="79"/>
      <c r="H1269" s="79"/>
      <c r="I1269" s="79"/>
    </row>
    <row r="1270" s="78" customFormat="1" ht="16.5" customHeight="1" spans="1:9">
      <c r="A1270" s="79"/>
      <c r="B1270" s="79"/>
      <c r="C1270" s="79"/>
      <c r="D1270" s="81">
        <v>44368</v>
      </c>
      <c r="E1270" s="82">
        <v>15746.5</v>
      </c>
      <c r="G1270" s="79"/>
      <c r="H1270" s="79"/>
      <c r="I1270" s="79"/>
    </row>
    <row r="1271" s="78" customFormat="1" ht="16.5" customHeight="1" spans="1:9">
      <c r="A1271" s="79"/>
      <c r="B1271" s="79"/>
      <c r="C1271" s="79"/>
      <c r="D1271" s="81">
        <v>44365</v>
      </c>
      <c r="E1271" s="82">
        <v>15683.35</v>
      </c>
      <c r="G1271" s="79"/>
      <c r="H1271" s="79"/>
      <c r="I1271" s="79"/>
    </row>
    <row r="1272" s="78" customFormat="1" ht="16.5" customHeight="1" spans="1:9">
      <c r="A1272" s="79"/>
      <c r="B1272" s="79"/>
      <c r="C1272" s="79"/>
      <c r="D1272" s="81">
        <v>44364</v>
      </c>
      <c r="E1272" s="82">
        <v>15691.4</v>
      </c>
      <c r="G1272" s="79"/>
      <c r="H1272" s="79"/>
      <c r="I1272" s="79"/>
    </row>
    <row r="1273" s="78" customFormat="1" ht="16.5" customHeight="1" spans="1:9">
      <c r="A1273" s="79"/>
      <c r="B1273" s="79"/>
      <c r="C1273" s="79"/>
      <c r="D1273" s="81">
        <v>44363</v>
      </c>
      <c r="E1273" s="82">
        <v>15767.55</v>
      </c>
      <c r="G1273" s="79"/>
      <c r="H1273" s="79"/>
      <c r="I1273" s="79"/>
    </row>
    <row r="1274" s="78" customFormat="1" ht="16.5" customHeight="1" spans="1:9">
      <c r="A1274" s="79"/>
      <c r="B1274" s="79"/>
      <c r="C1274" s="79"/>
      <c r="D1274" s="81">
        <v>44362</v>
      </c>
      <c r="E1274" s="82">
        <v>15869.25</v>
      </c>
      <c r="G1274" s="79"/>
      <c r="H1274" s="79"/>
      <c r="I1274" s="79"/>
    </row>
    <row r="1275" s="78" customFormat="1" ht="16.5" customHeight="1" spans="1:9">
      <c r="A1275" s="79"/>
      <c r="B1275" s="79"/>
      <c r="C1275" s="79"/>
      <c r="D1275" s="81">
        <v>44361</v>
      </c>
      <c r="E1275" s="82">
        <v>15811.85</v>
      </c>
      <c r="G1275" s="79"/>
      <c r="H1275" s="79"/>
      <c r="I1275" s="79"/>
    </row>
    <row r="1276" s="78" customFormat="1" ht="16.5" customHeight="1" spans="1:9">
      <c r="A1276" s="79"/>
      <c r="B1276" s="79"/>
      <c r="C1276" s="79"/>
      <c r="D1276" s="81">
        <v>44358</v>
      </c>
      <c r="E1276" s="82">
        <v>15799.35</v>
      </c>
      <c r="G1276" s="79"/>
      <c r="H1276" s="79"/>
      <c r="I1276" s="79"/>
    </row>
    <row r="1277" s="78" customFormat="1" ht="16.5" customHeight="1" spans="1:9">
      <c r="A1277" s="79"/>
      <c r="B1277" s="79"/>
      <c r="C1277" s="79"/>
      <c r="D1277" s="81">
        <v>44357</v>
      </c>
      <c r="E1277" s="82">
        <v>15737.75</v>
      </c>
      <c r="G1277" s="79"/>
      <c r="H1277" s="79"/>
      <c r="I1277" s="79"/>
    </row>
    <row r="1278" s="78" customFormat="1" ht="16.5" customHeight="1" spans="1:9">
      <c r="A1278" s="79"/>
      <c r="B1278" s="79"/>
      <c r="C1278" s="79"/>
      <c r="D1278" s="81">
        <v>44356</v>
      </c>
      <c r="E1278" s="82">
        <v>15635.35</v>
      </c>
      <c r="G1278" s="79"/>
      <c r="H1278" s="79"/>
      <c r="I1278" s="79"/>
    </row>
    <row r="1279" s="78" customFormat="1" ht="16.5" customHeight="1" spans="1:9">
      <c r="A1279" s="79"/>
      <c r="B1279" s="79"/>
      <c r="C1279" s="79"/>
      <c r="D1279" s="81">
        <v>44355</v>
      </c>
      <c r="E1279" s="82">
        <v>15740.1</v>
      </c>
      <c r="G1279" s="79"/>
      <c r="H1279" s="79"/>
      <c r="I1279" s="79"/>
    </row>
    <row r="1280" s="78" customFormat="1" ht="16.5" customHeight="1" spans="1:9">
      <c r="A1280" s="79"/>
      <c r="B1280" s="79"/>
      <c r="C1280" s="79"/>
      <c r="D1280" s="81">
        <v>44354</v>
      </c>
      <c r="E1280" s="82">
        <v>15751.65</v>
      </c>
      <c r="G1280" s="79"/>
      <c r="H1280" s="79"/>
      <c r="I1280" s="79"/>
    </row>
    <row r="1281" s="78" customFormat="1" ht="16.5" customHeight="1" spans="1:9">
      <c r="A1281" s="79"/>
      <c r="B1281" s="79"/>
      <c r="C1281" s="79"/>
      <c r="D1281" s="81">
        <v>44351</v>
      </c>
      <c r="E1281" s="82">
        <v>15670.25</v>
      </c>
      <c r="G1281" s="79"/>
      <c r="H1281" s="79"/>
      <c r="I1281" s="79"/>
    </row>
    <row r="1282" s="78" customFormat="1" ht="16.5" customHeight="1" spans="1:9">
      <c r="A1282" s="79"/>
      <c r="B1282" s="79"/>
      <c r="C1282" s="79"/>
      <c r="D1282" s="81">
        <v>44350</v>
      </c>
      <c r="E1282" s="82">
        <v>15690.35</v>
      </c>
      <c r="G1282" s="79"/>
      <c r="H1282" s="79"/>
      <c r="I1282" s="79"/>
    </row>
    <row r="1283" s="78" customFormat="1" ht="16.5" customHeight="1" spans="1:9">
      <c r="A1283" s="79"/>
      <c r="B1283" s="79"/>
      <c r="C1283" s="79"/>
      <c r="D1283" s="81">
        <v>44349</v>
      </c>
      <c r="E1283" s="82">
        <v>15576.2</v>
      </c>
      <c r="G1283" s="79"/>
      <c r="H1283" s="79"/>
      <c r="I1283" s="79"/>
    </row>
    <row r="1284" s="78" customFormat="1" ht="16.5" customHeight="1" spans="1:9">
      <c r="A1284" s="79"/>
      <c r="B1284" s="79"/>
      <c r="C1284" s="79"/>
      <c r="D1284" s="81">
        <v>44348</v>
      </c>
      <c r="E1284" s="82">
        <v>15574.85</v>
      </c>
      <c r="G1284" s="79"/>
      <c r="H1284" s="79"/>
      <c r="I1284" s="79"/>
    </row>
    <row r="1285" s="78" customFormat="1" ht="16.5" customHeight="1" spans="1:9">
      <c r="A1285" s="79"/>
      <c r="B1285" s="79"/>
      <c r="C1285" s="79"/>
      <c r="D1285" s="81">
        <v>44347</v>
      </c>
      <c r="E1285" s="82">
        <v>15582.8</v>
      </c>
      <c r="G1285" s="79"/>
      <c r="H1285" s="79"/>
      <c r="I1285" s="79"/>
    </row>
    <row r="1286" s="78" customFormat="1" ht="16.5" customHeight="1" spans="1:9">
      <c r="A1286" s="79"/>
      <c r="B1286" s="79"/>
      <c r="C1286" s="79"/>
      <c r="D1286" s="81">
        <v>44344</v>
      </c>
      <c r="E1286" s="82">
        <v>15435.65</v>
      </c>
      <c r="G1286" s="79"/>
      <c r="H1286" s="79"/>
      <c r="I1286" s="79"/>
    </row>
    <row r="1287" s="78" customFormat="1" ht="16.5" customHeight="1" spans="1:9">
      <c r="A1287" s="79"/>
      <c r="B1287" s="79"/>
      <c r="C1287" s="79"/>
      <c r="D1287" s="81">
        <v>44343</v>
      </c>
      <c r="E1287" s="82">
        <v>15337.85</v>
      </c>
      <c r="G1287" s="79"/>
      <c r="H1287" s="79"/>
      <c r="I1287" s="79"/>
    </row>
    <row r="1288" s="78" customFormat="1" ht="16.5" customHeight="1" spans="1:9">
      <c r="A1288" s="79"/>
      <c r="B1288" s="79"/>
      <c r="C1288" s="79"/>
      <c r="D1288" s="81">
        <v>44342</v>
      </c>
      <c r="E1288" s="82">
        <v>15301.45</v>
      </c>
      <c r="G1288" s="79"/>
      <c r="H1288" s="79"/>
      <c r="I1288" s="79"/>
    </row>
    <row r="1289" s="78" customFormat="1" ht="16.5" customHeight="1" spans="1:9">
      <c r="A1289" s="79"/>
      <c r="B1289" s="79"/>
      <c r="C1289" s="79"/>
      <c r="D1289" s="81">
        <v>44341</v>
      </c>
      <c r="E1289" s="82">
        <v>15208.45</v>
      </c>
      <c r="G1289" s="79"/>
      <c r="H1289" s="79"/>
      <c r="I1289" s="79"/>
    </row>
    <row r="1290" s="78" customFormat="1" ht="16.5" customHeight="1" spans="1:9">
      <c r="A1290" s="79"/>
      <c r="B1290" s="79"/>
      <c r="C1290" s="79"/>
      <c r="D1290" s="81">
        <v>44340</v>
      </c>
      <c r="E1290" s="82">
        <v>15197.7</v>
      </c>
      <c r="G1290" s="79"/>
      <c r="H1290" s="79"/>
      <c r="I1290" s="79"/>
    </row>
    <row r="1291" s="78" customFormat="1" ht="16.5" customHeight="1" spans="1:9">
      <c r="A1291" s="79"/>
      <c r="B1291" s="79"/>
      <c r="C1291" s="79"/>
      <c r="D1291" s="81">
        <v>44337</v>
      </c>
      <c r="E1291" s="82">
        <v>15175.3</v>
      </c>
      <c r="G1291" s="79"/>
      <c r="H1291" s="79"/>
      <c r="I1291" s="79"/>
    </row>
    <row r="1292" s="78" customFormat="1" ht="16.5" customHeight="1" spans="1:9">
      <c r="A1292" s="79"/>
      <c r="B1292" s="79"/>
      <c r="C1292" s="79"/>
      <c r="D1292" s="81">
        <v>44336</v>
      </c>
      <c r="E1292" s="82">
        <v>14906.05</v>
      </c>
      <c r="G1292" s="79"/>
      <c r="H1292" s="79"/>
      <c r="I1292" s="79"/>
    </row>
    <row r="1293" s="78" customFormat="1" ht="16.5" customHeight="1" spans="1:9">
      <c r="A1293" s="79"/>
      <c r="B1293" s="79"/>
      <c r="C1293" s="79"/>
      <c r="D1293" s="81">
        <v>44335</v>
      </c>
      <c r="E1293" s="82">
        <v>15030.15</v>
      </c>
      <c r="G1293" s="79"/>
      <c r="H1293" s="79"/>
      <c r="I1293" s="79"/>
    </row>
    <row r="1294" s="78" customFormat="1" ht="16.5" customHeight="1" spans="1:9">
      <c r="A1294" s="79"/>
      <c r="B1294" s="79"/>
      <c r="C1294" s="79"/>
      <c r="D1294" s="81">
        <v>44334</v>
      </c>
      <c r="E1294" s="82">
        <v>15108.1</v>
      </c>
      <c r="G1294" s="79"/>
      <c r="H1294" s="79"/>
      <c r="I1294" s="79"/>
    </row>
    <row r="1295" s="78" customFormat="1" ht="16.5" customHeight="1" spans="1:9">
      <c r="A1295" s="79"/>
      <c r="B1295" s="79"/>
      <c r="C1295" s="79"/>
      <c r="D1295" s="81">
        <v>44333</v>
      </c>
      <c r="E1295" s="82">
        <v>14923.15</v>
      </c>
      <c r="G1295" s="79"/>
      <c r="H1295" s="79"/>
      <c r="I1295" s="79"/>
    </row>
    <row r="1296" s="78" customFormat="1" ht="16.5" customHeight="1" spans="1:9">
      <c r="A1296" s="79"/>
      <c r="B1296" s="79"/>
      <c r="C1296" s="79"/>
      <c r="D1296" s="81">
        <v>44330</v>
      </c>
      <c r="E1296" s="82">
        <v>14677.8</v>
      </c>
      <c r="G1296" s="79"/>
      <c r="H1296" s="79"/>
      <c r="I1296" s="79"/>
    </row>
    <row r="1297" s="78" customFormat="1" ht="16.5" customHeight="1" spans="1:9">
      <c r="A1297" s="79"/>
      <c r="B1297" s="79"/>
      <c r="C1297" s="79"/>
      <c r="D1297" s="81">
        <v>44328</v>
      </c>
      <c r="E1297" s="82">
        <v>14696.5</v>
      </c>
      <c r="G1297" s="79"/>
      <c r="H1297" s="79"/>
      <c r="I1297" s="79"/>
    </row>
    <row r="1298" s="78" customFormat="1" ht="16.5" customHeight="1" spans="1:9">
      <c r="A1298" s="79"/>
      <c r="B1298" s="79"/>
      <c r="C1298" s="79"/>
      <c r="D1298" s="81">
        <v>44327</v>
      </c>
      <c r="E1298" s="82">
        <v>14850.75</v>
      </c>
      <c r="G1298" s="79"/>
      <c r="H1298" s="79"/>
      <c r="I1298" s="79"/>
    </row>
    <row r="1299" s="78" customFormat="1" ht="16.5" customHeight="1" spans="1:9">
      <c r="A1299" s="79"/>
      <c r="B1299" s="79"/>
      <c r="C1299" s="79"/>
      <c r="D1299" s="81">
        <v>44326</v>
      </c>
      <c r="E1299" s="82">
        <v>14942.35</v>
      </c>
      <c r="G1299" s="79"/>
      <c r="H1299" s="79"/>
      <c r="I1299" s="79"/>
    </row>
    <row r="1300" s="78" customFormat="1" ht="16.5" customHeight="1" spans="1:9">
      <c r="A1300" s="79"/>
      <c r="B1300" s="79"/>
      <c r="C1300" s="79"/>
      <c r="D1300" s="81">
        <v>44323</v>
      </c>
      <c r="E1300" s="82">
        <v>14823.15</v>
      </c>
      <c r="G1300" s="79"/>
      <c r="H1300" s="79"/>
      <c r="I1300" s="79"/>
    </row>
    <row r="1301" s="78" customFormat="1" ht="16.5" customHeight="1" spans="1:9">
      <c r="A1301" s="79"/>
      <c r="B1301" s="79"/>
      <c r="C1301" s="79"/>
      <c r="D1301" s="81">
        <v>44322</v>
      </c>
      <c r="E1301" s="82">
        <v>14724.8</v>
      </c>
      <c r="G1301" s="79"/>
      <c r="H1301" s="79"/>
      <c r="I1301" s="79"/>
    </row>
    <row r="1302" s="78" customFormat="1" ht="16.5" customHeight="1" spans="1:9">
      <c r="A1302" s="79"/>
      <c r="B1302" s="79"/>
      <c r="C1302" s="79"/>
      <c r="D1302" s="81">
        <v>44321</v>
      </c>
      <c r="E1302" s="82">
        <v>14617.85</v>
      </c>
      <c r="G1302" s="79"/>
      <c r="H1302" s="79"/>
      <c r="I1302" s="79"/>
    </row>
    <row r="1303" s="78" customFormat="1" ht="16.5" customHeight="1" spans="1:9">
      <c r="A1303" s="79"/>
      <c r="B1303" s="79"/>
      <c r="C1303" s="79"/>
      <c r="D1303" s="81">
        <v>44320</v>
      </c>
      <c r="E1303" s="82">
        <v>14496.5</v>
      </c>
      <c r="G1303" s="79"/>
      <c r="H1303" s="79"/>
      <c r="I1303" s="79"/>
    </row>
    <row r="1304" s="78" customFormat="1" ht="16.5" customHeight="1" spans="1:9">
      <c r="A1304" s="79"/>
      <c r="B1304" s="79"/>
      <c r="C1304" s="79"/>
      <c r="D1304" s="81">
        <v>44319</v>
      </c>
      <c r="E1304" s="82">
        <v>14634.15</v>
      </c>
      <c r="G1304" s="79"/>
      <c r="H1304" s="79"/>
      <c r="I1304" s="79"/>
    </row>
    <row r="1305" s="78" customFormat="1" ht="16.5" customHeight="1" spans="1:9">
      <c r="A1305" s="79"/>
      <c r="B1305" s="79"/>
      <c r="C1305" s="79"/>
      <c r="D1305" s="81">
        <v>44316</v>
      </c>
      <c r="E1305" s="82">
        <v>14631.1</v>
      </c>
      <c r="G1305" s="79"/>
      <c r="H1305" s="79"/>
      <c r="I1305" s="79"/>
    </row>
    <row r="1306" s="78" customFormat="1" ht="16.5" customHeight="1" spans="1:9">
      <c r="A1306" s="79"/>
      <c r="B1306" s="79"/>
      <c r="C1306" s="79"/>
      <c r="D1306" s="81">
        <v>44315</v>
      </c>
      <c r="E1306" s="82">
        <v>14894.9</v>
      </c>
      <c r="G1306" s="79"/>
      <c r="H1306" s="79"/>
      <c r="I1306" s="79"/>
    </row>
    <row r="1307" s="78" customFormat="1" ht="16.5" customHeight="1" spans="1:9">
      <c r="A1307" s="79"/>
      <c r="B1307" s="79"/>
      <c r="C1307" s="79"/>
      <c r="D1307" s="81">
        <v>44314</v>
      </c>
      <c r="E1307" s="82">
        <v>14864.55</v>
      </c>
      <c r="G1307" s="79"/>
      <c r="H1307" s="79"/>
      <c r="I1307" s="79"/>
    </row>
    <row r="1308" s="78" customFormat="1" ht="16.5" customHeight="1" spans="1:9">
      <c r="A1308" s="79"/>
      <c r="B1308" s="79"/>
      <c r="C1308" s="79"/>
      <c r="D1308" s="81">
        <v>44313</v>
      </c>
      <c r="E1308" s="82">
        <v>14653.05</v>
      </c>
      <c r="G1308" s="79"/>
      <c r="H1308" s="79"/>
      <c r="I1308" s="79"/>
    </row>
    <row r="1309" s="78" customFormat="1" ht="16.5" customHeight="1" spans="1:9">
      <c r="A1309" s="79"/>
      <c r="B1309" s="79"/>
      <c r="C1309" s="79"/>
      <c r="D1309" s="81">
        <v>44312</v>
      </c>
      <c r="E1309" s="82">
        <v>14485</v>
      </c>
      <c r="G1309" s="79"/>
      <c r="H1309" s="79"/>
      <c r="I1309" s="79"/>
    </row>
    <row r="1310" s="78" customFormat="1" ht="16.5" customHeight="1" spans="1:9">
      <c r="A1310" s="79"/>
      <c r="B1310" s="79"/>
      <c r="C1310" s="79"/>
      <c r="D1310" s="81">
        <v>44309</v>
      </c>
      <c r="E1310" s="82">
        <v>14341.35</v>
      </c>
      <c r="G1310" s="79"/>
      <c r="H1310" s="79"/>
      <c r="I1310" s="79"/>
    </row>
    <row r="1311" s="78" customFormat="1" ht="16.5" customHeight="1" spans="1:9">
      <c r="A1311" s="79"/>
      <c r="B1311" s="79"/>
      <c r="C1311" s="79"/>
      <c r="D1311" s="81">
        <v>44308</v>
      </c>
      <c r="E1311" s="82">
        <v>14406.15</v>
      </c>
      <c r="G1311" s="79"/>
      <c r="H1311" s="79"/>
      <c r="I1311" s="79"/>
    </row>
    <row r="1312" s="78" customFormat="1" ht="16.5" customHeight="1" spans="1:9">
      <c r="A1312" s="79"/>
      <c r="B1312" s="79"/>
      <c r="C1312" s="79"/>
      <c r="D1312" s="81">
        <v>44306</v>
      </c>
      <c r="E1312" s="82">
        <v>14296.4</v>
      </c>
      <c r="G1312" s="79"/>
      <c r="H1312" s="79"/>
      <c r="I1312" s="79"/>
    </row>
    <row r="1313" s="78" customFormat="1" ht="16.5" customHeight="1" spans="1:9">
      <c r="A1313" s="79"/>
      <c r="B1313" s="79"/>
      <c r="C1313" s="79"/>
      <c r="D1313" s="81">
        <v>44305</v>
      </c>
      <c r="E1313" s="82">
        <v>14359.45</v>
      </c>
      <c r="G1313" s="79"/>
      <c r="H1313" s="79"/>
      <c r="I1313" s="79"/>
    </row>
    <row r="1314" s="78" customFormat="1" ht="16.5" customHeight="1" spans="1:9">
      <c r="A1314" s="79"/>
      <c r="B1314" s="79"/>
      <c r="C1314" s="79"/>
      <c r="D1314" s="81">
        <v>44302</v>
      </c>
      <c r="E1314" s="82">
        <v>14617.85</v>
      </c>
      <c r="G1314" s="79"/>
      <c r="H1314" s="79"/>
      <c r="I1314" s="79"/>
    </row>
    <row r="1315" s="78" customFormat="1" ht="16.5" customHeight="1" spans="1:9">
      <c r="A1315" s="79"/>
      <c r="B1315" s="79"/>
      <c r="C1315" s="79"/>
      <c r="D1315" s="81">
        <v>44301</v>
      </c>
      <c r="E1315" s="82">
        <v>14581.45</v>
      </c>
      <c r="G1315" s="79"/>
      <c r="H1315" s="79"/>
      <c r="I1315" s="79"/>
    </row>
    <row r="1316" s="78" customFormat="1" ht="16.5" customHeight="1" spans="1:9">
      <c r="A1316" s="79"/>
      <c r="B1316" s="79"/>
      <c r="C1316" s="79"/>
      <c r="D1316" s="81">
        <v>44299</v>
      </c>
      <c r="E1316" s="82">
        <v>14504.8</v>
      </c>
      <c r="G1316" s="79"/>
      <c r="H1316" s="79"/>
      <c r="I1316" s="79"/>
    </row>
    <row r="1317" s="78" customFormat="1" ht="16.5" customHeight="1" spans="1:9">
      <c r="A1317" s="79"/>
      <c r="B1317" s="79"/>
      <c r="C1317" s="79"/>
      <c r="D1317" s="81">
        <v>44298</v>
      </c>
      <c r="E1317" s="82">
        <v>14310.8</v>
      </c>
      <c r="G1317" s="79"/>
      <c r="H1317" s="79"/>
      <c r="I1317" s="79"/>
    </row>
    <row r="1318" s="78" customFormat="1" ht="16.5" customHeight="1" spans="1:9">
      <c r="A1318" s="79"/>
      <c r="B1318" s="79"/>
      <c r="C1318" s="79"/>
      <c r="D1318" s="81">
        <v>44295</v>
      </c>
      <c r="E1318" s="82">
        <v>14834.85</v>
      </c>
      <c r="G1318" s="79"/>
      <c r="H1318" s="79"/>
      <c r="I1318" s="79"/>
    </row>
    <row r="1319" s="78" customFormat="1" ht="16.5" customHeight="1" spans="1:9">
      <c r="A1319" s="79"/>
      <c r="B1319" s="79"/>
      <c r="C1319" s="79"/>
      <c r="D1319" s="81">
        <v>44294</v>
      </c>
      <c r="E1319" s="82">
        <v>14873.8</v>
      </c>
      <c r="G1319" s="79"/>
      <c r="H1319" s="79"/>
      <c r="I1319" s="79"/>
    </row>
    <row r="1320" s="78" customFormat="1" ht="16.5" customHeight="1" spans="1:9">
      <c r="A1320" s="79"/>
      <c r="B1320" s="79"/>
      <c r="C1320" s="79"/>
      <c r="D1320" s="81">
        <v>44293</v>
      </c>
      <c r="E1320" s="82">
        <v>14819.05</v>
      </c>
      <c r="G1320" s="79"/>
      <c r="H1320" s="79"/>
      <c r="I1320" s="79"/>
    </row>
    <row r="1321" s="78" customFormat="1" ht="16.5" customHeight="1" spans="1:9">
      <c r="A1321" s="79"/>
      <c r="B1321" s="79"/>
      <c r="C1321" s="79"/>
      <c r="D1321" s="81">
        <v>44292</v>
      </c>
      <c r="E1321" s="82">
        <v>14683.5</v>
      </c>
      <c r="G1321" s="79"/>
      <c r="H1321" s="79"/>
      <c r="I1321" s="79"/>
    </row>
    <row r="1322" s="78" customFormat="1" ht="16.5" customHeight="1" spans="1:9">
      <c r="A1322" s="79"/>
      <c r="B1322" s="79"/>
      <c r="C1322" s="79"/>
      <c r="D1322" s="81">
        <v>44291</v>
      </c>
      <c r="E1322" s="82">
        <v>14637.8</v>
      </c>
      <c r="G1322" s="79"/>
      <c r="H1322" s="79"/>
      <c r="I1322" s="79"/>
    </row>
    <row r="1323" s="78" customFormat="1" ht="16.5" customHeight="1" spans="1:9">
      <c r="A1323" s="79"/>
      <c r="B1323" s="79"/>
      <c r="C1323" s="79"/>
      <c r="D1323" s="81">
        <v>44287</v>
      </c>
      <c r="E1323" s="82">
        <v>14867.35</v>
      </c>
      <c r="G1323" s="79"/>
      <c r="H1323" s="79"/>
      <c r="I1323" s="79"/>
    </row>
    <row r="1324" s="78" customFormat="1" ht="16.5" customHeight="1" spans="1:9">
      <c r="A1324" s="79"/>
      <c r="B1324" s="79"/>
      <c r="C1324" s="79"/>
      <c r="D1324" s="81">
        <v>44286</v>
      </c>
      <c r="E1324" s="82">
        <v>14690.7</v>
      </c>
      <c r="G1324" s="79"/>
      <c r="H1324" s="79"/>
      <c r="I1324" s="79"/>
    </row>
    <row r="1325" s="78" customFormat="1" ht="16.5" customHeight="1" spans="1:9">
      <c r="A1325" s="79"/>
      <c r="B1325" s="79"/>
      <c r="C1325" s="79"/>
      <c r="D1325" s="81">
        <v>44285</v>
      </c>
      <c r="E1325" s="82">
        <v>14845.1</v>
      </c>
      <c r="G1325" s="79"/>
      <c r="H1325" s="79"/>
      <c r="I1325" s="79"/>
    </row>
    <row r="1326" s="78" customFormat="1" ht="16.5" customHeight="1" spans="1:9">
      <c r="A1326" s="79"/>
      <c r="B1326" s="79"/>
      <c r="C1326" s="79"/>
      <c r="D1326" s="81">
        <v>44281</v>
      </c>
      <c r="E1326" s="82">
        <v>14507.3</v>
      </c>
      <c r="G1326" s="79"/>
      <c r="H1326" s="79"/>
      <c r="I1326" s="79"/>
    </row>
    <row r="1327" s="78" customFormat="1" ht="16.5" customHeight="1" spans="1:9">
      <c r="A1327" s="79"/>
      <c r="B1327" s="79"/>
      <c r="C1327" s="79"/>
      <c r="D1327" s="81">
        <v>44280</v>
      </c>
      <c r="E1327" s="82">
        <v>14324.9</v>
      </c>
      <c r="G1327" s="79"/>
      <c r="H1327" s="79"/>
      <c r="I1327" s="79"/>
    </row>
    <row r="1328" s="78" customFormat="1" ht="16.5" customHeight="1" spans="1:9">
      <c r="A1328" s="79"/>
      <c r="B1328" s="79"/>
      <c r="C1328" s="79"/>
      <c r="D1328" s="81">
        <v>44279</v>
      </c>
      <c r="E1328" s="82">
        <v>14549.4</v>
      </c>
      <c r="G1328" s="79"/>
      <c r="H1328" s="79"/>
      <c r="I1328" s="79"/>
    </row>
    <row r="1329" s="78" customFormat="1" ht="16.5" customHeight="1" spans="1:9">
      <c r="A1329" s="79"/>
      <c r="B1329" s="79"/>
      <c r="C1329" s="79"/>
      <c r="D1329" s="81">
        <v>44278</v>
      </c>
      <c r="E1329" s="82">
        <v>14814.75</v>
      </c>
      <c r="G1329" s="79"/>
      <c r="H1329" s="79"/>
      <c r="I1329" s="79"/>
    </row>
    <row r="1330" s="78" customFormat="1" ht="16.5" customHeight="1" spans="1:9">
      <c r="A1330" s="79"/>
      <c r="B1330" s="79"/>
      <c r="C1330" s="79"/>
      <c r="D1330" s="81">
        <v>44277</v>
      </c>
      <c r="E1330" s="82">
        <v>14736.4</v>
      </c>
      <c r="G1330" s="79"/>
      <c r="H1330" s="79"/>
      <c r="I1330" s="79"/>
    </row>
    <row r="1331" s="78" customFormat="1" ht="16.5" customHeight="1" spans="1:9">
      <c r="A1331" s="79"/>
      <c r="B1331" s="79"/>
      <c r="C1331" s="79"/>
      <c r="D1331" s="81">
        <v>44274</v>
      </c>
      <c r="E1331" s="82">
        <v>14744</v>
      </c>
      <c r="G1331" s="79"/>
      <c r="H1331" s="79"/>
      <c r="I1331" s="79"/>
    </row>
    <row r="1332" s="78" customFormat="1" ht="16.5" customHeight="1" spans="1:9">
      <c r="A1332" s="79"/>
      <c r="B1332" s="79"/>
      <c r="C1332" s="79"/>
      <c r="D1332" s="81">
        <v>44273</v>
      </c>
      <c r="E1332" s="82">
        <v>14557.85</v>
      </c>
      <c r="G1332" s="79"/>
      <c r="H1332" s="79"/>
      <c r="I1332" s="79"/>
    </row>
    <row r="1333" s="78" customFormat="1" ht="16.5" customHeight="1" spans="1:9">
      <c r="A1333" s="79"/>
      <c r="B1333" s="79"/>
      <c r="C1333" s="79"/>
      <c r="D1333" s="81">
        <v>44272</v>
      </c>
      <c r="E1333" s="82">
        <v>14721.3</v>
      </c>
      <c r="G1333" s="79"/>
      <c r="H1333" s="79"/>
      <c r="I1333" s="79"/>
    </row>
    <row r="1334" s="78" customFormat="1" ht="16.5" customHeight="1" spans="1:9">
      <c r="A1334" s="79"/>
      <c r="B1334" s="79"/>
      <c r="C1334" s="79"/>
      <c r="D1334" s="81">
        <v>44271</v>
      </c>
      <c r="E1334" s="82">
        <v>14910.45</v>
      </c>
      <c r="G1334" s="79"/>
      <c r="H1334" s="79"/>
      <c r="I1334" s="79"/>
    </row>
    <row r="1335" s="78" customFormat="1" ht="16.5" customHeight="1" spans="1:9">
      <c r="A1335" s="79"/>
      <c r="B1335" s="79"/>
      <c r="C1335" s="79"/>
      <c r="D1335" s="81">
        <v>44270</v>
      </c>
      <c r="E1335" s="82">
        <v>14929.5</v>
      </c>
      <c r="G1335" s="79"/>
      <c r="H1335" s="79"/>
      <c r="I1335" s="79"/>
    </row>
    <row r="1336" s="78" customFormat="1" ht="16.5" customHeight="1" spans="1:9">
      <c r="A1336" s="79"/>
      <c r="B1336" s="79"/>
      <c r="C1336" s="79"/>
      <c r="D1336" s="81">
        <v>44267</v>
      </c>
      <c r="E1336" s="82">
        <v>15030.95</v>
      </c>
      <c r="G1336" s="79"/>
      <c r="H1336" s="79"/>
      <c r="I1336" s="79"/>
    </row>
    <row r="1337" s="78" customFormat="1" ht="16.5" customHeight="1" spans="1:9">
      <c r="A1337" s="79"/>
      <c r="B1337" s="79"/>
      <c r="C1337" s="79"/>
      <c r="D1337" s="81">
        <v>44265</v>
      </c>
      <c r="E1337" s="82">
        <v>15174.8</v>
      </c>
      <c r="G1337" s="79"/>
      <c r="H1337" s="79"/>
      <c r="I1337" s="79"/>
    </row>
    <row r="1338" s="78" customFormat="1" ht="16.5" customHeight="1" spans="1:9">
      <c r="A1338" s="79"/>
      <c r="B1338" s="79"/>
      <c r="C1338" s="79"/>
      <c r="D1338" s="81">
        <v>44264</v>
      </c>
      <c r="E1338" s="82">
        <v>15098.4</v>
      </c>
      <c r="G1338" s="79"/>
      <c r="H1338" s="79"/>
      <c r="I1338" s="79"/>
    </row>
    <row r="1339" s="78" customFormat="1" ht="16.5" customHeight="1" spans="1:9">
      <c r="A1339" s="79"/>
      <c r="B1339" s="79"/>
      <c r="C1339" s="79"/>
      <c r="D1339" s="81">
        <v>44263</v>
      </c>
      <c r="E1339" s="82">
        <v>14956.2</v>
      </c>
      <c r="G1339" s="79"/>
      <c r="H1339" s="79"/>
      <c r="I1339" s="79"/>
    </row>
    <row r="1340" s="78" customFormat="1" ht="16.5" customHeight="1" spans="1:9">
      <c r="A1340" s="79"/>
      <c r="B1340" s="79"/>
      <c r="C1340" s="79"/>
      <c r="D1340" s="81">
        <v>44260</v>
      </c>
      <c r="E1340" s="82">
        <v>14938.1</v>
      </c>
      <c r="G1340" s="79"/>
      <c r="H1340" s="79"/>
      <c r="I1340" s="79"/>
    </row>
    <row r="1341" s="78" customFormat="1" ht="16.5" customHeight="1" spans="1:9">
      <c r="A1341" s="79"/>
      <c r="B1341" s="79"/>
      <c r="C1341" s="79"/>
      <c r="D1341" s="81">
        <v>44259</v>
      </c>
      <c r="E1341" s="82">
        <v>15080.75</v>
      </c>
      <c r="G1341" s="79"/>
      <c r="H1341" s="79"/>
      <c r="I1341" s="79"/>
    </row>
    <row r="1342" s="78" customFormat="1" ht="16.5" customHeight="1" spans="1:9">
      <c r="A1342" s="79"/>
      <c r="B1342" s="79"/>
      <c r="C1342" s="79"/>
      <c r="D1342" s="81">
        <v>44258</v>
      </c>
      <c r="E1342" s="82">
        <v>15245.6</v>
      </c>
      <c r="G1342" s="79"/>
      <c r="H1342" s="79"/>
      <c r="I1342" s="79"/>
    </row>
    <row r="1343" s="78" customFormat="1" ht="16.5" customHeight="1" spans="1:9">
      <c r="A1343" s="79"/>
      <c r="B1343" s="79"/>
      <c r="C1343" s="79"/>
      <c r="D1343" s="81">
        <v>44257</v>
      </c>
      <c r="E1343" s="82">
        <v>14919.1</v>
      </c>
      <c r="G1343" s="79"/>
      <c r="H1343" s="79"/>
      <c r="I1343" s="79"/>
    </row>
    <row r="1344" s="78" customFormat="1" ht="16.5" customHeight="1" spans="1:9">
      <c r="A1344" s="79"/>
      <c r="B1344" s="79"/>
      <c r="C1344" s="79"/>
      <c r="D1344" s="81">
        <v>44256</v>
      </c>
      <c r="E1344" s="82">
        <v>14761.55</v>
      </c>
      <c r="G1344" s="79"/>
      <c r="H1344" s="79"/>
      <c r="I1344" s="79"/>
    </row>
    <row r="1345" s="78" customFormat="1" ht="16.5" customHeight="1" spans="1:9">
      <c r="A1345" s="79"/>
      <c r="B1345" s="79"/>
      <c r="C1345" s="79"/>
      <c r="D1345" s="81">
        <v>44253</v>
      </c>
      <c r="E1345" s="82">
        <v>14529.15</v>
      </c>
      <c r="G1345" s="79"/>
      <c r="H1345" s="79"/>
      <c r="I1345" s="79"/>
    </row>
    <row r="1346" s="78" customFormat="1" ht="16.5" customHeight="1" spans="1:9">
      <c r="A1346" s="79"/>
      <c r="B1346" s="79"/>
      <c r="C1346" s="79"/>
      <c r="D1346" s="81">
        <v>44252</v>
      </c>
      <c r="E1346" s="82">
        <v>15097.35</v>
      </c>
      <c r="G1346" s="79"/>
      <c r="H1346" s="79"/>
      <c r="I1346" s="79"/>
    </row>
    <row r="1347" s="78" customFormat="1" ht="16.5" customHeight="1" spans="1:9">
      <c r="A1347" s="79"/>
      <c r="B1347" s="79"/>
      <c r="C1347" s="79"/>
      <c r="D1347" s="81">
        <v>44251</v>
      </c>
      <c r="E1347" s="82">
        <v>14982</v>
      </c>
      <c r="G1347" s="79"/>
      <c r="H1347" s="79"/>
      <c r="I1347" s="79"/>
    </row>
    <row r="1348" s="78" customFormat="1" ht="16.5" customHeight="1" spans="1:9">
      <c r="A1348" s="79"/>
      <c r="B1348" s="79"/>
      <c r="C1348" s="79"/>
      <c r="D1348" s="81">
        <v>44250</v>
      </c>
      <c r="E1348" s="82">
        <v>14707.8</v>
      </c>
      <c r="G1348" s="79"/>
      <c r="H1348" s="79"/>
      <c r="I1348" s="79"/>
    </row>
    <row r="1349" s="78" customFormat="1" ht="16.5" customHeight="1" spans="1:9">
      <c r="A1349" s="79"/>
      <c r="B1349" s="79"/>
      <c r="C1349" s="79"/>
      <c r="D1349" s="81">
        <v>44249</v>
      </c>
      <c r="E1349" s="82">
        <v>14675.7</v>
      </c>
      <c r="G1349" s="79"/>
      <c r="H1349" s="79"/>
      <c r="I1349" s="79"/>
    </row>
    <row r="1350" s="78" customFormat="1" ht="16.5" customHeight="1" spans="1:9">
      <c r="A1350" s="79"/>
      <c r="B1350" s="79"/>
      <c r="C1350" s="79"/>
      <c r="D1350" s="81">
        <v>44246</v>
      </c>
      <c r="E1350" s="82">
        <v>14981.75</v>
      </c>
      <c r="G1350" s="79"/>
      <c r="H1350" s="79"/>
      <c r="I1350" s="79"/>
    </row>
    <row r="1351" s="78" customFormat="1" ht="16.5" customHeight="1" spans="1:9">
      <c r="A1351" s="79"/>
      <c r="B1351" s="79"/>
      <c r="C1351" s="79"/>
      <c r="D1351" s="81">
        <v>44245</v>
      </c>
      <c r="E1351" s="82">
        <v>15118.95</v>
      </c>
      <c r="G1351" s="79"/>
      <c r="H1351" s="79"/>
      <c r="I1351" s="79"/>
    </row>
    <row r="1352" s="78" customFormat="1" ht="16.5" customHeight="1" spans="1:9">
      <c r="A1352" s="79"/>
      <c r="B1352" s="79"/>
      <c r="C1352" s="79"/>
      <c r="D1352" s="81">
        <v>44244</v>
      </c>
      <c r="E1352" s="82">
        <v>15208.9</v>
      </c>
      <c r="G1352" s="79"/>
      <c r="H1352" s="79"/>
      <c r="I1352" s="79"/>
    </row>
    <row r="1353" s="78" customFormat="1" ht="16.5" customHeight="1" spans="1:9">
      <c r="A1353" s="79"/>
      <c r="B1353" s="79"/>
      <c r="C1353" s="79"/>
      <c r="D1353" s="81">
        <v>44243</v>
      </c>
      <c r="E1353" s="82">
        <v>15313.45</v>
      </c>
      <c r="G1353" s="79"/>
      <c r="H1353" s="79"/>
      <c r="I1353" s="79"/>
    </row>
    <row r="1354" s="78" customFormat="1" ht="16.5" customHeight="1" spans="1:9">
      <c r="A1354" s="79"/>
      <c r="B1354" s="79"/>
      <c r="C1354" s="79"/>
      <c r="D1354" s="81">
        <v>44242</v>
      </c>
      <c r="E1354" s="82">
        <v>15314.7</v>
      </c>
      <c r="G1354" s="79"/>
      <c r="H1354" s="79"/>
      <c r="I1354" s="79"/>
    </row>
    <row r="1355" s="78" customFormat="1" ht="16.5" customHeight="1" spans="1:9">
      <c r="A1355" s="79"/>
      <c r="B1355" s="79"/>
      <c r="C1355" s="79"/>
      <c r="D1355" s="81">
        <v>44239</v>
      </c>
      <c r="E1355" s="82">
        <v>15163.3</v>
      </c>
      <c r="G1355" s="79"/>
      <c r="H1355" s="79"/>
      <c r="I1355" s="79"/>
    </row>
    <row r="1356" s="78" customFormat="1" ht="16.5" customHeight="1" spans="1:9">
      <c r="A1356" s="79"/>
      <c r="B1356" s="79"/>
      <c r="C1356" s="79"/>
      <c r="D1356" s="81">
        <v>44238</v>
      </c>
      <c r="E1356" s="82">
        <v>15173.3</v>
      </c>
      <c r="G1356" s="79"/>
      <c r="H1356" s="79"/>
      <c r="I1356" s="79"/>
    </row>
    <row r="1357" s="78" customFormat="1" ht="16.5" customHeight="1" spans="1:9">
      <c r="A1357" s="79"/>
      <c r="B1357" s="79"/>
      <c r="C1357" s="79"/>
      <c r="D1357" s="81">
        <v>44237</v>
      </c>
      <c r="E1357" s="82">
        <v>15106.5</v>
      </c>
      <c r="G1357" s="79"/>
      <c r="H1357" s="79"/>
      <c r="I1357" s="79"/>
    </row>
    <row r="1358" s="78" customFormat="1" ht="16.5" customHeight="1" spans="1:9">
      <c r="A1358" s="79"/>
      <c r="B1358" s="79"/>
      <c r="C1358" s="79"/>
      <c r="D1358" s="81">
        <v>44236</v>
      </c>
      <c r="E1358" s="82">
        <v>15109.3</v>
      </c>
      <c r="G1358" s="79"/>
      <c r="H1358" s="79"/>
      <c r="I1358" s="79"/>
    </row>
    <row r="1359" s="78" customFormat="1" ht="16.5" customHeight="1" spans="1:9">
      <c r="A1359" s="79"/>
      <c r="B1359" s="79"/>
      <c r="C1359" s="79"/>
      <c r="D1359" s="81">
        <v>44235</v>
      </c>
      <c r="E1359" s="82">
        <v>15115.8</v>
      </c>
      <c r="G1359" s="79"/>
      <c r="H1359" s="79"/>
      <c r="I1359" s="79"/>
    </row>
    <row r="1360" s="78" customFormat="1" ht="16.5" customHeight="1" spans="1:9">
      <c r="A1360" s="79"/>
      <c r="B1360" s="79"/>
      <c r="C1360" s="79"/>
      <c r="D1360" s="81">
        <v>44232</v>
      </c>
      <c r="E1360" s="82">
        <v>14924.25</v>
      </c>
      <c r="G1360" s="79"/>
      <c r="H1360" s="79"/>
      <c r="I1360" s="79"/>
    </row>
    <row r="1361" s="78" customFormat="1" ht="16.5" customHeight="1" spans="1:9">
      <c r="A1361" s="79"/>
      <c r="B1361" s="79"/>
      <c r="C1361" s="79"/>
      <c r="D1361" s="81">
        <v>44231</v>
      </c>
      <c r="E1361" s="82">
        <v>14895.65</v>
      </c>
      <c r="G1361" s="79"/>
      <c r="H1361" s="79"/>
      <c r="I1361" s="79"/>
    </row>
    <row r="1362" s="78" customFormat="1" ht="16.5" customHeight="1" spans="1:9">
      <c r="A1362" s="79"/>
      <c r="B1362" s="79"/>
      <c r="C1362" s="79"/>
      <c r="D1362" s="81">
        <v>44230</v>
      </c>
      <c r="E1362" s="82">
        <v>14789.95</v>
      </c>
      <c r="G1362" s="79"/>
      <c r="H1362" s="79"/>
      <c r="I1362" s="79"/>
    </row>
    <row r="1363" s="78" customFormat="1" ht="16.5" customHeight="1" spans="1:9">
      <c r="A1363" s="79"/>
      <c r="B1363" s="79"/>
      <c r="C1363" s="79"/>
      <c r="D1363" s="81">
        <v>44229</v>
      </c>
      <c r="E1363" s="82">
        <v>14647.85</v>
      </c>
      <c r="G1363" s="79"/>
      <c r="H1363" s="79"/>
      <c r="I1363" s="79"/>
    </row>
    <row r="1364" s="78" customFormat="1" ht="16.5" customHeight="1" spans="1:9">
      <c r="A1364" s="79"/>
      <c r="B1364" s="79"/>
      <c r="C1364" s="79"/>
      <c r="D1364" s="81">
        <v>44228</v>
      </c>
      <c r="E1364" s="82">
        <v>14281.2</v>
      </c>
      <c r="G1364" s="79"/>
      <c r="H1364" s="79"/>
      <c r="I1364" s="79"/>
    </row>
    <row r="1365" s="78" customFormat="1" ht="16.5" customHeight="1" spans="1:9">
      <c r="A1365" s="79"/>
      <c r="B1365" s="79"/>
      <c r="C1365" s="79"/>
      <c r="D1365" s="81">
        <v>44225</v>
      </c>
      <c r="E1365" s="82">
        <v>13634.6</v>
      </c>
      <c r="G1365" s="79"/>
      <c r="H1365" s="79"/>
      <c r="I1365" s="79"/>
    </row>
    <row r="1366" s="78" customFormat="1" ht="16.5" customHeight="1" spans="1:9">
      <c r="A1366" s="79"/>
      <c r="B1366" s="79"/>
      <c r="C1366" s="79"/>
      <c r="D1366" s="81">
        <v>44224</v>
      </c>
      <c r="E1366" s="82">
        <v>13817.55</v>
      </c>
      <c r="G1366" s="79"/>
      <c r="H1366" s="79"/>
      <c r="I1366" s="79"/>
    </row>
    <row r="1367" s="78" customFormat="1" ht="16.5" customHeight="1" spans="1:9">
      <c r="A1367" s="79"/>
      <c r="B1367" s="79"/>
      <c r="C1367" s="79"/>
      <c r="D1367" s="81">
        <v>44223</v>
      </c>
      <c r="E1367" s="82">
        <v>13967.5</v>
      </c>
      <c r="G1367" s="79"/>
      <c r="H1367" s="79"/>
      <c r="I1367" s="79"/>
    </row>
    <row r="1368" s="78" customFormat="1" ht="16.5" customHeight="1" spans="1:9">
      <c r="A1368" s="79"/>
      <c r="B1368" s="79"/>
      <c r="C1368" s="79"/>
      <c r="D1368" s="81">
        <v>44221</v>
      </c>
      <c r="E1368" s="82">
        <v>14238.9</v>
      </c>
      <c r="G1368" s="79"/>
      <c r="H1368" s="79"/>
      <c r="I1368" s="79"/>
    </row>
    <row r="1369" s="78" customFormat="1" ht="16.5" customHeight="1" spans="1:9">
      <c r="A1369" s="79"/>
      <c r="B1369" s="79"/>
      <c r="C1369" s="79"/>
      <c r="D1369" s="81">
        <v>44218</v>
      </c>
      <c r="E1369" s="82">
        <v>14371.9</v>
      </c>
      <c r="G1369" s="79"/>
      <c r="H1369" s="79"/>
      <c r="I1369" s="79"/>
    </row>
    <row r="1370" s="78" customFormat="1" ht="16.5" customHeight="1" spans="1:9">
      <c r="A1370" s="79"/>
      <c r="B1370" s="79"/>
      <c r="C1370" s="79"/>
      <c r="D1370" s="81">
        <v>44217</v>
      </c>
      <c r="E1370" s="82">
        <v>14590.35</v>
      </c>
      <c r="G1370" s="79"/>
      <c r="H1370" s="79"/>
      <c r="I1370" s="79"/>
    </row>
    <row r="1371" s="78" customFormat="1" ht="16.5" customHeight="1" spans="1:9">
      <c r="A1371" s="79"/>
      <c r="B1371" s="79"/>
      <c r="C1371" s="79"/>
      <c r="D1371" s="81">
        <v>44216</v>
      </c>
      <c r="E1371" s="82">
        <v>14644.7</v>
      </c>
      <c r="G1371" s="79"/>
      <c r="H1371" s="79"/>
      <c r="I1371" s="79"/>
    </row>
    <row r="1372" s="78" customFormat="1" ht="16.5" customHeight="1" spans="1:9">
      <c r="A1372" s="79"/>
      <c r="B1372" s="79"/>
      <c r="C1372" s="79"/>
      <c r="D1372" s="81">
        <v>44215</v>
      </c>
      <c r="E1372" s="82">
        <v>14521.15</v>
      </c>
      <c r="G1372" s="79"/>
      <c r="H1372" s="79"/>
      <c r="I1372" s="79"/>
    </row>
    <row r="1373" s="78" customFormat="1" ht="16.5" customHeight="1" spans="1:9">
      <c r="A1373" s="79"/>
      <c r="B1373" s="79"/>
      <c r="C1373" s="79"/>
      <c r="D1373" s="81">
        <v>44214</v>
      </c>
      <c r="E1373" s="82">
        <v>14281.3</v>
      </c>
      <c r="G1373" s="79"/>
      <c r="H1373" s="79"/>
      <c r="I1373" s="79"/>
    </row>
    <row r="1374" s="78" customFormat="1" ht="16.5" customHeight="1" spans="1:9">
      <c r="A1374" s="79"/>
      <c r="B1374" s="79"/>
      <c r="C1374" s="79"/>
      <c r="D1374" s="81">
        <v>44211</v>
      </c>
      <c r="E1374" s="82">
        <v>14433.7</v>
      </c>
      <c r="G1374" s="79"/>
      <c r="H1374" s="79"/>
      <c r="I1374" s="79"/>
    </row>
    <row r="1375" s="78" customFormat="1" ht="16.5" customHeight="1" spans="1:9">
      <c r="A1375" s="79"/>
      <c r="B1375" s="79"/>
      <c r="C1375" s="79"/>
      <c r="D1375" s="81">
        <v>44210</v>
      </c>
      <c r="E1375" s="82">
        <v>14595.6</v>
      </c>
      <c r="G1375" s="79"/>
      <c r="H1375" s="79"/>
      <c r="I1375" s="79"/>
    </row>
    <row r="1376" s="78" customFormat="1" ht="16.5" customHeight="1" spans="1:9">
      <c r="A1376" s="79"/>
      <c r="B1376" s="79"/>
      <c r="C1376" s="79"/>
      <c r="D1376" s="81">
        <v>44209</v>
      </c>
      <c r="E1376" s="82">
        <v>14564.85</v>
      </c>
      <c r="G1376" s="79"/>
      <c r="H1376" s="79"/>
      <c r="I1376" s="79"/>
    </row>
    <row r="1377" s="78" customFormat="1" ht="16.5" customHeight="1" spans="1:9">
      <c r="A1377" s="79"/>
      <c r="B1377" s="79"/>
      <c r="C1377" s="79"/>
      <c r="D1377" s="81">
        <v>44208</v>
      </c>
      <c r="E1377" s="82">
        <v>14563.45</v>
      </c>
      <c r="G1377" s="79"/>
      <c r="H1377" s="79"/>
      <c r="I1377" s="79"/>
    </row>
    <row r="1378" s="78" customFormat="1" ht="16.5" customHeight="1" spans="1:9">
      <c r="A1378" s="79"/>
      <c r="B1378" s="79"/>
      <c r="C1378" s="79"/>
      <c r="D1378" s="81">
        <v>44207</v>
      </c>
      <c r="E1378" s="82">
        <v>14484.75</v>
      </c>
      <c r="G1378" s="79"/>
      <c r="H1378" s="79"/>
      <c r="I1378" s="79"/>
    </row>
    <row r="1379" s="78" customFormat="1" ht="16.5" customHeight="1" spans="1:9">
      <c r="A1379" s="79"/>
      <c r="B1379" s="79"/>
      <c r="C1379" s="79"/>
      <c r="D1379" s="81">
        <v>44204</v>
      </c>
      <c r="E1379" s="82">
        <v>14347.25</v>
      </c>
      <c r="G1379" s="79"/>
      <c r="H1379" s="79"/>
      <c r="I1379" s="79"/>
    </row>
    <row r="1380" s="78" customFormat="1" ht="16.5" customHeight="1" spans="1:9">
      <c r="A1380" s="79"/>
      <c r="B1380" s="79"/>
      <c r="C1380" s="79"/>
      <c r="D1380" s="81">
        <v>44203</v>
      </c>
      <c r="E1380" s="82">
        <v>14137.35</v>
      </c>
      <c r="G1380" s="79"/>
      <c r="H1380" s="79"/>
      <c r="I1380" s="79"/>
    </row>
    <row r="1381" s="78" customFormat="1" ht="16.5" customHeight="1" spans="1:9">
      <c r="A1381" s="79"/>
      <c r="B1381" s="79"/>
      <c r="C1381" s="79"/>
      <c r="D1381" s="81">
        <v>44202</v>
      </c>
      <c r="E1381" s="82">
        <v>14146.25</v>
      </c>
      <c r="G1381" s="79"/>
      <c r="H1381" s="79"/>
      <c r="I1381" s="79"/>
    </row>
    <row r="1382" s="78" customFormat="1" ht="16.5" customHeight="1" spans="1:9">
      <c r="A1382" s="79"/>
      <c r="B1382" s="79"/>
      <c r="C1382" s="79"/>
      <c r="D1382" s="81">
        <v>44201</v>
      </c>
      <c r="E1382" s="82">
        <v>14199.5</v>
      </c>
      <c r="G1382" s="79"/>
      <c r="H1382" s="79"/>
      <c r="I1382" s="79"/>
    </row>
    <row r="1383" s="78" customFormat="1" ht="16.5" customHeight="1" spans="1:9">
      <c r="A1383" s="79"/>
      <c r="B1383" s="79"/>
      <c r="C1383" s="79"/>
      <c r="D1383" s="81">
        <v>44200</v>
      </c>
      <c r="E1383" s="82">
        <v>14132.9</v>
      </c>
      <c r="G1383" s="79"/>
      <c r="H1383" s="79"/>
      <c r="I1383" s="79"/>
    </row>
    <row r="1384" s="78" customFormat="1" ht="16.5" customHeight="1" spans="1:9">
      <c r="A1384" s="79"/>
      <c r="B1384" s="79"/>
      <c r="C1384" s="79"/>
      <c r="D1384" s="81">
        <v>44197</v>
      </c>
      <c r="E1384" s="82">
        <v>14018.5</v>
      </c>
      <c r="G1384" s="79"/>
      <c r="H1384" s="79"/>
      <c r="I1384" s="79"/>
    </row>
    <row r="1385" s="78" customFormat="1" ht="16.5" customHeight="1" spans="1:9">
      <c r="A1385" s="79"/>
      <c r="B1385" s="79"/>
      <c r="C1385" s="79"/>
      <c r="D1385" s="81">
        <v>44196</v>
      </c>
      <c r="E1385" s="82">
        <v>13981.75</v>
      </c>
      <c r="G1385" s="79"/>
      <c r="H1385" s="79"/>
      <c r="I1385" s="79"/>
    </row>
    <row r="1386" s="78" customFormat="1" ht="16.5" customHeight="1" spans="1:9">
      <c r="A1386" s="79"/>
      <c r="B1386" s="79"/>
      <c r="C1386" s="79"/>
      <c r="D1386" s="81">
        <v>44195</v>
      </c>
      <c r="E1386" s="82">
        <v>13981.95</v>
      </c>
      <c r="G1386" s="79"/>
      <c r="H1386" s="79"/>
      <c r="I1386" s="79"/>
    </row>
    <row r="1387" s="78" customFormat="1" ht="16.5" customHeight="1" spans="1:9">
      <c r="A1387" s="79"/>
      <c r="B1387" s="79"/>
      <c r="C1387" s="79"/>
      <c r="D1387" s="81">
        <v>44194</v>
      </c>
      <c r="E1387" s="82">
        <v>13932.6</v>
      </c>
      <c r="G1387" s="79"/>
      <c r="H1387" s="79"/>
      <c r="I1387" s="79"/>
    </row>
    <row r="1388" s="78" customFormat="1" ht="16.5" customHeight="1" spans="1:9">
      <c r="A1388" s="79"/>
      <c r="B1388" s="79"/>
      <c r="C1388" s="79"/>
      <c r="D1388" s="81">
        <v>44193</v>
      </c>
      <c r="E1388" s="82">
        <v>13873.2</v>
      </c>
      <c r="G1388" s="79"/>
      <c r="H1388" s="79"/>
      <c r="I1388" s="79"/>
    </row>
    <row r="1389" s="78" customFormat="1" ht="16.5" customHeight="1" spans="1:9">
      <c r="A1389" s="79"/>
      <c r="B1389" s="79"/>
      <c r="C1389" s="79"/>
      <c r="D1389" s="81">
        <v>44189</v>
      </c>
      <c r="E1389" s="82">
        <v>13749.25</v>
      </c>
      <c r="G1389" s="79"/>
      <c r="H1389" s="79"/>
      <c r="I1389" s="79"/>
    </row>
    <row r="1390" s="78" customFormat="1" ht="16.5" customHeight="1" spans="1:9">
      <c r="A1390" s="79"/>
      <c r="B1390" s="79"/>
      <c r="C1390" s="79"/>
      <c r="D1390" s="81">
        <v>44188</v>
      </c>
      <c r="E1390" s="82">
        <v>13601.1</v>
      </c>
      <c r="G1390" s="79"/>
      <c r="H1390" s="79"/>
      <c r="I1390" s="79"/>
    </row>
    <row r="1391" s="78" customFormat="1" ht="16.5" customHeight="1" spans="1:9">
      <c r="A1391" s="79"/>
      <c r="B1391" s="79"/>
      <c r="C1391" s="79"/>
      <c r="D1391" s="81">
        <v>44187</v>
      </c>
      <c r="E1391" s="82">
        <v>13466.3</v>
      </c>
      <c r="G1391" s="79"/>
      <c r="H1391" s="79"/>
      <c r="I1391" s="79"/>
    </row>
    <row r="1392" s="78" customFormat="1" ht="16.5" customHeight="1" spans="1:9">
      <c r="A1392" s="79"/>
      <c r="B1392" s="79"/>
      <c r="C1392" s="79"/>
      <c r="D1392" s="81">
        <v>44186</v>
      </c>
      <c r="E1392" s="82">
        <v>13328.4</v>
      </c>
      <c r="G1392" s="79"/>
      <c r="H1392" s="79"/>
      <c r="I1392" s="79"/>
    </row>
    <row r="1393" s="78" customFormat="1" ht="16.5" customHeight="1" spans="1:9">
      <c r="A1393" s="79"/>
      <c r="B1393" s="79"/>
      <c r="C1393" s="79"/>
      <c r="D1393" s="81">
        <v>44183</v>
      </c>
      <c r="E1393" s="82">
        <v>13760.55</v>
      </c>
      <c r="G1393" s="79"/>
      <c r="H1393" s="79"/>
      <c r="I1393" s="79"/>
    </row>
    <row r="1394" s="78" customFormat="1" ht="16.5" customHeight="1" spans="1:9">
      <c r="A1394" s="79"/>
      <c r="B1394" s="79"/>
      <c r="C1394" s="79"/>
      <c r="D1394" s="81">
        <v>44182</v>
      </c>
      <c r="E1394" s="82">
        <v>13740.7</v>
      </c>
      <c r="G1394" s="79"/>
      <c r="H1394" s="79"/>
      <c r="I1394" s="79"/>
    </row>
    <row r="1395" s="78" customFormat="1" ht="16.5" customHeight="1" spans="1:9">
      <c r="A1395" s="79"/>
      <c r="B1395" s="79"/>
      <c r="C1395" s="79"/>
      <c r="D1395" s="81">
        <v>44181</v>
      </c>
      <c r="E1395" s="82">
        <v>13682.7</v>
      </c>
      <c r="G1395" s="79"/>
      <c r="H1395" s="79"/>
      <c r="I1395" s="79"/>
    </row>
    <row r="1396" s="78" customFormat="1" ht="16.5" customHeight="1" spans="1:9">
      <c r="A1396" s="79"/>
      <c r="B1396" s="79"/>
      <c r="C1396" s="79"/>
      <c r="D1396" s="81">
        <v>44180</v>
      </c>
      <c r="E1396" s="82">
        <v>13567.85</v>
      </c>
      <c r="G1396" s="79"/>
      <c r="H1396" s="79"/>
      <c r="I1396" s="79"/>
    </row>
    <row r="1397" s="78" customFormat="1" ht="16.5" customHeight="1" spans="1:9">
      <c r="A1397" s="79"/>
      <c r="B1397" s="79"/>
      <c r="C1397" s="79"/>
      <c r="D1397" s="81">
        <v>44179</v>
      </c>
      <c r="E1397" s="82">
        <v>13558.15</v>
      </c>
      <c r="G1397" s="79"/>
      <c r="H1397" s="79"/>
      <c r="I1397" s="79"/>
    </row>
    <row r="1398" s="78" customFormat="1" ht="16.5" customHeight="1" spans="1:9">
      <c r="A1398" s="79"/>
      <c r="B1398" s="79"/>
      <c r="C1398" s="79"/>
      <c r="D1398" s="81">
        <v>44176</v>
      </c>
      <c r="E1398" s="82">
        <v>13513.85</v>
      </c>
      <c r="G1398" s="79"/>
      <c r="H1398" s="79"/>
      <c r="I1398" s="79"/>
    </row>
    <row r="1399" s="78" customFormat="1" ht="16.5" customHeight="1" spans="1:9">
      <c r="A1399" s="79"/>
      <c r="B1399" s="79"/>
      <c r="C1399" s="79"/>
      <c r="D1399" s="81">
        <v>44175</v>
      </c>
      <c r="E1399" s="82">
        <v>13478.3</v>
      </c>
      <c r="G1399" s="79"/>
      <c r="H1399" s="79"/>
      <c r="I1399" s="79"/>
    </row>
    <row r="1400" s="78" customFormat="1" ht="16.5" customHeight="1" spans="1:9">
      <c r="A1400" s="79"/>
      <c r="B1400" s="79"/>
      <c r="C1400" s="79"/>
      <c r="D1400" s="81">
        <v>44174</v>
      </c>
      <c r="E1400" s="82">
        <v>13529.1</v>
      </c>
      <c r="G1400" s="79"/>
      <c r="H1400" s="79"/>
      <c r="I1400" s="79"/>
    </row>
    <row r="1401" s="78" customFormat="1" ht="16.5" customHeight="1" spans="1:9">
      <c r="A1401" s="79"/>
      <c r="B1401" s="79"/>
      <c r="C1401" s="79"/>
      <c r="D1401" s="81">
        <v>44173</v>
      </c>
      <c r="E1401" s="82">
        <v>13392.95</v>
      </c>
      <c r="G1401" s="79"/>
      <c r="H1401" s="79"/>
      <c r="I1401" s="79"/>
    </row>
    <row r="1402" s="78" customFormat="1" ht="16.5" customHeight="1" spans="1:9">
      <c r="A1402" s="79"/>
      <c r="B1402" s="79"/>
      <c r="C1402" s="79"/>
      <c r="D1402" s="81">
        <v>44172</v>
      </c>
      <c r="E1402" s="82">
        <v>13355.75</v>
      </c>
      <c r="G1402" s="79"/>
      <c r="H1402" s="79"/>
      <c r="I1402" s="79"/>
    </row>
    <row r="1403" s="78" customFormat="1" ht="16.5" customHeight="1" spans="1:9">
      <c r="A1403" s="79"/>
      <c r="B1403" s="79"/>
      <c r="C1403" s="79"/>
      <c r="D1403" s="81">
        <v>44169</v>
      </c>
      <c r="E1403" s="82">
        <v>13258.55</v>
      </c>
      <c r="G1403" s="79"/>
      <c r="H1403" s="79"/>
      <c r="I1403" s="79"/>
    </row>
    <row r="1404" s="78" customFormat="1" ht="16.5" customHeight="1" spans="1:9">
      <c r="A1404" s="79"/>
      <c r="B1404" s="79"/>
      <c r="C1404" s="79"/>
      <c r="D1404" s="81">
        <v>44168</v>
      </c>
      <c r="E1404" s="82">
        <v>13133.9</v>
      </c>
      <c r="G1404" s="79"/>
      <c r="H1404" s="79"/>
      <c r="I1404" s="79"/>
    </row>
    <row r="1405" s="78" customFormat="1" ht="16.5" customHeight="1" spans="1:9">
      <c r="A1405" s="79"/>
      <c r="B1405" s="79"/>
      <c r="C1405" s="79"/>
      <c r="D1405" s="81">
        <v>44167</v>
      </c>
      <c r="E1405" s="82">
        <v>13113.75</v>
      </c>
      <c r="G1405" s="79"/>
      <c r="H1405" s="79"/>
      <c r="I1405" s="79"/>
    </row>
    <row r="1406" s="78" customFormat="1" ht="16.5" customHeight="1" spans="1:9">
      <c r="A1406" s="79"/>
      <c r="B1406" s="79"/>
      <c r="C1406" s="79"/>
      <c r="D1406" s="81">
        <v>44166</v>
      </c>
      <c r="E1406" s="82">
        <v>13109.05</v>
      </c>
      <c r="G1406" s="79"/>
      <c r="H1406" s="79"/>
      <c r="I1406" s="79"/>
    </row>
    <row r="1407" s="78" customFormat="1" ht="16.5" customHeight="1" spans="1:9">
      <c r="A1407" s="79"/>
      <c r="B1407" s="79"/>
      <c r="C1407" s="79"/>
      <c r="D1407" s="81">
        <v>44162</v>
      </c>
      <c r="E1407" s="82">
        <v>12968.95</v>
      </c>
      <c r="G1407" s="79"/>
      <c r="H1407" s="79"/>
      <c r="I1407" s="79"/>
    </row>
    <row r="1408" s="78" customFormat="1" ht="16.5" customHeight="1" spans="1:9">
      <c r="A1408" s="79"/>
      <c r="B1408" s="79"/>
      <c r="C1408" s="79"/>
      <c r="D1408" s="81">
        <v>44161</v>
      </c>
      <c r="E1408" s="82">
        <v>12987</v>
      </c>
      <c r="G1408" s="79"/>
      <c r="H1408" s="79"/>
      <c r="I1408" s="79"/>
    </row>
    <row r="1409" s="78" customFormat="1" ht="16.5" customHeight="1" spans="1:9">
      <c r="A1409" s="79"/>
      <c r="B1409" s="79"/>
      <c r="C1409" s="79"/>
      <c r="D1409" s="81">
        <v>44160</v>
      </c>
      <c r="E1409" s="82">
        <v>12858.4</v>
      </c>
      <c r="G1409" s="79"/>
      <c r="H1409" s="79"/>
      <c r="I1409" s="79"/>
    </row>
    <row r="1410" s="78" customFormat="1" ht="16.5" customHeight="1" spans="1:9">
      <c r="A1410" s="79"/>
      <c r="B1410" s="79"/>
      <c r="C1410" s="79"/>
      <c r="D1410" s="81">
        <v>44159</v>
      </c>
      <c r="E1410" s="82">
        <v>13055.15</v>
      </c>
      <c r="G1410" s="79"/>
      <c r="H1410" s="79"/>
      <c r="I1410" s="79"/>
    </row>
    <row r="1411" s="78" customFormat="1" ht="16.5" customHeight="1" spans="1:9">
      <c r="A1411" s="79"/>
      <c r="B1411" s="79"/>
      <c r="C1411" s="79"/>
      <c r="D1411" s="81">
        <v>44158</v>
      </c>
      <c r="E1411" s="82">
        <v>12926.45</v>
      </c>
      <c r="G1411" s="79"/>
      <c r="H1411" s="79"/>
      <c r="I1411" s="79"/>
    </row>
    <row r="1412" s="78" customFormat="1" ht="16.5" customHeight="1" spans="1:9">
      <c r="A1412" s="79"/>
      <c r="B1412" s="79"/>
      <c r="C1412" s="79"/>
      <c r="D1412" s="81">
        <v>44155</v>
      </c>
      <c r="E1412" s="82">
        <v>12859.05</v>
      </c>
      <c r="G1412" s="79"/>
      <c r="H1412" s="79"/>
      <c r="I1412" s="79"/>
    </row>
    <row r="1413" s="78" customFormat="1" ht="16.5" customHeight="1" spans="1:9">
      <c r="A1413" s="79"/>
      <c r="B1413" s="79"/>
      <c r="C1413" s="79"/>
      <c r="D1413" s="81">
        <v>44154</v>
      </c>
      <c r="E1413" s="82">
        <v>12771.7</v>
      </c>
      <c r="G1413" s="79"/>
      <c r="H1413" s="79"/>
      <c r="I1413" s="79"/>
    </row>
    <row r="1414" s="78" customFormat="1" ht="16.5" customHeight="1" spans="1:9">
      <c r="A1414" s="79"/>
      <c r="B1414" s="79"/>
      <c r="C1414" s="79"/>
      <c r="D1414" s="81">
        <v>44153</v>
      </c>
      <c r="E1414" s="82">
        <v>12938.25</v>
      </c>
      <c r="G1414" s="79"/>
      <c r="H1414" s="79"/>
      <c r="I1414" s="79"/>
    </row>
    <row r="1415" s="78" customFormat="1" ht="16.5" customHeight="1" spans="1:9">
      <c r="A1415" s="79"/>
      <c r="B1415" s="79"/>
      <c r="C1415" s="79"/>
      <c r="D1415" s="81">
        <v>44152</v>
      </c>
      <c r="E1415" s="82">
        <v>12874.2</v>
      </c>
      <c r="G1415" s="79"/>
      <c r="H1415" s="79"/>
      <c r="I1415" s="79"/>
    </row>
    <row r="1416" s="78" customFormat="1" ht="16.5" customHeight="1" spans="1:9">
      <c r="A1416" s="79"/>
      <c r="B1416" s="79"/>
      <c r="C1416" s="79"/>
      <c r="D1416" s="81">
        <v>44149</v>
      </c>
      <c r="E1416" s="82">
        <v>12780.25</v>
      </c>
      <c r="G1416" s="79"/>
      <c r="H1416" s="79"/>
      <c r="I1416" s="79"/>
    </row>
    <row r="1417" s="78" customFormat="1" ht="16.5" customHeight="1" spans="1:9">
      <c r="A1417" s="79"/>
      <c r="B1417" s="79"/>
      <c r="C1417" s="79"/>
      <c r="D1417" s="81">
        <v>44148</v>
      </c>
      <c r="E1417" s="82">
        <v>12719.95</v>
      </c>
      <c r="G1417" s="79"/>
      <c r="H1417" s="79"/>
      <c r="I1417" s="79"/>
    </row>
    <row r="1418" s="78" customFormat="1" ht="16.5" customHeight="1" spans="1:9">
      <c r="A1418" s="79"/>
      <c r="B1418" s="79"/>
      <c r="C1418" s="79"/>
      <c r="D1418" s="81">
        <v>44147</v>
      </c>
      <c r="E1418" s="82">
        <v>12690.8</v>
      </c>
      <c r="G1418" s="79"/>
      <c r="H1418" s="79"/>
      <c r="I1418" s="79"/>
    </row>
    <row r="1419" s="78" customFormat="1" ht="16.5" customHeight="1" spans="1:9">
      <c r="A1419" s="79"/>
      <c r="B1419" s="79"/>
      <c r="C1419" s="79"/>
      <c r="D1419" s="81">
        <v>44146</v>
      </c>
      <c r="E1419" s="82">
        <v>12749.15</v>
      </c>
      <c r="G1419" s="79"/>
      <c r="H1419" s="79"/>
      <c r="I1419" s="79"/>
    </row>
    <row r="1420" s="78" customFormat="1" ht="16.5" customHeight="1" spans="1:9">
      <c r="A1420" s="79"/>
      <c r="B1420" s="79"/>
      <c r="C1420" s="79"/>
      <c r="D1420" s="81">
        <v>44145</v>
      </c>
      <c r="E1420" s="82">
        <v>12631.1</v>
      </c>
      <c r="G1420" s="79"/>
      <c r="H1420" s="79"/>
      <c r="I1420" s="79"/>
    </row>
    <row r="1421" s="78" customFormat="1" ht="16.5" customHeight="1" spans="1:9">
      <c r="A1421" s="79"/>
      <c r="B1421" s="79"/>
      <c r="C1421" s="79"/>
      <c r="D1421" s="81">
        <v>44144</v>
      </c>
      <c r="E1421" s="82">
        <v>12461.05</v>
      </c>
      <c r="G1421" s="79"/>
      <c r="H1421" s="79"/>
      <c r="I1421" s="79"/>
    </row>
    <row r="1422" s="78" customFormat="1" ht="16.5" customHeight="1" spans="1:9">
      <c r="A1422" s="79"/>
      <c r="B1422" s="79"/>
      <c r="C1422" s="79"/>
      <c r="D1422" s="81">
        <v>44141</v>
      </c>
      <c r="E1422" s="82">
        <v>12263.55</v>
      </c>
      <c r="G1422" s="79"/>
      <c r="H1422" s="79"/>
      <c r="I1422" s="79"/>
    </row>
    <row r="1423" s="78" customFormat="1" ht="16.5" customHeight="1" spans="1:9">
      <c r="A1423" s="79"/>
      <c r="B1423" s="79"/>
      <c r="C1423" s="79"/>
      <c r="D1423" s="81">
        <v>44140</v>
      </c>
      <c r="E1423" s="82">
        <v>12120.3</v>
      </c>
      <c r="G1423" s="79"/>
      <c r="H1423" s="79"/>
      <c r="I1423" s="79"/>
    </row>
    <row r="1424" s="78" customFormat="1" ht="16.5" customHeight="1" spans="1:9">
      <c r="A1424" s="79"/>
      <c r="B1424" s="79"/>
      <c r="C1424" s="79"/>
      <c r="D1424" s="81">
        <v>44139</v>
      </c>
      <c r="E1424" s="82">
        <v>11908.5</v>
      </c>
      <c r="G1424" s="79"/>
      <c r="H1424" s="79"/>
      <c r="I1424" s="79"/>
    </row>
    <row r="1425" s="78" customFormat="1" ht="16.5" customHeight="1" spans="1:9">
      <c r="A1425" s="79"/>
      <c r="B1425" s="79"/>
      <c r="C1425" s="79"/>
      <c r="D1425" s="81">
        <v>44138</v>
      </c>
      <c r="E1425" s="82">
        <v>11813.5</v>
      </c>
      <c r="G1425" s="79"/>
      <c r="H1425" s="79"/>
      <c r="I1425" s="79"/>
    </row>
    <row r="1426" s="78" customFormat="1" ht="16.5" customHeight="1" spans="1:9">
      <c r="A1426" s="79"/>
      <c r="B1426" s="79"/>
      <c r="C1426" s="79"/>
      <c r="D1426" s="81">
        <v>44137</v>
      </c>
      <c r="E1426" s="82">
        <v>11669.15</v>
      </c>
      <c r="G1426" s="79"/>
      <c r="H1426" s="79"/>
      <c r="I1426" s="79"/>
    </row>
    <row r="1427" s="78" customFormat="1" ht="16.5" customHeight="1" spans="1:9">
      <c r="A1427" s="79"/>
      <c r="B1427" s="79"/>
      <c r="C1427" s="79"/>
      <c r="D1427" s="81">
        <v>44134</v>
      </c>
      <c r="E1427" s="82">
        <v>11642.4</v>
      </c>
      <c r="G1427" s="79"/>
      <c r="H1427" s="79"/>
      <c r="I1427" s="79"/>
    </row>
    <row r="1428" s="78" customFormat="1" ht="16.5" customHeight="1" spans="1:9">
      <c r="A1428" s="79"/>
      <c r="B1428" s="79"/>
      <c r="C1428" s="79"/>
      <c r="D1428" s="81">
        <v>44133</v>
      </c>
      <c r="E1428" s="82">
        <v>11670.8</v>
      </c>
      <c r="G1428" s="79"/>
      <c r="H1428" s="79"/>
      <c r="I1428" s="79"/>
    </row>
    <row r="1429" s="78" customFormat="1" ht="16.5" customHeight="1" spans="1:9">
      <c r="A1429" s="79"/>
      <c r="B1429" s="79"/>
      <c r="C1429" s="79"/>
      <c r="D1429" s="81">
        <v>44132</v>
      </c>
      <c r="E1429" s="82">
        <v>11729.6</v>
      </c>
      <c r="G1429" s="79"/>
      <c r="H1429" s="79"/>
      <c r="I1429" s="79"/>
    </row>
    <row r="1430" s="78" customFormat="1" ht="16.5" customHeight="1" spans="1:9">
      <c r="A1430" s="79"/>
      <c r="B1430" s="79"/>
      <c r="C1430" s="79"/>
      <c r="D1430" s="81">
        <v>44131</v>
      </c>
      <c r="E1430" s="82">
        <v>11889.4</v>
      </c>
      <c r="G1430" s="79"/>
      <c r="H1430" s="79"/>
      <c r="I1430" s="79"/>
    </row>
    <row r="1431" s="78" customFormat="1" ht="16.5" customHeight="1" spans="1:9">
      <c r="A1431" s="79"/>
      <c r="B1431" s="79"/>
      <c r="C1431" s="79"/>
      <c r="D1431" s="81">
        <v>44130</v>
      </c>
      <c r="E1431" s="82">
        <v>11767.75</v>
      </c>
      <c r="G1431" s="79"/>
      <c r="H1431" s="79"/>
      <c r="I1431" s="79"/>
    </row>
    <row r="1432" s="78" customFormat="1" ht="16.5" customHeight="1" spans="1:9">
      <c r="A1432" s="79"/>
      <c r="B1432" s="79"/>
      <c r="C1432" s="79"/>
      <c r="D1432" s="81">
        <v>44127</v>
      </c>
      <c r="E1432" s="82">
        <v>11930.35</v>
      </c>
      <c r="G1432" s="79"/>
      <c r="H1432" s="79"/>
      <c r="I1432" s="79"/>
    </row>
    <row r="1433" s="78" customFormat="1" ht="16.5" customHeight="1" spans="1:9">
      <c r="A1433" s="79"/>
      <c r="B1433" s="79"/>
      <c r="C1433" s="79"/>
      <c r="D1433" s="81">
        <v>44126</v>
      </c>
      <c r="E1433" s="82">
        <v>11896.45</v>
      </c>
      <c r="G1433" s="79"/>
      <c r="H1433" s="79"/>
      <c r="I1433" s="79"/>
    </row>
    <row r="1434" s="78" customFormat="1" ht="16.5" customHeight="1" spans="1:9">
      <c r="A1434" s="79"/>
      <c r="B1434" s="79"/>
      <c r="C1434" s="79"/>
      <c r="D1434" s="81">
        <v>44125</v>
      </c>
      <c r="E1434" s="82">
        <v>11937.65</v>
      </c>
      <c r="G1434" s="79"/>
      <c r="H1434" s="79"/>
      <c r="I1434" s="79"/>
    </row>
    <row r="1435" s="78" customFormat="1" ht="16.5" customHeight="1" spans="1:9">
      <c r="A1435" s="79"/>
      <c r="B1435" s="79"/>
      <c r="C1435" s="79"/>
      <c r="D1435" s="81">
        <v>44124</v>
      </c>
      <c r="E1435" s="82">
        <v>11896.8</v>
      </c>
      <c r="G1435" s="79"/>
      <c r="H1435" s="79"/>
      <c r="I1435" s="79"/>
    </row>
    <row r="1436" s="78" customFormat="1" ht="16.5" customHeight="1" spans="1:9">
      <c r="A1436" s="79"/>
      <c r="B1436" s="79"/>
      <c r="C1436" s="79"/>
      <c r="D1436" s="81">
        <v>44123</v>
      </c>
      <c r="E1436" s="82">
        <v>11873.05</v>
      </c>
      <c r="G1436" s="79"/>
      <c r="H1436" s="79"/>
      <c r="I1436" s="79"/>
    </row>
    <row r="1437" s="78" customFormat="1" ht="16.5" customHeight="1" spans="1:9">
      <c r="A1437" s="79"/>
      <c r="B1437" s="79"/>
      <c r="C1437" s="79"/>
      <c r="D1437" s="81">
        <v>44120</v>
      </c>
      <c r="E1437" s="82">
        <v>11762.45</v>
      </c>
      <c r="G1437" s="79"/>
      <c r="H1437" s="79"/>
      <c r="I1437" s="79"/>
    </row>
    <row r="1438" s="78" customFormat="1" ht="16.5" customHeight="1" spans="1:9">
      <c r="A1438" s="79"/>
      <c r="B1438" s="79"/>
      <c r="C1438" s="79"/>
      <c r="D1438" s="81">
        <v>44119</v>
      </c>
      <c r="E1438" s="82">
        <v>11680.35</v>
      </c>
      <c r="G1438" s="79"/>
      <c r="H1438" s="79"/>
      <c r="I1438" s="79"/>
    </row>
    <row r="1439" s="78" customFormat="1" ht="16.5" customHeight="1" spans="1:9">
      <c r="A1439" s="79"/>
      <c r="B1439" s="79"/>
      <c r="C1439" s="79"/>
      <c r="D1439" s="81">
        <v>44118</v>
      </c>
      <c r="E1439" s="82">
        <v>11971.05</v>
      </c>
      <c r="G1439" s="79"/>
      <c r="H1439" s="79"/>
      <c r="I1439" s="79"/>
    </row>
    <row r="1440" s="78" customFormat="1" ht="16.5" customHeight="1" spans="1:9">
      <c r="A1440" s="79"/>
      <c r="B1440" s="79"/>
      <c r="C1440" s="79"/>
      <c r="D1440" s="81">
        <v>44117</v>
      </c>
      <c r="E1440" s="82">
        <v>11934.5</v>
      </c>
      <c r="G1440" s="79"/>
      <c r="H1440" s="79"/>
      <c r="I1440" s="79"/>
    </row>
    <row r="1441" s="78" customFormat="1" ht="16.5" customHeight="1" spans="1:9">
      <c r="A1441" s="79"/>
      <c r="B1441" s="79"/>
      <c r="C1441" s="79"/>
      <c r="D1441" s="81">
        <v>44116</v>
      </c>
      <c r="E1441" s="82">
        <v>11930.95</v>
      </c>
      <c r="G1441" s="79"/>
      <c r="H1441" s="79"/>
      <c r="I1441" s="79"/>
    </row>
    <row r="1442" s="78" customFormat="1" ht="16.5" customHeight="1" spans="1:9">
      <c r="A1442" s="79"/>
      <c r="B1442" s="79"/>
      <c r="C1442" s="79"/>
      <c r="D1442" s="81">
        <v>44113</v>
      </c>
      <c r="E1442" s="82">
        <v>11914.2</v>
      </c>
      <c r="G1442" s="79"/>
      <c r="H1442" s="79"/>
      <c r="I1442" s="79"/>
    </row>
    <row r="1443" s="78" customFormat="1" ht="16.5" customHeight="1" spans="1:9">
      <c r="A1443" s="79"/>
      <c r="B1443" s="79"/>
      <c r="C1443" s="79"/>
      <c r="D1443" s="81">
        <v>44112</v>
      </c>
      <c r="E1443" s="82">
        <v>11834.6</v>
      </c>
      <c r="G1443" s="79"/>
      <c r="H1443" s="79"/>
      <c r="I1443" s="79"/>
    </row>
    <row r="1444" s="78" customFormat="1" ht="16.5" customHeight="1" spans="1:9">
      <c r="A1444" s="79"/>
      <c r="B1444" s="79"/>
      <c r="C1444" s="79"/>
      <c r="D1444" s="81">
        <v>44111</v>
      </c>
      <c r="E1444" s="82">
        <v>11738.85</v>
      </c>
      <c r="G1444" s="79"/>
      <c r="H1444" s="79"/>
      <c r="I1444" s="79"/>
    </row>
    <row r="1445" s="78" customFormat="1" ht="16.5" customHeight="1" spans="1:9">
      <c r="A1445" s="79"/>
      <c r="B1445" s="79"/>
      <c r="C1445" s="79"/>
      <c r="D1445" s="81">
        <v>44110</v>
      </c>
      <c r="E1445" s="82">
        <v>11662.4</v>
      </c>
      <c r="G1445" s="79"/>
      <c r="H1445" s="79"/>
      <c r="I1445" s="79"/>
    </row>
    <row r="1446" s="78" customFormat="1" ht="16.5" customHeight="1" spans="1:9">
      <c r="A1446" s="79"/>
      <c r="B1446" s="79"/>
      <c r="C1446" s="79"/>
      <c r="D1446" s="81">
        <v>44109</v>
      </c>
      <c r="E1446" s="82">
        <v>11503.35</v>
      </c>
      <c r="G1446" s="79"/>
      <c r="H1446" s="79"/>
      <c r="I1446" s="79"/>
    </row>
    <row r="1447" s="78" customFormat="1" ht="16.5" customHeight="1" spans="1:9">
      <c r="A1447" s="79"/>
      <c r="B1447" s="79"/>
      <c r="C1447" s="79"/>
      <c r="D1447" s="81">
        <v>44105</v>
      </c>
      <c r="E1447" s="82">
        <v>11416.95</v>
      </c>
      <c r="G1447" s="79"/>
      <c r="H1447" s="79"/>
      <c r="I1447" s="79"/>
    </row>
    <row r="1448" s="78" customFormat="1" ht="16.5" customHeight="1" spans="1:9">
      <c r="A1448" s="79"/>
      <c r="B1448" s="79"/>
      <c r="C1448" s="79"/>
      <c r="D1448" s="81">
        <v>44104</v>
      </c>
      <c r="E1448" s="82">
        <v>11247.55</v>
      </c>
      <c r="G1448" s="79"/>
      <c r="H1448" s="79"/>
      <c r="I1448" s="79"/>
    </row>
    <row r="1449" s="78" customFormat="1" ht="16.5" customHeight="1" spans="1:9">
      <c r="A1449" s="79"/>
      <c r="B1449" s="79"/>
      <c r="C1449" s="79"/>
      <c r="D1449" s="81">
        <v>44103</v>
      </c>
      <c r="E1449" s="82">
        <v>11222.4</v>
      </c>
      <c r="G1449" s="79"/>
      <c r="H1449" s="79"/>
      <c r="I1449" s="79"/>
    </row>
    <row r="1450" s="78" customFormat="1" ht="16.5" customHeight="1" spans="1:9">
      <c r="A1450" s="79"/>
      <c r="B1450" s="79"/>
      <c r="C1450" s="79"/>
      <c r="D1450" s="81">
        <v>44102</v>
      </c>
      <c r="E1450" s="82">
        <v>11227.55</v>
      </c>
      <c r="G1450" s="79"/>
      <c r="H1450" s="79"/>
      <c r="I1450" s="79"/>
    </row>
    <row r="1451" s="78" customFormat="1" ht="16.5" customHeight="1" spans="1:9">
      <c r="A1451" s="79"/>
      <c r="B1451" s="79"/>
      <c r="C1451" s="79"/>
      <c r="D1451" s="81">
        <v>44099</v>
      </c>
      <c r="E1451" s="82">
        <v>11050.25</v>
      </c>
      <c r="G1451" s="79"/>
      <c r="H1451" s="79"/>
      <c r="I1451" s="79"/>
    </row>
    <row r="1452" s="78" customFormat="1" ht="16.5" customHeight="1" spans="1:9">
      <c r="A1452" s="79"/>
      <c r="B1452" s="79"/>
      <c r="C1452" s="79"/>
      <c r="D1452" s="81">
        <v>44098</v>
      </c>
      <c r="E1452" s="82">
        <v>10805.55</v>
      </c>
      <c r="G1452" s="79"/>
      <c r="H1452" s="79"/>
      <c r="I1452" s="79"/>
    </row>
    <row r="1453" s="78" customFormat="1" ht="16.5" customHeight="1" spans="1:9">
      <c r="A1453" s="79"/>
      <c r="B1453" s="79"/>
      <c r="C1453" s="79"/>
      <c r="D1453" s="81">
        <v>44097</v>
      </c>
      <c r="E1453" s="82">
        <v>11131.85</v>
      </c>
      <c r="G1453" s="79"/>
      <c r="H1453" s="79"/>
      <c r="I1453" s="79"/>
    </row>
    <row r="1454" s="78" customFormat="1" ht="16.5" customHeight="1" spans="1:9">
      <c r="A1454" s="79"/>
      <c r="B1454" s="79"/>
      <c r="C1454" s="79"/>
      <c r="D1454" s="81">
        <v>44096</v>
      </c>
      <c r="E1454" s="82">
        <v>11153.65</v>
      </c>
      <c r="G1454" s="79"/>
      <c r="H1454" s="79"/>
      <c r="I1454" s="79"/>
    </row>
    <row r="1455" s="78" customFormat="1" ht="16.5" customHeight="1" spans="1:9">
      <c r="A1455" s="79"/>
      <c r="B1455" s="79"/>
      <c r="C1455" s="79"/>
      <c r="D1455" s="81">
        <v>44095</v>
      </c>
      <c r="E1455" s="82">
        <v>11250.55</v>
      </c>
      <c r="G1455" s="79"/>
      <c r="H1455" s="79"/>
      <c r="I1455" s="79"/>
    </row>
    <row r="1456" s="78" customFormat="1" ht="16.5" customHeight="1" spans="1:9">
      <c r="A1456" s="79"/>
      <c r="B1456" s="79"/>
      <c r="C1456" s="79"/>
      <c r="D1456" s="81">
        <v>44092</v>
      </c>
      <c r="E1456" s="82">
        <v>11504.95</v>
      </c>
      <c r="G1456" s="79"/>
      <c r="H1456" s="79"/>
      <c r="I1456" s="79"/>
    </row>
    <row r="1457" s="78" customFormat="1" ht="16.5" customHeight="1" spans="1:9">
      <c r="A1457" s="79"/>
      <c r="B1457" s="79"/>
      <c r="C1457" s="79"/>
      <c r="D1457" s="81">
        <v>44091</v>
      </c>
      <c r="E1457" s="82">
        <v>11516.1</v>
      </c>
      <c r="G1457" s="79"/>
      <c r="H1457" s="79"/>
      <c r="I1457" s="79"/>
    </row>
    <row r="1458" s="78" customFormat="1" ht="16.5" customHeight="1" spans="1:9">
      <c r="A1458" s="79"/>
      <c r="B1458" s="79"/>
      <c r="C1458" s="79"/>
      <c r="D1458" s="81">
        <v>44090</v>
      </c>
      <c r="E1458" s="82">
        <v>11604.55</v>
      </c>
      <c r="G1458" s="79"/>
      <c r="H1458" s="79"/>
      <c r="I1458" s="79"/>
    </row>
    <row r="1459" s="78" customFormat="1" ht="16.5" customHeight="1" spans="1:9">
      <c r="A1459" s="79"/>
      <c r="B1459" s="79"/>
      <c r="C1459" s="79"/>
      <c r="D1459" s="81">
        <v>44089</v>
      </c>
      <c r="E1459" s="82">
        <v>11521.8</v>
      </c>
      <c r="G1459" s="79"/>
      <c r="H1459" s="79"/>
      <c r="I1459" s="79"/>
    </row>
    <row r="1460" s="78" customFormat="1" ht="16.5" customHeight="1" spans="1:9">
      <c r="A1460" s="79"/>
      <c r="B1460" s="79"/>
      <c r="C1460" s="79"/>
      <c r="D1460" s="81">
        <v>44088</v>
      </c>
      <c r="E1460" s="82">
        <v>11440.05</v>
      </c>
      <c r="G1460" s="79"/>
      <c r="H1460" s="79"/>
      <c r="I1460" s="79"/>
    </row>
    <row r="1461" s="78" customFormat="1" ht="16.5" customHeight="1" spans="1:9">
      <c r="A1461" s="79"/>
      <c r="B1461" s="79"/>
      <c r="C1461" s="79"/>
      <c r="D1461" s="81">
        <v>44085</v>
      </c>
      <c r="E1461" s="82">
        <v>11464.45</v>
      </c>
      <c r="G1461" s="79"/>
      <c r="H1461" s="79"/>
      <c r="I1461" s="79"/>
    </row>
    <row r="1462" s="78" customFormat="1" ht="16.5" customHeight="1" spans="1:9">
      <c r="A1462" s="79"/>
      <c r="B1462" s="79"/>
      <c r="C1462" s="79"/>
      <c r="D1462" s="81">
        <v>44084</v>
      </c>
      <c r="E1462" s="82">
        <v>11449.25</v>
      </c>
      <c r="G1462" s="79"/>
      <c r="H1462" s="79"/>
      <c r="I1462" s="79"/>
    </row>
    <row r="1463" s="78" customFormat="1" ht="16.5" customHeight="1" spans="1:9">
      <c r="A1463" s="79"/>
      <c r="B1463" s="79"/>
      <c r="C1463" s="79"/>
      <c r="D1463" s="81">
        <v>44083</v>
      </c>
      <c r="E1463" s="82">
        <v>11278</v>
      </c>
      <c r="G1463" s="79"/>
      <c r="H1463" s="79"/>
      <c r="I1463" s="79"/>
    </row>
    <row r="1464" s="78" customFormat="1" ht="16.5" customHeight="1" spans="1:9">
      <c r="A1464" s="79"/>
      <c r="B1464" s="79"/>
      <c r="C1464" s="79"/>
      <c r="D1464" s="81">
        <v>44082</v>
      </c>
      <c r="E1464" s="82">
        <v>11317.35</v>
      </c>
      <c r="G1464" s="79"/>
      <c r="H1464" s="79"/>
      <c r="I1464" s="79"/>
    </row>
    <row r="1465" s="78" customFormat="1" ht="16.5" customHeight="1" spans="1:9">
      <c r="A1465" s="79"/>
      <c r="B1465" s="79"/>
      <c r="C1465" s="79"/>
      <c r="D1465" s="81">
        <v>44081</v>
      </c>
      <c r="E1465" s="82">
        <v>11355.05</v>
      </c>
      <c r="G1465" s="79"/>
      <c r="H1465" s="79"/>
      <c r="I1465" s="79"/>
    </row>
    <row r="1466" s="78" customFormat="1" ht="16.5" customHeight="1" spans="1:9">
      <c r="A1466" s="79"/>
      <c r="B1466" s="79"/>
      <c r="C1466" s="79"/>
      <c r="D1466" s="81">
        <v>44078</v>
      </c>
      <c r="E1466" s="82">
        <v>11333.85</v>
      </c>
      <c r="G1466" s="79"/>
      <c r="H1466" s="79"/>
      <c r="I1466" s="79"/>
    </row>
    <row r="1467" s="78" customFormat="1" ht="16.5" customHeight="1" spans="1:9">
      <c r="A1467" s="79"/>
      <c r="B1467" s="79"/>
      <c r="C1467" s="79"/>
      <c r="D1467" s="81">
        <v>44077</v>
      </c>
      <c r="E1467" s="82">
        <v>11527.45</v>
      </c>
      <c r="G1467" s="79"/>
      <c r="H1467" s="79"/>
      <c r="I1467" s="79"/>
    </row>
    <row r="1468" s="78" customFormat="1" ht="16.5" customHeight="1" spans="1:9">
      <c r="A1468" s="79"/>
      <c r="B1468" s="79"/>
      <c r="C1468" s="79"/>
      <c r="D1468" s="81">
        <v>44076</v>
      </c>
      <c r="E1468" s="82">
        <v>11535</v>
      </c>
      <c r="G1468" s="79"/>
      <c r="H1468" s="79"/>
      <c r="I1468" s="79"/>
    </row>
    <row r="1469" s="78" customFormat="1" ht="16.5" customHeight="1" spans="1:9">
      <c r="A1469" s="79"/>
      <c r="B1469" s="79"/>
      <c r="C1469" s="79"/>
      <c r="D1469" s="81">
        <v>44075</v>
      </c>
      <c r="E1469" s="82">
        <v>11470.25</v>
      </c>
      <c r="G1469" s="79"/>
      <c r="H1469" s="79"/>
      <c r="I1469" s="79"/>
    </row>
    <row r="1470" s="78" customFormat="1" ht="16.5" customHeight="1" spans="1:9">
      <c r="A1470" s="79"/>
      <c r="B1470" s="79"/>
      <c r="C1470" s="79"/>
      <c r="D1470" s="81">
        <v>44074</v>
      </c>
      <c r="E1470" s="82">
        <v>11387.5</v>
      </c>
      <c r="G1470" s="79"/>
      <c r="H1470" s="79"/>
      <c r="I1470" s="79"/>
    </row>
    <row r="1471" s="78" customFormat="1" ht="16.5" customHeight="1" spans="1:9">
      <c r="A1471" s="79"/>
      <c r="B1471" s="79"/>
      <c r="C1471" s="79"/>
      <c r="D1471" s="81">
        <v>44071</v>
      </c>
      <c r="E1471" s="82">
        <v>11647.6</v>
      </c>
      <c r="G1471" s="79"/>
      <c r="H1471" s="79"/>
      <c r="I1471" s="79"/>
    </row>
    <row r="1472" s="78" customFormat="1" ht="16.5" customHeight="1" spans="1:9">
      <c r="A1472" s="79"/>
      <c r="B1472" s="79"/>
      <c r="C1472" s="79"/>
      <c r="D1472" s="81">
        <v>44070</v>
      </c>
      <c r="E1472" s="82">
        <v>11559.25</v>
      </c>
      <c r="G1472" s="79"/>
      <c r="H1472" s="79"/>
      <c r="I1472" s="79"/>
    </row>
    <row r="1473" s="78" customFormat="1" ht="16.5" customHeight="1" spans="1:9">
      <c r="A1473" s="79"/>
      <c r="B1473" s="79"/>
      <c r="C1473" s="79"/>
      <c r="D1473" s="81">
        <v>44069</v>
      </c>
      <c r="E1473" s="82">
        <v>11549.6</v>
      </c>
      <c r="G1473" s="79"/>
      <c r="H1473" s="79"/>
      <c r="I1473" s="79"/>
    </row>
    <row r="1474" s="78" customFormat="1" ht="16.5" customHeight="1" spans="1:9">
      <c r="A1474" s="79"/>
      <c r="B1474" s="79"/>
      <c r="C1474" s="79"/>
      <c r="D1474" s="81">
        <v>44068</v>
      </c>
      <c r="E1474" s="82">
        <v>11472.25</v>
      </c>
      <c r="G1474" s="79"/>
      <c r="H1474" s="79"/>
      <c r="I1474" s="79"/>
    </row>
    <row r="1475" s="78" customFormat="1" ht="16.5" customHeight="1" spans="1:9">
      <c r="A1475" s="79"/>
      <c r="B1475" s="79"/>
      <c r="C1475" s="79"/>
      <c r="D1475" s="81">
        <v>44067</v>
      </c>
      <c r="E1475" s="82">
        <v>11466.45</v>
      </c>
      <c r="G1475" s="79"/>
      <c r="H1475" s="79"/>
      <c r="I1475" s="79"/>
    </row>
    <row r="1476" s="78" customFormat="1" ht="16.5" customHeight="1" spans="1:9">
      <c r="A1476" s="79"/>
      <c r="B1476" s="79"/>
      <c r="C1476" s="79"/>
      <c r="D1476" s="81">
        <v>44064</v>
      </c>
      <c r="E1476" s="82">
        <v>11371.6</v>
      </c>
      <c r="G1476" s="79"/>
      <c r="H1476" s="79"/>
      <c r="I1476" s="79"/>
    </row>
    <row r="1477" s="78" customFormat="1" ht="16.5" customHeight="1" spans="1:9">
      <c r="A1477" s="79"/>
      <c r="B1477" s="79"/>
      <c r="C1477" s="79"/>
      <c r="D1477" s="81">
        <v>44063</v>
      </c>
      <c r="E1477" s="82">
        <v>11312.2</v>
      </c>
      <c r="G1477" s="79"/>
      <c r="H1477" s="79"/>
      <c r="I1477" s="79"/>
    </row>
    <row r="1478" s="78" customFormat="1" ht="16.5" customHeight="1" spans="1:9">
      <c r="A1478" s="79"/>
      <c r="B1478" s="79"/>
      <c r="C1478" s="79"/>
      <c r="D1478" s="81">
        <v>44062</v>
      </c>
      <c r="E1478" s="82">
        <v>11408.4</v>
      </c>
      <c r="G1478" s="79"/>
      <c r="H1478" s="79"/>
      <c r="I1478" s="79"/>
    </row>
    <row r="1479" s="78" customFormat="1" ht="16.5" customHeight="1" spans="1:9">
      <c r="A1479" s="79"/>
      <c r="B1479" s="79"/>
      <c r="C1479" s="79"/>
      <c r="D1479" s="81">
        <v>44061</v>
      </c>
      <c r="E1479" s="82">
        <v>11385.35</v>
      </c>
      <c r="G1479" s="79"/>
      <c r="H1479" s="79"/>
      <c r="I1479" s="79"/>
    </row>
    <row r="1480" s="78" customFormat="1" ht="16.5" customHeight="1" spans="1:9">
      <c r="A1480" s="79"/>
      <c r="B1480" s="79"/>
      <c r="C1480" s="79"/>
      <c r="D1480" s="81">
        <v>44060</v>
      </c>
      <c r="E1480" s="82">
        <v>11247.1</v>
      </c>
      <c r="G1480" s="79"/>
      <c r="H1480" s="79"/>
      <c r="I1480" s="79"/>
    </row>
    <row r="1481" s="78" customFormat="1" ht="16.5" customHeight="1" spans="1:9">
      <c r="A1481" s="79"/>
      <c r="B1481" s="79"/>
      <c r="C1481" s="79"/>
      <c r="D1481" s="81">
        <v>44057</v>
      </c>
      <c r="E1481" s="82">
        <v>11178.4</v>
      </c>
      <c r="G1481" s="79"/>
      <c r="H1481" s="79"/>
      <c r="I1481" s="79"/>
    </row>
    <row r="1482" s="78" customFormat="1" ht="16.5" customHeight="1" spans="1:9">
      <c r="A1482" s="79"/>
      <c r="B1482" s="79"/>
      <c r="C1482" s="79"/>
      <c r="D1482" s="81">
        <v>44056</v>
      </c>
      <c r="E1482" s="82">
        <v>11300.45</v>
      </c>
      <c r="G1482" s="79"/>
      <c r="H1482" s="79"/>
      <c r="I1482" s="79"/>
    </row>
    <row r="1483" s="78" customFormat="1" ht="16.5" customHeight="1" spans="1:9">
      <c r="A1483" s="79"/>
      <c r="B1483" s="79"/>
      <c r="C1483" s="79"/>
      <c r="D1483" s="81">
        <v>44055</v>
      </c>
      <c r="E1483" s="82">
        <v>11308.4</v>
      </c>
      <c r="G1483" s="79"/>
      <c r="H1483" s="79"/>
      <c r="I1483" s="79"/>
    </row>
    <row r="1484" s="78" customFormat="1" ht="16.5" customHeight="1" spans="1:9">
      <c r="A1484" s="79"/>
      <c r="B1484" s="79"/>
      <c r="C1484" s="79"/>
      <c r="D1484" s="81">
        <v>44054</v>
      </c>
      <c r="E1484" s="82">
        <v>11322.5</v>
      </c>
      <c r="G1484" s="79"/>
      <c r="H1484" s="79"/>
      <c r="I1484" s="79"/>
    </row>
    <row r="1485" s="78" customFormat="1" ht="16.5" customHeight="1" spans="1:9">
      <c r="A1485" s="79"/>
      <c r="B1485" s="79"/>
      <c r="C1485" s="79"/>
      <c r="D1485" s="81">
        <v>44053</v>
      </c>
      <c r="E1485" s="82">
        <v>11270.15</v>
      </c>
      <c r="G1485" s="79"/>
      <c r="H1485" s="79"/>
      <c r="I1485" s="79"/>
    </row>
    <row r="1486" s="78" customFormat="1" ht="16.5" customHeight="1" spans="1:9">
      <c r="A1486" s="79"/>
      <c r="B1486" s="79"/>
      <c r="C1486" s="79"/>
      <c r="D1486" s="81">
        <v>44050</v>
      </c>
      <c r="E1486" s="82">
        <v>11214.05</v>
      </c>
      <c r="G1486" s="79"/>
      <c r="H1486" s="79"/>
      <c r="I1486" s="79"/>
    </row>
    <row r="1487" s="78" customFormat="1" ht="16.5" customHeight="1" spans="1:9">
      <c r="A1487" s="79"/>
      <c r="B1487" s="79"/>
      <c r="C1487" s="79"/>
      <c r="D1487" s="81">
        <v>44049</v>
      </c>
      <c r="E1487" s="82">
        <v>11200.15</v>
      </c>
      <c r="G1487" s="79"/>
      <c r="H1487" s="79"/>
      <c r="I1487" s="79"/>
    </row>
    <row r="1488" s="78" customFormat="1" ht="16.5" customHeight="1" spans="1:9">
      <c r="A1488" s="79"/>
      <c r="B1488" s="79"/>
      <c r="C1488" s="79"/>
      <c r="D1488" s="81">
        <v>44048</v>
      </c>
      <c r="E1488" s="82">
        <v>11101.65</v>
      </c>
      <c r="G1488" s="79"/>
      <c r="H1488" s="79"/>
      <c r="I1488" s="79"/>
    </row>
    <row r="1489" s="78" customFormat="1" ht="16.5" customHeight="1" spans="1:9">
      <c r="A1489" s="79"/>
      <c r="B1489" s="79"/>
      <c r="C1489" s="79"/>
      <c r="D1489" s="81">
        <v>44047</v>
      </c>
      <c r="E1489" s="82">
        <v>11095.25</v>
      </c>
      <c r="G1489" s="79"/>
      <c r="H1489" s="79"/>
      <c r="I1489" s="79"/>
    </row>
    <row r="1490" s="78" customFormat="1" ht="16.5" customHeight="1" spans="1:9">
      <c r="A1490" s="79"/>
      <c r="B1490" s="79"/>
      <c r="C1490" s="79"/>
      <c r="D1490" s="81">
        <v>44046</v>
      </c>
      <c r="E1490" s="82">
        <v>10891.6</v>
      </c>
      <c r="G1490" s="79"/>
      <c r="H1490" s="79"/>
      <c r="I1490" s="79"/>
    </row>
    <row r="1491" s="78" customFormat="1" ht="16.5" customHeight="1" spans="1:9">
      <c r="A1491" s="79"/>
      <c r="B1491" s="79"/>
      <c r="C1491" s="79"/>
      <c r="D1491" s="81">
        <v>44043</v>
      </c>
      <c r="E1491" s="82">
        <v>11073.45</v>
      </c>
      <c r="G1491" s="79"/>
      <c r="H1491" s="79"/>
      <c r="I1491" s="79"/>
    </row>
    <row r="1492" s="78" customFormat="1" ht="16.5" customHeight="1" spans="1:9">
      <c r="A1492" s="79"/>
      <c r="B1492" s="79"/>
      <c r="C1492" s="79"/>
      <c r="D1492" s="81">
        <v>44042</v>
      </c>
      <c r="E1492" s="82">
        <v>11102.15</v>
      </c>
      <c r="G1492" s="79"/>
      <c r="H1492" s="79"/>
      <c r="I1492" s="79"/>
    </row>
    <row r="1493" s="78" customFormat="1" ht="16.5" customHeight="1" spans="1:9">
      <c r="A1493" s="79"/>
      <c r="B1493" s="79"/>
      <c r="C1493" s="79"/>
      <c r="D1493" s="81">
        <v>44041</v>
      </c>
      <c r="E1493" s="82">
        <v>11202.85</v>
      </c>
      <c r="G1493" s="79"/>
      <c r="H1493" s="79"/>
      <c r="I1493" s="79"/>
    </row>
    <row r="1494" s="78" customFormat="1" ht="16.5" customHeight="1" spans="1:9">
      <c r="A1494" s="79"/>
      <c r="B1494" s="79"/>
      <c r="C1494" s="79"/>
      <c r="D1494" s="81">
        <v>44040</v>
      </c>
      <c r="E1494" s="82">
        <v>11300.55</v>
      </c>
      <c r="G1494" s="79"/>
      <c r="H1494" s="79"/>
      <c r="I1494" s="79"/>
    </row>
    <row r="1495" s="78" customFormat="1" ht="16.5" customHeight="1" spans="1:9">
      <c r="A1495" s="79"/>
      <c r="B1495" s="79"/>
      <c r="C1495" s="79"/>
      <c r="D1495" s="81">
        <v>44039</v>
      </c>
      <c r="E1495" s="82">
        <v>11131.8</v>
      </c>
      <c r="G1495" s="79"/>
      <c r="H1495" s="79"/>
      <c r="I1495" s="79"/>
    </row>
    <row r="1496" s="78" customFormat="1" ht="16.5" customHeight="1" spans="1:9">
      <c r="A1496" s="79"/>
      <c r="B1496" s="79"/>
      <c r="C1496" s="79"/>
      <c r="D1496" s="81">
        <v>44036</v>
      </c>
      <c r="E1496" s="82">
        <v>11194.15</v>
      </c>
      <c r="G1496" s="79"/>
      <c r="H1496" s="79"/>
      <c r="I1496" s="79"/>
    </row>
    <row r="1497" s="78" customFormat="1" ht="16.5" customHeight="1" spans="1:9">
      <c r="A1497" s="79"/>
      <c r="B1497" s="79"/>
      <c r="C1497" s="79"/>
      <c r="D1497" s="81">
        <v>44035</v>
      </c>
      <c r="E1497" s="82">
        <v>11215.45</v>
      </c>
      <c r="G1497" s="79"/>
      <c r="H1497" s="79"/>
      <c r="I1497" s="79"/>
    </row>
    <row r="1498" s="78" customFormat="1" ht="16.5" customHeight="1" spans="1:9">
      <c r="A1498" s="79"/>
      <c r="B1498" s="79"/>
      <c r="C1498" s="79"/>
      <c r="D1498" s="81">
        <v>44034</v>
      </c>
      <c r="E1498" s="82">
        <v>11132.6</v>
      </c>
      <c r="G1498" s="79"/>
      <c r="H1498" s="79"/>
      <c r="I1498" s="79"/>
    </row>
    <row r="1499" s="78" customFormat="1" ht="16.5" customHeight="1" spans="1:9">
      <c r="A1499" s="79"/>
      <c r="B1499" s="79"/>
      <c r="C1499" s="79"/>
      <c r="D1499" s="81">
        <v>44033</v>
      </c>
      <c r="E1499" s="82">
        <v>11162.25</v>
      </c>
      <c r="G1499" s="79"/>
      <c r="H1499" s="79"/>
      <c r="I1499" s="79"/>
    </row>
    <row r="1500" s="78" customFormat="1" ht="16.5" customHeight="1" spans="1:9">
      <c r="A1500" s="79"/>
      <c r="B1500" s="79"/>
      <c r="C1500" s="79"/>
      <c r="D1500" s="81">
        <v>44032</v>
      </c>
      <c r="E1500" s="82">
        <v>11022.2</v>
      </c>
      <c r="G1500" s="79"/>
      <c r="H1500" s="79"/>
      <c r="I1500" s="79"/>
    </row>
    <row r="1501" s="78" customFormat="1" ht="16.5" customHeight="1" spans="1:9">
      <c r="A1501" s="79"/>
      <c r="B1501" s="79"/>
      <c r="C1501" s="79"/>
      <c r="D1501" s="81">
        <v>44029</v>
      </c>
      <c r="E1501" s="82">
        <v>10901.7</v>
      </c>
      <c r="G1501" s="79"/>
      <c r="H1501" s="79"/>
      <c r="I1501" s="79"/>
    </row>
    <row r="1502" s="78" customFormat="1" ht="16.5" customHeight="1" spans="1:9">
      <c r="A1502" s="79"/>
      <c r="B1502" s="79"/>
      <c r="C1502" s="79"/>
      <c r="D1502" s="81">
        <v>44028</v>
      </c>
      <c r="E1502" s="82">
        <v>10739.95</v>
      </c>
      <c r="G1502" s="79"/>
      <c r="H1502" s="79"/>
      <c r="I1502" s="79"/>
    </row>
    <row r="1503" s="78" customFormat="1" ht="16.5" customHeight="1" spans="1:9">
      <c r="A1503" s="79"/>
      <c r="B1503" s="79"/>
      <c r="C1503" s="79"/>
      <c r="D1503" s="81">
        <v>44027</v>
      </c>
      <c r="E1503" s="82">
        <v>10618.2</v>
      </c>
      <c r="G1503" s="79"/>
      <c r="H1503" s="79"/>
      <c r="I1503" s="79"/>
    </row>
    <row r="1504" s="78" customFormat="1" ht="16.5" customHeight="1" spans="1:9">
      <c r="A1504" s="79"/>
      <c r="B1504" s="79"/>
      <c r="C1504" s="79"/>
      <c r="D1504" s="81">
        <v>44026</v>
      </c>
      <c r="E1504" s="82">
        <v>10607.35</v>
      </c>
      <c r="G1504" s="79"/>
      <c r="H1504" s="79"/>
      <c r="I1504" s="79"/>
    </row>
    <row r="1505" s="78" customFormat="1" ht="16.5" customHeight="1" spans="1:9">
      <c r="A1505" s="79"/>
      <c r="B1505" s="79"/>
      <c r="C1505" s="79"/>
      <c r="D1505" s="81">
        <v>44025</v>
      </c>
      <c r="E1505" s="82">
        <v>10802.7</v>
      </c>
      <c r="G1505" s="79"/>
      <c r="H1505" s="79"/>
      <c r="I1505" s="79"/>
    </row>
    <row r="1506" s="78" customFormat="1" ht="16.5" customHeight="1" spans="1:9">
      <c r="A1506" s="79"/>
      <c r="B1506" s="79"/>
      <c r="C1506" s="79"/>
      <c r="D1506" s="81">
        <v>44022</v>
      </c>
      <c r="E1506" s="82">
        <v>10768.05</v>
      </c>
      <c r="G1506" s="79"/>
      <c r="H1506" s="79"/>
      <c r="I1506" s="79"/>
    </row>
    <row r="1507" s="78" customFormat="1" ht="16.5" customHeight="1" spans="1:9">
      <c r="A1507" s="79"/>
      <c r="B1507" s="79"/>
      <c r="C1507" s="79"/>
      <c r="D1507" s="81">
        <v>44021</v>
      </c>
      <c r="E1507" s="82">
        <v>10813.45</v>
      </c>
      <c r="G1507" s="79"/>
      <c r="H1507" s="79"/>
      <c r="I1507" s="79"/>
    </row>
    <row r="1508" s="78" customFormat="1" ht="16.5" customHeight="1" spans="1:9">
      <c r="A1508" s="79"/>
      <c r="B1508" s="79"/>
      <c r="C1508" s="79"/>
      <c r="D1508" s="81">
        <v>44020</v>
      </c>
      <c r="E1508" s="82">
        <v>10705.75</v>
      </c>
      <c r="G1508" s="79"/>
      <c r="H1508" s="79"/>
      <c r="I1508" s="79"/>
    </row>
    <row r="1509" s="78" customFormat="1" ht="16.5" customHeight="1" spans="1:9">
      <c r="A1509" s="79"/>
      <c r="B1509" s="79"/>
      <c r="C1509" s="79"/>
      <c r="D1509" s="81">
        <v>44019</v>
      </c>
      <c r="E1509" s="82">
        <v>10799.65</v>
      </c>
      <c r="G1509" s="79"/>
      <c r="H1509" s="79"/>
      <c r="I1509" s="79"/>
    </row>
    <row r="1510" s="78" customFormat="1" ht="16.5" customHeight="1" spans="1:9">
      <c r="A1510" s="79"/>
      <c r="B1510" s="79"/>
      <c r="C1510" s="79"/>
      <c r="D1510" s="81">
        <v>44018</v>
      </c>
      <c r="E1510" s="82">
        <v>10763.65</v>
      </c>
      <c r="G1510" s="79"/>
      <c r="H1510" s="79"/>
      <c r="I1510" s="79"/>
    </row>
    <row r="1511" s="78" customFormat="1" ht="16.5" customHeight="1" spans="1:9">
      <c r="A1511" s="79"/>
      <c r="B1511" s="79"/>
      <c r="C1511" s="79"/>
      <c r="D1511" s="81">
        <v>44015</v>
      </c>
      <c r="E1511" s="82">
        <v>10607.35</v>
      </c>
      <c r="G1511" s="79"/>
      <c r="H1511" s="79"/>
      <c r="I1511" s="79"/>
    </row>
    <row r="1512" s="78" customFormat="1" ht="16.5" customHeight="1" spans="1:9">
      <c r="A1512" s="79"/>
      <c r="B1512" s="79"/>
      <c r="C1512" s="79"/>
      <c r="D1512" s="81">
        <v>44014</v>
      </c>
      <c r="E1512" s="82">
        <v>10551.7</v>
      </c>
      <c r="G1512" s="79"/>
      <c r="H1512" s="79"/>
      <c r="I1512" s="79"/>
    </row>
    <row r="1513" s="78" customFormat="1" ht="16.5" customHeight="1" spans="1:9">
      <c r="A1513" s="79"/>
      <c r="B1513" s="79"/>
      <c r="C1513" s="79"/>
      <c r="D1513" s="81">
        <v>44013</v>
      </c>
      <c r="E1513" s="82">
        <v>10430.05</v>
      </c>
      <c r="G1513" s="79"/>
      <c r="H1513" s="79"/>
      <c r="I1513" s="79"/>
    </row>
    <row r="1514" s="78" customFormat="1" ht="16.5" customHeight="1" spans="1:9">
      <c r="A1514" s="79"/>
      <c r="B1514" s="79"/>
      <c r="C1514" s="79"/>
      <c r="D1514" s="81">
        <v>44012</v>
      </c>
      <c r="E1514" s="82">
        <v>10302.1</v>
      </c>
      <c r="G1514" s="79"/>
      <c r="H1514" s="79"/>
      <c r="I1514" s="79"/>
    </row>
    <row r="1515" s="78" customFormat="1" ht="16.5" customHeight="1" spans="1:9">
      <c r="A1515" s="79"/>
      <c r="B1515" s="79"/>
      <c r="C1515" s="79"/>
      <c r="D1515" s="81">
        <v>44011</v>
      </c>
      <c r="E1515" s="82">
        <v>10312.4</v>
      </c>
      <c r="G1515" s="79"/>
      <c r="H1515" s="79"/>
      <c r="I1515" s="79"/>
    </row>
    <row r="1516" s="78" customFormat="1" ht="16.5" customHeight="1" spans="1:9">
      <c r="A1516" s="79"/>
      <c r="B1516" s="79"/>
      <c r="C1516" s="79"/>
      <c r="D1516" s="81">
        <v>44008</v>
      </c>
      <c r="E1516" s="82">
        <v>10383</v>
      </c>
      <c r="G1516" s="79"/>
      <c r="H1516" s="79"/>
      <c r="I1516" s="79"/>
    </row>
    <row r="1517" s="78" customFormat="1" ht="16.5" customHeight="1" spans="1:9">
      <c r="A1517" s="79"/>
      <c r="B1517" s="79"/>
      <c r="C1517" s="79"/>
      <c r="D1517" s="81">
        <v>44007</v>
      </c>
      <c r="E1517" s="82">
        <v>10288.9</v>
      </c>
      <c r="G1517" s="79"/>
      <c r="H1517" s="79"/>
      <c r="I1517" s="79"/>
    </row>
    <row r="1518" s="78" customFormat="1" ht="16.5" customHeight="1" spans="1:9">
      <c r="A1518" s="79"/>
      <c r="B1518" s="79"/>
      <c r="C1518" s="79"/>
      <c r="D1518" s="81">
        <v>44006</v>
      </c>
      <c r="E1518" s="82">
        <v>10305.3</v>
      </c>
      <c r="G1518" s="79"/>
      <c r="H1518" s="79"/>
      <c r="I1518" s="79"/>
    </row>
    <row r="1519" s="78" customFormat="1" ht="16.5" customHeight="1" spans="1:9">
      <c r="A1519" s="79"/>
      <c r="B1519" s="79"/>
      <c r="C1519" s="79"/>
      <c r="D1519" s="81">
        <v>44005</v>
      </c>
      <c r="E1519" s="82">
        <v>10471</v>
      </c>
      <c r="G1519" s="79"/>
      <c r="H1519" s="79"/>
      <c r="I1519" s="79"/>
    </row>
    <row r="1520" s="78" customFormat="1" ht="16.5" customHeight="1" spans="1:9">
      <c r="A1520" s="79"/>
      <c r="B1520" s="79"/>
      <c r="C1520" s="79"/>
      <c r="D1520" s="81">
        <v>44004</v>
      </c>
      <c r="E1520" s="82">
        <v>10311.2</v>
      </c>
      <c r="G1520" s="79"/>
      <c r="H1520" s="79"/>
      <c r="I1520" s="79"/>
    </row>
    <row r="1521" s="78" customFormat="1" ht="16.5" customHeight="1" spans="1:9">
      <c r="A1521" s="79"/>
      <c r="B1521" s="79"/>
      <c r="C1521" s="79"/>
      <c r="D1521" s="81">
        <v>44001</v>
      </c>
      <c r="E1521" s="82">
        <v>10244.4</v>
      </c>
      <c r="G1521" s="79"/>
      <c r="H1521" s="79"/>
      <c r="I1521" s="79"/>
    </row>
    <row r="1522" s="78" customFormat="1" ht="16.5" customHeight="1" spans="1:9">
      <c r="A1522" s="79"/>
      <c r="B1522" s="79"/>
      <c r="C1522" s="79"/>
      <c r="D1522" s="81">
        <v>44000</v>
      </c>
      <c r="E1522" s="82">
        <v>10091.65</v>
      </c>
      <c r="G1522" s="79"/>
      <c r="H1522" s="79"/>
      <c r="I1522" s="79"/>
    </row>
    <row r="1523" s="78" customFormat="1" ht="16.5" customHeight="1" spans="1:9">
      <c r="A1523" s="79"/>
      <c r="B1523" s="79"/>
      <c r="C1523" s="79"/>
      <c r="D1523" s="81">
        <v>43999</v>
      </c>
      <c r="E1523" s="82">
        <v>9881.15</v>
      </c>
      <c r="G1523" s="79"/>
      <c r="H1523" s="79"/>
      <c r="I1523" s="79"/>
    </row>
    <row r="1524" s="78" customFormat="1" ht="16.5" customHeight="1" spans="1:9">
      <c r="A1524" s="79"/>
      <c r="B1524" s="79"/>
      <c r="C1524" s="79"/>
      <c r="D1524" s="81">
        <v>43998</v>
      </c>
      <c r="E1524" s="82">
        <v>9914</v>
      </c>
      <c r="G1524" s="79"/>
      <c r="H1524" s="79"/>
      <c r="I1524" s="79"/>
    </row>
    <row r="1525" s="78" customFormat="1" ht="16.5" customHeight="1" spans="1:9">
      <c r="A1525" s="79"/>
      <c r="B1525" s="79"/>
      <c r="C1525" s="79"/>
      <c r="D1525" s="81">
        <v>43997</v>
      </c>
      <c r="E1525" s="82">
        <v>9813.7</v>
      </c>
      <c r="G1525" s="79"/>
      <c r="H1525" s="79"/>
      <c r="I1525" s="79"/>
    </row>
    <row r="1526" s="78" customFormat="1" ht="16.5" customHeight="1" spans="1:9">
      <c r="A1526" s="79"/>
      <c r="B1526" s="79"/>
      <c r="C1526" s="79"/>
      <c r="D1526" s="81">
        <v>43994</v>
      </c>
      <c r="E1526" s="82">
        <v>9972.9</v>
      </c>
      <c r="G1526" s="79"/>
      <c r="H1526" s="79"/>
      <c r="I1526" s="79"/>
    </row>
    <row r="1527" s="78" customFormat="1" ht="16.5" customHeight="1" spans="1:9">
      <c r="A1527" s="79"/>
      <c r="B1527" s="79"/>
      <c r="C1527" s="79"/>
      <c r="D1527" s="81">
        <v>43993</v>
      </c>
      <c r="E1527" s="82">
        <v>9902</v>
      </c>
      <c r="G1527" s="79"/>
      <c r="H1527" s="79"/>
      <c r="I1527" s="79"/>
    </row>
    <row r="1528" s="78" customFormat="1" ht="16.5" customHeight="1" spans="1:9">
      <c r="A1528" s="79"/>
      <c r="B1528" s="79"/>
      <c r="C1528" s="79"/>
      <c r="D1528" s="81">
        <v>43992</v>
      </c>
      <c r="E1528" s="82">
        <v>10116.15</v>
      </c>
      <c r="G1528" s="79"/>
      <c r="H1528" s="79"/>
      <c r="I1528" s="79"/>
    </row>
    <row r="1529" s="78" customFormat="1" ht="16.5" customHeight="1" spans="1:9">
      <c r="A1529" s="79"/>
      <c r="B1529" s="79"/>
      <c r="C1529" s="79"/>
      <c r="D1529" s="81">
        <v>43991</v>
      </c>
      <c r="E1529" s="82">
        <v>10046.65</v>
      </c>
      <c r="G1529" s="79"/>
      <c r="H1529" s="79"/>
      <c r="I1529" s="79"/>
    </row>
    <row r="1530" s="78" customFormat="1" ht="16.5" customHeight="1" spans="1:9">
      <c r="A1530" s="79"/>
      <c r="B1530" s="79"/>
      <c r="C1530" s="79"/>
      <c r="D1530" s="81">
        <v>43990</v>
      </c>
      <c r="E1530" s="82">
        <v>10167.45</v>
      </c>
      <c r="G1530" s="79"/>
      <c r="H1530" s="79"/>
      <c r="I1530" s="79"/>
    </row>
    <row r="1531" s="78" customFormat="1" ht="16.5" customHeight="1" spans="1:9">
      <c r="A1531" s="79"/>
      <c r="B1531" s="79"/>
      <c r="C1531" s="79"/>
      <c r="D1531" s="81">
        <v>43987</v>
      </c>
      <c r="E1531" s="82">
        <v>10142.15</v>
      </c>
      <c r="G1531" s="79"/>
      <c r="H1531" s="79"/>
      <c r="I1531" s="79"/>
    </row>
    <row r="1532" s="78" customFormat="1" ht="16.5" customHeight="1" spans="1:9">
      <c r="A1532" s="79"/>
      <c r="B1532" s="79"/>
      <c r="C1532" s="79"/>
      <c r="D1532" s="81">
        <v>43986</v>
      </c>
      <c r="E1532" s="82">
        <v>10029.1</v>
      </c>
      <c r="G1532" s="79"/>
      <c r="H1532" s="79"/>
      <c r="I1532" s="79"/>
    </row>
    <row r="1533" s="78" customFormat="1" ht="16.5" customHeight="1" spans="1:9">
      <c r="A1533" s="79"/>
      <c r="B1533" s="79"/>
      <c r="C1533" s="79"/>
      <c r="D1533" s="81">
        <v>43985</v>
      </c>
      <c r="E1533" s="82">
        <v>10061.55</v>
      </c>
      <c r="G1533" s="79"/>
      <c r="H1533" s="79"/>
      <c r="I1533" s="79"/>
    </row>
    <row r="1534" s="78" customFormat="1" ht="16.5" customHeight="1" spans="1:9">
      <c r="A1534" s="79"/>
      <c r="B1534" s="79"/>
      <c r="C1534" s="79"/>
      <c r="D1534" s="81">
        <v>43984</v>
      </c>
      <c r="E1534" s="82">
        <v>9979.1</v>
      </c>
      <c r="G1534" s="79"/>
      <c r="H1534" s="79"/>
      <c r="I1534" s="79"/>
    </row>
    <row r="1535" s="78" customFormat="1" ht="16.5" customHeight="1" spans="1:9">
      <c r="A1535" s="79"/>
      <c r="B1535" s="79"/>
      <c r="C1535" s="79"/>
      <c r="D1535" s="81">
        <v>43983</v>
      </c>
      <c r="E1535" s="82">
        <v>9826.15</v>
      </c>
      <c r="G1535" s="79"/>
      <c r="H1535" s="79"/>
      <c r="I1535" s="79"/>
    </row>
    <row r="1536" s="78" customFormat="1" ht="16.5" customHeight="1" spans="1:9">
      <c r="A1536" s="79"/>
      <c r="B1536" s="79"/>
      <c r="C1536" s="79"/>
      <c r="D1536" s="81">
        <v>43980</v>
      </c>
      <c r="E1536" s="82">
        <v>9580.3</v>
      </c>
      <c r="G1536" s="79"/>
      <c r="H1536" s="79"/>
      <c r="I1536" s="79"/>
    </row>
    <row r="1537" s="78" customFormat="1" ht="16.5" customHeight="1" spans="1:9">
      <c r="A1537" s="79"/>
      <c r="B1537" s="79"/>
      <c r="C1537" s="79"/>
      <c r="D1537" s="81">
        <v>43979</v>
      </c>
      <c r="E1537" s="82">
        <v>9490.1</v>
      </c>
      <c r="G1537" s="79"/>
      <c r="H1537" s="79"/>
      <c r="I1537" s="79"/>
    </row>
    <row r="1538" s="78" customFormat="1" ht="16.5" customHeight="1" spans="1:9">
      <c r="A1538" s="79"/>
      <c r="B1538" s="79"/>
      <c r="C1538" s="79"/>
      <c r="D1538" s="81">
        <v>43978</v>
      </c>
      <c r="E1538" s="82">
        <v>9314.95</v>
      </c>
      <c r="G1538" s="79"/>
      <c r="H1538" s="79"/>
      <c r="I1538" s="79"/>
    </row>
    <row r="1539" s="78" customFormat="1" ht="16.5" customHeight="1" spans="1:9">
      <c r="A1539" s="79"/>
      <c r="B1539" s="79"/>
      <c r="C1539" s="79"/>
      <c r="D1539" s="81">
        <v>43977</v>
      </c>
      <c r="E1539" s="82">
        <v>9029.05</v>
      </c>
      <c r="G1539" s="79"/>
      <c r="H1539" s="79"/>
      <c r="I1539" s="79"/>
    </row>
    <row r="1540" s="78" customFormat="1" ht="16.5" customHeight="1" spans="1:9">
      <c r="A1540" s="79"/>
      <c r="B1540" s="79"/>
      <c r="C1540" s="79"/>
      <c r="D1540" s="81">
        <v>43973</v>
      </c>
      <c r="E1540" s="82">
        <v>9039.25</v>
      </c>
      <c r="G1540" s="79"/>
      <c r="H1540" s="79"/>
      <c r="I1540" s="79"/>
    </row>
    <row r="1541" s="78" customFormat="1" ht="16.5" customHeight="1" spans="1:9">
      <c r="A1541" s="79"/>
      <c r="B1541" s="79"/>
      <c r="C1541" s="79"/>
      <c r="D1541" s="81">
        <v>43972</v>
      </c>
      <c r="E1541" s="82">
        <v>9106.25</v>
      </c>
      <c r="G1541" s="79"/>
      <c r="H1541" s="79"/>
      <c r="I1541" s="79"/>
    </row>
    <row r="1542" s="78" customFormat="1" ht="16.5" customHeight="1" spans="1:9">
      <c r="A1542" s="79"/>
      <c r="B1542" s="79"/>
      <c r="C1542" s="79"/>
      <c r="D1542" s="81">
        <v>43971</v>
      </c>
      <c r="E1542" s="82">
        <v>9066.55</v>
      </c>
      <c r="G1542" s="79"/>
      <c r="H1542" s="79"/>
      <c r="I1542" s="79"/>
    </row>
    <row r="1543" s="78" customFormat="1" ht="16.5" customHeight="1" spans="1:9">
      <c r="A1543" s="79"/>
      <c r="B1543" s="79"/>
      <c r="C1543" s="79"/>
      <c r="D1543" s="81">
        <v>43970</v>
      </c>
      <c r="E1543" s="82">
        <v>8879.1</v>
      </c>
      <c r="G1543" s="79"/>
      <c r="H1543" s="79"/>
      <c r="I1543" s="79"/>
    </row>
    <row r="1544" s="78" customFormat="1" ht="16.5" customHeight="1" spans="1:9">
      <c r="A1544" s="79"/>
      <c r="B1544" s="79"/>
      <c r="C1544" s="79"/>
      <c r="D1544" s="81">
        <v>43969</v>
      </c>
      <c r="E1544" s="82">
        <v>8823.25</v>
      </c>
      <c r="G1544" s="79"/>
      <c r="H1544" s="79"/>
      <c r="I1544" s="79"/>
    </row>
    <row r="1545" s="78" customFormat="1" ht="16.5" customHeight="1" spans="1:9">
      <c r="A1545" s="79"/>
      <c r="B1545" s="79"/>
      <c r="C1545" s="79"/>
      <c r="D1545" s="81">
        <v>43966</v>
      </c>
      <c r="E1545" s="82">
        <v>9136.85</v>
      </c>
      <c r="G1545" s="79"/>
      <c r="H1545" s="79"/>
      <c r="I1545" s="79"/>
    </row>
    <row r="1546" s="78" customFormat="1" ht="16.5" customHeight="1" spans="1:9">
      <c r="A1546" s="79"/>
      <c r="B1546" s="79"/>
      <c r="C1546" s="79"/>
      <c r="D1546" s="81">
        <v>43965</v>
      </c>
      <c r="E1546" s="82">
        <v>9142.75</v>
      </c>
      <c r="G1546" s="79"/>
      <c r="H1546" s="79"/>
      <c r="I1546" s="79"/>
    </row>
    <row r="1547" s="78" customFormat="1" ht="16.5" customHeight="1" spans="1:9">
      <c r="A1547" s="79"/>
      <c r="B1547" s="79"/>
      <c r="C1547" s="79"/>
      <c r="D1547" s="81">
        <v>43964</v>
      </c>
      <c r="E1547" s="82">
        <v>9383.55</v>
      </c>
      <c r="G1547" s="79"/>
      <c r="H1547" s="79"/>
      <c r="I1547" s="79"/>
    </row>
    <row r="1548" s="78" customFormat="1" ht="16.5" customHeight="1" spans="1:9">
      <c r="A1548" s="79"/>
      <c r="B1548" s="79"/>
      <c r="C1548" s="79"/>
      <c r="D1548" s="81">
        <v>43963</v>
      </c>
      <c r="E1548" s="82">
        <v>9196.55</v>
      </c>
      <c r="G1548" s="79"/>
      <c r="H1548" s="79"/>
      <c r="I1548" s="79"/>
    </row>
    <row r="1549" s="78" customFormat="1" ht="16.5" customHeight="1" spans="1:9">
      <c r="A1549" s="79"/>
      <c r="B1549" s="79"/>
      <c r="C1549" s="79"/>
      <c r="D1549" s="81">
        <v>43962</v>
      </c>
      <c r="E1549" s="82">
        <v>9239.2</v>
      </c>
      <c r="G1549" s="79"/>
      <c r="H1549" s="79"/>
      <c r="I1549" s="79"/>
    </row>
    <row r="1550" s="78" customFormat="1" ht="16.5" customHeight="1" spans="1:9">
      <c r="A1550" s="79"/>
      <c r="B1550" s="79"/>
      <c r="C1550" s="79"/>
      <c r="D1550" s="81">
        <v>43959</v>
      </c>
      <c r="E1550" s="82">
        <v>9251.5</v>
      </c>
      <c r="G1550" s="79"/>
      <c r="H1550" s="79"/>
      <c r="I1550" s="79"/>
    </row>
    <row r="1551" s="78" customFormat="1" ht="16.5" customHeight="1" spans="1:9">
      <c r="A1551" s="79"/>
      <c r="B1551" s="79"/>
      <c r="C1551" s="79"/>
      <c r="D1551" s="81">
        <v>43958</v>
      </c>
      <c r="E1551" s="82">
        <v>9199.05</v>
      </c>
      <c r="G1551" s="79"/>
      <c r="H1551" s="79"/>
      <c r="I1551" s="79"/>
    </row>
    <row r="1552" s="78" customFormat="1" ht="16.5" customHeight="1" spans="1:9">
      <c r="A1552" s="79"/>
      <c r="B1552" s="79"/>
      <c r="C1552" s="79"/>
      <c r="D1552" s="81">
        <v>43957</v>
      </c>
      <c r="E1552" s="82">
        <v>9270.9</v>
      </c>
      <c r="G1552" s="79"/>
      <c r="H1552" s="79"/>
      <c r="I1552" s="79"/>
    </row>
    <row r="1553" s="78" customFormat="1" ht="16.5" customHeight="1" spans="1:9">
      <c r="A1553" s="79"/>
      <c r="B1553" s="79"/>
      <c r="C1553" s="79"/>
      <c r="D1553" s="81">
        <v>43956</v>
      </c>
      <c r="E1553" s="82">
        <v>9205.6</v>
      </c>
      <c r="G1553" s="79"/>
      <c r="H1553" s="79"/>
      <c r="I1553" s="79"/>
    </row>
    <row r="1554" s="78" customFormat="1" ht="16.5" customHeight="1" spans="1:9">
      <c r="A1554" s="79"/>
      <c r="B1554" s="79"/>
      <c r="C1554" s="79"/>
      <c r="D1554" s="81">
        <v>43955</v>
      </c>
      <c r="E1554" s="82">
        <v>9293.5</v>
      </c>
      <c r="G1554" s="79"/>
      <c r="H1554" s="79"/>
      <c r="I1554" s="79"/>
    </row>
    <row r="1555" s="78" customFormat="1" ht="16.5" customHeight="1" spans="1:9">
      <c r="A1555" s="79"/>
      <c r="B1555" s="79"/>
      <c r="C1555" s="79"/>
      <c r="D1555" s="81">
        <v>43951</v>
      </c>
      <c r="E1555" s="82">
        <v>9859.9</v>
      </c>
      <c r="G1555" s="79"/>
      <c r="H1555" s="79"/>
      <c r="I1555" s="79"/>
    </row>
    <row r="1556" s="78" customFormat="1" ht="16.5" customHeight="1" spans="1:9">
      <c r="A1556" s="79"/>
      <c r="B1556" s="79"/>
      <c r="C1556" s="79"/>
      <c r="D1556" s="81">
        <v>43950</v>
      </c>
      <c r="E1556" s="82">
        <v>9553.35</v>
      </c>
      <c r="G1556" s="79"/>
      <c r="H1556" s="79"/>
      <c r="I1556" s="79"/>
    </row>
    <row r="1557" s="78" customFormat="1" ht="16.5" customHeight="1" spans="1:9">
      <c r="A1557" s="79"/>
      <c r="B1557" s="79"/>
      <c r="C1557" s="79"/>
      <c r="D1557" s="81">
        <v>43949</v>
      </c>
      <c r="E1557" s="82">
        <v>9380.9</v>
      </c>
      <c r="G1557" s="79"/>
      <c r="H1557" s="79"/>
      <c r="I1557" s="79"/>
    </row>
    <row r="1558" s="78" customFormat="1" ht="16.5" customHeight="1" spans="1:9">
      <c r="A1558" s="79"/>
      <c r="B1558" s="79"/>
      <c r="C1558" s="79"/>
      <c r="D1558" s="81">
        <v>43948</v>
      </c>
      <c r="E1558" s="82">
        <v>9282.3</v>
      </c>
      <c r="G1558" s="79"/>
      <c r="H1558" s="79"/>
      <c r="I1558" s="79"/>
    </row>
    <row r="1559" s="78" customFormat="1" ht="16.5" customHeight="1" spans="1:9">
      <c r="A1559" s="79"/>
      <c r="B1559" s="79"/>
      <c r="C1559" s="79"/>
      <c r="D1559" s="81">
        <v>43945</v>
      </c>
      <c r="E1559" s="82">
        <v>9154.4</v>
      </c>
      <c r="G1559" s="79"/>
      <c r="H1559" s="79"/>
      <c r="I1559" s="79"/>
    </row>
    <row r="1560" s="78" customFormat="1" ht="16.5" customHeight="1" spans="1:9">
      <c r="A1560" s="79"/>
      <c r="B1560" s="79"/>
      <c r="C1560" s="79"/>
      <c r="D1560" s="81">
        <v>43944</v>
      </c>
      <c r="E1560" s="82">
        <v>9313.9</v>
      </c>
      <c r="G1560" s="79"/>
      <c r="H1560" s="79"/>
      <c r="I1560" s="79"/>
    </row>
    <row r="1561" s="78" customFormat="1" ht="16.5" customHeight="1" spans="1:9">
      <c r="A1561" s="79"/>
      <c r="B1561" s="79"/>
      <c r="C1561" s="79"/>
      <c r="D1561" s="81">
        <v>43943</v>
      </c>
      <c r="E1561" s="82">
        <v>9187.3</v>
      </c>
      <c r="G1561" s="79"/>
      <c r="H1561" s="79"/>
      <c r="I1561" s="79"/>
    </row>
    <row r="1562" s="78" customFormat="1" ht="16.5" customHeight="1" spans="1:9">
      <c r="A1562" s="79"/>
      <c r="B1562" s="79"/>
      <c r="C1562" s="79"/>
      <c r="D1562" s="81">
        <v>43942</v>
      </c>
      <c r="E1562" s="82">
        <v>8981.45</v>
      </c>
      <c r="G1562" s="79"/>
      <c r="H1562" s="79"/>
      <c r="I1562" s="79"/>
    </row>
    <row r="1563" s="78" customFormat="1" ht="16.5" customHeight="1" spans="1:9">
      <c r="A1563" s="79"/>
      <c r="B1563" s="79"/>
      <c r="C1563" s="79"/>
      <c r="D1563" s="81">
        <v>43941</v>
      </c>
      <c r="E1563" s="82">
        <v>9261.85</v>
      </c>
      <c r="G1563" s="79"/>
      <c r="H1563" s="79"/>
      <c r="I1563" s="79"/>
    </row>
    <row r="1564" s="78" customFormat="1" ht="16.5" customHeight="1" spans="1:9">
      <c r="A1564" s="79"/>
      <c r="B1564" s="79"/>
      <c r="C1564" s="79"/>
      <c r="D1564" s="81">
        <v>43938</v>
      </c>
      <c r="E1564" s="82">
        <v>9266.75</v>
      </c>
      <c r="G1564" s="79"/>
      <c r="H1564" s="79"/>
      <c r="I1564" s="79"/>
    </row>
    <row r="1565" s="78" customFormat="1" ht="16.5" customHeight="1" spans="1:9">
      <c r="A1565" s="79"/>
      <c r="B1565" s="79"/>
      <c r="C1565" s="79"/>
      <c r="D1565" s="81">
        <v>43937</v>
      </c>
      <c r="E1565" s="82">
        <v>8992.8</v>
      </c>
      <c r="G1565" s="79"/>
      <c r="H1565" s="79"/>
      <c r="I1565" s="79"/>
    </row>
    <row r="1566" s="78" customFormat="1" ht="16.5" customHeight="1" spans="1:9">
      <c r="A1566" s="79"/>
      <c r="B1566" s="79"/>
      <c r="C1566" s="79"/>
      <c r="D1566" s="81">
        <v>43936</v>
      </c>
      <c r="E1566" s="82">
        <v>8925.3</v>
      </c>
      <c r="G1566" s="79"/>
      <c r="H1566" s="79"/>
      <c r="I1566" s="79"/>
    </row>
    <row r="1567" s="78" customFormat="1" ht="16.5" customHeight="1" spans="1:9">
      <c r="A1567" s="79"/>
      <c r="B1567" s="79"/>
      <c r="C1567" s="79"/>
      <c r="D1567" s="81">
        <v>43934</v>
      </c>
      <c r="E1567" s="82">
        <v>8993.85</v>
      </c>
      <c r="G1567" s="79"/>
      <c r="H1567" s="79"/>
      <c r="I1567" s="79"/>
    </row>
    <row r="1568" s="78" customFormat="1" ht="16.5" customHeight="1" spans="1:9">
      <c r="A1568" s="79"/>
      <c r="B1568" s="79"/>
      <c r="C1568" s="79"/>
      <c r="D1568" s="81">
        <v>43930</v>
      </c>
      <c r="E1568" s="82">
        <v>9111.9</v>
      </c>
      <c r="G1568" s="79"/>
      <c r="H1568" s="79"/>
      <c r="I1568" s="79"/>
    </row>
    <row r="1569" s="78" customFormat="1" ht="16.5" customHeight="1" spans="1:9">
      <c r="A1569" s="79"/>
      <c r="B1569" s="79"/>
      <c r="C1569" s="79"/>
      <c r="D1569" s="81">
        <v>43929</v>
      </c>
      <c r="E1569" s="82">
        <v>8748.75</v>
      </c>
      <c r="G1569" s="79"/>
      <c r="H1569" s="79"/>
      <c r="I1569" s="79"/>
    </row>
    <row r="1570" s="78" customFormat="1" ht="16.5" customHeight="1" spans="1:9">
      <c r="A1570" s="79"/>
      <c r="B1570" s="79"/>
      <c r="C1570" s="79"/>
      <c r="D1570" s="81">
        <v>43928</v>
      </c>
      <c r="E1570" s="82">
        <v>8792.2</v>
      </c>
      <c r="G1570" s="79"/>
      <c r="H1570" s="79"/>
      <c r="I1570" s="79"/>
    </row>
    <row r="1571" s="78" customFormat="1" ht="16.5" customHeight="1" spans="1:9">
      <c r="A1571" s="79"/>
      <c r="B1571" s="79"/>
      <c r="C1571" s="79"/>
      <c r="D1571" s="81">
        <v>43924</v>
      </c>
      <c r="E1571" s="82">
        <v>8083.8</v>
      </c>
      <c r="G1571" s="79"/>
      <c r="H1571" s="79"/>
      <c r="I1571" s="79"/>
    </row>
    <row r="1572" s="78" customFormat="1" ht="16.5" customHeight="1" spans="1:9">
      <c r="A1572" s="79"/>
      <c r="B1572" s="79"/>
      <c r="C1572" s="79"/>
      <c r="D1572" s="81">
        <v>43922</v>
      </c>
      <c r="E1572" s="82">
        <v>8253.8</v>
      </c>
      <c r="G1572" s="79"/>
      <c r="H1572" s="79"/>
      <c r="I1572" s="79"/>
    </row>
    <row r="1573" s="78" customFormat="1" ht="16.5" customHeight="1" spans="1:9">
      <c r="A1573" s="79"/>
      <c r="B1573" s="79"/>
      <c r="C1573" s="79"/>
      <c r="D1573" s="81">
        <v>43921</v>
      </c>
      <c r="E1573" s="82">
        <v>8597.75</v>
      </c>
      <c r="G1573" s="79"/>
      <c r="H1573" s="79"/>
      <c r="I1573" s="79"/>
    </row>
    <row r="1574" s="78" customFormat="1" ht="16.5" customHeight="1" spans="1:9">
      <c r="A1574" s="79"/>
      <c r="B1574" s="79"/>
      <c r="C1574" s="79"/>
      <c r="D1574" s="81">
        <v>43920</v>
      </c>
      <c r="E1574" s="82">
        <v>8281.1</v>
      </c>
      <c r="G1574" s="79"/>
      <c r="H1574" s="79"/>
      <c r="I1574" s="79"/>
    </row>
    <row r="1575" s="78" customFormat="1" ht="16.5" customHeight="1" spans="1:9">
      <c r="A1575" s="79"/>
      <c r="B1575" s="79"/>
      <c r="C1575" s="79"/>
      <c r="D1575" s="81">
        <v>43917</v>
      </c>
      <c r="E1575" s="82">
        <v>8660.25</v>
      </c>
      <c r="G1575" s="79"/>
      <c r="H1575" s="79"/>
      <c r="I1575" s="79"/>
    </row>
    <row r="1576" s="78" customFormat="1" ht="16.5" customHeight="1" spans="1:9">
      <c r="A1576" s="79"/>
      <c r="B1576" s="79"/>
      <c r="C1576" s="79"/>
      <c r="D1576" s="81">
        <v>43916</v>
      </c>
      <c r="E1576" s="82">
        <v>8641.45</v>
      </c>
      <c r="G1576" s="79"/>
      <c r="H1576" s="79"/>
      <c r="I1576" s="79"/>
    </row>
    <row r="1577" s="78" customFormat="1" ht="16.5" customHeight="1" spans="1:9">
      <c r="A1577" s="79"/>
      <c r="B1577" s="79"/>
      <c r="C1577" s="79"/>
      <c r="D1577" s="81">
        <v>43915</v>
      </c>
      <c r="E1577" s="82">
        <v>8317.85</v>
      </c>
      <c r="G1577" s="79"/>
      <c r="H1577" s="79"/>
      <c r="I1577" s="79"/>
    </row>
    <row r="1578" s="78" customFormat="1" ht="16.5" customHeight="1" spans="1:9">
      <c r="A1578" s="79"/>
      <c r="B1578" s="79"/>
      <c r="C1578" s="79"/>
      <c r="D1578" s="81">
        <v>43914</v>
      </c>
      <c r="E1578" s="82">
        <v>7801.05</v>
      </c>
      <c r="G1578" s="79"/>
      <c r="H1578" s="79"/>
      <c r="I1578" s="79"/>
    </row>
    <row r="1579" s="78" customFormat="1" ht="16.5" customHeight="1" spans="1:9">
      <c r="A1579" s="79"/>
      <c r="B1579" s="79"/>
      <c r="C1579" s="79"/>
      <c r="D1579" s="81">
        <v>43913</v>
      </c>
      <c r="E1579" s="82">
        <v>7610.25</v>
      </c>
      <c r="G1579" s="79"/>
      <c r="H1579" s="79"/>
      <c r="I1579" s="79"/>
    </row>
    <row r="1580" s="78" customFormat="1" ht="16.5" customHeight="1" spans="1:9">
      <c r="A1580" s="79"/>
      <c r="B1580" s="79"/>
      <c r="C1580" s="79"/>
      <c r="D1580" s="81">
        <v>43910</v>
      </c>
      <c r="E1580" s="82">
        <v>8745.45</v>
      </c>
      <c r="G1580" s="79"/>
      <c r="H1580" s="79"/>
      <c r="I1580" s="79"/>
    </row>
    <row r="1581" s="78" customFormat="1" ht="16.5" customHeight="1" spans="1:9">
      <c r="A1581" s="79"/>
      <c r="B1581" s="79"/>
      <c r="C1581" s="79"/>
      <c r="D1581" s="81">
        <v>43909</v>
      </c>
      <c r="E1581" s="82">
        <v>8263.45</v>
      </c>
      <c r="G1581" s="79"/>
      <c r="H1581" s="79"/>
      <c r="I1581" s="79"/>
    </row>
    <row r="1582" s="78" customFormat="1" ht="16.5" customHeight="1" spans="1:9">
      <c r="A1582" s="79"/>
      <c r="B1582" s="79"/>
      <c r="C1582" s="79"/>
      <c r="D1582" s="81">
        <v>43908</v>
      </c>
      <c r="E1582" s="82">
        <v>8468.8</v>
      </c>
      <c r="G1582" s="79"/>
      <c r="H1582" s="79"/>
      <c r="I1582" s="79"/>
    </row>
    <row r="1583" s="78" customFormat="1" ht="16.5" customHeight="1" spans="1:9">
      <c r="A1583" s="79"/>
      <c r="B1583" s="79"/>
      <c r="C1583" s="79"/>
      <c r="D1583" s="81">
        <v>43907</v>
      </c>
      <c r="E1583" s="82">
        <v>8967.05</v>
      </c>
      <c r="G1583" s="79"/>
      <c r="H1583" s="79"/>
      <c r="I1583" s="79"/>
    </row>
    <row r="1584" s="78" customFormat="1" ht="16.5" customHeight="1" spans="1:9">
      <c r="A1584" s="79"/>
      <c r="B1584" s="79"/>
      <c r="C1584" s="79"/>
      <c r="D1584" s="81">
        <v>43906</v>
      </c>
      <c r="E1584" s="82">
        <v>9197.4</v>
      </c>
      <c r="G1584" s="79"/>
      <c r="H1584" s="79"/>
      <c r="I1584" s="79"/>
    </row>
    <row r="1585" s="78" customFormat="1" ht="16.5" customHeight="1" spans="1:9">
      <c r="A1585" s="79"/>
      <c r="B1585" s="79"/>
      <c r="C1585" s="79"/>
      <c r="D1585" s="81">
        <v>43903</v>
      </c>
      <c r="E1585" s="82">
        <v>9955.2</v>
      </c>
      <c r="G1585" s="79"/>
      <c r="H1585" s="79"/>
      <c r="I1585" s="79"/>
    </row>
    <row r="1586" s="78" customFormat="1" ht="16.5" customHeight="1" spans="1:9">
      <c r="A1586" s="79"/>
      <c r="B1586" s="79"/>
      <c r="C1586" s="79"/>
      <c r="D1586" s="81">
        <v>43902</v>
      </c>
      <c r="E1586" s="82">
        <v>9590.15</v>
      </c>
      <c r="G1586" s="79"/>
      <c r="H1586" s="79"/>
      <c r="I1586" s="79"/>
    </row>
    <row r="1587" s="78" customFormat="1" ht="16.5" customHeight="1" spans="1:9">
      <c r="A1587" s="79"/>
      <c r="B1587" s="79"/>
      <c r="C1587" s="79"/>
      <c r="D1587" s="81">
        <v>43901</v>
      </c>
      <c r="E1587" s="82">
        <v>10458.4</v>
      </c>
      <c r="G1587" s="79"/>
      <c r="H1587" s="79"/>
      <c r="I1587" s="79"/>
    </row>
    <row r="1588" s="78" customFormat="1" ht="16.5" customHeight="1" spans="1:9">
      <c r="A1588" s="79"/>
      <c r="B1588" s="79"/>
      <c r="C1588" s="79"/>
      <c r="D1588" s="81">
        <v>43899</v>
      </c>
      <c r="E1588" s="82">
        <v>10451.45</v>
      </c>
      <c r="G1588" s="79"/>
      <c r="H1588" s="79"/>
      <c r="I1588" s="79"/>
    </row>
    <row r="1589" s="78" customFormat="1" ht="16.5" customHeight="1" spans="1:9">
      <c r="A1589" s="79"/>
      <c r="B1589" s="79"/>
      <c r="C1589" s="79"/>
      <c r="D1589" s="81">
        <v>43896</v>
      </c>
      <c r="E1589" s="82">
        <v>10989.45</v>
      </c>
      <c r="G1589" s="79"/>
      <c r="H1589" s="79"/>
      <c r="I1589" s="79"/>
    </row>
    <row r="1590" s="78" customFormat="1" ht="16.5" customHeight="1" spans="1:9">
      <c r="A1590" s="79"/>
      <c r="B1590" s="79"/>
      <c r="C1590" s="79"/>
      <c r="D1590" s="81">
        <v>43895</v>
      </c>
      <c r="E1590" s="82">
        <v>11269</v>
      </c>
      <c r="G1590" s="79"/>
      <c r="H1590" s="79"/>
      <c r="I1590" s="79"/>
    </row>
    <row r="1591" s="78" customFormat="1" ht="16.5" customHeight="1" spans="1:9">
      <c r="A1591" s="79"/>
      <c r="B1591" s="79"/>
      <c r="C1591" s="79"/>
      <c r="D1591" s="81">
        <v>43894</v>
      </c>
      <c r="E1591" s="82">
        <v>11251</v>
      </c>
      <c r="G1591" s="79"/>
      <c r="H1591" s="79"/>
      <c r="I1591" s="79"/>
    </row>
    <row r="1592" s="78" customFormat="1" ht="16.5" customHeight="1" spans="1:9">
      <c r="A1592" s="79"/>
      <c r="B1592" s="79"/>
      <c r="C1592" s="79"/>
      <c r="D1592" s="81">
        <v>43893</v>
      </c>
      <c r="E1592" s="82">
        <v>11303.3</v>
      </c>
      <c r="G1592" s="79"/>
      <c r="H1592" s="79"/>
      <c r="I1592" s="79"/>
    </row>
    <row r="1593" s="78" customFormat="1" ht="16.5" customHeight="1" spans="1:9">
      <c r="A1593" s="79"/>
      <c r="B1593" s="79"/>
      <c r="C1593" s="79"/>
      <c r="D1593" s="81">
        <v>43892</v>
      </c>
      <c r="E1593" s="82">
        <v>11132.75</v>
      </c>
      <c r="G1593" s="79"/>
      <c r="H1593" s="79"/>
      <c r="I1593" s="79"/>
    </row>
    <row r="1594" s="78" customFormat="1" ht="16.5" customHeight="1" spans="1:9">
      <c r="A1594" s="79"/>
      <c r="B1594" s="79"/>
      <c r="C1594" s="79"/>
      <c r="D1594" s="81">
        <v>43889</v>
      </c>
      <c r="E1594" s="82">
        <v>11201.75</v>
      </c>
      <c r="G1594" s="79"/>
      <c r="H1594" s="79"/>
      <c r="I1594" s="79"/>
    </row>
    <row r="1595" s="78" customFormat="1" ht="16.5" customHeight="1" spans="1:9">
      <c r="A1595" s="79"/>
      <c r="B1595" s="79"/>
      <c r="C1595" s="79"/>
      <c r="D1595" s="81">
        <v>43888</v>
      </c>
      <c r="E1595" s="82">
        <v>11633.3</v>
      </c>
      <c r="G1595" s="79"/>
      <c r="H1595" s="79"/>
      <c r="I1595" s="79"/>
    </row>
    <row r="1596" s="78" customFormat="1" ht="16.5" customHeight="1" spans="1:9">
      <c r="A1596" s="79"/>
      <c r="B1596" s="79"/>
      <c r="C1596" s="79"/>
      <c r="D1596" s="81">
        <v>43887</v>
      </c>
      <c r="E1596" s="82">
        <v>11678.5</v>
      </c>
      <c r="G1596" s="79"/>
      <c r="H1596" s="79"/>
      <c r="I1596" s="79"/>
    </row>
    <row r="1597" s="78" customFormat="1" ht="16.5" customHeight="1" spans="1:9">
      <c r="A1597" s="79"/>
      <c r="B1597" s="79"/>
      <c r="C1597" s="79"/>
      <c r="D1597" s="81">
        <v>43886</v>
      </c>
      <c r="E1597" s="82">
        <v>11797.9</v>
      </c>
      <c r="G1597" s="79"/>
      <c r="H1597" s="79"/>
      <c r="I1597" s="79"/>
    </row>
    <row r="1598" s="78" customFormat="1" ht="16.5" customHeight="1" spans="1:9">
      <c r="A1598" s="79"/>
      <c r="B1598" s="79"/>
      <c r="C1598" s="79"/>
      <c r="D1598" s="81">
        <v>43885</v>
      </c>
      <c r="E1598" s="82">
        <v>11829.4</v>
      </c>
      <c r="G1598" s="79"/>
      <c r="H1598" s="79"/>
      <c r="I1598" s="79"/>
    </row>
    <row r="1599" s="78" customFormat="1" ht="16.5" customHeight="1" spans="1:9">
      <c r="A1599" s="79"/>
      <c r="B1599" s="79"/>
      <c r="C1599" s="79"/>
      <c r="D1599" s="81">
        <v>43881</v>
      </c>
      <c r="E1599" s="82">
        <v>12080.85</v>
      </c>
      <c r="G1599" s="79"/>
      <c r="H1599" s="79"/>
      <c r="I1599" s="79"/>
    </row>
    <row r="1600" s="78" customFormat="1" ht="16.5" customHeight="1" spans="1:9">
      <c r="A1600" s="79"/>
      <c r="B1600" s="79"/>
      <c r="C1600" s="79"/>
      <c r="D1600" s="81">
        <v>43880</v>
      </c>
      <c r="E1600" s="82">
        <v>12125.9</v>
      </c>
      <c r="G1600" s="79"/>
      <c r="H1600" s="79"/>
      <c r="I1600" s="79"/>
    </row>
    <row r="1601" s="78" customFormat="1" ht="16.5" customHeight="1" spans="1:9">
      <c r="A1601" s="79"/>
      <c r="B1601" s="79"/>
      <c r="C1601" s="79"/>
      <c r="D1601" s="81">
        <v>43879</v>
      </c>
      <c r="E1601" s="82">
        <v>11992.5</v>
      </c>
      <c r="G1601" s="79"/>
      <c r="H1601" s="79"/>
      <c r="I1601" s="79"/>
    </row>
    <row r="1602" s="78" customFormat="1" ht="16.5" customHeight="1" spans="1:9">
      <c r="A1602" s="79"/>
      <c r="B1602" s="79"/>
      <c r="C1602" s="79"/>
      <c r="D1602" s="81">
        <v>43878</v>
      </c>
      <c r="E1602" s="82">
        <v>12045.8</v>
      </c>
      <c r="G1602" s="79"/>
      <c r="H1602" s="79"/>
      <c r="I1602" s="79"/>
    </row>
    <row r="1603" s="78" customFormat="1" ht="16.5" customHeight="1" spans="1:9">
      <c r="A1603" s="79"/>
      <c r="B1603" s="79"/>
      <c r="C1603" s="79"/>
      <c r="D1603" s="81">
        <v>43875</v>
      </c>
      <c r="E1603" s="82">
        <v>12113.45</v>
      </c>
      <c r="G1603" s="79"/>
      <c r="H1603" s="79"/>
      <c r="I1603" s="79"/>
    </row>
    <row r="1604" s="78" customFormat="1" ht="16.5" customHeight="1" spans="1:9">
      <c r="A1604" s="79"/>
      <c r="B1604" s="79"/>
      <c r="C1604" s="79"/>
      <c r="D1604" s="81">
        <v>43874</v>
      </c>
      <c r="E1604" s="82">
        <v>12174.65</v>
      </c>
      <c r="G1604" s="79"/>
      <c r="H1604" s="79"/>
      <c r="I1604" s="79"/>
    </row>
    <row r="1605" s="78" customFormat="1" ht="16.5" customHeight="1" spans="1:9">
      <c r="A1605" s="79"/>
      <c r="B1605" s="79"/>
      <c r="C1605" s="79"/>
      <c r="D1605" s="81">
        <v>43873</v>
      </c>
      <c r="E1605" s="82">
        <v>12201.2</v>
      </c>
      <c r="G1605" s="79"/>
      <c r="H1605" s="79"/>
      <c r="I1605" s="79"/>
    </row>
    <row r="1606" s="78" customFormat="1" ht="16.5" customHeight="1" spans="1:9">
      <c r="A1606" s="79"/>
      <c r="B1606" s="79"/>
      <c r="C1606" s="79"/>
      <c r="D1606" s="81">
        <v>43872</v>
      </c>
      <c r="E1606" s="82">
        <v>12107.9</v>
      </c>
      <c r="G1606" s="79"/>
      <c r="H1606" s="79"/>
      <c r="I1606" s="79"/>
    </row>
    <row r="1607" s="78" customFormat="1" ht="16.5" customHeight="1" spans="1:9">
      <c r="A1607" s="79"/>
      <c r="B1607" s="79"/>
      <c r="C1607" s="79"/>
      <c r="D1607" s="81">
        <v>43871</v>
      </c>
      <c r="E1607" s="82">
        <v>12031.5</v>
      </c>
      <c r="G1607" s="79"/>
      <c r="H1607" s="79"/>
      <c r="I1607" s="79"/>
    </row>
    <row r="1608" s="78" customFormat="1" ht="16.5" customHeight="1" spans="1:9">
      <c r="A1608" s="79"/>
      <c r="B1608" s="79"/>
      <c r="C1608" s="79"/>
      <c r="D1608" s="81">
        <v>43868</v>
      </c>
      <c r="E1608" s="82">
        <v>12098.35</v>
      </c>
      <c r="G1608" s="79"/>
      <c r="H1608" s="79"/>
      <c r="I1608" s="79"/>
    </row>
    <row r="1609" s="78" customFormat="1" ht="16.5" customHeight="1" spans="1:9">
      <c r="A1609" s="79"/>
      <c r="B1609" s="79"/>
      <c r="C1609" s="79"/>
      <c r="D1609" s="81">
        <v>43867</v>
      </c>
      <c r="E1609" s="82">
        <v>12137.95</v>
      </c>
      <c r="G1609" s="79"/>
      <c r="H1609" s="79"/>
      <c r="I1609" s="79"/>
    </row>
    <row r="1610" s="78" customFormat="1" ht="16.5" customHeight="1" spans="1:9">
      <c r="A1610" s="79"/>
      <c r="B1610" s="79"/>
      <c r="C1610" s="79"/>
      <c r="D1610" s="81">
        <v>43866</v>
      </c>
      <c r="E1610" s="82">
        <v>12089.15</v>
      </c>
      <c r="G1610" s="79"/>
      <c r="H1610" s="79"/>
      <c r="I1610" s="79"/>
    </row>
    <row r="1611" s="78" customFormat="1" ht="16.5" customHeight="1" spans="1:9">
      <c r="A1611" s="79"/>
      <c r="B1611" s="79"/>
      <c r="C1611" s="79"/>
      <c r="D1611" s="81">
        <v>43865</v>
      </c>
      <c r="E1611" s="82">
        <v>11979.65</v>
      </c>
      <c r="G1611" s="79"/>
      <c r="H1611" s="79"/>
      <c r="I1611" s="79"/>
    </row>
    <row r="1612" s="78" customFormat="1" ht="16.5" customHeight="1" spans="1:9">
      <c r="A1612" s="79"/>
      <c r="B1612" s="79"/>
      <c r="C1612" s="79"/>
      <c r="D1612" s="81">
        <v>43864</v>
      </c>
      <c r="E1612" s="82">
        <v>11707.9</v>
      </c>
      <c r="G1612" s="79"/>
      <c r="H1612" s="79"/>
      <c r="I1612" s="79"/>
    </row>
    <row r="1613" s="78" customFormat="1" ht="16.5" customHeight="1" spans="1:9">
      <c r="A1613" s="79"/>
      <c r="B1613" s="79"/>
      <c r="C1613" s="79"/>
      <c r="D1613" s="81">
        <v>43862</v>
      </c>
      <c r="E1613" s="82">
        <v>11661.85</v>
      </c>
      <c r="G1613" s="79"/>
      <c r="H1613" s="79"/>
      <c r="I1613" s="79"/>
    </row>
    <row r="1614" s="78" customFormat="1" ht="16.5" customHeight="1" spans="1:9">
      <c r="A1614" s="79"/>
      <c r="B1614" s="79"/>
      <c r="C1614" s="79"/>
      <c r="D1614" s="81">
        <v>43861</v>
      </c>
      <c r="E1614" s="82">
        <v>11962.1</v>
      </c>
      <c r="G1614" s="79"/>
      <c r="H1614" s="79"/>
      <c r="I1614" s="79"/>
    </row>
    <row r="1615" s="78" customFormat="1" ht="16.5" customHeight="1" spans="1:9">
      <c r="A1615" s="79"/>
      <c r="B1615" s="79"/>
      <c r="C1615" s="79"/>
      <c r="D1615" s="81">
        <v>43860</v>
      </c>
      <c r="E1615" s="82">
        <v>12035.8</v>
      </c>
      <c r="G1615" s="79"/>
      <c r="H1615" s="79"/>
      <c r="I1615" s="79"/>
    </row>
    <row r="1616" s="78" customFormat="1" ht="16.5" customHeight="1" spans="1:9">
      <c r="A1616" s="79"/>
      <c r="B1616" s="79"/>
      <c r="C1616" s="79"/>
      <c r="D1616" s="81">
        <v>43859</v>
      </c>
      <c r="E1616" s="82">
        <v>12129.5</v>
      </c>
      <c r="G1616" s="79"/>
      <c r="H1616" s="79"/>
      <c r="I1616" s="79"/>
    </row>
    <row r="1617" s="78" customFormat="1" ht="16.5" customHeight="1" spans="1:9">
      <c r="A1617" s="79"/>
      <c r="B1617" s="79"/>
      <c r="C1617" s="79"/>
      <c r="D1617" s="81">
        <v>43858</v>
      </c>
      <c r="E1617" s="82">
        <v>12055.8</v>
      </c>
      <c r="G1617" s="79"/>
      <c r="H1617" s="79"/>
      <c r="I1617" s="79"/>
    </row>
    <row r="1618" s="78" customFormat="1" ht="16.5" customHeight="1" spans="1:9">
      <c r="A1618" s="79"/>
      <c r="B1618" s="79"/>
      <c r="C1618" s="79"/>
      <c r="D1618" s="81">
        <v>43857</v>
      </c>
      <c r="E1618" s="82">
        <v>12119</v>
      </c>
      <c r="G1618" s="79"/>
      <c r="H1618" s="79"/>
      <c r="I1618" s="79"/>
    </row>
    <row r="1619" s="78" customFormat="1" ht="16.5" customHeight="1" spans="1:9">
      <c r="A1619" s="79"/>
      <c r="B1619" s="79"/>
      <c r="C1619" s="79"/>
      <c r="D1619" s="81">
        <v>43854</v>
      </c>
      <c r="E1619" s="82">
        <v>12248.25</v>
      </c>
      <c r="G1619" s="79"/>
      <c r="H1619" s="79"/>
      <c r="I1619" s="79"/>
    </row>
    <row r="1620" s="78" customFormat="1" ht="16.5" customHeight="1" spans="1:9">
      <c r="A1620" s="79"/>
      <c r="B1620" s="79"/>
      <c r="C1620" s="79"/>
      <c r="D1620" s="81">
        <v>43853</v>
      </c>
      <c r="E1620" s="82">
        <v>12180.35</v>
      </c>
      <c r="G1620" s="79"/>
      <c r="H1620" s="79"/>
      <c r="I1620" s="79"/>
    </row>
    <row r="1621" s="78" customFormat="1" ht="16.5" customHeight="1" spans="1:9">
      <c r="A1621" s="79"/>
      <c r="B1621" s="79"/>
      <c r="C1621" s="79"/>
      <c r="D1621" s="81">
        <v>43852</v>
      </c>
      <c r="E1621" s="82">
        <v>12106.9</v>
      </c>
      <c r="G1621" s="79"/>
      <c r="H1621" s="79"/>
      <c r="I1621" s="79"/>
    </row>
    <row r="1622" s="78" customFormat="1" ht="16.5" customHeight="1" spans="1:9">
      <c r="A1622" s="79"/>
      <c r="B1622" s="79"/>
      <c r="C1622" s="79"/>
      <c r="D1622" s="81">
        <v>43851</v>
      </c>
      <c r="E1622" s="82">
        <v>12169.85</v>
      </c>
      <c r="G1622" s="79"/>
      <c r="H1622" s="79"/>
      <c r="I1622" s="79"/>
    </row>
    <row r="1623" s="78" customFormat="1" ht="16.5" customHeight="1" spans="1:9">
      <c r="A1623" s="79"/>
      <c r="B1623" s="79"/>
      <c r="C1623" s="79"/>
      <c r="D1623" s="81">
        <v>43850</v>
      </c>
      <c r="E1623" s="82">
        <v>12224.55</v>
      </c>
      <c r="G1623" s="79"/>
      <c r="H1623" s="79"/>
      <c r="I1623" s="79"/>
    </row>
    <row r="1624" s="78" customFormat="1" ht="16.5" customHeight="1" spans="1:9">
      <c r="A1624" s="79"/>
      <c r="B1624" s="79"/>
      <c r="C1624" s="79"/>
      <c r="D1624" s="81">
        <v>43847</v>
      </c>
      <c r="E1624" s="82">
        <v>12352.35</v>
      </c>
      <c r="G1624" s="79"/>
      <c r="H1624" s="79"/>
      <c r="I1624" s="79"/>
    </row>
    <row r="1625" s="78" customFormat="1" ht="16.5" customHeight="1" spans="1:9">
      <c r="A1625" s="79"/>
      <c r="B1625" s="79"/>
      <c r="C1625" s="79"/>
      <c r="D1625" s="81">
        <v>43846</v>
      </c>
      <c r="E1625" s="82">
        <v>12355.5</v>
      </c>
      <c r="G1625" s="79"/>
      <c r="H1625" s="79"/>
      <c r="I1625" s="79"/>
    </row>
    <row r="1626" s="78" customFormat="1" ht="16.5" customHeight="1" spans="1:9">
      <c r="A1626" s="79"/>
      <c r="B1626" s="79"/>
      <c r="C1626" s="79"/>
      <c r="D1626" s="81">
        <v>43845</v>
      </c>
      <c r="E1626" s="82">
        <v>12343.3</v>
      </c>
      <c r="G1626" s="79"/>
      <c r="H1626" s="79"/>
      <c r="I1626" s="79"/>
    </row>
    <row r="1627" s="78" customFormat="1" ht="16.5" customHeight="1" spans="1:9">
      <c r="A1627" s="79"/>
      <c r="B1627" s="79"/>
      <c r="C1627" s="79"/>
      <c r="D1627" s="81">
        <v>43844</v>
      </c>
      <c r="E1627" s="82">
        <v>12362.3</v>
      </c>
      <c r="G1627" s="79"/>
      <c r="H1627" s="79"/>
      <c r="I1627" s="79"/>
    </row>
    <row r="1628" s="78" customFormat="1" ht="16.5" customHeight="1" spans="1:9">
      <c r="A1628" s="79"/>
      <c r="B1628" s="79"/>
      <c r="C1628" s="79"/>
      <c r="D1628" s="81">
        <v>43843</v>
      </c>
      <c r="E1628" s="82">
        <v>12329.55</v>
      </c>
      <c r="G1628" s="79"/>
      <c r="H1628" s="79"/>
      <c r="I1628" s="79"/>
    </row>
    <row r="1629" s="78" customFormat="1" ht="16.5" customHeight="1" spans="1:9">
      <c r="A1629" s="79"/>
      <c r="B1629" s="79"/>
      <c r="C1629" s="79"/>
      <c r="D1629" s="81">
        <v>43840</v>
      </c>
      <c r="E1629" s="82">
        <v>12256.8</v>
      </c>
      <c r="G1629" s="79"/>
      <c r="H1629" s="79"/>
      <c r="I1629" s="79"/>
    </row>
    <row r="1630" s="78" customFormat="1" ht="16.5" customHeight="1" spans="1:9">
      <c r="A1630" s="79"/>
      <c r="B1630" s="79"/>
      <c r="C1630" s="79"/>
      <c r="D1630" s="81">
        <v>43839</v>
      </c>
      <c r="E1630" s="82">
        <v>12215.9</v>
      </c>
      <c r="G1630" s="79"/>
      <c r="H1630" s="79"/>
      <c r="I1630" s="79"/>
    </row>
    <row r="1631" s="78" customFormat="1" ht="16.5" customHeight="1" spans="1:9">
      <c r="A1631" s="79"/>
      <c r="B1631" s="79"/>
      <c r="C1631" s="79"/>
      <c r="D1631" s="81">
        <v>43838</v>
      </c>
      <c r="E1631" s="82">
        <v>12025.35</v>
      </c>
      <c r="G1631" s="79"/>
      <c r="H1631" s="79"/>
      <c r="I1631" s="79"/>
    </row>
    <row r="1632" s="78" customFormat="1" ht="16.5" customHeight="1" spans="1:9">
      <c r="A1632" s="79"/>
      <c r="B1632" s="79"/>
      <c r="C1632" s="79"/>
      <c r="D1632" s="81">
        <v>43837</v>
      </c>
      <c r="E1632" s="82">
        <v>12052.95</v>
      </c>
      <c r="G1632" s="79"/>
      <c r="H1632" s="79"/>
      <c r="I1632" s="79"/>
    </row>
    <row r="1633" s="78" customFormat="1" ht="16.5" customHeight="1" spans="1:9">
      <c r="A1633" s="79"/>
      <c r="B1633" s="79"/>
      <c r="C1633" s="79"/>
      <c r="D1633" s="81">
        <v>43836</v>
      </c>
      <c r="E1633" s="82">
        <v>11993.05</v>
      </c>
      <c r="G1633" s="79"/>
      <c r="H1633" s="79"/>
      <c r="I1633" s="79"/>
    </row>
    <row r="1634" s="78" customFormat="1" ht="16.5" customHeight="1" spans="1:9">
      <c r="A1634" s="79"/>
      <c r="B1634" s="79"/>
      <c r="C1634" s="79"/>
      <c r="D1634" s="81">
        <v>43833</v>
      </c>
      <c r="E1634" s="82">
        <v>12226.65</v>
      </c>
      <c r="G1634" s="79"/>
      <c r="H1634" s="79"/>
      <c r="I1634" s="79"/>
    </row>
    <row r="1635" s="78" customFormat="1" ht="16.5" customHeight="1" spans="1:9">
      <c r="A1635" s="79"/>
      <c r="B1635" s="79"/>
      <c r="C1635" s="79"/>
      <c r="D1635" s="81">
        <v>43832</v>
      </c>
      <c r="E1635" s="82">
        <v>12282.2</v>
      </c>
      <c r="G1635" s="79"/>
      <c r="H1635" s="79"/>
      <c r="I1635" s="79"/>
    </row>
    <row r="1636" s="78" customFormat="1" ht="16.5" customHeight="1" spans="1:9">
      <c r="A1636" s="79"/>
      <c r="B1636" s="79"/>
      <c r="C1636" s="79"/>
      <c r="D1636" s="81">
        <v>43831</v>
      </c>
      <c r="E1636" s="82">
        <v>12182.5</v>
      </c>
      <c r="G1636" s="79"/>
      <c r="H1636" s="79"/>
      <c r="I1636" s="79"/>
    </row>
    <row r="1637" s="78" customFormat="1" ht="16.5" customHeight="1" spans="1:9">
      <c r="A1637" s="79"/>
      <c r="B1637" s="79"/>
      <c r="C1637" s="79"/>
      <c r="D1637" s="81">
        <v>43830</v>
      </c>
      <c r="E1637" s="82">
        <v>12168.45</v>
      </c>
      <c r="G1637" s="79"/>
      <c r="H1637" s="79"/>
      <c r="I1637" s="79"/>
    </row>
    <row r="1638" s="78" customFormat="1" ht="16.5" customHeight="1" spans="1:9">
      <c r="A1638" s="79"/>
      <c r="B1638" s="79"/>
      <c r="C1638" s="79"/>
      <c r="D1638" s="81">
        <v>43829</v>
      </c>
      <c r="E1638" s="82">
        <v>12255.85</v>
      </c>
      <c r="G1638" s="79"/>
      <c r="H1638" s="79"/>
      <c r="I1638" s="79"/>
    </row>
    <row r="1639" s="78" customFormat="1" ht="16.5" customHeight="1" spans="1:9">
      <c r="A1639" s="79"/>
      <c r="B1639" s="79"/>
      <c r="C1639" s="79"/>
      <c r="D1639" s="81">
        <v>43826</v>
      </c>
      <c r="E1639" s="82">
        <v>12245.8</v>
      </c>
      <c r="G1639" s="79"/>
      <c r="H1639" s="79"/>
      <c r="I1639" s="79"/>
    </row>
    <row r="1640" s="78" customFormat="1" ht="16.5" customHeight="1" spans="1:9">
      <c r="A1640" s="79"/>
      <c r="B1640" s="79"/>
      <c r="C1640" s="79"/>
      <c r="D1640" s="81">
        <v>43825</v>
      </c>
      <c r="E1640" s="82">
        <v>12126.55</v>
      </c>
      <c r="G1640" s="79"/>
      <c r="H1640" s="79"/>
      <c r="I1640" s="79"/>
    </row>
    <row r="1641" s="78" customFormat="1" ht="16.5" customHeight="1" spans="1:9">
      <c r="A1641" s="79"/>
      <c r="B1641" s="79"/>
      <c r="C1641" s="79"/>
      <c r="D1641" s="81">
        <v>43823</v>
      </c>
      <c r="E1641" s="82">
        <v>12214.55</v>
      </c>
      <c r="G1641" s="79"/>
      <c r="H1641" s="79"/>
      <c r="I1641" s="79"/>
    </row>
    <row r="1642" s="78" customFormat="1" ht="16.5" customHeight="1" spans="1:9">
      <c r="A1642" s="79"/>
      <c r="B1642" s="79"/>
      <c r="C1642" s="79"/>
      <c r="D1642" s="81">
        <v>43822</v>
      </c>
      <c r="E1642" s="82">
        <v>12262.75</v>
      </c>
      <c r="G1642" s="79"/>
      <c r="H1642" s="79"/>
      <c r="I1642" s="79"/>
    </row>
    <row r="1643" s="78" customFormat="1" ht="16.5" customHeight="1" spans="1:9">
      <c r="A1643" s="79"/>
      <c r="B1643" s="79"/>
      <c r="C1643" s="79"/>
      <c r="D1643" s="81">
        <v>43819</v>
      </c>
      <c r="E1643" s="82">
        <v>12271.8</v>
      </c>
      <c r="G1643" s="79"/>
      <c r="H1643" s="79"/>
      <c r="I1643" s="79"/>
    </row>
    <row r="1644" s="78" customFormat="1" ht="16.5" customHeight="1" spans="1:9">
      <c r="A1644" s="79"/>
      <c r="B1644" s="79"/>
      <c r="C1644" s="79"/>
      <c r="D1644" s="81">
        <v>43818</v>
      </c>
      <c r="E1644" s="82">
        <v>12259.7</v>
      </c>
      <c r="G1644" s="79"/>
      <c r="H1644" s="79"/>
      <c r="I1644" s="79"/>
    </row>
    <row r="1645" s="78" customFormat="1" ht="16.5" customHeight="1" spans="1:9">
      <c r="A1645" s="79"/>
      <c r="B1645" s="79"/>
      <c r="C1645" s="79"/>
      <c r="D1645" s="81">
        <v>43817</v>
      </c>
      <c r="E1645" s="82">
        <v>12221.65</v>
      </c>
      <c r="G1645" s="79"/>
      <c r="H1645" s="79"/>
      <c r="I1645" s="79"/>
    </row>
    <row r="1646" s="78" customFormat="1" ht="16.5" customHeight="1" spans="1:9">
      <c r="A1646" s="79"/>
      <c r="B1646" s="79"/>
      <c r="C1646" s="79"/>
      <c r="D1646" s="81">
        <v>43816</v>
      </c>
      <c r="E1646" s="82">
        <v>12165</v>
      </c>
      <c r="G1646" s="79"/>
      <c r="H1646" s="79"/>
      <c r="I1646" s="79"/>
    </row>
    <row r="1647" s="78" customFormat="1" ht="16.5" customHeight="1" spans="1:9">
      <c r="A1647" s="79"/>
      <c r="B1647" s="79"/>
      <c r="C1647" s="79"/>
      <c r="D1647" s="81">
        <v>43815</v>
      </c>
      <c r="E1647" s="82">
        <v>12053.95</v>
      </c>
      <c r="G1647" s="79"/>
      <c r="H1647" s="79"/>
      <c r="I1647" s="79"/>
    </row>
    <row r="1648" s="78" customFormat="1" ht="16.5" customHeight="1" spans="1:9">
      <c r="A1648" s="79"/>
      <c r="B1648" s="79"/>
      <c r="C1648" s="79"/>
      <c r="D1648" s="81">
        <v>43812</v>
      </c>
      <c r="E1648" s="82">
        <v>12086.7</v>
      </c>
      <c r="G1648" s="79"/>
      <c r="H1648" s="79"/>
      <c r="I1648" s="79"/>
    </row>
    <row r="1649" s="78" customFormat="1" ht="16.5" customHeight="1" spans="1:9">
      <c r="A1649" s="79"/>
      <c r="B1649" s="79"/>
      <c r="C1649" s="79"/>
      <c r="D1649" s="81">
        <v>43811</v>
      </c>
      <c r="E1649" s="82">
        <v>11971.8</v>
      </c>
      <c r="G1649" s="79"/>
      <c r="H1649" s="79"/>
      <c r="I1649" s="79"/>
    </row>
    <row r="1650" s="78" customFormat="1" ht="16.5" customHeight="1" spans="1:9">
      <c r="A1650" s="79"/>
      <c r="B1650" s="79"/>
      <c r="C1650" s="79"/>
      <c r="D1650" s="81">
        <v>43810</v>
      </c>
      <c r="E1650" s="82">
        <v>11910.15</v>
      </c>
      <c r="G1650" s="79"/>
      <c r="H1650" s="79"/>
      <c r="I1650" s="79"/>
    </row>
    <row r="1651" s="78" customFormat="1" ht="16.5" customHeight="1" spans="1:9">
      <c r="A1651" s="79"/>
      <c r="B1651" s="79"/>
      <c r="C1651" s="79"/>
      <c r="D1651" s="81">
        <v>43809</v>
      </c>
      <c r="E1651" s="82">
        <v>11856.8</v>
      </c>
      <c r="G1651" s="79"/>
      <c r="H1651" s="79"/>
      <c r="I1651" s="79"/>
    </row>
    <row r="1652" s="78" customFormat="1" ht="16.5" customHeight="1" spans="1:9">
      <c r="A1652" s="79"/>
      <c r="B1652" s="79"/>
      <c r="C1652" s="79"/>
      <c r="D1652" s="81">
        <v>43808</v>
      </c>
      <c r="E1652" s="82">
        <v>11937.5</v>
      </c>
      <c r="G1652" s="79"/>
      <c r="H1652" s="79"/>
      <c r="I1652" s="79"/>
    </row>
    <row r="1653" s="78" customFormat="1" ht="16.5" customHeight="1" spans="1:9">
      <c r="A1653" s="79"/>
      <c r="B1653" s="79"/>
      <c r="C1653" s="79"/>
      <c r="D1653" s="81">
        <v>43805</v>
      </c>
      <c r="E1653" s="82">
        <v>11921.5</v>
      </c>
      <c r="G1653" s="79"/>
      <c r="H1653" s="79"/>
      <c r="I1653" s="79"/>
    </row>
    <row r="1654" s="78" customFormat="1" ht="16.5" customHeight="1" spans="1:9">
      <c r="A1654" s="79"/>
      <c r="B1654" s="79"/>
      <c r="C1654" s="79"/>
      <c r="D1654" s="81">
        <v>43804</v>
      </c>
      <c r="E1654" s="82">
        <v>12018.4</v>
      </c>
      <c r="G1654" s="79"/>
      <c r="H1654" s="79"/>
      <c r="I1654" s="79"/>
    </row>
    <row r="1655" s="78" customFormat="1" ht="16.5" customHeight="1" spans="1:9">
      <c r="A1655" s="79"/>
      <c r="B1655" s="79"/>
      <c r="C1655" s="79"/>
      <c r="D1655" s="81">
        <v>43803</v>
      </c>
      <c r="E1655" s="82">
        <v>12043.2</v>
      </c>
      <c r="G1655" s="79"/>
      <c r="H1655" s="79"/>
      <c r="I1655" s="79"/>
    </row>
    <row r="1656" s="78" customFormat="1" ht="16.5" customHeight="1" spans="1:9">
      <c r="A1656" s="79"/>
      <c r="B1656" s="79"/>
      <c r="C1656" s="79"/>
      <c r="D1656" s="81">
        <v>43802</v>
      </c>
      <c r="E1656" s="82">
        <v>11994.2</v>
      </c>
      <c r="G1656" s="79"/>
      <c r="H1656" s="79"/>
      <c r="I1656" s="79"/>
    </row>
    <row r="1657" s="78" customFormat="1" ht="16.5" customHeight="1" spans="1:9">
      <c r="A1657" s="79"/>
      <c r="B1657" s="79"/>
      <c r="C1657" s="79"/>
      <c r="D1657" s="81">
        <v>43801</v>
      </c>
      <c r="E1657" s="82">
        <v>12048.2</v>
      </c>
      <c r="G1657" s="79"/>
      <c r="H1657" s="79"/>
      <c r="I1657" s="79"/>
    </row>
    <row r="1658" s="78" customFormat="1" ht="16.5" customHeight="1" spans="1:9">
      <c r="A1658" s="79"/>
      <c r="B1658" s="79"/>
      <c r="C1658" s="79"/>
      <c r="D1658" s="81">
        <v>43798</v>
      </c>
      <c r="E1658" s="82">
        <v>12056.05</v>
      </c>
      <c r="G1658" s="79"/>
      <c r="H1658" s="79"/>
      <c r="I1658" s="79"/>
    </row>
    <row r="1659" s="78" customFormat="1" ht="16.5" customHeight="1" spans="1:9">
      <c r="A1659" s="79"/>
      <c r="B1659" s="79"/>
      <c r="C1659" s="79"/>
      <c r="D1659" s="81">
        <v>43797</v>
      </c>
      <c r="E1659" s="82">
        <v>12151.15</v>
      </c>
      <c r="G1659" s="79"/>
      <c r="H1659" s="79"/>
      <c r="I1659" s="79"/>
    </row>
    <row r="1660" s="78" customFormat="1" ht="16.5" customHeight="1" spans="1:9">
      <c r="A1660" s="79"/>
      <c r="B1660" s="79"/>
      <c r="C1660" s="79"/>
      <c r="D1660" s="81">
        <v>43796</v>
      </c>
      <c r="E1660" s="82">
        <v>12100.7</v>
      </c>
      <c r="G1660" s="79"/>
      <c r="H1660" s="79"/>
      <c r="I1660" s="79"/>
    </row>
    <row r="1661" s="78" customFormat="1" ht="16.5" customHeight="1" spans="1:9">
      <c r="A1661" s="79"/>
      <c r="B1661" s="79"/>
      <c r="C1661" s="79"/>
      <c r="D1661" s="81">
        <v>43795</v>
      </c>
      <c r="E1661" s="82">
        <v>12037.7</v>
      </c>
      <c r="G1661" s="79"/>
      <c r="H1661" s="79"/>
      <c r="I1661" s="79"/>
    </row>
    <row r="1662" s="78" customFormat="1" ht="16.5" customHeight="1" spans="1:9">
      <c r="A1662" s="79"/>
      <c r="B1662" s="79"/>
      <c r="C1662" s="79"/>
      <c r="D1662" s="81">
        <v>43794</v>
      </c>
      <c r="E1662" s="82">
        <v>12073.75</v>
      </c>
      <c r="G1662" s="79"/>
      <c r="H1662" s="79"/>
      <c r="I1662" s="79"/>
    </row>
    <row r="1663" s="78" customFormat="1" ht="16.5" customHeight="1" spans="1:9">
      <c r="A1663" s="79"/>
      <c r="B1663" s="79"/>
      <c r="C1663" s="79"/>
      <c r="D1663" s="81">
        <v>43791</v>
      </c>
      <c r="E1663" s="82">
        <v>11914.4</v>
      </c>
      <c r="G1663" s="79"/>
      <c r="H1663" s="79"/>
      <c r="I1663" s="79"/>
    </row>
    <row r="1664" s="78" customFormat="1" ht="16.5" customHeight="1" spans="1:9">
      <c r="A1664" s="79"/>
      <c r="B1664" s="79"/>
      <c r="C1664" s="79"/>
      <c r="D1664" s="81">
        <v>43790</v>
      </c>
      <c r="E1664" s="82">
        <v>11968.4</v>
      </c>
      <c r="G1664" s="79"/>
      <c r="H1664" s="79"/>
      <c r="I1664" s="79"/>
    </row>
    <row r="1665" s="78" customFormat="1" ht="16.5" customHeight="1" spans="1:9">
      <c r="A1665" s="79"/>
      <c r="B1665" s="79"/>
      <c r="C1665" s="79"/>
      <c r="D1665" s="81">
        <v>43789</v>
      </c>
      <c r="E1665" s="82">
        <v>11999.1</v>
      </c>
      <c r="G1665" s="79"/>
      <c r="H1665" s="79"/>
      <c r="I1665" s="79"/>
    </row>
    <row r="1666" s="78" customFormat="1" ht="16.5" customHeight="1" spans="1:9">
      <c r="A1666" s="79"/>
      <c r="B1666" s="79"/>
      <c r="C1666" s="79"/>
      <c r="D1666" s="81">
        <v>43788</v>
      </c>
      <c r="E1666" s="82">
        <v>11940.1</v>
      </c>
      <c r="G1666" s="79"/>
      <c r="H1666" s="79"/>
      <c r="I1666" s="79"/>
    </row>
    <row r="1667" s="78" customFormat="1" ht="16.5" customHeight="1" spans="1:9">
      <c r="A1667" s="79"/>
      <c r="B1667" s="79"/>
      <c r="C1667" s="79"/>
      <c r="D1667" s="81">
        <v>43787</v>
      </c>
      <c r="E1667" s="82">
        <v>11884.5</v>
      </c>
      <c r="G1667" s="79"/>
      <c r="H1667" s="79"/>
      <c r="I1667" s="79"/>
    </row>
    <row r="1668" s="78" customFormat="1" ht="16.5" customHeight="1" spans="1:9">
      <c r="A1668" s="79"/>
      <c r="B1668" s="79"/>
      <c r="C1668" s="79"/>
      <c r="D1668" s="81">
        <v>43784</v>
      </c>
      <c r="E1668" s="82">
        <v>11895.45</v>
      </c>
      <c r="G1668" s="79"/>
      <c r="H1668" s="79"/>
      <c r="I1668" s="79"/>
    </row>
    <row r="1669" s="78" customFormat="1" ht="16.5" customHeight="1" spans="1:9">
      <c r="A1669" s="79"/>
      <c r="B1669" s="79"/>
      <c r="C1669" s="79"/>
      <c r="D1669" s="81">
        <v>43783</v>
      </c>
      <c r="E1669" s="82">
        <v>11872.1</v>
      </c>
      <c r="G1669" s="79"/>
      <c r="H1669" s="79"/>
      <c r="I1669" s="79"/>
    </row>
    <row r="1670" s="78" customFormat="1" ht="16.5" customHeight="1" spans="1:9">
      <c r="A1670" s="79"/>
      <c r="B1670" s="79"/>
      <c r="C1670" s="79"/>
      <c r="D1670" s="81">
        <v>43782</v>
      </c>
      <c r="E1670" s="82">
        <v>11840.45</v>
      </c>
      <c r="G1670" s="79"/>
      <c r="H1670" s="79"/>
      <c r="I1670" s="79"/>
    </row>
    <row r="1671" s="78" customFormat="1" ht="16.5" customHeight="1" spans="1:9">
      <c r="A1671" s="79"/>
      <c r="B1671" s="79"/>
      <c r="C1671" s="79"/>
      <c r="D1671" s="81">
        <v>43780</v>
      </c>
      <c r="E1671" s="82">
        <v>11913.45</v>
      </c>
      <c r="G1671" s="79"/>
      <c r="H1671" s="79"/>
      <c r="I1671" s="79"/>
    </row>
    <row r="1672" s="78" customFormat="1" ht="16.5" customHeight="1" spans="1:9">
      <c r="A1672" s="79"/>
      <c r="B1672" s="79"/>
      <c r="C1672" s="79"/>
      <c r="D1672" s="81">
        <v>43777</v>
      </c>
      <c r="E1672" s="82">
        <v>11908.15</v>
      </c>
      <c r="G1672" s="79"/>
      <c r="H1672" s="79"/>
      <c r="I1672" s="79"/>
    </row>
    <row r="1673" s="78" customFormat="1" ht="16.5" customHeight="1" spans="1:9">
      <c r="A1673" s="79"/>
      <c r="B1673" s="79"/>
      <c r="C1673" s="79"/>
      <c r="D1673" s="81">
        <v>43776</v>
      </c>
      <c r="E1673" s="82">
        <v>12012.05</v>
      </c>
      <c r="G1673" s="79"/>
      <c r="H1673" s="79"/>
      <c r="I1673" s="79"/>
    </row>
    <row r="1674" s="78" customFormat="1" ht="16.5" customHeight="1" spans="1:9">
      <c r="A1674" s="79"/>
      <c r="B1674" s="79"/>
      <c r="C1674" s="79"/>
      <c r="D1674" s="81">
        <v>43775</v>
      </c>
      <c r="E1674" s="82">
        <v>11966.05</v>
      </c>
      <c r="G1674" s="79"/>
      <c r="H1674" s="79"/>
      <c r="I1674" s="79"/>
    </row>
    <row r="1675" s="78" customFormat="1" ht="16.5" customHeight="1" spans="1:9">
      <c r="A1675" s="79"/>
      <c r="B1675" s="79"/>
      <c r="C1675" s="79"/>
      <c r="D1675" s="81">
        <v>43774</v>
      </c>
      <c r="E1675" s="82">
        <v>11917.2</v>
      </c>
      <c r="G1675" s="79"/>
      <c r="H1675" s="79"/>
      <c r="I1675" s="79"/>
    </row>
    <row r="1676" s="78" customFormat="1" ht="16.5" customHeight="1" spans="1:9">
      <c r="A1676" s="79"/>
      <c r="B1676" s="79"/>
      <c r="C1676" s="79"/>
      <c r="D1676" s="81">
        <v>43773</v>
      </c>
      <c r="E1676" s="82">
        <v>11941.3</v>
      </c>
      <c r="G1676" s="79"/>
      <c r="H1676" s="79"/>
      <c r="I1676" s="79"/>
    </row>
    <row r="1677" s="78" customFormat="1" ht="16.5" customHeight="1" spans="1:9">
      <c r="A1677" s="79"/>
      <c r="B1677" s="79"/>
      <c r="C1677" s="79"/>
      <c r="D1677" s="81">
        <v>43770</v>
      </c>
      <c r="E1677" s="82">
        <v>11890.6</v>
      </c>
      <c r="G1677" s="79"/>
      <c r="H1677" s="79"/>
      <c r="I1677" s="79"/>
    </row>
    <row r="1678" s="78" customFormat="1" ht="16.5" customHeight="1" spans="1:9">
      <c r="A1678" s="79"/>
      <c r="B1678" s="79"/>
      <c r="C1678" s="79"/>
      <c r="D1678" s="81">
        <v>43769</v>
      </c>
      <c r="E1678" s="82">
        <v>11877.45</v>
      </c>
      <c r="G1678" s="79"/>
      <c r="H1678" s="79"/>
      <c r="I1678" s="79"/>
    </row>
    <row r="1679" s="78" customFormat="1" ht="16.5" customHeight="1" spans="1:9">
      <c r="A1679" s="79"/>
      <c r="B1679" s="79"/>
      <c r="C1679" s="79"/>
      <c r="D1679" s="81">
        <v>43768</v>
      </c>
      <c r="E1679" s="82">
        <v>11844.1</v>
      </c>
      <c r="G1679" s="79"/>
      <c r="H1679" s="79"/>
      <c r="I1679" s="79"/>
    </row>
    <row r="1680" s="78" customFormat="1" ht="16.5" customHeight="1" spans="1:9">
      <c r="A1680" s="79"/>
      <c r="B1680" s="79"/>
      <c r="C1680" s="79"/>
      <c r="D1680" s="81">
        <v>43767</v>
      </c>
      <c r="E1680" s="82">
        <v>11786.85</v>
      </c>
      <c r="G1680" s="79"/>
      <c r="H1680" s="79"/>
      <c r="I1680" s="79"/>
    </row>
    <row r="1681" s="78" customFormat="1" ht="16.5" customHeight="1" spans="1:9">
      <c r="A1681" s="79"/>
      <c r="B1681" s="79"/>
      <c r="C1681" s="79"/>
      <c r="D1681" s="81">
        <v>43765</v>
      </c>
      <c r="E1681" s="82">
        <v>11627.15</v>
      </c>
      <c r="G1681" s="79"/>
      <c r="H1681" s="79"/>
      <c r="I1681" s="79"/>
    </row>
    <row r="1682" s="78" customFormat="1" ht="16.5" customHeight="1" spans="1:9">
      <c r="A1682" s="79"/>
      <c r="B1682" s="79"/>
      <c r="C1682" s="79"/>
      <c r="D1682" s="81">
        <v>43763</v>
      </c>
      <c r="E1682" s="82">
        <v>11583.9</v>
      </c>
      <c r="G1682" s="79"/>
      <c r="H1682" s="79"/>
      <c r="I1682" s="79"/>
    </row>
    <row r="1683" s="78" customFormat="1" ht="16.5" customHeight="1" spans="1:9">
      <c r="A1683" s="79"/>
      <c r="B1683" s="79"/>
      <c r="C1683" s="79"/>
      <c r="D1683" s="81">
        <v>43762</v>
      </c>
      <c r="E1683" s="82">
        <v>11582.6</v>
      </c>
      <c r="G1683" s="79"/>
      <c r="H1683" s="79"/>
      <c r="I1683" s="79"/>
    </row>
    <row r="1684" s="78" customFormat="1" ht="16.5" customHeight="1" spans="1:9">
      <c r="A1684" s="79"/>
      <c r="B1684" s="79"/>
      <c r="C1684" s="79"/>
      <c r="D1684" s="81">
        <v>43761</v>
      </c>
      <c r="E1684" s="82">
        <v>11604.1</v>
      </c>
      <c r="G1684" s="79"/>
      <c r="H1684" s="79"/>
      <c r="I1684" s="79"/>
    </row>
    <row r="1685" s="78" customFormat="1" ht="16.5" customHeight="1" spans="1:9">
      <c r="A1685" s="79"/>
      <c r="B1685" s="79"/>
      <c r="C1685" s="79"/>
      <c r="D1685" s="81">
        <v>43760</v>
      </c>
      <c r="E1685" s="82">
        <v>11588.35</v>
      </c>
      <c r="G1685" s="79"/>
      <c r="H1685" s="79"/>
      <c r="I1685" s="79"/>
    </row>
    <row r="1686" s="78" customFormat="1" ht="16.5" customHeight="1" spans="1:9">
      <c r="A1686" s="79"/>
      <c r="B1686" s="79"/>
      <c r="C1686" s="79"/>
      <c r="D1686" s="81">
        <v>43756</v>
      </c>
      <c r="E1686" s="82">
        <v>11661.85</v>
      </c>
      <c r="G1686" s="79"/>
      <c r="H1686" s="79"/>
      <c r="I1686" s="79"/>
    </row>
    <row r="1687" s="78" customFormat="1" ht="16.5" customHeight="1" spans="1:9">
      <c r="A1687" s="79"/>
      <c r="B1687" s="79"/>
      <c r="C1687" s="79"/>
      <c r="D1687" s="81">
        <v>43755</v>
      </c>
      <c r="E1687" s="82">
        <v>11586.35</v>
      </c>
      <c r="G1687" s="79"/>
      <c r="H1687" s="79"/>
      <c r="I1687" s="79"/>
    </row>
    <row r="1688" s="78" customFormat="1" ht="16.5" customHeight="1" spans="1:9">
      <c r="A1688" s="79"/>
      <c r="B1688" s="79"/>
      <c r="C1688" s="79"/>
      <c r="D1688" s="81">
        <v>43754</v>
      </c>
      <c r="E1688" s="82">
        <v>11464</v>
      </c>
      <c r="G1688" s="79"/>
      <c r="H1688" s="79"/>
      <c r="I1688" s="79"/>
    </row>
    <row r="1689" s="78" customFormat="1" ht="16.5" customHeight="1" spans="1:9">
      <c r="A1689" s="79"/>
      <c r="B1689" s="79"/>
      <c r="C1689" s="79"/>
      <c r="D1689" s="81">
        <v>43753</v>
      </c>
      <c r="E1689" s="82">
        <v>11428.3</v>
      </c>
      <c r="G1689" s="79"/>
      <c r="H1689" s="79"/>
      <c r="I1689" s="79"/>
    </row>
    <row r="1690" s="78" customFormat="1" ht="16.5" customHeight="1" spans="1:9">
      <c r="A1690" s="79"/>
      <c r="B1690" s="79"/>
      <c r="C1690" s="79"/>
      <c r="D1690" s="81">
        <v>43752</v>
      </c>
      <c r="E1690" s="82">
        <v>11341.15</v>
      </c>
      <c r="G1690" s="79"/>
      <c r="H1690" s="79"/>
      <c r="I1690" s="79"/>
    </row>
    <row r="1691" s="78" customFormat="1" ht="16.5" customHeight="1" spans="1:9">
      <c r="A1691" s="79"/>
      <c r="B1691" s="79"/>
      <c r="C1691" s="79"/>
      <c r="D1691" s="81">
        <v>43749</v>
      </c>
      <c r="E1691" s="82">
        <v>11305.05</v>
      </c>
      <c r="G1691" s="79"/>
      <c r="H1691" s="79"/>
      <c r="I1691" s="79"/>
    </row>
    <row r="1692" s="78" customFormat="1" ht="16.5" customHeight="1" spans="1:9">
      <c r="A1692" s="79"/>
      <c r="B1692" s="79"/>
      <c r="C1692" s="79"/>
      <c r="D1692" s="81">
        <v>43748</v>
      </c>
      <c r="E1692" s="82">
        <v>11234.55</v>
      </c>
      <c r="G1692" s="79"/>
      <c r="H1692" s="79"/>
      <c r="I1692" s="79"/>
    </row>
    <row r="1693" s="78" customFormat="1" ht="16.5" customHeight="1" spans="1:9">
      <c r="A1693" s="79"/>
      <c r="B1693" s="79"/>
      <c r="C1693" s="79"/>
      <c r="D1693" s="81">
        <v>43747</v>
      </c>
      <c r="E1693" s="82">
        <v>11313.3</v>
      </c>
      <c r="G1693" s="79"/>
      <c r="H1693" s="79"/>
      <c r="I1693" s="79"/>
    </row>
    <row r="1694" s="78" customFormat="1" ht="16.5" customHeight="1" spans="1:9">
      <c r="A1694" s="79"/>
      <c r="B1694" s="79"/>
      <c r="C1694" s="79"/>
      <c r="D1694" s="81">
        <v>43745</v>
      </c>
      <c r="E1694" s="82">
        <v>11126.4</v>
      </c>
      <c r="G1694" s="79"/>
      <c r="H1694" s="79"/>
      <c r="I1694" s="79"/>
    </row>
    <row r="1695" s="78" customFormat="1" ht="16.5" customHeight="1" spans="1:9">
      <c r="A1695" s="79"/>
      <c r="B1695" s="79"/>
      <c r="C1695" s="79"/>
      <c r="D1695" s="81">
        <v>43742</v>
      </c>
      <c r="E1695" s="82">
        <v>11174.75</v>
      </c>
      <c r="G1695" s="79"/>
      <c r="H1695" s="79"/>
      <c r="I1695" s="79"/>
    </row>
    <row r="1696" s="78" customFormat="1" ht="16.5" customHeight="1" spans="1:9">
      <c r="A1696" s="79"/>
      <c r="B1696" s="79"/>
      <c r="C1696" s="79"/>
      <c r="D1696" s="81">
        <v>43741</v>
      </c>
      <c r="E1696" s="82">
        <v>11314</v>
      </c>
      <c r="G1696" s="79"/>
      <c r="H1696" s="79"/>
      <c r="I1696" s="79"/>
    </row>
    <row r="1697" s="78" customFormat="1" ht="16.5" customHeight="1" spans="1:9">
      <c r="A1697" s="79"/>
      <c r="B1697" s="79"/>
      <c r="C1697" s="79"/>
      <c r="D1697" s="81">
        <v>43739</v>
      </c>
      <c r="E1697" s="82">
        <v>11359.9</v>
      </c>
      <c r="G1697" s="79"/>
      <c r="H1697" s="79"/>
      <c r="I1697" s="79"/>
    </row>
    <row r="1698" s="78" customFormat="1" ht="16.5" customHeight="1" spans="1:9">
      <c r="A1698" s="79"/>
      <c r="B1698" s="79"/>
      <c r="C1698" s="79"/>
      <c r="D1698" s="81">
        <v>43738</v>
      </c>
      <c r="E1698" s="82">
        <v>11474.45</v>
      </c>
      <c r="G1698" s="79"/>
      <c r="H1698" s="79"/>
      <c r="I1698" s="79"/>
    </row>
    <row r="1699" s="78" customFormat="1" ht="16.5" customHeight="1" spans="1:9">
      <c r="A1699" s="79"/>
      <c r="B1699" s="79"/>
      <c r="C1699" s="79"/>
      <c r="D1699" s="81">
        <v>43735</v>
      </c>
      <c r="E1699" s="82">
        <v>11512.4</v>
      </c>
      <c r="G1699" s="79"/>
      <c r="H1699" s="79"/>
      <c r="I1699" s="79"/>
    </row>
    <row r="1700" s="78" customFormat="1" ht="16.5" customHeight="1" spans="1:9">
      <c r="A1700" s="79"/>
      <c r="B1700" s="79"/>
      <c r="C1700" s="79"/>
      <c r="D1700" s="81">
        <v>43734</v>
      </c>
      <c r="E1700" s="82">
        <v>11571.2</v>
      </c>
      <c r="G1700" s="79"/>
      <c r="H1700" s="79"/>
      <c r="I1700" s="79"/>
    </row>
    <row r="1701" s="78" customFormat="1" ht="16.5" customHeight="1" spans="1:9">
      <c r="A1701" s="79"/>
      <c r="B1701" s="79"/>
      <c r="C1701" s="79"/>
      <c r="D1701" s="81">
        <v>43733</v>
      </c>
      <c r="E1701" s="82">
        <v>11440.2</v>
      </c>
      <c r="G1701" s="79"/>
      <c r="H1701" s="79"/>
      <c r="I1701" s="79"/>
    </row>
    <row r="1702" s="78" customFormat="1" ht="16.5" customHeight="1" spans="1:9">
      <c r="A1702" s="79"/>
      <c r="B1702" s="79"/>
      <c r="C1702" s="79"/>
      <c r="D1702" s="81">
        <v>43732</v>
      </c>
      <c r="E1702" s="82">
        <v>11588.2</v>
      </c>
      <c r="G1702" s="79"/>
      <c r="H1702" s="79"/>
      <c r="I1702" s="79"/>
    </row>
    <row r="1703" s="78" customFormat="1" ht="16.5" customHeight="1" spans="1:9">
      <c r="A1703" s="79"/>
      <c r="B1703" s="79"/>
      <c r="C1703" s="79"/>
      <c r="D1703" s="81">
        <v>43731</v>
      </c>
      <c r="E1703" s="82">
        <v>11600.2</v>
      </c>
      <c r="G1703" s="79"/>
      <c r="H1703" s="79"/>
      <c r="I1703" s="79"/>
    </row>
    <row r="1704" s="78" customFormat="1" ht="16.5" customHeight="1" spans="1:9">
      <c r="A1704" s="79"/>
      <c r="B1704" s="79"/>
      <c r="C1704" s="79"/>
      <c r="D1704" s="81">
        <v>43728</v>
      </c>
      <c r="E1704" s="82">
        <v>11274.2</v>
      </c>
      <c r="G1704" s="79"/>
      <c r="H1704" s="79"/>
      <c r="I1704" s="79"/>
    </row>
    <row r="1705" s="78" customFormat="1" ht="16.5" customHeight="1" spans="1:9">
      <c r="A1705" s="79"/>
      <c r="B1705" s="79"/>
      <c r="C1705" s="79"/>
      <c r="D1705" s="81">
        <v>43727</v>
      </c>
      <c r="E1705" s="82">
        <v>10704.8</v>
      </c>
      <c r="G1705" s="79"/>
      <c r="H1705" s="79"/>
      <c r="I1705" s="79"/>
    </row>
    <row r="1706" s="78" customFormat="1" ht="16.5" customHeight="1" spans="1:9">
      <c r="A1706" s="79"/>
      <c r="B1706" s="79"/>
      <c r="C1706" s="79"/>
      <c r="D1706" s="81">
        <v>43726</v>
      </c>
      <c r="E1706" s="82">
        <v>10840.65</v>
      </c>
      <c r="G1706" s="79"/>
      <c r="H1706" s="79"/>
      <c r="I1706" s="79"/>
    </row>
    <row r="1707" s="78" customFormat="1" ht="16.5" customHeight="1" spans="1:9">
      <c r="A1707" s="79"/>
      <c r="B1707" s="79"/>
      <c r="C1707" s="79"/>
      <c r="D1707" s="81">
        <v>43725</v>
      </c>
      <c r="E1707" s="82">
        <v>10817.6</v>
      </c>
      <c r="G1707" s="79"/>
      <c r="H1707" s="79"/>
      <c r="I1707" s="79"/>
    </row>
    <row r="1708" s="78" customFormat="1" ht="16.5" customHeight="1" spans="1:9">
      <c r="A1708" s="79"/>
      <c r="B1708" s="79"/>
      <c r="C1708" s="79"/>
      <c r="D1708" s="81">
        <v>43724</v>
      </c>
      <c r="E1708" s="82">
        <v>11003.5</v>
      </c>
      <c r="G1708" s="79"/>
      <c r="H1708" s="79"/>
      <c r="I1708" s="79"/>
    </row>
    <row r="1709" s="78" customFormat="1" ht="16.5" customHeight="1" spans="1:9">
      <c r="A1709" s="79"/>
      <c r="B1709" s="79"/>
      <c r="C1709" s="79"/>
      <c r="D1709" s="81">
        <v>43721</v>
      </c>
      <c r="E1709" s="82">
        <v>11075.9</v>
      </c>
      <c r="G1709" s="79"/>
      <c r="H1709" s="79"/>
      <c r="I1709" s="79"/>
    </row>
    <row r="1710" s="78" customFormat="1" ht="16.5" customHeight="1" spans="1:9">
      <c r="A1710" s="79"/>
      <c r="B1710" s="79"/>
      <c r="C1710" s="79"/>
      <c r="D1710" s="81">
        <v>43720</v>
      </c>
      <c r="E1710" s="82">
        <v>10982.8</v>
      </c>
      <c r="G1710" s="79"/>
      <c r="H1710" s="79"/>
      <c r="I1710" s="79"/>
    </row>
    <row r="1711" s="78" customFormat="1" ht="16.5" customHeight="1" spans="1:9">
      <c r="A1711" s="79"/>
      <c r="B1711" s="79"/>
      <c r="C1711" s="79"/>
      <c r="D1711" s="81">
        <v>43719</v>
      </c>
      <c r="E1711" s="82">
        <v>11035.7</v>
      </c>
      <c r="G1711" s="79"/>
      <c r="H1711" s="79"/>
      <c r="I1711" s="79"/>
    </row>
    <row r="1712" s="78" customFormat="1" ht="16.5" customHeight="1" spans="1:9">
      <c r="A1712" s="79"/>
      <c r="B1712" s="79"/>
      <c r="C1712" s="79"/>
      <c r="D1712" s="81">
        <v>43717</v>
      </c>
      <c r="E1712" s="82">
        <v>11003.05</v>
      </c>
      <c r="G1712" s="79"/>
      <c r="H1712" s="79"/>
      <c r="I1712" s="79"/>
    </row>
    <row r="1713" s="78" customFormat="1" ht="16.5" customHeight="1" spans="1:9">
      <c r="A1713" s="79"/>
      <c r="B1713" s="79"/>
      <c r="C1713" s="79"/>
      <c r="D1713" s="81">
        <v>43714</v>
      </c>
      <c r="E1713" s="82">
        <v>10946.2</v>
      </c>
      <c r="G1713" s="79"/>
      <c r="H1713" s="79"/>
      <c r="I1713" s="79"/>
    </row>
    <row r="1714" s="78" customFormat="1" ht="16.5" customHeight="1" spans="1:9">
      <c r="A1714" s="79"/>
      <c r="B1714" s="79"/>
      <c r="C1714" s="79"/>
      <c r="D1714" s="81">
        <v>43713</v>
      </c>
      <c r="E1714" s="82">
        <v>10847.9</v>
      </c>
      <c r="G1714" s="79"/>
      <c r="H1714" s="79"/>
      <c r="I1714" s="79"/>
    </row>
    <row r="1715" s="78" customFormat="1" ht="16.5" customHeight="1" spans="1:9">
      <c r="A1715" s="79"/>
      <c r="B1715" s="79"/>
      <c r="C1715" s="79"/>
      <c r="D1715" s="81">
        <v>43712</v>
      </c>
      <c r="E1715" s="82">
        <v>10844.65</v>
      </c>
      <c r="G1715" s="79"/>
      <c r="H1715" s="79"/>
      <c r="I1715" s="79"/>
    </row>
    <row r="1716" s="78" customFormat="1" ht="16.5" customHeight="1" spans="1:9">
      <c r="A1716" s="79"/>
      <c r="B1716" s="79"/>
      <c r="C1716" s="79"/>
      <c r="D1716" s="81">
        <v>43711</v>
      </c>
      <c r="E1716" s="82">
        <v>10797.9</v>
      </c>
      <c r="G1716" s="79"/>
      <c r="H1716" s="79"/>
      <c r="I1716" s="79"/>
    </row>
    <row r="1717" s="78" customFormat="1" ht="16.5" customHeight="1" spans="1:9">
      <c r="A1717" s="79"/>
      <c r="B1717" s="79"/>
      <c r="C1717" s="79"/>
      <c r="D1717" s="81">
        <v>43707</v>
      </c>
      <c r="E1717" s="82">
        <v>11023.25</v>
      </c>
      <c r="G1717" s="79"/>
      <c r="H1717" s="79"/>
      <c r="I1717" s="79"/>
    </row>
    <row r="1718" s="78" customFormat="1" ht="16.5" customHeight="1" spans="1:9">
      <c r="A1718" s="79"/>
      <c r="B1718" s="79"/>
      <c r="C1718" s="79"/>
      <c r="D1718" s="81">
        <v>43706</v>
      </c>
      <c r="E1718" s="82">
        <v>10948.3</v>
      </c>
      <c r="G1718" s="79"/>
      <c r="H1718" s="79"/>
      <c r="I1718" s="79"/>
    </row>
    <row r="1719" s="78" customFormat="1" ht="16.5" customHeight="1" spans="1:9">
      <c r="A1719" s="79"/>
      <c r="B1719" s="79"/>
      <c r="C1719" s="79"/>
      <c r="D1719" s="81">
        <v>43705</v>
      </c>
      <c r="E1719" s="82">
        <v>11046.1</v>
      </c>
      <c r="G1719" s="79"/>
      <c r="H1719" s="79"/>
      <c r="I1719" s="79"/>
    </row>
    <row r="1720" s="78" customFormat="1" ht="16.5" customHeight="1" spans="1:9">
      <c r="A1720" s="79"/>
      <c r="B1720" s="79"/>
      <c r="C1720" s="79"/>
      <c r="D1720" s="81">
        <v>43704</v>
      </c>
      <c r="E1720" s="82">
        <v>11105.35</v>
      </c>
      <c r="G1720" s="79"/>
      <c r="H1720" s="79"/>
      <c r="I1720" s="79"/>
    </row>
    <row r="1721" s="78" customFormat="1" ht="16.5" customHeight="1" spans="1:9">
      <c r="A1721" s="79"/>
      <c r="B1721" s="79"/>
      <c r="C1721" s="79"/>
      <c r="D1721" s="81">
        <v>43703</v>
      </c>
      <c r="E1721" s="82">
        <v>11057.85</v>
      </c>
      <c r="G1721" s="79"/>
      <c r="H1721" s="79"/>
      <c r="I1721" s="79"/>
    </row>
    <row r="1722" s="78" customFormat="1" ht="16.5" customHeight="1" spans="1:9">
      <c r="A1722" s="79"/>
      <c r="B1722" s="79"/>
      <c r="C1722" s="79"/>
      <c r="D1722" s="81">
        <v>43700</v>
      </c>
      <c r="E1722" s="82">
        <v>10829.35</v>
      </c>
      <c r="G1722" s="79"/>
      <c r="H1722" s="79"/>
      <c r="I1722" s="79"/>
    </row>
    <row r="1723" s="78" customFormat="1" ht="16.5" customHeight="1" spans="1:9">
      <c r="A1723" s="79"/>
      <c r="B1723" s="79"/>
      <c r="C1723" s="79"/>
      <c r="D1723" s="81">
        <v>43699</v>
      </c>
      <c r="E1723" s="82">
        <v>10741.35</v>
      </c>
      <c r="G1723" s="79"/>
      <c r="H1723" s="79"/>
      <c r="I1723" s="79"/>
    </row>
    <row r="1724" s="78" customFormat="1" ht="16.5" customHeight="1" spans="1:9">
      <c r="A1724" s="79"/>
      <c r="B1724" s="79"/>
      <c r="C1724" s="79"/>
      <c r="D1724" s="81">
        <v>43698</v>
      </c>
      <c r="E1724" s="82">
        <v>10918.7</v>
      </c>
      <c r="G1724" s="79"/>
      <c r="H1724" s="79"/>
      <c r="I1724" s="79"/>
    </row>
    <row r="1725" s="78" customFormat="1" ht="16.5" customHeight="1" spans="1:9">
      <c r="A1725" s="79"/>
      <c r="B1725" s="79"/>
      <c r="C1725" s="79"/>
      <c r="D1725" s="81">
        <v>43697</v>
      </c>
      <c r="E1725" s="82">
        <v>11017</v>
      </c>
      <c r="G1725" s="79"/>
      <c r="H1725" s="79"/>
      <c r="I1725" s="79"/>
    </row>
    <row r="1726" s="78" customFormat="1" ht="16.5" customHeight="1" spans="1:9">
      <c r="A1726" s="79"/>
      <c r="B1726" s="79"/>
      <c r="C1726" s="79"/>
      <c r="D1726" s="81">
        <v>43696</v>
      </c>
      <c r="E1726" s="82">
        <v>11053.9</v>
      </c>
      <c r="G1726" s="79"/>
      <c r="H1726" s="79"/>
      <c r="I1726" s="79"/>
    </row>
    <row r="1727" s="78" customFormat="1" ht="16.5" customHeight="1" spans="1:9">
      <c r="A1727" s="79"/>
      <c r="B1727" s="79"/>
      <c r="C1727" s="79"/>
      <c r="D1727" s="81">
        <v>43693</v>
      </c>
      <c r="E1727" s="82">
        <v>11047.8</v>
      </c>
      <c r="G1727" s="79"/>
      <c r="H1727" s="79"/>
      <c r="I1727" s="79"/>
    </row>
    <row r="1728" s="78" customFormat="1" ht="16.5" customHeight="1" spans="1:9">
      <c r="A1728" s="79"/>
      <c r="B1728" s="79"/>
      <c r="C1728" s="79"/>
      <c r="D1728" s="81">
        <v>43691</v>
      </c>
      <c r="E1728" s="82">
        <v>11029.4</v>
      </c>
      <c r="G1728" s="79"/>
      <c r="H1728" s="79"/>
      <c r="I1728" s="79"/>
    </row>
    <row r="1729" s="78" customFormat="1" ht="16.5" customHeight="1" spans="1:9">
      <c r="A1729" s="79"/>
      <c r="B1729" s="79"/>
      <c r="C1729" s="79"/>
      <c r="D1729" s="81">
        <v>43690</v>
      </c>
      <c r="E1729" s="82">
        <v>10925.85</v>
      </c>
      <c r="G1729" s="79"/>
      <c r="H1729" s="79"/>
      <c r="I1729" s="79"/>
    </row>
    <row r="1730" s="78" customFormat="1" ht="16.5" customHeight="1" spans="1:9">
      <c r="A1730" s="79"/>
      <c r="B1730" s="79"/>
      <c r="C1730" s="79"/>
      <c r="D1730" s="81">
        <v>43686</v>
      </c>
      <c r="E1730" s="82">
        <v>11109.65</v>
      </c>
      <c r="G1730" s="79"/>
      <c r="H1730" s="79"/>
      <c r="I1730" s="79"/>
    </row>
    <row r="1731" s="78" customFormat="1" ht="16.5" customHeight="1" spans="1:9">
      <c r="A1731" s="79"/>
      <c r="B1731" s="79"/>
      <c r="C1731" s="79"/>
      <c r="D1731" s="81">
        <v>43685</v>
      </c>
      <c r="E1731" s="82">
        <v>11032.45</v>
      </c>
      <c r="G1731" s="79"/>
      <c r="H1731" s="79"/>
      <c r="I1731" s="79"/>
    </row>
    <row r="1732" s="78" customFormat="1" ht="16.5" customHeight="1" spans="1:9">
      <c r="A1732" s="79"/>
      <c r="B1732" s="79"/>
      <c r="C1732" s="79"/>
      <c r="D1732" s="81">
        <v>43684</v>
      </c>
      <c r="E1732" s="82">
        <v>10855.5</v>
      </c>
      <c r="G1732" s="79"/>
      <c r="H1732" s="79"/>
      <c r="I1732" s="79"/>
    </row>
    <row r="1733" s="78" customFormat="1" ht="16.5" customHeight="1" spans="1:9">
      <c r="A1733" s="79"/>
      <c r="B1733" s="79"/>
      <c r="C1733" s="79"/>
      <c r="D1733" s="81">
        <v>43683</v>
      </c>
      <c r="E1733" s="82">
        <v>10948.25</v>
      </c>
      <c r="G1733" s="79"/>
      <c r="H1733" s="79"/>
      <c r="I1733" s="79"/>
    </row>
    <row r="1734" s="78" customFormat="1" ht="16.5" customHeight="1" spans="1:9">
      <c r="A1734" s="79"/>
      <c r="B1734" s="79"/>
      <c r="C1734" s="79"/>
      <c r="D1734" s="81">
        <v>43682</v>
      </c>
      <c r="E1734" s="82">
        <v>10862.6</v>
      </c>
      <c r="G1734" s="79"/>
      <c r="H1734" s="79"/>
      <c r="I1734" s="79"/>
    </row>
    <row r="1735" s="78" customFormat="1" ht="16.5" customHeight="1" spans="1:9">
      <c r="A1735" s="79"/>
      <c r="B1735" s="79"/>
      <c r="C1735" s="79"/>
      <c r="D1735" s="81">
        <v>43679</v>
      </c>
      <c r="E1735" s="82">
        <v>10997.35</v>
      </c>
      <c r="G1735" s="79"/>
      <c r="H1735" s="79"/>
      <c r="I1735" s="79"/>
    </row>
    <row r="1736" s="78" customFormat="1" ht="16.5" customHeight="1" spans="1:9">
      <c r="A1736" s="79"/>
      <c r="B1736" s="79"/>
      <c r="C1736" s="79"/>
      <c r="D1736" s="81">
        <v>43678</v>
      </c>
      <c r="E1736" s="82">
        <v>10980</v>
      </c>
      <c r="G1736" s="79"/>
      <c r="H1736" s="79"/>
      <c r="I1736" s="79"/>
    </row>
    <row r="1737" s="78" customFormat="1" ht="16.5" customHeight="1" spans="1:9">
      <c r="A1737" s="79"/>
      <c r="B1737" s="79"/>
      <c r="C1737" s="79"/>
      <c r="D1737" s="81">
        <v>43677</v>
      </c>
      <c r="E1737" s="82">
        <v>11118</v>
      </c>
      <c r="G1737" s="79"/>
      <c r="H1737" s="79"/>
      <c r="I1737" s="79"/>
    </row>
    <row r="1738" s="78" customFormat="1" ht="16.5" customHeight="1" spans="1:9">
      <c r="A1738" s="79"/>
      <c r="B1738" s="79"/>
      <c r="C1738" s="79"/>
      <c r="D1738" s="81">
        <v>43676</v>
      </c>
      <c r="E1738" s="82">
        <v>11085.4</v>
      </c>
      <c r="G1738" s="79"/>
      <c r="H1738" s="79"/>
      <c r="I1738" s="79"/>
    </row>
    <row r="1739" s="78" customFormat="1" ht="16.5" customHeight="1" spans="1:9">
      <c r="A1739" s="79"/>
      <c r="B1739" s="79"/>
      <c r="C1739" s="79"/>
      <c r="D1739" s="81">
        <v>43675</v>
      </c>
      <c r="E1739" s="82">
        <v>11189.2</v>
      </c>
      <c r="G1739" s="79"/>
      <c r="H1739" s="79"/>
      <c r="I1739" s="79"/>
    </row>
    <row r="1740" s="78" customFormat="1" ht="16.5" customHeight="1" spans="1:9">
      <c r="A1740" s="79"/>
      <c r="B1740" s="79"/>
      <c r="C1740" s="79"/>
      <c r="D1740" s="81">
        <v>43672</v>
      </c>
      <c r="E1740" s="82">
        <v>11284.3</v>
      </c>
      <c r="G1740" s="79"/>
      <c r="H1740" s="79"/>
      <c r="I1740" s="79"/>
    </row>
    <row r="1741" s="78" customFormat="1" ht="16.5" customHeight="1" spans="1:9">
      <c r="A1741" s="79"/>
      <c r="B1741" s="79"/>
      <c r="C1741" s="79"/>
      <c r="D1741" s="81">
        <v>43671</v>
      </c>
      <c r="E1741" s="82">
        <v>11252.15</v>
      </c>
      <c r="G1741" s="79"/>
      <c r="H1741" s="79"/>
      <c r="I1741" s="79"/>
    </row>
    <row r="1742" s="78" customFormat="1" ht="16.5" customHeight="1" spans="1:9">
      <c r="A1742" s="79"/>
      <c r="B1742" s="79"/>
      <c r="C1742" s="79"/>
      <c r="D1742" s="81">
        <v>43670</v>
      </c>
      <c r="E1742" s="82">
        <v>11271.3</v>
      </c>
      <c r="G1742" s="79"/>
      <c r="H1742" s="79"/>
      <c r="I1742" s="79"/>
    </row>
    <row r="1743" s="78" customFormat="1" ht="16.5" customHeight="1" spans="1:9">
      <c r="A1743" s="79"/>
      <c r="B1743" s="79"/>
      <c r="C1743" s="79"/>
      <c r="D1743" s="81">
        <v>43669</v>
      </c>
      <c r="E1743" s="82">
        <v>11331.05</v>
      </c>
      <c r="G1743" s="79"/>
      <c r="H1743" s="79"/>
      <c r="I1743" s="79"/>
    </row>
    <row r="1744" s="78" customFormat="1" ht="16.5" customHeight="1" spans="1:9">
      <c r="A1744" s="79"/>
      <c r="B1744" s="79"/>
      <c r="C1744" s="79"/>
      <c r="D1744" s="81">
        <v>43668</v>
      </c>
      <c r="E1744" s="82">
        <v>11346.2</v>
      </c>
      <c r="G1744" s="79"/>
      <c r="H1744" s="79"/>
      <c r="I1744" s="79"/>
    </row>
    <row r="1745" s="78" customFormat="1" ht="16.5" customHeight="1" spans="1:9">
      <c r="A1745" s="79"/>
      <c r="B1745" s="79"/>
      <c r="C1745" s="79"/>
      <c r="D1745" s="81">
        <v>43665</v>
      </c>
      <c r="E1745" s="82">
        <v>11419.25</v>
      </c>
      <c r="G1745" s="79"/>
      <c r="H1745" s="79"/>
      <c r="I1745" s="79"/>
    </row>
    <row r="1746" s="78" customFormat="1" ht="16.5" customHeight="1" spans="1:9">
      <c r="A1746" s="79"/>
      <c r="B1746" s="79"/>
      <c r="C1746" s="79"/>
      <c r="D1746" s="81">
        <v>43664</v>
      </c>
      <c r="E1746" s="82">
        <v>11596.9</v>
      </c>
      <c r="G1746" s="79"/>
      <c r="H1746" s="79"/>
      <c r="I1746" s="79"/>
    </row>
    <row r="1747" s="78" customFormat="1" ht="16.5" customHeight="1" spans="1:9">
      <c r="A1747" s="79"/>
      <c r="B1747" s="79"/>
      <c r="C1747" s="79"/>
      <c r="D1747" s="81">
        <v>43663</v>
      </c>
      <c r="E1747" s="82">
        <v>11687.5</v>
      </c>
      <c r="G1747" s="79"/>
      <c r="H1747" s="79"/>
      <c r="I1747" s="79"/>
    </row>
    <row r="1748" s="78" customFormat="1" ht="16.5" customHeight="1" spans="1:9">
      <c r="A1748" s="79"/>
      <c r="B1748" s="79"/>
      <c r="C1748" s="79"/>
      <c r="D1748" s="81">
        <v>43662</v>
      </c>
      <c r="E1748" s="82">
        <v>11662.6</v>
      </c>
      <c r="G1748" s="79"/>
      <c r="H1748" s="79"/>
      <c r="I1748" s="79"/>
    </row>
    <row r="1749" s="78" customFormat="1" ht="16.5" customHeight="1" spans="1:9">
      <c r="A1749" s="79"/>
      <c r="B1749" s="79"/>
      <c r="C1749" s="79"/>
      <c r="D1749" s="81">
        <v>43661</v>
      </c>
      <c r="E1749" s="82">
        <v>11588.35</v>
      </c>
      <c r="G1749" s="79"/>
      <c r="H1749" s="79"/>
      <c r="I1749" s="79"/>
    </row>
    <row r="1750" s="78" customFormat="1" ht="16.5" customHeight="1" spans="1:9">
      <c r="A1750" s="79"/>
      <c r="B1750" s="79"/>
      <c r="C1750" s="79"/>
      <c r="D1750" s="81">
        <v>43658</v>
      </c>
      <c r="E1750" s="82">
        <v>11552.5</v>
      </c>
      <c r="G1750" s="79"/>
      <c r="H1750" s="79"/>
      <c r="I1750" s="79"/>
    </row>
    <row r="1751" s="78" customFormat="1" ht="16.5" customHeight="1" spans="1:9">
      <c r="A1751" s="79"/>
      <c r="B1751" s="79"/>
      <c r="C1751" s="79"/>
      <c r="D1751" s="81">
        <v>43657</v>
      </c>
      <c r="E1751" s="82">
        <v>11582.9</v>
      </c>
      <c r="G1751" s="79"/>
      <c r="H1751" s="79"/>
      <c r="I1751" s="79"/>
    </row>
    <row r="1752" s="78" customFormat="1" ht="16.5" customHeight="1" spans="1:9">
      <c r="A1752" s="79"/>
      <c r="B1752" s="79"/>
      <c r="C1752" s="79"/>
      <c r="D1752" s="81">
        <v>43656</v>
      </c>
      <c r="E1752" s="82">
        <v>11498.9</v>
      </c>
      <c r="G1752" s="79"/>
      <c r="H1752" s="79"/>
      <c r="I1752" s="79"/>
    </row>
    <row r="1753" s="78" customFormat="1" ht="16.5" customHeight="1" spans="1:9">
      <c r="A1753" s="79"/>
      <c r="B1753" s="79"/>
      <c r="C1753" s="79"/>
      <c r="D1753" s="81">
        <v>43655</v>
      </c>
      <c r="E1753" s="82">
        <v>11555.9</v>
      </c>
      <c r="G1753" s="79"/>
      <c r="H1753" s="79"/>
      <c r="I1753" s="79"/>
    </row>
    <row r="1754" s="78" customFormat="1" ht="16.5" customHeight="1" spans="1:9">
      <c r="A1754" s="79"/>
      <c r="B1754" s="79"/>
      <c r="C1754" s="79"/>
      <c r="D1754" s="81">
        <v>43654</v>
      </c>
      <c r="E1754" s="82">
        <v>11558.6</v>
      </c>
      <c r="G1754" s="79"/>
      <c r="H1754" s="79"/>
      <c r="I1754" s="79"/>
    </row>
    <row r="1755" s="78" customFormat="1" ht="16.5" customHeight="1" spans="1:9">
      <c r="A1755" s="79"/>
      <c r="B1755" s="79"/>
      <c r="C1755" s="79"/>
      <c r="D1755" s="81">
        <v>43651</v>
      </c>
      <c r="E1755" s="82">
        <v>11811.15</v>
      </c>
      <c r="G1755" s="79"/>
      <c r="H1755" s="79"/>
      <c r="I1755" s="79"/>
    </row>
    <row r="1756" s="78" customFormat="1" ht="16.5" customHeight="1" spans="1:9">
      <c r="A1756" s="79"/>
      <c r="B1756" s="79"/>
      <c r="C1756" s="79"/>
      <c r="D1756" s="81">
        <v>43650</v>
      </c>
      <c r="E1756" s="82">
        <v>11946.75</v>
      </c>
      <c r="G1756" s="79"/>
      <c r="H1756" s="79"/>
      <c r="I1756" s="79"/>
    </row>
    <row r="1757" s="78" customFormat="1" ht="16.5" customHeight="1" spans="1:9">
      <c r="A1757" s="79"/>
      <c r="B1757" s="79"/>
      <c r="C1757" s="79"/>
      <c r="D1757" s="81">
        <v>43649</v>
      </c>
      <c r="E1757" s="82">
        <v>11916.75</v>
      </c>
      <c r="G1757" s="79"/>
      <c r="H1757" s="79"/>
      <c r="I1757" s="79"/>
    </row>
    <row r="1758" s="78" customFormat="1" ht="16.5" customHeight="1" spans="1:9">
      <c r="A1758" s="79"/>
      <c r="B1758" s="79"/>
      <c r="C1758" s="79"/>
      <c r="D1758" s="81">
        <v>43648</v>
      </c>
      <c r="E1758" s="82">
        <v>11910.3</v>
      </c>
      <c r="G1758" s="79"/>
      <c r="H1758" s="79"/>
      <c r="I1758" s="79"/>
    </row>
    <row r="1759" s="78" customFormat="1" ht="16.5" customHeight="1" spans="1:9">
      <c r="A1759" s="79"/>
      <c r="B1759" s="79"/>
      <c r="C1759" s="79"/>
      <c r="D1759" s="81">
        <v>43647</v>
      </c>
      <c r="E1759" s="82">
        <v>11865.6</v>
      </c>
      <c r="G1759" s="79"/>
      <c r="H1759" s="79"/>
      <c r="I1759" s="79"/>
    </row>
    <row r="1760" s="78" customFormat="1" ht="16.5" customHeight="1" spans="1:9">
      <c r="A1760" s="79"/>
      <c r="B1760" s="79"/>
      <c r="C1760" s="79"/>
      <c r="D1760" s="81">
        <v>43644</v>
      </c>
      <c r="E1760" s="82">
        <v>11788.85</v>
      </c>
      <c r="G1760" s="79"/>
      <c r="H1760" s="79"/>
      <c r="I1760" s="79"/>
    </row>
    <row r="1761" s="78" customFormat="1" ht="16.5" customHeight="1" spans="1:9">
      <c r="A1761" s="79"/>
      <c r="B1761" s="79"/>
      <c r="C1761" s="79"/>
      <c r="D1761" s="81">
        <v>43643</v>
      </c>
      <c r="E1761" s="82">
        <v>11841.55</v>
      </c>
      <c r="G1761" s="79"/>
      <c r="H1761" s="79"/>
      <c r="I1761" s="79"/>
    </row>
    <row r="1762" s="78" customFormat="1" ht="16.5" customHeight="1" spans="1:9">
      <c r="A1762" s="79"/>
      <c r="B1762" s="79"/>
      <c r="C1762" s="79"/>
      <c r="D1762" s="81">
        <v>43642</v>
      </c>
      <c r="E1762" s="82">
        <v>11847.55</v>
      </c>
      <c r="G1762" s="79"/>
      <c r="H1762" s="79"/>
      <c r="I1762" s="79"/>
    </row>
    <row r="1763" s="78" customFormat="1" ht="16.5" customHeight="1" spans="1:9">
      <c r="A1763" s="79"/>
      <c r="B1763" s="79"/>
      <c r="C1763" s="79"/>
      <c r="D1763" s="81">
        <v>43641</v>
      </c>
      <c r="E1763" s="82">
        <v>11796.45</v>
      </c>
      <c r="G1763" s="79"/>
      <c r="H1763" s="79"/>
      <c r="I1763" s="79"/>
    </row>
    <row r="1764" s="78" customFormat="1" ht="16.5" customHeight="1" spans="1:9">
      <c r="A1764" s="79"/>
      <c r="B1764" s="79"/>
      <c r="C1764" s="79"/>
      <c r="D1764" s="81">
        <v>43640</v>
      </c>
      <c r="E1764" s="82">
        <v>11699.65</v>
      </c>
      <c r="G1764" s="79"/>
      <c r="H1764" s="79"/>
      <c r="I1764" s="79"/>
    </row>
    <row r="1765" s="78" customFormat="1" ht="16.5" customHeight="1" spans="1:9">
      <c r="A1765" s="79"/>
      <c r="B1765" s="79"/>
      <c r="C1765" s="79"/>
      <c r="D1765" s="81">
        <v>43637</v>
      </c>
      <c r="E1765" s="82">
        <v>11724.1</v>
      </c>
      <c r="G1765" s="79"/>
      <c r="H1765" s="79"/>
      <c r="I1765" s="79"/>
    </row>
    <row r="1766" s="78" customFormat="1" ht="16.5" customHeight="1" spans="1:9">
      <c r="A1766" s="79"/>
      <c r="B1766" s="79"/>
      <c r="C1766" s="79"/>
      <c r="D1766" s="81">
        <v>43636</v>
      </c>
      <c r="E1766" s="82">
        <v>11831.75</v>
      </c>
      <c r="G1766" s="79"/>
      <c r="H1766" s="79"/>
      <c r="I1766" s="79"/>
    </row>
    <row r="1767" s="78" customFormat="1" ht="16.5" customHeight="1" spans="1:9">
      <c r="A1767" s="79"/>
      <c r="B1767" s="79"/>
      <c r="C1767" s="79"/>
      <c r="D1767" s="81">
        <v>43635</v>
      </c>
      <c r="E1767" s="82">
        <v>11691.45</v>
      </c>
      <c r="G1767" s="79"/>
      <c r="H1767" s="79"/>
      <c r="I1767" s="79"/>
    </row>
    <row r="1768" s="78" customFormat="1" ht="16.5" customHeight="1" spans="1:9">
      <c r="A1768" s="79"/>
      <c r="B1768" s="79"/>
      <c r="C1768" s="79"/>
      <c r="D1768" s="81">
        <v>43634</v>
      </c>
      <c r="E1768" s="82">
        <v>11691.5</v>
      </c>
      <c r="G1768" s="79"/>
      <c r="H1768" s="79"/>
      <c r="I1768" s="79"/>
    </row>
    <row r="1769" s="78" customFormat="1" ht="16.5" customHeight="1" spans="1:9">
      <c r="A1769" s="79"/>
      <c r="B1769" s="79"/>
      <c r="C1769" s="79"/>
      <c r="D1769" s="81">
        <v>43633</v>
      </c>
      <c r="E1769" s="82">
        <v>11672.15</v>
      </c>
      <c r="G1769" s="79"/>
      <c r="H1769" s="79"/>
      <c r="I1769" s="79"/>
    </row>
    <row r="1770" s="78" customFormat="1" ht="16.5" customHeight="1" spans="1:9">
      <c r="A1770" s="79"/>
      <c r="B1770" s="79"/>
      <c r="C1770" s="79"/>
      <c r="D1770" s="81">
        <v>43630</v>
      </c>
      <c r="E1770" s="82">
        <v>11823.3</v>
      </c>
      <c r="G1770" s="79"/>
      <c r="H1770" s="79"/>
      <c r="I1770" s="79"/>
    </row>
    <row r="1771" s="78" customFormat="1" ht="16.5" customHeight="1" spans="1:9">
      <c r="A1771" s="79"/>
      <c r="B1771" s="79"/>
      <c r="C1771" s="79"/>
      <c r="D1771" s="81">
        <v>43629</v>
      </c>
      <c r="E1771" s="82">
        <v>11914.05</v>
      </c>
      <c r="G1771" s="79"/>
      <c r="H1771" s="79"/>
      <c r="I1771" s="79"/>
    </row>
    <row r="1772" s="78" customFormat="1" ht="16.5" customHeight="1" spans="1:9">
      <c r="A1772" s="79"/>
      <c r="B1772" s="79"/>
      <c r="C1772" s="79"/>
      <c r="D1772" s="81">
        <v>43628</v>
      </c>
      <c r="E1772" s="82">
        <v>11906.2</v>
      </c>
      <c r="G1772" s="79"/>
      <c r="H1772" s="79"/>
      <c r="I1772" s="79"/>
    </row>
    <row r="1773" s="78" customFormat="1" ht="16.5" customHeight="1" spans="1:9">
      <c r="A1773" s="79"/>
      <c r="B1773" s="79"/>
      <c r="C1773" s="79"/>
      <c r="D1773" s="81">
        <v>43627</v>
      </c>
      <c r="E1773" s="82">
        <v>11965.6</v>
      </c>
      <c r="G1773" s="79"/>
      <c r="H1773" s="79"/>
      <c r="I1773" s="79"/>
    </row>
    <row r="1774" s="78" customFormat="1" ht="16.5" customHeight="1" spans="1:9">
      <c r="A1774" s="79"/>
      <c r="B1774" s="79"/>
      <c r="C1774" s="79"/>
      <c r="D1774" s="81">
        <v>43626</v>
      </c>
      <c r="E1774" s="82">
        <v>11922.7</v>
      </c>
      <c r="G1774" s="79"/>
      <c r="H1774" s="79"/>
      <c r="I1774" s="79"/>
    </row>
    <row r="1775" s="78" customFormat="1" ht="16.5" customHeight="1" spans="1:9">
      <c r="A1775" s="79"/>
      <c r="B1775" s="79"/>
      <c r="C1775" s="79"/>
      <c r="D1775" s="81">
        <v>43623</v>
      </c>
      <c r="E1775" s="82">
        <v>11870.65</v>
      </c>
      <c r="G1775" s="79"/>
      <c r="H1775" s="79"/>
      <c r="I1775" s="79"/>
    </row>
    <row r="1776" s="78" customFormat="1" ht="16.5" customHeight="1" spans="1:9">
      <c r="A1776" s="79"/>
      <c r="B1776" s="79"/>
      <c r="C1776" s="79"/>
      <c r="D1776" s="81">
        <v>43622</v>
      </c>
      <c r="E1776" s="82">
        <v>11843.75</v>
      </c>
      <c r="G1776" s="79"/>
      <c r="H1776" s="79"/>
      <c r="I1776" s="79"/>
    </row>
    <row r="1777" s="78" customFormat="1" ht="16.5" customHeight="1" spans="1:9">
      <c r="A1777" s="79"/>
      <c r="B1777" s="79"/>
      <c r="C1777" s="79"/>
      <c r="D1777" s="81">
        <v>43620</v>
      </c>
      <c r="E1777" s="82">
        <v>12021.65</v>
      </c>
      <c r="G1777" s="79"/>
      <c r="H1777" s="79"/>
      <c r="I1777" s="79"/>
    </row>
    <row r="1778" s="78" customFormat="1" ht="16.5" customHeight="1" spans="1:9">
      <c r="A1778" s="79"/>
      <c r="B1778" s="79"/>
      <c r="C1778" s="79"/>
      <c r="D1778" s="81">
        <v>43619</v>
      </c>
      <c r="E1778" s="82">
        <v>12088.55</v>
      </c>
      <c r="G1778" s="79"/>
      <c r="H1778" s="79"/>
      <c r="I1778" s="79"/>
    </row>
    <row r="1779" s="78" customFormat="1" ht="16.5" customHeight="1" spans="1:9">
      <c r="A1779" s="79"/>
      <c r="B1779" s="79"/>
      <c r="C1779" s="79"/>
      <c r="D1779" s="81">
        <v>43616</v>
      </c>
      <c r="E1779" s="82">
        <v>11922.8</v>
      </c>
      <c r="G1779" s="79"/>
      <c r="H1779" s="79"/>
      <c r="I1779" s="79"/>
    </row>
    <row r="1780" s="78" customFormat="1" ht="16.5" customHeight="1" spans="1:9">
      <c r="A1780" s="79"/>
      <c r="B1780" s="79"/>
      <c r="C1780" s="79"/>
      <c r="D1780" s="81">
        <v>43615</v>
      </c>
      <c r="E1780" s="82">
        <v>11945.9</v>
      </c>
      <c r="G1780" s="79"/>
      <c r="H1780" s="79"/>
      <c r="I1780" s="79"/>
    </row>
    <row r="1781" s="78" customFormat="1" ht="16.5" customHeight="1" spans="1:9">
      <c r="A1781" s="79"/>
      <c r="B1781" s="79"/>
      <c r="C1781" s="79"/>
      <c r="D1781" s="81">
        <v>43614</v>
      </c>
      <c r="E1781" s="82">
        <v>11861.1</v>
      </c>
      <c r="G1781" s="79"/>
      <c r="H1781" s="79"/>
      <c r="I1781" s="79"/>
    </row>
    <row r="1782" s="78" customFormat="1" ht="16.5" customHeight="1" spans="1:9">
      <c r="A1782" s="79"/>
      <c r="B1782" s="79"/>
      <c r="C1782" s="79"/>
      <c r="D1782" s="81">
        <v>43613</v>
      </c>
      <c r="E1782" s="82">
        <v>11928.75</v>
      </c>
      <c r="G1782" s="79"/>
      <c r="H1782" s="79"/>
      <c r="I1782" s="79"/>
    </row>
    <row r="1783" s="78" customFormat="1" ht="16.5" customHeight="1" spans="1:9">
      <c r="A1783" s="79"/>
      <c r="B1783" s="79"/>
      <c r="C1783" s="79"/>
      <c r="D1783" s="81">
        <v>43612</v>
      </c>
      <c r="E1783" s="82">
        <v>11924.75</v>
      </c>
      <c r="G1783" s="79"/>
      <c r="H1783" s="79"/>
      <c r="I1783" s="79"/>
    </row>
    <row r="1784" s="78" customFormat="1" ht="16.5" customHeight="1" spans="1:9">
      <c r="A1784" s="79"/>
      <c r="B1784" s="79"/>
      <c r="C1784" s="79"/>
      <c r="D1784" s="81">
        <v>43609</v>
      </c>
      <c r="E1784" s="82">
        <v>11844.1</v>
      </c>
      <c r="G1784" s="79"/>
      <c r="H1784" s="79"/>
      <c r="I1784" s="79"/>
    </row>
    <row r="1785" s="78" customFormat="1" ht="16.5" customHeight="1" spans="1:9">
      <c r="A1785" s="79"/>
      <c r="B1785" s="79"/>
      <c r="C1785" s="79"/>
      <c r="D1785" s="81">
        <v>43608</v>
      </c>
      <c r="E1785" s="82">
        <v>11657.05</v>
      </c>
      <c r="G1785" s="79"/>
      <c r="H1785" s="79"/>
      <c r="I1785" s="79"/>
    </row>
    <row r="1786" s="78" customFormat="1" ht="16.5" customHeight="1" spans="1:9">
      <c r="A1786" s="79"/>
      <c r="B1786" s="79"/>
      <c r="C1786" s="79"/>
      <c r="D1786" s="81">
        <v>43607</v>
      </c>
      <c r="E1786" s="82">
        <v>11737.9</v>
      </c>
      <c r="G1786" s="79"/>
      <c r="H1786" s="79"/>
      <c r="I1786" s="79"/>
    </row>
    <row r="1787" s="78" customFormat="1" ht="16.5" customHeight="1" spans="1:9">
      <c r="A1787" s="79"/>
      <c r="B1787" s="79"/>
      <c r="C1787" s="79"/>
      <c r="D1787" s="81">
        <v>43606</v>
      </c>
      <c r="E1787" s="82">
        <v>11709.1</v>
      </c>
      <c r="G1787" s="79"/>
      <c r="H1787" s="79"/>
      <c r="I1787" s="79"/>
    </row>
    <row r="1788" s="78" customFormat="1" ht="16.5" customHeight="1" spans="1:9">
      <c r="A1788" s="79"/>
      <c r="B1788" s="79"/>
      <c r="C1788" s="79"/>
      <c r="D1788" s="81">
        <v>43605</v>
      </c>
      <c r="E1788" s="82">
        <v>11828.25</v>
      </c>
      <c r="G1788" s="79"/>
      <c r="H1788" s="79"/>
      <c r="I1788" s="79"/>
    </row>
    <row r="1789" s="78" customFormat="1" ht="16.5" customHeight="1" spans="1:9">
      <c r="A1789" s="79"/>
      <c r="B1789" s="79"/>
      <c r="C1789" s="79"/>
      <c r="D1789" s="81">
        <v>43602</v>
      </c>
      <c r="E1789" s="82">
        <v>11407.15</v>
      </c>
      <c r="G1789" s="79"/>
      <c r="H1789" s="79"/>
      <c r="I1789" s="79"/>
    </row>
    <row r="1790" s="78" customFormat="1" ht="16.5" customHeight="1" spans="1:9">
      <c r="A1790" s="79"/>
      <c r="B1790" s="79"/>
      <c r="C1790" s="79"/>
      <c r="D1790" s="81">
        <v>43601</v>
      </c>
      <c r="E1790" s="82">
        <v>11257.1</v>
      </c>
      <c r="G1790" s="79"/>
      <c r="H1790" s="79"/>
      <c r="I1790" s="79"/>
    </row>
    <row r="1791" s="78" customFormat="1" ht="16.5" customHeight="1" spans="1:9">
      <c r="A1791" s="79"/>
      <c r="B1791" s="79"/>
      <c r="C1791" s="79"/>
      <c r="D1791" s="81">
        <v>43600</v>
      </c>
      <c r="E1791" s="82">
        <v>11157</v>
      </c>
      <c r="G1791" s="79"/>
      <c r="H1791" s="79"/>
      <c r="I1791" s="79"/>
    </row>
    <row r="1792" s="78" customFormat="1" ht="16.5" customHeight="1" spans="1:9">
      <c r="A1792" s="79"/>
      <c r="B1792" s="79"/>
      <c r="C1792" s="79"/>
      <c r="D1792" s="81">
        <v>43599</v>
      </c>
      <c r="E1792" s="82">
        <v>11222.05</v>
      </c>
      <c r="G1792" s="79"/>
      <c r="H1792" s="79"/>
      <c r="I1792" s="79"/>
    </row>
    <row r="1793" s="78" customFormat="1" ht="16.5" customHeight="1" spans="1:9">
      <c r="A1793" s="79"/>
      <c r="B1793" s="79"/>
      <c r="C1793" s="79"/>
      <c r="D1793" s="81">
        <v>43598</v>
      </c>
      <c r="E1793" s="82">
        <v>11148.2</v>
      </c>
      <c r="G1793" s="79"/>
      <c r="H1793" s="79"/>
      <c r="I1793" s="79"/>
    </row>
    <row r="1794" s="78" customFormat="1" ht="16.5" customHeight="1" spans="1:9">
      <c r="A1794" s="79"/>
      <c r="B1794" s="79"/>
      <c r="C1794" s="79"/>
      <c r="D1794" s="81">
        <v>43595</v>
      </c>
      <c r="E1794" s="82">
        <v>11278.9</v>
      </c>
      <c r="G1794" s="79"/>
      <c r="H1794" s="79"/>
      <c r="I1794" s="79"/>
    </row>
    <row r="1795" s="78" customFormat="1" ht="16.5" customHeight="1" spans="1:9">
      <c r="A1795" s="79"/>
      <c r="B1795" s="79"/>
      <c r="C1795" s="79"/>
      <c r="D1795" s="81">
        <v>43594</v>
      </c>
      <c r="E1795" s="82">
        <v>11301.8</v>
      </c>
      <c r="G1795" s="79"/>
      <c r="H1795" s="79"/>
      <c r="I1795" s="79"/>
    </row>
    <row r="1796" s="78" customFormat="1" ht="16.5" customHeight="1" spans="1:9">
      <c r="A1796" s="79"/>
      <c r="B1796" s="79"/>
      <c r="C1796" s="79"/>
      <c r="D1796" s="81">
        <v>43593</v>
      </c>
      <c r="E1796" s="82">
        <v>11359.45</v>
      </c>
      <c r="G1796" s="79"/>
      <c r="H1796" s="79"/>
      <c r="I1796" s="79"/>
    </row>
    <row r="1797" s="78" customFormat="1" ht="16.5" customHeight="1" spans="1:9">
      <c r="A1797" s="79"/>
      <c r="B1797" s="79"/>
      <c r="C1797" s="79"/>
      <c r="D1797" s="81">
        <v>43592</v>
      </c>
      <c r="E1797" s="82">
        <v>11497.9</v>
      </c>
      <c r="G1797" s="79"/>
      <c r="H1797" s="79"/>
      <c r="I1797" s="79"/>
    </row>
    <row r="1798" s="78" customFormat="1" ht="16.5" customHeight="1" spans="1:9">
      <c r="A1798" s="79"/>
      <c r="B1798" s="79"/>
      <c r="C1798" s="79"/>
      <c r="D1798" s="81">
        <v>43591</v>
      </c>
      <c r="E1798" s="82">
        <v>11598.25</v>
      </c>
      <c r="G1798" s="79"/>
      <c r="H1798" s="79"/>
      <c r="I1798" s="79"/>
    </row>
    <row r="1799" s="78" customFormat="1" ht="16.5" customHeight="1" spans="1:9">
      <c r="A1799" s="79"/>
      <c r="B1799" s="79"/>
      <c r="C1799" s="79"/>
      <c r="D1799" s="81">
        <v>43588</v>
      </c>
      <c r="E1799" s="82">
        <v>11712.25</v>
      </c>
      <c r="G1799" s="79"/>
      <c r="H1799" s="79"/>
      <c r="I1799" s="79"/>
    </row>
    <row r="1800" s="78" customFormat="1" ht="16.5" customHeight="1" spans="1:9">
      <c r="A1800" s="79"/>
      <c r="B1800" s="79"/>
      <c r="C1800" s="79"/>
      <c r="D1800" s="81">
        <v>43587</v>
      </c>
      <c r="E1800" s="82">
        <v>11724.75</v>
      </c>
      <c r="G1800" s="79"/>
      <c r="H1800" s="79"/>
      <c r="I1800" s="79"/>
    </row>
    <row r="1801" s="78" customFormat="1" ht="16.5" customHeight="1" spans="1:9">
      <c r="A1801" s="79"/>
      <c r="B1801" s="79"/>
      <c r="C1801" s="79"/>
      <c r="D1801" s="81">
        <v>43585</v>
      </c>
      <c r="E1801" s="82">
        <v>11748.15</v>
      </c>
      <c r="G1801" s="79"/>
      <c r="H1801" s="79"/>
      <c r="I1801" s="79"/>
    </row>
    <row r="1802" s="78" customFormat="1" ht="16.5" customHeight="1" spans="1:9">
      <c r="A1802" s="79"/>
      <c r="B1802" s="79"/>
      <c r="C1802" s="79"/>
      <c r="D1802" s="81">
        <v>43581</v>
      </c>
      <c r="E1802" s="82">
        <v>11754.65</v>
      </c>
      <c r="G1802" s="79"/>
      <c r="H1802" s="79"/>
      <c r="I1802" s="79"/>
    </row>
    <row r="1803" s="78" customFormat="1" ht="16.5" customHeight="1" spans="1:9">
      <c r="A1803" s="79"/>
      <c r="B1803" s="79"/>
      <c r="C1803" s="79"/>
      <c r="D1803" s="81">
        <v>43580</v>
      </c>
      <c r="E1803" s="82">
        <v>11641.8</v>
      </c>
      <c r="G1803" s="79"/>
      <c r="H1803" s="79"/>
      <c r="I1803" s="79"/>
    </row>
    <row r="1804" s="78" customFormat="1" ht="16.5" customHeight="1" spans="1:9">
      <c r="A1804" s="79"/>
      <c r="B1804" s="79"/>
      <c r="C1804" s="79"/>
      <c r="D1804" s="81">
        <v>43579</v>
      </c>
      <c r="E1804" s="82">
        <v>11726.15</v>
      </c>
      <c r="G1804" s="79"/>
      <c r="H1804" s="79"/>
      <c r="I1804" s="79"/>
    </row>
    <row r="1805" s="78" customFormat="1" ht="16.5" customHeight="1" spans="1:9">
      <c r="A1805" s="79"/>
      <c r="B1805" s="79"/>
      <c r="C1805" s="79"/>
      <c r="D1805" s="81">
        <v>43578</v>
      </c>
      <c r="E1805" s="82">
        <v>11575.95</v>
      </c>
      <c r="G1805" s="79"/>
      <c r="H1805" s="79"/>
      <c r="I1805" s="79"/>
    </row>
    <row r="1806" s="78" customFormat="1" ht="16.5" customHeight="1" spans="1:9">
      <c r="A1806" s="79"/>
      <c r="B1806" s="79"/>
      <c r="C1806" s="79"/>
      <c r="D1806" s="81">
        <v>43577</v>
      </c>
      <c r="E1806" s="82">
        <v>11594.45</v>
      </c>
      <c r="G1806" s="79"/>
      <c r="H1806" s="79"/>
      <c r="I1806" s="79"/>
    </row>
    <row r="1807" s="78" customFormat="1" ht="16.5" customHeight="1" spans="1:9">
      <c r="A1807" s="79"/>
      <c r="B1807" s="79"/>
      <c r="C1807" s="79"/>
      <c r="D1807" s="81">
        <v>43573</v>
      </c>
      <c r="E1807" s="82">
        <v>11752.8</v>
      </c>
      <c r="G1807" s="79"/>
      <c r="H1807" s="79"/>
      <c r="I1807" s="79"/>
    </row>
    <row r="1808" s="78" customFormat="1" ht="16.5" customHeight="1" spans="1:9">
      <c r="A1808" s="79"/>
      <c r="B1808" s="79"/>
      <c r="C1808" s="79"/>
      <c r="D1808" s="81">
        <v>43571</v>
      </c>
      <c r="E1808" s="82">
        <v>11787.15</v>
      </c>
      <c r="G1808" s="79"/>
      <c r="H1808" s="79"/>
      <c r="I1808" s="79"/>
    </row>
    <row r="1809" s="78" customFormat="1" ht="16.5" customHeight="1" spans="1:9">
      <c r="A1809" s="79"/>
      <c r="B1809" s="79"/>
      <c r="C1809" s="79"/>
      <c r="D1809" s="81">
        <v>43570</v>
      </c>
      <c r="E1809" s="82">
        <v>11690.35</v>
      </c>
      <c r="G1809" s="79"/>
      <c r="H1809" s="79"/>
      <c r="I1809" s="79"/>
    </row>
    <row r="1810" s="78" customFormat="1" ht="16.5" customHeight="1" spans="1:9">
      <c r="A1810" s="79"/>
      <c r="B1810" s="79"/>
      <c r="C1810" s="79"/>
      <c r="D1810" s="81">
        <v>43567</v>
      </c>
      <c r="E1810" s="82">
        <v>11643.45</v>
      </c>
      <c r="G1810" s="79"/>
      <c r="H1810" s="79"/>
      <c r="I1810" s="79"/>
    </row>
    <row r="1811" s="78" customFormat="1" ht="16.5" customHeight="1" spans="1:9">
      <c r="A1811" s="79"/>
      <c r="B1811" s="79"/>
      <c r="C1811" s="79"/>
      <c r="D1811" s="81">
        <v>43566</v>
      </c>
      <c r="E1811" s="82">
        <v>11596.7</v>
      </c>
      <c r="G1811" s="79"/>
      <c r="H1811" s="79"/>
      <c r="I1811" s="79"/>
    </row>
    <row r="1812" s="78" customFormat="1" ht="16.5" customHeight="1" spans="1:9">
      <c r="A1812" s="79"/>
      <c r="B1812" s="79"/>
      <c r="C1812" s="79"/>
      <c r="D1812" s="81">
        <v>43565</v>
      </c>
      <c r="E1812" s="82">
        <v>11584.3</v>
      </c>
      <c r="G1812" s="79"/>
      <c r="H1812" s="79"/>
      <c r="I1812" s="79"/>
    </row>
    <row r="1813" s="78" customFormat="1" ht="16.5" customHeight="1" spans="1:9">
      <c r="A1813" s="79"/>
      <c r="B1813" s="79"/>
      <c r="C1813" s="79"/>
      <c r="D1813" s="81">
        <v>43564</v>
      </c>
      <c r="E1813" s="82">
        <v>11671.95</v>
      </c>
      <c r="G1813" s="79"/>
      <c r="H1813" s="79"/>
      <c r="I1813" s="79"/>
    </row>
    <row r="1814" s="78" customFormat="1" ht="16.5" customHeight="1" spans="1:9">
      <c r="A1814" s="79"/>
      <c r="B1814" s="79"/>
      <c r="C1814" s="79"/>
      <c r="D1814" s="81">
        <v>43563</v>
      </c>
      <c r="E1814" s="82">
        <v>11604.5</v>
      </c>
      <c r="G1814" s="79"/>
      <c r="H1814" s="79"/>
      <c r="I1814" s="79"/>
    </row>
    <row r="1815" s="78" customFormat="1" ht="16.5" customHeight="1" spans="1:9">
      <c r="A1815" s="79"/>
      <c r="B1815" s="79"/>
      <c r="C1815" s="79"/>
      <c r="D1815" s="81">
        <v>43560</v>
      </c>
      <c r="E1815" s="82">
        <v>11665.95</v>
      </c>
      <c r="G1815" s="79"/>
      <c r="H1815" s="79"/>
      <c r="I1815" s="79"/>
    </row>
    <row r="1816" s="78" customFormat="1" ht="16.5" customHeight="1" spans="1:9">
      <c r="A1816" s="79"/>
      <c r="B1816" s="79"/>
      <c r="C1816" s="79"/>
      <c r="D1816" s="81">
        <v>43559</v>
      </c>
      <c r="E1816" s="82">
        <v>11598</v>
      </c>
      <c r="G1816" s="79"/>
      <c r="H1816" s="79"/>
      <c r="I1816" s="79"/>
    </row>
    <row r="1817" s="78" customFormat="1" ht="16.5" customHeight="1" spans="1:9">
      <c r="A1817" s="79"/>
      <c r="B1817" s="79"/>
      <c r="C1817" s="79"/>
      <c r="D1817" s="81">
        <v>43558</v>
      </c>
      <c r="E1817" s="82">
        <v>11643.95</v>
      </c>
      <c r="G1817" s="79"/>
      <c r="H1817" s="79"/>
      <c r="I1817" s="79"/>
    </row>
    <row r="1818" s="78" customFormat="1" ht="16.5" customHeight="1" spans="1:9">
      <c r="A1818" s="79"/>
      <c r="B1818" s="79"/>
      <c r="C1818" s="79"/>
      <c r="D1818" s="81">
        <v>43557</v>
      </c>
      <c r="E1818" s="82">
        <v>11713.2</v>
      </c>
      <c r="G1818" s="79"/>
      <c r="H1818" s="79"/>
      <c r="I1818" s="79"/>
    </row>
    <row r="1819" s="78" customFormat="1" ht="16.5" customHeight="1" spans="1:9">
      <c r="A1819" s="79"/>
      <c r="B1819" s="79"/>
      <c r="C1819" s="79"/>
      <c r="D1819" s="81">
        <v>43556</v>
      </c>
      <c r="E1819" s="82">
        <v>11669.15</v>
      </c>
      <c r="G1819" s="79"/>
      <c r="H1819" s="79"/>
      <c r="I1819" s="79"/>
    </row>
    <row r="1820" s="78" customFormat="1" ht="16.5" customHeight="1" spans="1:9">
      <c r="A1820" s="79"/>
      <c r="B1820" s="79"/>
      <c r="C1820" s="79"/>
      <c r="D1820" s="81">
        <v>43553</v>
      </c>
      <c r="E1820" s="82">
        <v>11623.9</v>
      </c>
      <c r="G1820" s="79"/>
      <c r="H1820" s="79"/>
      <c r="I1820" s="79"/>
    </row>
    <row r="1821" s="78" customFormat="1" ht="16.5" customHeight="1" spans="1:9">
      <c r="A1821" s="79"/>
      <c r="B1821" s="79"/>
      <c r="C1821" s="79"/>
      <c r="D1821" s="81">
        <v>43552</v>
      </c>
      <c r="E1821" s="82">
        <v>11570</v>
      </c>
      <c r="G1821" s="79"/>
      <c r="H1821" s="79"/>
      <c r="I1821" s="79"/>
    </row>
    <row r="1822" s="78" customFormat="1" ht="16.5" customHeight="1" spans="1:9">
      <c r="A1822" s="79"/>
      <c r="B1822" s="79"/>
      <c r="C1822" s="79"/>
      <c r="D1822" s="81">
        <v>43551</v>
      </c>
      <c r="E1822" s="82">
        <v>11445.05</v>
      </c>
      <c r="G1822" s="79"/>
      <c r="H1822" s="79"/>
      <c r="I1822" s="79"/>
    </row>
    <row r="1823" s="78" customFormat="1" ht="16.5" customHeight="1" spans="1:9">
      <c r="A1823" s="79"/>
      <c r="B1823" s="79"/>
      <c r="C1823" s="79"/>
      <c r="D1823" s="81">
        <v>43550</v>
      </c>
      <c r="E1823" s="82">
        <v>11483.25</v>
      </c>
      <c r="G1823" s="79"/>
      <c r="H1823" s="79"/>
      <c r="I1823" s="79"/>
    </row>
    <row r="1824" s="78" customFormat="1" ht="16.5" customHeight="1" spans="1:9">
      <c r="A1824" s="79"/>
      <c r="B1824" s="79"/>
      <c r="C1824" s="79"/>
      <c r="D1824" s="81">
        <v>43549</v>
      </c>
      <c r="E1824" s="82">
        <v>11354.25</v>
      </c>
      <c r="G1824" s="79"/>
      <c r="H1824" s="79"/>
      <c r="I1824" s="79"/>
    </row>
    <row r="1825" s="78" customFormat="1" ht="16.5" customHeight="1" spans="1:9">
      <c r="A1825" s="79"/>
      <c r="B1825" s="79"/>
      <c r="C1825" s="79"/>
      <c r="D1825" s="81">
        <v>43546</v>
      </c>
      <c r="E1825" s="82">
        <v>11456.9</v>
      </c>
      <c r="G1825" s="79"/>
      <c r="H1825" s="79"/>
      <c r="I1825" s="79"/>
    </row>
    <row r="1826" s="78" customFormat="1" ht="16.5" customHeight="1" spans="1:9">
      <c r="A1826" s="79"/>
      <c r="B1826" s="79"/>
      <c r="C1826" s="79"/>
      <c r="D1826" s="81">
        <v>43544</v>
      </c>
      <c r="E1826" s="82">
        <v>11521.05</v>
      </c>
      <c r="G1826" s="79"/>
      <c r="H1826" s="79"/>
      <c r="I1826" s="79"/>
    </row>
    <row r="1827" s="78" customFormat="1" ht="16.5" customHeight="1" spans="1:9">
      <c r="A1827" s="79"/>
      <c r="B1827" s="79"/>
      <c r="C1827" s="79"/>
      <c r="D1827" s="81">
        <v>43543</v>
      </c>
      <c r="E1827" s="82">
        <v>11532.4</v>
      </c>
      <c r="G1827" s="79"/>
      <c r="H1827" s="79"/>
      <c r="I1827" s="79"/>
    </row>
    <row r="1828" s="78" customFormat="1" ht="16.5" customHeight="1" spans="1:9">
      <c r="A1828" s="79"/>
      <c r="B1828" s="79"/>
      <c r="C1828" s="79"/>
      <c r="D1828" s="81">
        <v>43542</v>
      </c>
      <c r="E1828" s="82">
        <v>11462.2</v>
      </c>
      <c r="G1828" s="79"/>
      <c r="H1828" s="79"/>
      <c r="I1828" s="79"/>
    </row>
    <row r="1829" s="78" customFormat="1" ht="16.5" customHeight="1" spans="1:9">
      <c r="A1829" s="79"/>
      <c r="B1829" s="79"/>
      <c r="C1829" s="79"/>
      <c r="D1829" s="81">
        <v>43539</v>
      </c>
      <c r="E1829" s="82">
        <v>11426.85</v>
      </c>
      <c r="G1829" s="79"/>
      <c r="H1829" s="79"/>
      <c r="I1829" s="79"/>
    </row>
    <row r="1830" s="78" customFormat="1" ht="16.5" customHeight="1" spans="1:9">
      <c r="A1830" s="79"/>
      <c r="B1830" s="79"/>
      <c r="C1830" s="79"/>
      <c r="D1830" s="81">
        <v>43538</v>
      </c>
      <c r="E1830" s="82">
        <v>11343.25</v>
      </c>
      <c r="G1830" s="79"/>
      <c r="H1830" s="79"/>
      <c r="I1830" s="79"/>
    </row>
    <row r="1831" s="78" customFormat="1" ht="16.5" customHeight="1" spans="1:9">
      <c r="A1831" s="79"/>
      <c r="B1831" s="79"/>
      <c r="C1831" s="79"/>
      <c r="D1831" s="81">
        <v>43537</v>
      </c>
      <c r="E1831" s="82">
        <v>11341.7</v>
      </c>
      <c r="G1831" s="79"/>
      <c r="H1831" s="79"/>
      <c r="I1831" s="79"/>
    </row>
    <row r="1832" s="78" customFormat="1" ht="16.5" customHeight="1" spans="1:9">
      <c r="A1832" s="79"/>
      <c r="B1832" s="79"/>
      <c r="C1832" s="79"/>
      <c r="D1832" s="81">
        <v>43536</v>
      </c>
      <c r="E1832" s="82">
        <v>11301.2</v>
      </c>
      <c r="G1832" s="79"/>
      <c r="H1832" s="79"/>
      <c r="I1832" s="79"/>
    </row>
    <row r="1833" s="78" customFormat="1" ht="16.5" customHeight="1" spans="1:9">
      <c r="A1833" s="79"/>
      <c r="B1833" s="79"/>
      <c r="C1833" s="79"/>
      <c r="D1833" s="81">
        <v>43535</v>
      </c>
      <c r="E1833" s="82">
        <v>11168.05</v>
      </c>
      <c r="G1833" s="79"/>
      <c r="H1833" s="79"/>
      <c r="I1833" s="79"/>
    </row>
    <row r="1834" s="78" customFormat="1" ht="16.5" customHeight="1" spans="1:9">
      <c r="A1834" s="79"/>
      <c r="B1834" s="79"/>
      <c r="C1834" s="79"/>
      <c r="D1834" s="81">
        <v>43532</v>
      </c>
      <c r="E1834" s="82">
        <v>11035.4</v>
      </c>
      <c r="G1834" s="79"/>
      <c r="H1834" s="79"/>
      <c r="I1834" s="79"/>
    </row>
    <row r="1835" s="78" customFormat="1" ht="16.5" customHeight="1" spans="1:9">
      <c r="A1835" s="79"/>
      <c r="B1835" s="79"/>
      <c r="C1835" s="79"/>
      <c r="D1835" s="81">
        <v>43531</v>
      </c>
      <c r="E1835" s="82">
        <v>11058.2</v>
      </c>
      <c r="G1835" s="79"/>
      <c r="H1835" s="79"/>
      <c r="I1835" s="79"/>
    </row>
    <row r="1836" s="78" customFormat="1" ht="16.5" customHeight="1" spans="1:9">
      <c r="A1836" s="79"/>
      <c r="B1836" s="79"/>
      <c r="C1836" s="79"/>
      <c r="D1836" s="81">
        <v>43530</v>
      </c>
      <c r="E1836" s="82">
        <v>11053</v>
      </c>
      <c r="G1836" s="79"/>
      <c r="H1836" s="79"/>
      <c r="I1836" s="79"/>
    </row>
    <row r="1837" s="78" customFormat="1" ht="16.5" customHeight="1" spans="1:9">
      <c r="A1837" s="79"/>
      <c r="B1837" s="79"/>
      <c r="C1837" s="79"/>
      <c r="D1837" s="81">
        <v>43529</v>
      </c>
      <c r="E1837" s="82">
        <v>10987.45</v>
      </c>
      <c r="G1837" s="79"/>
      <c r="H1837" s="79"/>
      <c r="I1837" s="79"/>
    </row>
    <row r="1838" s="78" customFormat="1" ht="16.5" customHeight="1" spans="1:9">
      <c r="A1838" s="79"/>
      <c r="B1838" s="79"/>
      <c r="C1838" s="79"/>
      <c r="D1838" s="81">
        <v>43525</v>
      </c>
      <c r="E1838" s="82">
        <v>10863.5</v>
      </c>
      <c r="G1838" s="79"/>
      <c r="H1838" s="79"/>
      <c r="I1838" s="79"/>
    </row>
    <row r="1839" s="78" customFormat="1" ht="16.5" customHeight="1" spans="1:9">
      <c r="A1839" s="79"/>
      <c r="B1839" s="79"/>
      <c r="C1839" s="79"/>
      <c r="D1839" s="81">
        <v>43524</v>
      </c>
      <c r="E1839" s="82">
        <v>10792.5</v>
      </c>
      <c r="G1839" s="79"/>
      <c r="H1839" s="79"/>
      <c r="I1839" s="79"/>
    </row>
    <row r="1840" s="78" customFormat="1" ht="16.5" customHeight="1" spans="1:9">
      <c r="A1840" s="79"/>
      <c r="B1840" s="79"/>
      <c r="C1840" s="79"/>
      <c r="D1840" s="81">
        <v>43523</v>
      </c>
      <c r="E1840" s="82">
        <v>10806.65</v>
      </c>
      <c r="G1840" s="79"/>
      <c r="H1840" s="79"/>
      <c r="I1840" s="79"/>
    </row>
    <row r="1841" s="78" customFormat="1" ht="16.5" customHeight="1" spans="1:9">
      <c r="A1841" s="79"/>
      <c r="B1841" s="79"/>
      <c r="C1841" s="79"/>
      <c r="D1841" s="81">
        <v>43522</v>
      </c>
      <c r="E1841" s="82">
        <v>10835.3</v>
      </c>
      <c r="G1841" s="79"/>
      <c r="H1841" s="79"/>
      <c r="I1841" s="79"/>
    </row>
    <row r="1842" s="78" customFormat="1" ht="16.5" customHeight="1" spans="1:9">
      <c r="A1842" s="79"/>
      <c r="B1842" s="79"/>
      <c r="C1842" s="79"/>
      <c r="D1842" s="81">
        <v>43521</v>
      </c>
      <c r="E1842" s="82">
        <v>10880.1</v>
      </c>
      <c r="G1842" s="79"/>
      <c r="H1842" s="79"/>
      <c r="I1842" s="79"/>
    </row>
    <row r="1843" s="78" customFormat="1" ht="16.5" customHeight="1" spans="1:9">
      <c r="A1843" s="79"/>
      <c r="B1843" s="79"/>
      <c r="C1843" s="79"/>
      <c r="D1843" s="81">
        <v>43518</v>
      </c>
      <c r="E1843" s="82">
        <v>10791.65</v>
      </c>
      <c r="G1843" s="79"/>
      <c r="H1843" s="79"/>
      <c r="I1843" s="79"/>
    </row>
    <row r="1844" s="78" customFormat="1" ht="16.5" customHeight="1" spans="1:9">
      <c r="A1844" s="79"/>
      <c r="B1844" s="79"/>
      <c r="C1844" s="79"/>
      <c r="D1844" s="81">
        <v>43517</v>
      </c>
      <c r="E1844" s="82">
        <v>10789.85</v>
      </c>
      <c r="G1844" s="79"/>
      <c r="H1844" s="79"/>
      <c r="I1844" s="79"/>
    </row>
    <row r="1845" s="78" customFormat="1" ht="16.5" customHeight="1" spans="1:9">
      <c r="A1845" s="79"/>
      <c r="B1845" s="79"/>
      <c r="C1845" s="79"/>
      <c r="D1845" s="81">
        <v>43516</v>
      </c>
      <c r="E1845" s="82">
        <v>10735.45</v>
      </c>
      <c r="G1845" s="79"/>
      <c r="H1845" s="79"/>
      <c r="I1845" s="79"/>
    </row>
    <row r="1846" s="78" customFormat="1" ht="16.5" customHeight="1" spans="1:9">
      <c r="A1846" s="79"/>
      <c r="B1846" s="79"/>
      <c r="C1846" s="79"/>
      <c r="D1846" s="81">
        <v>43515</v>
      </c>
      <c r="E1846" s="82">
        <v>10604.35</v>
      </c>
      <c r="G1846" s="79"/>
      <c r="H1846" s="79"/>
      <c r="I1846" s="79"/>
    </row>
    <row r="1847" s="78" customFormat="1" ht="16.5" customHeight="1" spans="1:9">
      <c r="A1847" s="79"/>
      <c r="B1847" s="79"/>
      <c r="C1847" s="79"/>
      <c r="D1847" s="81">
        <v>43514</v>
      </c>
      <c r="E1847" s="82">
        <v>10640.95</v>
      </c>
      <c r="G1847" s="79"/>
      <c r="H1847" s="79"/>
      <c r="I1847" s="79"/>
    </row>
    <row r="1848" s="78" customFormat="1" ht="16.5" customHeight="1" spans="1:9">
      <c r="A1848" s="79"/>
      <c r="B1848" s="79"/>
      <c r="C1848" s="79"/>
      <c r="D1848" s="81">
        <v>43511</v>
      </c>
      <c r="E1848" s="82">
        <v>10724.4</v>
      </c>
      <c r="G1848" s="79"/>
      <c r="H1848" s="79"/>
      <c r="I1848" s="79"/>
    </row>
    <row r="1849" s="78" customFormat="1" ht="16.5" customHeight="1" spans="1:9">
      <c r="A1849" s="79"/>
      <c r="B1849" s="79"/>
      <c r="C1849" s="79"/>
      <c r="D1849" s="81">
        <v>43510</v>
      </c>
      <c r="E1849" s="82">
        <v>10746.05</v>
      </c>
      <c r="G1849" s="79"/>
      <c r="H1849" s="79"/>
      <c r="I1849" s="79"/>
    </row>
    <row r="1850" s="78" customFormat="1" ht="16.5" customHeight="1" spans="1:9">
      <c r="A1850" s="79"/>
      <c r="B1850" s="79"/>
      <c r="C1850" s="79"/>
      <c r="D1850" s="81">
        <v>43509</v>
      </c>
      <c r="E1850" s="82">
        <v>10793.65</v>
      </c>
      <c r="G1850" s="79"/>
      <c r="H1850" s="79"/>
      <c r="I1850" s="79"/>
    </row>
    <row r="1851" s="78" customFormat="1" ht="16.5" customHeight="1" spans="1:9">
      <c r="A1851" s="79"/>
      <c r="B1851" s="79"/>
      <c r="C1851" s="79"/>
      <c r="D1851" s="81">
        <v>43508</v>
      </c>
      <c r="E1851" s="82">
        <v>10831.4</v>
      </c>
      <c r="G1851" s="79"/>
      <c r="H1851" s="79"/>
      <c r="I1851" s="79"/>
    </row>
    <row r="1852" s="78" customFormat="1" ht="16.5" customHeight="1" spans="1:9">
      <c r="A1852" s="79"/>
      <c r="B1852" s="79"/>
      <c r="C1852" s="79"/>
      <c r="D1852" s="81">
        <v>43507</v>
      </c>
      <c r="E1852" s="82">
        <v>10888.8</v>
      </c>
      <c r="G1852" s="79"/>
      <c r="H1852" s="79"/>
      <c r="I1852" s="79"/>
    </row>
    <row r="1853" s="78" customFormat="1" ht="16.5" customHeight="1" spans="1:9">
      <c r="A1853" s="79"/>
      <c r="B1853" s="79"/>
      <c r="C1853" s="79"/>
      <c r="D1853" s="81">
        <v>43504</v>
      </c>
      <c r="E1853" s="82">
        <v>10943.6</v>
      </c>
      <c r="G1853" s="79"/>
      <c r="H1853" s="79"/>
      <c r="I1853" s="79"/>
    </row>
    <row r="1854" s="78" customFormat="1" ht="16.5" customHeight="1" spans="1:9">
      <c r="A1854" s="79"/>
      <c r="B1854" s="79"/>
      <c r="C1854" s="79"/>
      <c r="D1854" s="81">
        <v>43503</v>
      </c>
      <c r="E1854" s="82">
        <v>11069.4</v>
      </c>
      <c r="G1854" s="79"/>
      <c r="H1854" s="79"/>
      <c r="I1854" s="79"/>
    </row>
    <row r="1855" s="78" customFormat="1" ht="16.5" customHeight="1" spans="1:9">
      <c r="A1855" s="79"/>
      <c r="B1855" s="79"/>
      <c r="C1855" s="79"/>
      <c r="D1855" s="81">
        <v>43502</v>
      </c>
      <c r="E1855" s="82">
        <v>11062.45</v>
      </c>
      <c r="G1855" s="79"/>
      <c r="H1855" s="79"/>
      <c r="I1855" s="79"/>
    </row>
    <row r="1856" s="78" customFormat="1" ht="16.5" customHeight="1" spans="1:9">
      <c r="A1856" s="79"/>
      <c r="B1856" s="79"/>
      <c r="C1856" s="79"/>
      <c r="D1856" s="81">
        <v>43501</v>
      </c>
      <c r="E1856" s="82">
        <v>10934.35</v>
      </c>
      <c r="G1856" s="79"/>
      <c r="H1856" s="79"/>
      <c r="I1856" s="79"/>
    </row>
    <row r="1857" s="78" customFormat="1" ht="16.5" customHeight="1" spans="1:9">
      <c r="A1857" s="79"/>
      <c r="B1857" s="79"/>
      <c r="C1857" s="79"/>
      <c r="D1857" s="81">
        <v>43500</v>
      </c>
      <c r="E1857" s="82">
        <v>10912.25</v>
      </c>
      <c r="G1857" s="79"/>
      <c r="H1857" s="79"/>
      <c r="I1857" s="79"/>
    </row>
    <row r="1858" s="78" customFormat="1" ht="16.5" customHeight="1" spans="1:9">
      <c r="A1858" s="79"/>
      <c r="B1858" s="79"/>
      <c r="C1858" s="79"/>
      <c r="D1858" s="81">
        <v>43497</v>
      </c>
      <c r="E1858" s="82">
        <v>10893.65</v>
      </c>
      <c r="G1858" s="79"/>
      <c r="H1858" s="79"/>
      <c r="I1858" s="79"/>
    </row>
    <row r="1859" s="78" customFormat="1" ht="16.5" customHeight="1" spans="1:9">
      <c r="A1859" s="79"/>
      <c r="B1859" s="79"/>
      <c r="C1859" s="79"/>
      <c r="D1859" s="81">
        <v>43496</v>
      </c>
      <c r="E1859" s="82">
        <v>10830.95</v>
      </c>
      <c r="G1859" s="79"/>
      <c r="H1859" s="79"/>
      <c r="I1859" s="79"/>
    </row>
    <row r="1860" s="78" customFormat="1" ht="16.5" customHeight="1" spans="1:9">
      <c r="A1860" s="79"/>
      <c r="B1860" s="79"/>
      <c r="C1860" s="79"/>
      <c r="D1860" s="81">
        <v>43495</v>
      </c>
      <c r="E1860" s="82">
        <v>10651.8</v>
      </c>
      <c r="G1860" s="79"/>
      <c r="H1860" s="79"/>
      <c r="I1860" s="79"/>
    </row>
    <row r="1861" s="78" customFormat="1" ht="16.5" customHeight="1" spans="1:9">
      <c r="A1861" s="79"/>
      <c r="B1861" s="79"/>
      <c r="C1861" s="79"/>
      <c r="D1861" s="81">
        <v>43494</v>
      </c>
      <c r="E1861" s="82">
        <v>10652.2</v>
      </c>
      <c r="G1861" s="79"/>
      <c r="H1861" s="79"/>
      <c r="I1861" s="79"/>
    </row>
    <row r="1862" s="78" customFormat="1" ht="16.5" customHeight="1" spans="1:9">
      <c r="A1862" s="79"/>
      <c r="B1862" s="79"/>
      <c r="C1862" s="79"/>
      <c r="D1862" s="81">
        <v>43493</v>
      </c>
      <c r="E1862" s="82">
        <v>10661.55</v>
      </c>
      <c r="G1862" s="79"/>
      <c r="H1862" s="79"/>
      <c r="I1862" s="79"/>
    </row>
    <row r="1863" s="78" customFormat="1" ht="16.5" customHeight="1" spans="1:9">
      <c r="A1863" s="79"/>
      <c r="B1863" s="79"/>
      <c r="C1863" s="79"/>
      <c r="D1863" s="81">
        <v>43490</v>
      </c>
      <c r="E1863" s="82">
        <v>10780.55</v>
      </c>
      <c r="G1863" s="79"/>
      <c r="H1863" s="79"/>
      <c r="I1863" s="79"/>
    </row>
    <row r="1864" s="78" customFormat="1" ht="16.5" customHeight="1" spans="1:9">
      <c r="A1864" s="79"/>
      <c r="B1864" s="79"/>
      <c r="C1864" s="79"/>
      <c r="D1864" s="81">
        <v>43489</v>
      </c>
      <c r="E1864" s="82">
        <v>10849.8</v>
      </c>
      <c r="G1864" s="79"/>
      <c r="H1864" s="79"/>
      <c r="I1864" s="79"/>
    </row>
    <row r="1865" s="78" customFormat="1" ht="16.5" customHeight="1" spans="1:9">
      <c r="A1865" s="79"/>
      <c r="B1865" s="79"/>
      <c r="C1865" s="79"/>
      <c r="D1865" s="81">
        <v>43488</v>
      </c>
      <c r="E1865" s="82">
        <v>10831.5</v>
      </c>
      <c r="G1865" s="79"/>
      <c r="H1865" s="79"/>
      <c r="I1865" s="79"/>
    </row>
    <row r="1866" s="78" customFormat="1" ht="16.5" customHeight="1" spans="1:9">
      <c r="A1866" s="79"/>
      <c r="B1866" s="79"/>
      <c r="C1866" s="79"/>
      <c r="D1866" s="81">
        <v>43487</v>
      </c>
      <c r="E1866" s="82">
        <v>10922.75</v>
      </c>
      <c r="G1866" s="79"/>
      <c r="H1866" s="79"/>
      <c r="I1866" s="79"/>
    </row>
    <row r="1867" s="78" customFormat="1" ht="16.5" customHeight="1" spans="1:9">
      <c r="A1867" s="79"/>
      <c r="B1867" s="79"/>
      <c r="C1867" s="79"/>
      <c r="D1867" s="81">
        <v>43486</v>
      </c>
      <c r="E1867" s="82">
        <v>10961.85</v>
      </c>
      <c r="G1867" s="79"/>
      <c r="H1867" s="79"/>
      <c r="I1867" s="79"/>
    </row>
    <row r="1868" s="78" customFormat="1" ht="16.5" customHeight="1" spans="1:9">
      <c r="A1868" s="79"/>
      <c r="B1868" s="79"/>
      <c r="C1868" s="79"/>
      <c r="D1868" s="81">
        <v>43483</v>
      </c>
      <c r="E1868" s="82">
        <v>10906.95</v>
      </c>
      <c r="G1868" s="79"/>
      <c r="H1868" s="79"/>
      <c r="I1868" s="79"/>
    </row>
    <row r="1869" s="78" customFormat="1" ht="16.5" customHeight="1" spans="1:9">
      <c r="A1869" s="79"/>
      <c r="B1869" s="79"/>
      <c r="C1869" s="79"/>
      <c r="D1869" s="81">
        <v>43482</v>
      </c>
      <c r="E1869" s="82">
        <v>10905.2</v>
      </c>
      <c r="G1869" s="79"/>
      <c r="H1869" s="79"/>
      <c r="I1869" s="79"/>
    </row>
    <row r="1870" s="78" customFormat="1" ht="16.5" customHeight="1" spans="1:9">
      <c r="A1870" s="79"/>
      <c r="B1870" s="79"/>
      <c r="C1870" s="79"/>
      <c r="D1870" s="81">
        <v>43481</v>
      </c>
      <c r="E1870" s="82">
        <v>10890.3</v>
      </c>
      <c r="G1870" s="79"/>
      <c r="H1870" s="79"/>
      <c r="I1870" s="79"/>
    </row>
    <row r="1871" s="78" customFormat="1" ht="16.5" customHeight="1" spans="1:9">
      <c r="A1871" s="79"/>
      <c r="B1871" s="79"/>
      <c r="C1871" s="79"/>
      <c r="D1871" s="81">
        <v>43480</v>
      </c>
      <c r="E1871" s="82">
        <v>10886.8</v>
      </c>
      <c r="G1871" s="79"/>
      <c r="H1871" s="79"/>
      <c r="I1871" s="79"/>
    </row>
    <row r="1872" s="78" customFormat="1" ht="16.5" customHeight="1" spans="1:9">
      <c r="A1872" s="79"/>
      <c r="B1872" s="79"/>
      <c r="C1872" s="79"/>
      <c r="D1872" s="81">
        <v>43479</v>
      </c>
      <c r="E1872" s="82">
        <v>10737.6</v>
      </c>
      <c r="G1872" s="79"/>
      <c r="H1872" s="79"/>
      <c r="I1872" s="79"/>
    </row>
    <row r="1873" s="78" customFormat="1" ht="16.5" customHeight="1" spans="1:9">
      <c r="A1873" s="79"/>
      <c r="B1873" s="79"/>
      <c r="C1873" s="79"/>
      <c r="D1873" s="81">
        <v>43476</v>
      </c>
      <c r="E1873" s="82">
        <v>10794.95</v>
      </c>
      <c r="G1873" s="79"/>
      <c r="H1873" s="79"/>
      <c r="I1873" s="79"/>
    </row>
    <row r="1874" s="78" customFormat="1" ht="16.5" customHeight="1" spans="1:9">
      <c r="A1874" s="79"/>
      <c r="B1874" s="79"/>
      <c r="C1874" s="79"/>
      <c r="D1874" s="81">
        <v>43475</v>
      </c>
      <c r="E1874" s="82">
        <v>10821.6</v>
      </c>
      <c r="G1874" s="79"/>
      <c r="H1874" s="79"/>
      <c r="I1874" s="79"/>
    </row>
    <row r="1875" s="78" customFormat="1" ht="16.5" customHeight="1" spans="1:9">
      <c r="A1875" s="79"/>
      <c r="B1875" s="79"/>
      <c r="C1875" s="79"/>
      <c r="D1875" s="81">
        <v>43474</v>
      </c>
      <c r="E1875" s="82">
        <v>10855.15</v>
      </c>
      <c r="G1875" s="79"/>
      <c r="H1875" s="79"/>
      <c r="I1875" s="79"/>
    </row>
    <row r="1876" s="78" customFormat="1" ht="16.5" customHeight="1" spans="1:9">
      <c r="A1876" s="79"/>
      <c r="B1876" s="79"/>
      <c r="C1876" s="79"/>
      <c r="D1876" s="81">
        <v>43473</v>
      </c>
      <c r="E1876" s="82">
        <v>10802.15</v>
      </c>
      <c r="G1876" s="79"/>
      <c r="H1876" s="79"/>
      <c r="I1876" s="79"/>
    </row>
    <row r="1877" s="78" customFormat="1" ht="16.5" customHeight="1" spans="1:9">
      <c r="A1877" s="79"/>
      <c r="B1877" s="79"/>
      <c r="C1877" s="79"/>
      <c r="D1877" s="81">
        <v>43472</v>
      </c>
      <c r="E1877" s="82">
        <v>10771.8</v>
      </c>
      <c r="G1877" s="79"/>
      <c r="H1877" s="79"/>
      <c r="I1877" s="79"/>
    </row>
    <row r="1878" s="78" customFormat="1" ht="16.5" customHeight="1" spans="1:9">
      <c r="A1878" s="79"/>
      <c r="B1878" s="79"/>
      <c r="C1878" s="79"/>
      <c r="D1878" s="81">
        <v>43469</v>
      </c>
      <c r="E1878" s="82">
        <v>10727.35</v>
      </c>
      <c r="G1878" s="79"/>
      <c r="H1878" s="79"/>
      <c r="I1878" s="79"/>
    </row>
    <row r="1879" s="78" customFormat="1" ht="16.5" customHeight="1" spans="1:9">
      <c r="A1879" s="79"/>
      <c r="B1879" s="79"/>
      <c r="C1879" s="79"/>
      <c r="D1879" s="81">
        <v>43468</v>
      </c>
      <c r="E1879" s="82">
        <v>10672.25</v>
      </c>
      <c r="G1879" s="79"/>
      <c r="H1879" s="79"/>
      <c r="I1879" s="79"/>
    </row>
    <row r="1880" s="78" customFormat="1" ht="16.5" customHeight="1" spans="1:9">
      <c r="A1880" s="79"/>
      <c r="B1880" s="79"/>
      <c r="C1880" s="79"/>
      <c r="D1880" s="81">
        <v>43467</v>
      </c>
      <c r="E1880" s="82">
        <v>10792.5</v>
      </c>
      <c r="G1880" s="79"/>
      <c r="H1880" s="79"/>
      <c r="I1880" s="79"/>
    </row>
    <row r="1881" s="78" customFormat="1" ht="16.5" customHeight="1" spans="1:9">
      <c r="A1881" s="79"/>
      <c r="B1881" s="79"/>
      <c r="C1881" s="79"/>
      <c r="D1881" s="81">
        <v>43466</v>
      </c>
      <c r="E1881" s="82">
        <v>10910.1</v>
      </c>
      <c r="G1881" s="79"/>
      <c r="H1881" s="79"/>
      <c r="I1881" s="79"/>
    </row>
    <row r="1882" s="78" customFormat="1" ht="16.5" customHeight="1" spans="1:9">
      <c r="A1882" s="79"/>
      <c r="B1882" s="79"/>
      <c r="C1882" s="79"/>
      <c r="D1882" s="81">
        <v>43465</v>
      </c>
      <c r="E1882" s="82">
        <v>10862.55</v>
      </c>
      <c r="G1882" s="79"/>
      <c r="H1882" s="79"/>
      <c r="I1882" s="79"/>
    </row>
    <row r="1883" s="78" customFormat="1" ht="16.5" customHeight="1" spans="1:9">
      <c r="A1883" s="79"/>
      <c r="B1883" s="79"/>
      <c r="C1883" s="79"/>
      <c r="D1883" s="81">
        <v>43462</v>
      </c>
      <c r="E1883" s="82">
        <v>10859.9</v>
      </c>
      <c r="G1883" s="79"/>
      <c r="H1883" s="79"/>
      <c r="I1883" s="79"/>
    </row>
    <row r="1884" s="78" customFormat="1" ht="16.5" customHeight="1" spans="1:9">
      <c r="A1884" s="79"/>
      <c r="B1884" s="79"/>
      <c r="C1884" s="79"/>
      <c r="D1884" s="81">
        <v>43461</v>
      </c>
      <c r="E1884" s="82">
        <v>10779.8</v>
      </c>
      <c r="G1884" s="79"/>
      <c r="H1884" s="79"/>
      <c r="I1884" s="79"/>
    </row>
    <row r="1885" s="78" customFormat="1" ht="16.5" customHeight="1" spans="1:9">
      <c r="A1885" s="79"/>
      <c r="B1885" s="79"/>
      <c r="C1885" s="79"/>
      <c r="D1885" s="81">
        <v>43460</v>
      </c>
      <c r="E1885" s="82">
        <v>10729.85</v>
      </c>
      <c r="G1885" s="79"/>
      <c r="H1885" s="79"/>
      <c r="I1885" s="79"/>
    </row>
    <row r="1886" s="78" customFormat="1" ht="16.5" customHeight="1" spans="1:9">
      <c r="A1886" s="79"/>
      <c r="B1886" s="79"/>
      <c r="C1886" s="79"/>
      <c r="D1886" s="81">
        <v>43458</v>
      </c>
      <c r="E1886" s="82">
        <v>10663.5</v>
      </c>
      <c r="G1886" s="79"/>
      <c r="H1886" s="79"/>
      <c r="I1886" s="79"/>
    </row>
    <row r="1887" s="78" customFormat="1" ht="16.5" customHeight="1" spans="1:9">
      <c r="A1887" s="79"/>
      <c r="B1887" s="79"/>
      <c r="C1887" s="79"/>
      <c r="D1887" s="81">
        <v>43455</v>
      </c>
      <c r="E1887" s="82">
        <v>10754</v>
      </c>
      <c r="G1887" s="79"/>
      <c r="H1887" s="79"/>
      <c r="I1887" s="79"/>
    </row>
    <row r="1888" s="78" customFormat="1" ht="16.5" customHeight="1" spans="1:9">
      <c r="A1888" s="79"/>
      <c r="B1888" s="79"/>
      <c r="C1888" s="79"/>
      <c r="D1888" s="81">
        <v>43454</v>
      </c>
      <c r="E1888" s="82">
        <v>10951.7</v>
      </c>
      <c r="G1888" s="79"/>
      <c r="H1888" s="79"/>
      <c r="I1888" s="79"/>
    </row>
    <row r="1889" s="78" customFormat="1" ht="16.5" customHeight="1" spans="1:9">
      <c r="A1889" s="79"/>
      <c r="B1889" s="79"/>
      <c r="C1889" s="79"/>
      <c r="D1889" s="81">
        <v>43453</v>
      </c>
      <c r="E1889" s="82">
        <v>10967.3</v>
      </c>
      <c r="G1889" s="79"/>
      <c r="H1889" s="79"/>
      <c r="I1889" s="79"/>
    </row>
    <row r="1890" s="78" customFormat="1" ht="16.5" customHeight="1" spans="1:9">
      <c r="A1890" s="79"/>
      <c r="B1890" s="79"/>
      <c r="C1890" s="79"/>
      <c r="D1890" s="81">
        <v>43452</v>
      </c>
      <c r="E1890" s="82">
        <v>10908.7</v>
      </c>
      <c r="G1890" s="79"/>
      <c r="H1890" s="79"/>
      <c r="I1890" s="79"/>
    </row>
    <row r="1891" s="78" customFormat="1" ht="16.5" customHeight="1" spans="1:9">
      <c r="A1891" s="79"/>
      <c r="B1891" s="79"/>
      <c r="C1891" s="79"/>
      <c r="D1891" s="81">
        <v>43451</v>
      </c>
      <c r="E1891" s="82">
        <v>10888.35</v>
      </c>
      <c r="G1891" s="79"/>
      <c r="H1891" s="79"/>
      <c r="I1891" s="79"/>
    </row>
    <row r="1892" s="78" customFormat="1" ht="16.5" customHeight="1" spans="1:9">
      <c r="A1892" s="79"/>
      <c r="B1892" s="79"/>
      <c r="C1892" s="79"/>
      <c r="D1892" s="81">
        <v>43448</v>
      </c>
      <c r="E1892" s="82">
        <v>10805.45</v>
      </c>
      <c r="G1892" s="79"/>
      <c r="H1892" s="79"/>
      <c r="I1892" s="79"/>
    </row>
    <row r="1893" s="78" customFormat="1" ht="16.5" customHeight="1" spans="1:9">
      <c r="A1893" s="79"/>
      <c r="B1893" s="79"/>
      <c r="C1893" s="79"/>
      <c r="D1893" s="81">
        <v>43447</v>
      </c>
      <c r="E1893" s="82">
        <v>10791.55</v>
      </c>
      <c r="G1893" s="79"/>
      <c r="H1893" s="79"/>
      <c r="I1893" s="79"/>
    </row>
    <row r="1894" s="78" customFormat="1" ht="16.5" customHeight="1" spans="1:9">
      <c r="A1894" s="79"/>
      <c r="B1894" s="79"/>
      <c r="C1894" s="79"/>
      <c r="D1894" s="81">
        <v>43446</v>
      </c>
      <c r="E1894" s="82">
        <v>10737.6</v>
      </c>
      <c r="G1894" s="79"/>
      <c r="H1894" s="79"/>
      <c r="I1894" s="79"/>
    </row>
    <row r="1895" s="78" customFormat="1" ht="16.5" customHeight="1" spans="1:9">
      <c r="A1895" s="79"/>
      <c r="B1895" s="79"/>
      <c r="C1895" s="79"/>
      <c r="D1895" s="81">
        <v>43445</v>
      </c>
      <c r="E1895" s="82">
        <v>10549.15</v>
      </c>
      <c r="G1895" s="79"/>
      <c r="H1895" s="79"/>
      <c r="I1895" s="79"/>
    </row>
    <row r="1896" s="78" customFormat="1" ht="16.5" customHeight="1" spans="1:9">
      <c r="A1896" s="79"/>
      <c r="B1896" s="79"/>
      <c r="C1896" s="79"/>
      <c r="D1896" s="81">
        <v>43444</v>
      </c>
      <c r="E1896" s="82">
        <v>10488.45</v>
      </c>
      <c r="G1896" s="79"/>
      <c r="H1896" s="79"/>
      <c r="I1896" s="79"/>
    </row>
    <row r="1897" s="78" customFormat="1" ht="16.5" customHeight="1" spans="1:9">
      <c r="A1897" s="79"/>
      <c r="B1897" s="79"/>
      <c r="C1897" s="79"/>
      <c r="D1897" s="81">
        <v>43441</v>
      </c>
      <c r="E1897" s="82">
        <v>10693.7</v>
      </c>
      <c r="G1897" s="79"/>
      <c r="H1897" s="79"/>
      <c r="I1897" s="79"/>
    </row>
    <row r="1898" s="78" customFormat="1" ht="16.5" customHeight="1" spans="1:9">
      <c r="A1898" s="79"/>
      <c r="B1898" s="79"/>
      <c r="C1898" s="79"/>
      <c r="D1898" s="81">
        <v>43440</v>
      </c>
      <c r="E1898" s="82">
        <v>10601.15</v>
      </c>
      <c r="G1898" s="79"/>
      <c r="H1898" s="79"/>
      <c r="I1898" s="79"/>
    </row>
    <row r="1899" s="78" customFormat="1" ht="16.5" customHeight="1" spans="1:9">
      <c r="A1899" s="79"/>
      <c r="B1899" s="79"/>
      <c r="C1899" s="79"/>
      <c r="D1899" s="81">
        <v>43439</v>
      </c>
      <c r="E1899" s="82">
        <v>10782.9</v>
      </c>
      <c r="G1899" s="79"/>
      <c r="H1899" s="79"/>
      <c r="I1899" s="79"/>
    </row>
    <row r="1900" s="78" customFormat="1" ht="16.5" customHeight="1" spans="1:9">
      <c r="A1900" s="79"/>
      <c r="B1900" s="79"/>
      <c r="C1900" s="79"/>
      <c r="D1900" s="81">
        <v>43438</v>
      </c>
      <c r="E1900" s="82">
        <v>10869.5</v>
      </c>
      <c r="G1900" s="79"/>
      <c r="H1900" s="79"/>
      <c r="I1900" s="79"/>
    </row>
    <row r="1901" s="78" customFormat="1" ht="16.5" customHeight="1" spans="1:9">
      <c r="A1901" s="79"/>
      <c r="B1901" s="79"/>
      <c r="C1901" s="79"/>
      <c r="D1901" s="81">
        <v>43437</v>
      </c>
      <c r="E1901" s="82">
        <v>10883.75</v>
      </c>
      <c r="G1901" s="79"/>
      <c r="H1901" s="79"/>
      <c r="I1901" s="79"/>
    </row>
    <row r="1902" s="78" customFormat="1" ht="16.5" customHeight="1" spans="1:9">
      <c r="A1902" s="79"/>
      <c r="B1902" s="79"/>
      <c r="C1902" s="79"/>
      <c r="D1902" s="81">
        <v>43434</v>
      </c>
      <c r="E1902" s="82">
        <v>10876.75</v>
      </c>
      <c r="G1902" s="79"/>
      <c r="H1902" s="79"/>
      <c r="I1902" s="79"/>
    </row>
    <row r="1903" s="78" customFormat="1" ht="16.5" customHeight="1" spans="1:9">
      <c r="A1903" s="79"/>
      <c r="B1903" s="79"/>
      <c r="C1903" s="79"/>
      <c r="D1903" s="81">
        <v>43433</v>
      </c>
      <c r="E1903" s="82">
        <v>10858.7</v>
      </c>
      <c r="G1903" s="79"/>
      <c r="H1903" s="79"/>
      <c r="I1903" s="79"/>
    </row>
    <row r="1904" s="78" customFormat="1" ht="16.5" customHeight="1" spans="1:9">
      <c r="A1904" s="79"/>
      <c r="B1904" s="79"/>
      <c r="C1904" s="79"/>
      <c r="D1904" s="81">
        <v>43432</v>
      </c>
      <c r="E1904" s="82">
        <v>10728.85</v>
      </c>
      <c r="G1904" s="79"/>
      <c r="H1904" s="79"/>
      <c r="I1904" s="79"/>
    </row>
    <row r="1905" s="78" customFormat="1" ht="16.5" customHeight="1" spans="1:9">
      <c r="A1905" s="79"/>
      <c r="B1905" s="79"/>
      <c r="C1905" s="79"/>
      <c r="D1905" s="81">
        <v>43431</v>
      </c>
      <c r="E1905" s="82">
        <v>10685.6</v>
      </c>
      <c r="G1905" s="79"/>
      <c r="H1905" s="79"/>
      <c r="I1905" s="79"/>
    </row>
    <row r="1906" s="78" customFormat="1" ht="16.5" customHeight="1" spans="1:9">
      <c r="A1906" s="79"/>
      <c r="B1906" s="79"/>
      <c r="C1906" s="79"/>
      <c r="D1906" s="81">
        <v>43430</v>
      </c>
      <c r="E1906" s="82">
        <v>10628.6</v>
      </c>
      <c r="G1906" s="79"/>
      <c r="H1906" s="79"/>
      <c r="I1906" s="79"/>
    </row>
    <row r="1907" s="78" customFormat="1" ht="16.5" customHeight="1" spans="1:9">
      <c r="A1907" s="79"/>
      <c r="B1907" s="79"/>
      <c r="C1907" s="79"/>
      <c r="D1907" s="81">
        <v>43426</v>
      </c>
      <c r="E1907" s="82">
        <v>10526.75</v>
      </c>
      <c r="G1907" s="79"/>
      <c r="H1907" s="79"/>
      <c r="I1907" s="79"/>
    </row>
    <row r="1908" s="78" customFormat="1" ht="16.5" customHeight="1" spans="1:9">
      <c r="A1908" s="79"/>
      <c r="B1908" s="79"/>
      <c r="C1908" s="79"/>
      <c r="D1908" s="81">
        <v>43425</v>
      </c>
      <c r="E1908" s="82">
        <v>10600.05</v>
      </c>
      <c r="G1908" s="79"/>
      <c r="H1908" s="79"/>
      <c r="I1908" s="79"/>
    </row>
    <row r="1909" s="78" customFormat="1" ht="16.5" customHeight="1" spans="1:9">
      <c r="A1909" s="79"/>
      <c r="B1909" s="79"/>
      <c r="C1909" s="79"/>
      <c r="D1909" s="81">
        <v>43424</v>
      </c>
      <c r="E1909" s="82">
        <v>10656.2</v>
      </c>
      <c r="G1909" s="79"/>
      <c r="H1909" s="79"/>
      <c r="I1909" s="79"/>
    </row>
    <row r="1910" s="78" customFormat="1" ht="16.5" customHeight="1" spans="1:9">
      <c r="A1910" s="79"/>
      <c r="B1910" s="79"/>
      <c r="C1910" s="79"/>
      <c r="D1910" s="81">
        <v>43423</v>
      </c>
      <c r="E1910" s="82">
        <v>10763.4</v>
      </c>
      <c r="G1910" s="79"/>
      <c r="H1910" s="79"/>
      <c r="I1910" s="79"/>
    </row>
    <row r="1911" s="78" customFormat="1" ht="16.5" customHeight="1" spans="1:9">
      <c r="A1911" s="79"/>
      <c r="B1911" s="79"/>
      <c r="C1911" s="79"/>
      <c r="D1911" s="81">
        <v>43420</v>
      </c>
      <c r="E1911" s="82">
        <v>10682.2</v>
      </c>
      <c r="G1911" s="79"/>
      <c r="H1911" s="79"/>
      <c r="I1911" s="79"/>
    </row>
    <row r="1912" s="78" customFormat="1" ht="16.5" customHeight="1" spans="1:9">
      <c r="A1912" s="79"/>
      <c r="B1912" s="79"/>
      <c r="C1912" s="79"/>
      <c r="D1912" s="81">
        <v>43419</v>
      </c>
      <c r="E1912" s="82">
        <v>10616.7</v>
      </c>
      <c r="G1912" s="79"/>
      <c r="H1912" s="79"/>
      <c r="I1912" s="79"/>
    </row>
    <row r="1913" s="78" customFormat="1" ht="16.5" customHeight="1" spans="1:9">
      <c r="A1913" s="79"/>
      <c r="B1913" s="79"/>
      <c r="C1913" s="79"/>
      <c r="D1913" s="81">
        <v>43418</v>
      </c>
      <c r="E1913" s="82">
        <v>10576.3</v>
      </c>
      <c r="G1913" s="79"/>
      <c r="H1913" s="79"/>
      <c r="I1913" s="79"/>
    </row>
    <row r="1914" s="78" customFormat="1" ht="16.5" customHeight="1" spans="1:9">
      <c r="A1914" s="79"/>
      <c r="B1914" s="79"/>
      <c r="C1914" s="79"/>
      <c r="D1914" s="81">
        <v>43417</v>
      </c>
      <c r="E1914" s="82">
        <v>10582.5</v>
      </c>
      <c r="G1914" s="79"/>
      <c r="H1914" s="79"/>
      <c r="I1914" s="79"/>
    </row>
    <row r="1915" s="78" customFormat="1" ht="16.5" customHeight="1" spans="1:9">
      <c r="A1915" s="79"/>
      <c r="B1915" s="79"/>
      <c r="C1915" s="79"/>
      <c r="D1915" s="81">
        <v>43416</v>
      </c>
      <c r="E1915" s="82">
        <v>10482.2</v>
      </c>
      <c r="G1915" s="79"/>
      <c r="H1915" s="79"/>
      <c r="I1915" s="79"/>
    </row>
    <row r="1916" s="78" customFormat="1" ht="16.5" customHeight="1" spans="1:9">
      <c r="A1916" s="79"/>
      <c r="B1916" s="79"/>
      <c r="C1916" s="79"/>
      <c r="D1916" s="81">
        <v>43413</v>
      </c>
      <c r="E1916" s="82">
        <v>10585.2</v>
      </c>
      <c r="G1916" s="79"/>
      <c r="H1916" s="79"/>
      <c r="I1916" s="79"/>
    </row>
    <row r="1917" s="78" customFormat="1" ht="16.5" customHeight="1" spans="1:9">
      <c r="A1917" s="79"/>
      <c r="B1917" s="79"/>
      <c r="C1917" s="79"/>
      <c r="D1917" s="81">
        <v>43411</v>
      </c>
      <c r="E1917" s="82">
        <v>10598.4</v>
      </c>
      <c r="G1917" s="79"/>
      <c r="H1917" s="79"/>
      <c r="I1917" s="79"/>
    </row>
    <row r="1918" s="78" customFormat="1" ht="16.5" customHeight="1" spans="1:9">
      <c r="A1918" s="79"/>
      <c r="B1918" s="79"/>
      <c r="C1918" s="79"/>
      <c r="D1918" s="81">
        <v>43410</v>
      </c>
      <c r="E1918" s="82">
        <v>10530</v>
      </c>
      <c r="G1918" s="79"/>
      <c r="H1918" s="79"/>
      <c r="I1918" s="79"/>
    </row>
    <row r="1919" s="78" customFormat="1" ht="16.5" customHeight="1" spans="1:9">
      <c r="A1919" s="79"/>
      <c r="B1919" s="79"/>
      <c r="C1919" s="79"/>
      <c r="D1919" s="81">
        <v>43409</v>
      </c>
      <c r="E1919" s="82">
        <v>10524</v>
      </c>
      <c r="G1919" s="79"/>
      <c r="H1919" s="79"/>
      <c r="I1919" s="79"/>
    </row>
    <row r="1920" s="78" customFormat="1" ht="16.5" customHeight="1" spans="1:9">
      <c r="A1920" s="79"/>
      <c r="B1920" s="79"/>
      <c r="C1920" s="79"/>
      <c r="D1920" s="81">
        <v>43406</v>
      </c>
      <c r="E1920" s="82">
        <v>10553</v>
      </c>
      <c r="G1920" s="79"/>
      <c r="H1920" s="79"/>
      <c r="I1920" s="79"/>
    </row>
    <row r="1921" s="78" customFormat="1" ht="16.5" customHeight="1" spans="1:9">
      <c r="A1921" s="79"/>
      <c r="B1921" s="79"/>
      <c r="C1921" s="79"/>
      <c r="D1921" s="81">
        <v>43405</v>
      </c>
      <c r="E1921" s="82">
        <v>10380.45</v>
      </c>
      <c r="G1921" s="79"/>
      <c r="H1921" s="79"/>
      <c r="I1921" s="79"/>
    </row>
    <row r="1922" s="78" customFormat="1" ht="16.5" customHeight="1" spans="1:9">
      <c r="A1922" s="79"/>
      <c r="B1922" s="79"/>
      <c r="C1922" s="79"/>
      <c r="D1922" s="81">
        <v>43404</v>
      </c>
      <c r="E1922" s="82">
        <v>10386.6</v>
      </c>
      <c r="G1922" s="79"/>
      <c r="H1922" s="79"/>
      <c r="I1922" s="79"/>
    </row>
    <row r="1923" s="78" customFormat="1" ht="16.5" customHeight="1" spans="1:9">
      <c r="A1923" s="79"/>
      <c r="B1923" s="79"/>
      <c r="C1923" s="79"/>
      <c r="D1923" s="81">
        <v>43403</v>
      </c>
      <c r="E1923" s="82">
        <v>10198.4</v>
      </c>
      <c r="G1923" s="79"/>
      <c r="H1923" s="79"/>
      <c r="I1923" s="79"/>
    </row>
    <row r="1924" s="78" customFormat="1" ht="16.5" customHeight="1" spans="1:9">
      <c r="A1924" s="79"/>
      <c r="B1924" s="79"/>
      <c r="C1924" s="79"/>
      <c r="D1924" s="81">
        <v>43402</v>
      </c>
      <c r="E1924" s="82">
        <v>10250.85</v>
      </c>
      <c r="G1924" s="79"/>
      <c r="H1924" s="79"/>
      <c r="I1924" s="79"/>
    </row>
    <row r="1925" s="78" customFormat="1" ht="16.5" customHeight="1" spans="1:9">
      <c r="A1925" s="79"/>
      <c r="B1925" s="79"/>
      <c r="C1925" s="79"/>
      <c r="D1925" s="81">
        <v>43399</v>
      </c>
      <c r="E1925" s="82">
        <v>10030</v>
      </c>
      <c r="G1925" s="79"/>
      <c r="H1925" s="79"/>
      <c r="I1925" s="79"/>
    </row>
    <row r="1926" s="78" customFormat="1" ht="16.5" customHeight="1" spans="1:9">
      <c r="A1926" s="79"/>
      <c r="B1926" s="79"/>
      <c r="C1926" s="79"/>
      <c r="D1926" s="81">
        <v>43398</v>
      </c>
      <c r="E1926" s="82">
        <v>10124.9</v>
      </c>
      <c r="G1926" s="79"/>
      <c r="H1926" s="79"/>
      <c r="I1926" s="79"/>
    </row>
    <row r="1927" s="78" customFormat="1" ht="16.5" customHeight="1" spans="1:9">
      <c r="A1927" s="79"/>
      <c r="B1927" s="79"/>
      <c r="C1927" s="79"/>
      <c r="D1927" s="81">
        <v>43397</v>
      </c>
      <c r="E1927" s="82">
        <v>10224.75</v>
      </c>
      <c r="G1927" s="79"/>
      <c r="H1927" s="79"/>
      <c r="I1927" s="79"/>
    </row>
    <row r="1928" s="78" customFormat="1" ht="16.5" customHeight="1" spans="1:9">
      <c r="A1928" s="79"/>
      <c r="B1928" s="79"/>
      <c r="C1928" s="79"/>
      <c r="D1928" s="81">
        <v>43396</v>
      </c>
      <c r="E1928" s="82">
        <v>10146.8</v>
      </c>
      <c r="G1928" s="79"/>
      <c r="H1928" s="79"/>
      <c r="I1928" s="79"/>
    </row>
    <row r="1929" s="78" customFormat="1" ht="16.5" customHeight="1" spans="1:9">
      <c r="A1929" s="79"/>
      <c r="B1929" s="79"/>
      <c r="C1929" s="79"/>
      <c r="D1929" s="81">
        <v>43395</v>
      </c>
      <c r="E1929" s="82">
        <v>10245.25</v>
      </c>
      <c r="G1929" s="79"/>
      <c r="H1929" s="79"/>
      <c r="I1929" s="79"/>
    </row>
    <row r="1930" s="78" customFormat="1" ht="16.5" customHeight="1" spans="1:9">
      <c r="A1930" s="79"/>
      <c r="B1930" s="79"/>
      <c r="C1930" s="79"/>
      <c r="D1930" s="81">
        <v>43392</v>
      </c>
      <c r="E1930" s="82">
        <v>10303.55</v>
      </c>
      <c r="G1930" s="79"/>
      <c r="H1930" s="79"/>
      <c r="I1930" s="79"/>
    </row>
    <row r="1931" s="78" customFormat="1" ht="16.5" customHeight="1" spans="1:9">
      <c r="A1931" s="79"/>
      <c r="B1931" s="79"/>
      <c r="C1931" s="79"/>
      <c r="D1931" s="81">
        <v>43390</v>
      </c>
      <c r="E1931" s="82">
        <v>10453.05</v>
      </c>
      <c r="G1931" s="79"/>
      <c r="H1931" s="79"/>
      <c r="I1931" s="79"/>
    </row>
    <row r="1932" s="78" customFormat="1" ht="16.5" customHeight="1" spans="1:9">
      <c r="A1932" s="79"/>
      <c r="B1932" s="79"/>
      <c r="C1932" s="79"/>
      <c r="D1932" s="81">
        <v>43389</v>
      </c>
      <c r="E1932" s="82">
        <v>10584.75</v>
      </c>
      <c r="G1932" s="79"/>
      <c r="H1932" s="79"/>
      <c r="I1932" s="79"/>
    </row>
    <row r="1933" s="78" customFormat="1" ht="16.5" customHeight="1" spans="1:9">
      <c r="A1933" s="79"/>
      <c r="B1933" s="79"/>
      <c r="C1933" s="79"/>
      <c r="D1933" s="81">
        <v>43388</v>
      </c>
      <c r="E1933" s="82">
        <v>10512.5</v>
      </c>
      <c r="G1933" s="79"/>
      <c r="H1933" s="79"/>
      <c r="I1933" s="79"/>
    </row>
    <row r="1934" s="78" customFormat="1" ht="16.5" customHeight="1" spans="1:9">
      <c r="A1934" s="79"/>
      <c r="B1934" s="79"/>
      <c r="C1934" s="79"/>
      <c r="D1934" s="81">
        <v>43385</v>
      </c>
      <c r="E1934" s="82">
        <v>10472.5</v>
      </c>
      <c r="G1934" s="79"/>
      <c r="H1934" s="79"/>
      <c r="I1934" s="79"/>
    </row>
    <row r="1935" s="78" customFormat="1" ht="16.5" customHeight="1" spans="1:9">
      <c r="A1935" s="79"/>
      <c r="B1935" s="79"/>
      <c r="C1935" s="79"/>
      <c r="D1935" s="81">
        <v>43384</v>
      </c>
      <c r="E1935" s="82">
        <v>10234.65</v>
      </c>
      <c r="G1935" s="79"/>
      <c r="H1935" s="79"/>
      <c r="I1935" s="79"/>
    </row>
    <row r="1936" s="78" customFormat="1" ht="16.5" customHeight="1" spans="1:9">
      <c r="A1936" s="79"/>
      <c r="B1936" s="79"/>
      <c r="C1936" s="79"/>
      <c r="D1936" s="81">
        <v>43383</v>
      </c>
      <c r="E1936" s="82">
        <v>10460.1</v>
      </c>
      <c r="G1936" s="79"/>
      <c r="H1936" s="79"/>
      <c r="I1936" s="79"/>
    </row>
    <row r="1937" s="78" customFormat="1" ht="16.5" customHeight="1" spans="1:9">
      <c r="A1937" s="79"/>
      <c r="B1937" s="79"/>
      <c r="C1937" s="79"/>
      <c r="D1937" s="81">
        <v>43382</v>
      </c>
      <c r="E1937" s="82">
        <v>10301.05</v>
      </c>
      <c r="G1937" s="79"/>
      <c r="H1937" s="79"/>
      <c r="I1937" s="79"/>
    </row>
    <row r="1938" s="78" customFormat="1" ht="16.5" customHeight="1" spans="1:9">
      <c r="A1938" s="79"/>
      <c r="B1938" s="79"/>
      <c r="C1938" s="79"/>
      <c r="D1938" s="81">
        <v>43381</v>
      </c>
      <c r="E1938" s="82">
        <v>10348.05</v>
      </c>
      <c r="G1938" s="79"/>
      <c r="H1938" s="79"/>
      <c r="I1938" s="79"/>
    </row>
    <row r="1939" s="78" customFormat="1" ht="16.5" customHeight="1" spans="1:9">
      <c r="A1939" s="79"/>
      <c r="B1939" s="79"/>
      <c r="C1939" s="79"/>
      <c r="D1939" s="81">
        <v>43378</v>
      </c>
      <c r="E1939" s="82">
        <v>10316.45</v>
      </c>
      <c r="G1939" s="79"/>
      <c r="H1939" s="79"/>
      <c r="I1939" s="79"/>
    </row>
    <row r="1940" s="78" customFormat="1" ht="16.5" customHeight="1" spans="1:9">
      <c r="A1940" s="79"/>
      <c r="B1940" s="79"/>
      <c r="C1940" s="79"/>
      <c r="D1940" s="81">
        <v>43377</v>
      </c>
      <c r="E1940" s="82">
        <v>10599.25</v>
      </c>
      <c r="G1940" s="79"/>
      <c r="H1940" s="79"/>
      <c r="I1940" s="79"/>
    </row>
    <row r="1941" s="78" customFormat="1" ht="16.5" customHeight="1" spans="1:9">
      <c r="A1941" s="79"/>
      <c r="B1941" s="79"/>
      <c r="C1941" s="79"/>
      <c r="D1941" s="81">
        <v>43376</v>
      </c>
      <c r="E1941" s="82">
        <v>10858.25</v>
      </c>
      <c r="G1941" s="79"/>
      <c r="H1941" s="79"/>
      <c r="I1941" s="79"/>
    </row>
    <row r="1942" s="78" customFormat="1" ht="16.5" customHeight="1" spans="1:9">
      <c r="A1942" s="79"/>
      <c r="B1942" s="79"/>
      <c r="C1942" s="79"/>
      <c r="D1942" s="81">
        <v>43374</v>
      </c>
      <c r="E1942" s="82">
        <v>11008.3</v>
      </c>
      <c r="G1942" s="79"/>
      <c r="H1942" s="79"/>
      <c r="I1942" s="79"/>
    </row>
    <row r="1943" s="78" customFormat="1" ht="16.5" customHeight="1" spans="1:9">
      <c r="A1943" s="79"/>
      <c r="B1943" s="79"/>
      <c r="C1943" s="79"/>
      <c r="D1943" s="81">
        <v>43371</v>
      </c>
      <c r="E1943" s="82">
        <v>10930.45</v>
      </c>
      <c r="G1943" s="79"/>
      <c r="H1943" s="79"/>
      <c r="I1943" s="79"/>
    </row>
    <row r="1944" s="78" customFormat="1" ht="16.5" customHeight="1" spans="1:9">
      <c r="A1944" s="79"/>
      <c r="B1944" s="79"/>
      <c r="C1944" s="79"/>
      <c r="D1944" s="81">
        <v>43370</v>
      </c>
      <c r="E1944" s="82">
        <v>10977.55</v>
      </c>
      <c r="G1944" s="79"/>
      <c r="H1944" s="79"/>
      <c r="I1944" s="79"/>
    </row>
    <row r="1945" s="78" customFormat="1" ht="16.5" customHeight="1" spans="1:9">
      <c r="A1945" s="79"/>
      <c r="B1945" s="79"/>
      <c r="C1945" s="79"/>
      <c r="D1945" s="81">
        <v>43369</v>
      </c>
      <c r="E1945" s="82">
        <v>11053.8</v>
      </c>
      <c r="G1945" s="79"/>
      <c r="H1945" s="79"/>
      <c r="I1945" s="79"/>
    </row>
    <row r="1946" s="78" customFormat="1" ht="16.5" customHeight="1" spans="1:9">
      <c r="A1946" s="79"/>
      <c r="B1946" s="79"/>
      <c r="C1946" s="79"/>
      <c r="D1946" s="81">
        <v>43368</v>
      </c>
      <c r="E1946" s="82">
        <v>11067.45</v>
      </c>
      <c r="G1946" s="79"/>
      <c r="H1946" s="79"/>
      <c r="I1946" s="79"/>
    </row>
    <row r="1947" s="78" customFormat="1" ht="16.5" customHeight="1" spans="1:9">
      <c r="A1947" s="79"/>
      <c r="B1947" s="79"/>
      <c r="C1947" s="79"/>
      <c r="D1947" s="81">
        <v>43367</v>
      </c>
      <c r="E1947" s="82">
        <v>10967.4</v>
      </c>
      <c r="G1947" s="79"/>
      <c r="H1947" s="79"/>
      <c r="I1947" s="79"/>
    </row>
    <row r="1948" s="78" customFormat="1" ht="16.5" customHeight="1" spans="1:9">
      <c r="A1948" s="79"/>
      <c r="B1948" s="79"/>
      <c r="C1948" s="79"/>
      <c r="D1948" s="81">
        <v>43364</v>
      </c>
      <c r="E1948" s="82">
        <v>11143.1</v>
      </c>
      <c r="G1948" s="79"/>
      <c r="H1948" s="79"/>
      <c r="I1948" s="79"/>
    </row>
    <row r="1949" s="78" customFormat="1" ht="16.5" customHeight="1" spans="1:9">
      <c r="A1949" s="79"/>
      <c r="B1949" s="79"/>
      <c r="C1949" s="79"/>
      <c r="D1949" s="81">
        <v>43362</v>
      </c>
      <c r="E1949" s="82">
        <v>11234.35</v>
      </c>
      <c r="G1949" s="79"/>
      <c r="H1949" s="79"/>
      <c r="I1949" s="79"/>
    </row>
    <row r="1950" s="78" customFormat="1" ht="16.5" customHeight="1" spans="1:9">
      <c r="A1950" s="79"/>
      <c r="B1950" s="79"/>
      <c r="C1950" s="79"/>
      <c r="D1950" s="81">
        <v>43361</v>
      </c>
      <c r="E1950" s="82">
        <v>11278.9</v>
      </c>
      <c r="G1950" s="79"/>
      <c r="H1950" s="79"/>
      <c r="I1950" s="79"/>
    </row>
    <row r="1951" s="78" customFormat="1" ht="16.5" customHeight="1" spans="1:9">
      <c r="A1951" s="79"/>
      <c r="B1951" s="79"/>
      <c r="C1951" s="79"/>
      <c r="D1951" s="81">
        <v>43360</v>
      </c>
      <c r="E1951" s="82">
        <v>11377.75</v>
      </c>
      <c r="G1951" s="79"/>
      <c r="H1951" s="79"/>
      <c r="I1951" s="79"/>
    </row>
    <row r="1952" s="78" customFormat="1" ht="16.5" customHeight="1" spans="1:9">
      <c r="A1952" s="79"/>
      <c r="B1952" s="79"/>
      <c r="C1952" s="79"/>
      <c r="D1952" s="81">
        <v>43357</v>
      </c>
      <c r="E1952" s="82">
        <v>11515.2</v>
      </c>
      <c r="G1952" s="79"/>
      <c r="H1952" s="79"/>
      <c r="I1952" s="79"/>
    </row>
    <row r="1953" s="78" customFormat="1" ht="16.5" customHeight="1" spans="1:9">
      <c r="A1953" s="79"/>
      <c r="B1953" s="79"/>
      <c r="C1953" s="79"/>
      <c r="D1953" s="81">
        <v>43355</v>
      </c>
      <c r="E1953" s="82">
        <v>11369.9</v>
      </c>
      <c r="G1953" s="79"/>
      <c r="H1953" s="79"/>
      <c r="I1953" s="79"/>
    </row>
    <row r="1954" s="78" customFormat="1" ht="16.5" customHeight="1" spans="1:9">
      <c r="A1954" s="79"/>
      <c r="B1954" s="79"/>
      <c r="C1954" s="79"/>
      <c r="D1954" s="81">
        <v>43354</v>
      </c>
      <c r="E1954" s="82">
        <v>11287.5</v>
      </c>
      <c r="G1954" s="79"/>
      <c r="H1954" s="79"/>
      <c r="I1954" s="79"/>
    </row>
    <row r="1955" s="78" customFormat="1" ht="16.5" customHeight="1" spans="1:9">
      <c r="A1955" s="79"/>
      <c r="B1955" s="79"/>
      <c r="C1955" s="79"/>
      <c r="D1955" s="81">
        <v>43353</v>
      </c>
      <c r="E1955" s="82">
        <v>11438.1</v>
      </c>
      <c r="G1955" s="79"/>
      <c r="H1955" s="79"/>
      <c r="I1955" s="79"/>
    </row>
    <row r="1956" s="78" customFormat="1" ht="16.5" customHeight="1" spans="1:9">
      <c r="A1956" s="79"/>
      <c r="B1956" s="79"/>
      <c r="C1956" s="79"/>
      <c r="D1956" s="81">
        <v>43350</v>
      </c>
      <c r="E1956" s="82">
        <v>11589.1</v>
      </c>
      <c r="G1956" s="79"/>
      <c r="H1956" s="79"/>
      <c r="I1956" s="79"/>
    </row>
    <row r="1957" s="78" customFormat="1" ht="16.5" customHeight="1" spans="1:9">
      <c r="A1957" s="79"/>
      <c r="B1957" s="79"/>
      <c r="C1957" s="79"/>
      <c r="D1957" s="81">
        <v>43349</v>
      </c>
      <c r="E1957" s="82">
        <v>11536.9</v>
      </c>
      <c r="G1957" s="79"/>
      <c r="H1957" s="79"/>
      <c r="I1957" s="79"/>
    </row>
    <row r="1958" s="78" customFormat="1" ht="16.5" customHeight="1" spans="1:9">
      <c r="A1958" s="79"/>
      <c r="B1958" s="79"/>
      <c r="C1958" s="79"/>
      <c r="D1958" s="81">
        <v>43348</v>
      </c>
      <c r="E1958" s="82">
        <v>11476.95</v>
      </c>
      <c r="G1958" s="79"/>
      <c r="H1958" s="79"/>
      <c r="I1958" s="79"/>
    </row>
    <row r="1959" s="78" customFormat="1" ht="16.5" customHeight="1" spans="1:9">
      <c r="A1959" s="79"/>
      <c r="B1959" s="79"/>
      <c r="C1959" s="79"/>
      <c r="D1959" s="81">
        <v>43347</v>
      </c>
      <c r="E1959" s="82">
        <v>11520.3</v>
      </c>
      <c r="G1959" s="79"/>
      <c r="H1959" s="79"/>
      <c r="I1959" s="79"/>
    </row>
    <row r="1960" s="78" customFormat="1" ht="16.5" customHeight="1" spans="1:9">
      <c r="A1960" s="79"/>
      <c r="B1960" s="79"/>
      <c r="C1960" s="79"/>
      <c r="D1960" s="81">
        <v>43346</v>
      </c>
      <c r="E1960" s="82">
        <v>11582.35</v>
      </c>
      <c r="G1960" s="79"/>
      <c r="H1960" s="79"/>
      <c r="I1960" s="79"/>
    </row>
    <row r="1961" s="78" customFormat="1" ht="16.5" customHeight="1" spans="1:9">
      <c r="A1961" s="79"/>
      <c r="B1961" s="79"/>
      <c r="C1961" s="79"/>
      <c r="D1961" s="81">
        <v>43343</v>
      </c>
      <c r="E1961" s="82">
        <v>11680.5</v>
      </c>
      <c r="G1961" s="79"/>
      <c r="H1961" s="79"/>
      <c r="I1961" s="79"/>
    </row>
    <row r="1962" s="78" customFormat="1" ht="16.5" customHeight="1" spans="1:9">
      <c r="A1962" s="79"/>
      <c r="B1962" s="79"/>
      <c r="C1962" s="79"/>
      <c r="D1962" s="81">
        <v>43342</v>
      </c>
      <c r="E1962" s="82">
        <v>11676.8</v>
      </c>
      <c r="G1962" s="79"/>
      <c r="H1962" s="79"/>
      <c r="I1962" s="79"/>
    </row>
    <row r="1963" s="78" customFormat="1" ht="16.5" customHeight="1" spans="1:9">
      <c r="A1963" s="79"/>
      <c r="B1963" s="79"/>
      <c r="C1963" s="79"/>
      <c r="D1963" s="81">
        <v>43341</v>
      </c>
      <c r="E1963" s="82">
        <v>11691.9</v>
      </c>
      <c r="G1963" s="79"/>
      <c r="H1963" s="79"/>
      <c r="I1963" s="79"/>
    </row>
    <row r="1964" s="78" customFormat="1" ht="16.5" customHeight="1" spans="1:9">
      <c r="A1964" s="79"/>
      <c r="B1964" s="79"/>
      <c r="C1964" s="79"/>
      <c r="D1964" s="81">
        <v>43340</v>
      </c>
      <c r="E1964" s="82">
        <v>11738.5</v>
      </c>
      <c r="G1964" s="79"/>
      <c r="H1964" s="79"/>
      <c r="I1964" s="79"/>
    </row>
    <row r="1965" s="78" customFormat="1" ht="16.5" customHeight="1" spans="1:9">
      <c r="A1965" s="79"/>
      <c r="B1965" s="79"/>
      <c r="C1965" s="79"/>
      <c r="D1965" s="81">
        <v>43339</v>
      </c>
      <c r="E1965" s="82">
        <v>11691.95</v>
      </c>
      <c r="G1965" s="79"/>
      <c r="H1965" s="79"/>
      <c r="I1965" s="79"/>
    </row>
    <row r="1966" s="78" customFormat="1" ht="16.5" customHeight="1" spans="1:9">
      <c r="A1966" s="79"/>
      <c r="B1966" s="79"/>
      <c r="C1966" s="79"/>
      <c r="D1966" s="81">
        <v>43336</v>
      </c>
      <c r="E1966" s="82">
        <v>11557.1</v>
      </c>
      <c r="G1966" s="79"/>
      <c r="H1966" s="79"/>
      <c r="I1966" s="79"/>
    </row>
    <row r="1967" s="78" customFormat="1" ht="16.5" customHeight="1" spans="1:9">
      <c r="A1967" s="79"/>
      <c r="B1967" s="79"/>
      <c r="C1967" s="79"/>
      <c r="D1967" s="81">
        <v>43335</v>
      </c>
      <c r="E1967" s="82">
        <v>11582.75</v>
      </c>
      <c r="G1967" s="79"/>
      <c r="H1967" s="79"/>
      <c r="I1967" s="79"/>
    </row>
    <row r="1968" s="78" customFormat="1" ht="16.5" customHeight="1" spans="1:9">
      <c r="A1968" s="79"/>
      <c r="B1968" s="79"/>
      <c r="C1968" s="79"/>
      <c r="D1968" s="81">
        <v>43333</v>
      </c>
      <c r="E1968" s="82">
        <v>11570.9</v>
      </c>
      <c r="G1968" s="79"/>
      <c r="H1968" s="79"/>
      <c r="I1968" s="79"/>
    </row>
    <row r="1969" s="78" customFormat="1" ht="16.5" customHeight="1" spans="1:9">
      <c r="A1969" s="79"/>
      <c r="B1969" s="79"/>
      <c r="C1969" s="79"/>
      <c r="D1969" s="81">
        <v>43332</v>
      </c>
      <c r="E1969" s="82">
        <v>11551.75</v>
      </c>
      <c r="G1969" s="79"/>
      <c r="H1969" s="79"/>
      <c r="I1969" s="79"/>
    </row>
    <row r="1970" s="78" customFormat="1" ht="16.5" customHeight="1" spans="1:9">
      <c r="A1970" s="79"/>
      <c r="B1970" s="79"/>
      <c r="C1970" s="79"/>
      <c r="D1970" s="81">
        <v>43329</v>
      </c>
      <c r="E1970" s="82">
        <v>11470.75</v>
      </c>
      <c r="G1970" s="79"/>
      <c r="H1970" s="79"/>
      <c r="I1970" s="79"/>
    </row>
    <row r="1971" s="78" customFormat="1" ht="16.5" customHeight="1" spans="1:9">
      <c r="A1971" s="79"/>
      <c r="B1971" s="79"/>
      <c r="C1971" s="79"/>
      <c r="D1971" s="81">
        <v>43328</v>
      </c>
      <c r="E1971" s="82">
        <v>11385.05</v>
      </c>
      <c r="G1971" s="79"/>
      <c r="H1971" s="79"/>
      <c r="I1971" s="79"/>
    </row>
    <row r="1972" s="78" customFormat="1" ht="16.5" customHeight="1" spans="1:9">
      <c r="A1972" s="79"/>
      <c r="B1972" s="79"/>
      <c r="C1972" s="79"/>
      <c r="D1972" s="81">
        <v>43326</v>
      </c>
      <c r="E1972" s="82">
        <v>11435.1</v>
      </c>
      <c r="G1972" s="79"/>
      <c r="H1972" s="79"/>
      <c r="I1972" s="79"/>
    </row>
    <row r="1973" s="78" customFormat="1" ht="16.5" customHeight="1" spans="1:9">
      <c r="A1973" s="79"/>
      <c r="B1973" s="79"/>
      <c r="C1973" s="79"/>
      <c r="D1973" s="81">
        <v>43325</v>
      </c>
      <c r="E1973" s="82">
        <v>11355.75</v>
      </c>
      <c r="G1973" s="79"/>
      <c r="H1973" s="79"/>
      <c r="I1973" s="79"/>
    </row>
    <row r="1974" s="78" customFormat="1" ht="16.5" customHeight="1" spans="1:9">
      <c r="A1974" s="79"/>
      <c r="B1974" s="79"/>
      <c r="C1974" s="79"/>
      <c r="D1974" s="81">
        <v>43322</v>
      </c>
      <c r="E1974" s="82">
        <v>11429.5</v>
      </c>
      <c r="G1974" s="79"/>
      <c r="H1974" s="79"/>
      <c r="I1974" s="79"/>
    </row>
    <row r="1975" s="78" customFormat="1" ht="16.5" customHeight="1" spans="1:9">
      <c r="A1975" s="79"/>
      <c r="B1975" s="79"/>
      <c r="C1975" s="79"/>
      <c r="D1975" s="81">
        <v>43321</v>
      </c>
      <c r="E1975" s="82">
        <v>11470.7</v>
      </c>
      <c r="G1975" s="79"/>
      <c r="H1975" s="79"/>
      <c r="I1975" s="79"/>
    </row>
    <row r="1976" s="78" customFormat="1" ht="16.5" customHeight="1" spans="1:9">
      <c r="A1976" s="79"/>
      <c r="B1976" s="79"/>
      <c r="C1976" s="79"/>
      <c r="D1976" s="81">
        <v>43320</v>
      </c>
      <c r="E1976" s="82">
        <v>11450</v>
      </c>
      <c r="G1976" s="79"/>
      <c r="H1976" s="79"/>
      <c r="I1976" s="79"/>
    </row>
    <row r="1977" s="78" customFormat="1" ht="16.5" customHeight="1" spans="1:9">
      <c r="A1977" s="79"/>
      <c r="B1977" s="79"/>
      <c r="C1977" s="79"/>
      <c r="D1977" s="81">
        <v>43319</v>
      </c>
      <c r="E1977" s="82">
        <v>11389.45</v>
      </c>
      <c r="G1977" s="79"/>
      <c r="H1977" s="79"/>
      <c r="I1977" s="79"/>
    </row>
    <row r="1978" s="78" customFormat="1" ht="16.5" customHeight="1" spans="1:9">
      <c r="A1978" s="79"/>
      <c r="B1978" s="79"/>
      <c r="C1978" s="79"/>
      <c r="D1978" s="81">
        <v>43318</v>
      </c>
      <c r="E1978" s="82">
        <v>11387.1</v>
      </c>
      <c r="G1978" s="79"/>
      <c r="H1978" s="79"/>
      <c r="I1978" s="79"/>
    </row>
    <row r="1979" s="78" customFormat="1" ht="16.5" customHeight="1" spans="1:9">
      <c r="A1979" s="79"/>
      <c r="B1979" s="79"/>
      <c r="C1979" s="79"/>
      <c r="D1979" s="81">
        <v>43315</v>
      </c>
      <c r="E1979" s="82">
        <v>11360.8</v>
      </c>
      <c r="G1979" s="79"/>
      <c r="H1979" s="79"/>
      <c r="I1979" s="79"/>
    </row>
    <row r="1980" s="78" customFormat="1" ht="16.5" customHeight="1" spans="1:9">
      <c r="A1980" s="79"/>
      <c r="B1980" s="79"/>
      <c r="C1980" s="79"/>
      <c r="D1980" s="81">
        <v>43314</v>
      </c>
      <c r="E1980" s="82">
        <v>11244.7</v>
      </c>
      <c r="G1980" s="79"/>
      <c r="H1980" s="79"/>
      <c r="I1980" s="79"/>
    </row>
    <row r="1981" s="78" customFormat="1" ht="16.5" customHeight="1" spans="1:9">
      <c r="A1981" s="79"/>
      <c r="B1981" s="79"/>
      <c r="C1981" s="79"/>
      <c r="D1981" s="81">
        <v>43313</v>
      </c>
      <c r="E1981" s="82">
        <v>11346.2</v>
      </c>
      <c r="G1981" s="79"/>
      <c r="H1981" s="79"/>
      <c r="I1981" s="79"/>
    </row>
    <row r="1982" s="78" customFormat="1" ht="16.5" customHeight="1" spans="1:9">
      <c r="A1982" s="79"/>
      <c r="B1982" s="79"/>
      <c r="C1982" s="79"/>
      <c r="D1982" s="81">
        <v>43312</v>
      </c>
      <c r="E1982" s="82">
        <v>11356.5</v>
      </c>
      <c r="G1982" s="79"/>
      <c r="H1982" s="79"/>
      <c r="I1982" s="79"/>
    </row>
    <row r="1983" s="78" customFormat="1" ht="16.5" customHeight="1" spans="1:9">
      <c r="A1983" s="79"/>
      <c r="B1983" s="79"/>
      <c r="C1983" s="79"/>
      <c r="D1983" s="81">
        <v>43311</v>
      </c>
      <c r="E1983" s="82">
        <v>11319.55</v>
      </c>
      <c r="G1983" s="79"/>
      <c r="H1983" s="79"/>
      <c r="I1983" s="79"/>
    </row>
    <row r="1984" s="78" customFormat="1" ht="16.5" customHeight="1" spans="1:9">
      <c r="A1984" s="79"/>
      <c r="B1984" s="79"/>
      <c r="C1984" s="79"/>
      <c r="D1984" s="81">
        <v>43308</v>
      </c>
      <c r="E1984" s="82">
        <v>11278.35</v>
      </c>
      <c r="G1984" s="79"/>
      <c r="H1984" s="79"/>
      <c r="I1984" s="79"/>
    </row>
    <row r="1985" s="78" customFormat="1" ht="16.5" customHeight="1" spans="1:9">
      <c r="A1985" s="79"/>
      <c r="B1985" s="79"/>
      <c r="C1985" s="79"/>
      <c r="D1985" s="81">
        <v>43307</v>
      </c>
      <c r="E1985" s="82">
        <v>11167.3</v>
      </c>
      <c r="G1985" s="79"/>
      <c r="H1985" s="79"/>
      <c r="I1985" s="79"/>
    </row>
    <row r="1986" s="78" customFormat="1" ht="16.5" customHeight="1" spans="1:9">
      <c r="A1986" s="79"/>
      <c r="B1986" s="79"/>
      <c r="C1986" s="79"/>
      <c r="D1986" s="81">
        <v>43306</v>
      </c>
      <c r="E1986" s="82">
        <v>11132</v>
      </c>
      <c r="G1986" s="79"/>
      <c r="H1986" s="79"/>
      <c r="I1986" s="79"/>
    </row>
    <row r="1987" s="78" customFormat="1" ht="16.5" customHeight="1" spans="1:9">
      <c r="A1987" s="79"/>
      <c r="B1987" s="79"/>
      <c r="C1987" s="79"/>
      <c r="D1987" s="81">
        <v>43305</v>
      </c>
      <c r="E1987" s="82">
        <v>11134.3</v>
      </c>
      <c r="G1987" s="79"/>
      <c r="H1987" s="79"/>
      <c r="I1987" s="79"/>
    </row>
    <row r="1988" s="78" customFormat="1" ht="16.5" customHeight="1" spans="1:9">
      <c r="A1988" s="79"/>
      <c r="B1988" s="79"/>
      <c r="C1988" s="79"/>
      <c r="D1988" s="81">
        <v>43304</v>
      </c>
      <c r="E1988" s="82">
        <v>11084.75</v>
      </c>
      <c r="G1988" s="79"/>
      <c r="H1988" s="79"/>
      <c r="I1988" s="79"/>
    </row>
    <row r="1989" s="78" customFormat="1" ht="16.5" customHeight="1" spans="1:9">
      <c r="A1989" s="79"/>
      <c r="B1989" s="79"/>
      <c r="C1989" s="79"/>
      <c r="D1989" s="81">
        <v>43301</v>
      </c>
      <c r="E1989" s="82">
        <v>11010.2</v>
      </c>
      <c r="G1989" s="79"/>
      <c r="H1989" s="79"/>
      <c r="I1989" s="79"/>
    </row>
    <row r="1990" s="78" customFormat="1" ht="16.5" customHeight="1" spans="1:9">
      <c r="A1990" s="79"/>
      <c r="B1990" s="79"/>
      <c r="C1990" s="79"/>
      <c r="D1990" s="81">
        <v>43300</v>
      </c>
      <c r="E1990" s="82">
        <v>10957.1</v>
      </c>
      <c r="G1990" s="79"/>
      <c r="H1990" s="79"/>
      <c r="I1990" s="79"/>
    </row>
    <row r="1991" s="78" customFormat="1" ht="16.5" customHeight="1" spans="1:9">
      <c r="A1991" s="79"/>
      <c r="B1991" s="79"/>
      <c r="C1991" s="79"/>
      <c r="D1991" s="81">
        <v>43299</v>
      </c>
      <c r="E1991" s="82">
        <v>10980.45</v>
      </c>
      <c r="G1991" s="79"/>
      <c r="H1991" s="79"/>
      <c r="I1991" s="79"/>
    </row>
    <row r="1992" s="78" customFormat="1" ht="16.5" customHeight="1" spans="1:9">
      <c r="A1992" s="79"/>
      <c r="B1992" s="79"/>
      <c r="C1992" s="79"/>
      <c r="D1992" s="81">
        <v>43298</v>
      </c>
      <c r="E1992" s="82">
        <v>11008.05</v>
      </c>
      <c r="G1992" s="79"/>
      <c r="H1992" s="79"/>
      <c r="I1992" s="79"/>
    </row>
    <row r="1993" s="78" customFormat="1" ht="16.5" customHeight="1" spans="1:9">
      <c r="A1993" s="79"/>
      <c r="B1993" s="79"/>
      <c r="C1993" s="79"/>
      <c r="D1993" s="81">
        <v>43297</v>
      </c>
      <c r="E1993" s="82">
        <v>10936.85</v>
      </c>
      <c r="G1993" s="79"/>
      <c r="H1993" s="79"/>
      <c r="I1993" s="79"/>
    </row>
    <row r="1994" s="78" customFormat="1" ht="16.5" customHeight="1" spans="1:9">
      <c r="A1994" s="79"/>
      <c r="B1994" s="79"/>
      <c r="C1994" s="79"/>
      <c r="D1994" s="81">
        <v>43294</v>
      </c>
      <c r="E1994" s="82">
        <v>11018.9</v>
      </c>
      <c r="G1994" s="79"/>
      <c r="H1994" s="79"/>
      <c r="I1994" s="79"/>
    </row>
    <row r="1995" s="78" customFormat="1" ht="16.5" customHeight="1" spans="1:9">
      <c r="A1995" s="79"/>
      <c r="B1995" s="79"/>
      <c r="C1995" s="79"/>
      <c r="D1995" s="81">
        <v>43293</v>
      </c>
      <c r="E1995" s="82">
        <v>11023.2</v>
      </c>
      <c r="G1995" s="79"/>
      <c r="H1995" s="79"/>
      <c r="I1995" s="79"/>
    </row>
    <row r="1996" s="78" customFormat="1" ht="16.5" customHeight="1" spans="1:9">
      <c r="A1996" s="79"/>
      <c r="B1996" s="79"/>
      <c r="C1996" s="79"/>
      <c r="D1996" s="81">
        <v>43292</v>
      </c>
      <c r="E1996" s="82">
        <v>10948.3</v>
      </c>
      <c r="G1996" s="79"/>
      <c r="H1996" s="79"/>
      <c r="I1996" s="79"/>
    </row>
    <row r="1997" s="78" customFormat="1" ht="16.5" customHeight="1" spans="1:9">
      <c r="A1997" s="79"/>
      <c r="B1997" s="79"/>
      <c r="C1997" s="79"/>
      <c r="D1997" s="81">
        <v>43291</v>
      </c>
      <c r="E1997" s="82">
        <v>10947.25</v>
      </c>
      <c r="G1997" s="79"/>
      <c r="H1997" s="79"/>
      <c r="I1997" s="79"/>
    </row>
    <row r="1998" s="78" customFormat="1" ht="16.5" customHeight="1" spans="1:9">
      <c r="A1998" s="79"/>
      <c r="B1998" s="79"/>
      <c r="C1998" s="79"/>
      <c r="D1998" s="81">
        <v>43290</v>
      </c>
      <c r="E1998" s="82">
        <v>10852.9</v>
      </c>
      <c r="G1998" s="79"/>
      <c r="H1998" s="79"/>
      <c r="I1998" s="79"/>
    </row>
    <row r="1999" s="78" customFormat="1" ht="16.5" customHeight="1" spans="1:9">
      <c r="A1999" s="79"/>
      <c r="B1999" s="79"/>
      <c r="C1999" s="79"/>
      <c r="D1999" s="81">
        <v>43287</v>
      </c>
      <c r="E1999" s="82">
        <v>10772.65</v>
      </c>
      <c r="G1999" s="79"/>
      <c r="H1999" s="79"/>
      <c r="I1999" s="79"/>
    </row>
    <row r="2000" s="78" customFormat="1" ht="16.5" customHeight="1" spans="1:9">
      <c r="A2000" s="79"/>
      <c r="B2000" s="79"/>
      <c r="C2000" s="79"/>
      <c r="D2000" s="81">
        <v>43286</v>
      </c>
      <c r="E2000" s="82">
        <v>10749.75</v>
      </c>
      <c r="G2000" s="79"/>
      <c r="H2000" s="79"/>
      <c r="I2000" s="79"/>
    </row>
    <row r="2001" s="78" customFormat="1" ht="16.5" customHeight="1" spans="1:9">
      <c r="A2001" s="79"/>
      <c r="B2001" s="79"/>
      <c r="C2001" s="79"/>
      <c r="D2001" s="81">
        <v>43285</v>
      </c>
      <c r="E2001" s="82">
        <v>10769.9</v>
      </c>
      <c r="G2001" s="79"/>
      <c r="H2001" s="79"/>
      <c r="I2001" s="79"/>
    </row>
    <row r="2002" s="78" customFormat="1" ht="16.5" customHeight="1" spans="1:9">
      <c r="A2002" s="79"/>
      <c r="B2002" s="79"/>
      <c r="C2002" s="79"/>
      <c r="D2002" s="81">
        <v>43284</v>
      </c>
      <c r="E2002" s="82">
        <v>10699.9</v>
      </c>
      <c r="G2002" s="79"/>
      <c r="H2002" s="79"/>
      <c r="I2002" s="79"/>
    </row>
    <row r="2003" s="78" customFormat="1" ht="16.5" customHeight="1" spans="1:9">
      <c r="A2003" s="79"/>
      <c r="B2003" s="79"/>
      <c r="C2003" s="79"/>
      <c r="D2003" s="81">
        <v>43283</v>
      </c>
      <c r="E2003" s="82">
        <v>10657.3</v>
      </c>
      <c r="G2003" s="79"/>
      <c r="H2003" s="79"/>
      <c r="I2003" s="79"/>
    </row>
    <row r="2004" s="78" customFormat="1" ht="16.5" customHeight="1" spans="1:9">
      <c r="A2004" s="79"/>
      <c r="B2004" s="79"/>
      <c r="C2004" s="79"/>
      <c r="D2004" s="81">
        <v>43280</v>
      </c>
      <c r="E2004" s="82">
        <v>10714.3</v>
      </c>
      <c r="G2004" s="79"/>
      <c r="H2004" s="79"/>
      <c r="I2004" s="79"/>
    </row>
    <row r="2005" s="78" customFormat="1" ht="16.5" customHeight="1" spans="1:9">
      <c r="A2005" s="79"/>
      <c r="B2005" s="79"/>
      <c r="C2005" s="79"/>
      <c r="D2005" s="81">
        <v>43279</v>
      </c>
      <c r="E2005" s="82">
        <v>10589.1</v>
      </c>
      <c r="G2005" s="79"/>
      <c r="H2005" s="79"/>
      <c r="I2005" s="79"/>
    </row>
    <row r="2006" s="78" customFormat="1" ht="16.5" customHeight="1" spans="1:9">
      <c r="A2006" s="79"/>
      <c r="B2006" s="79"/>
      <c r="C2006" s="79"/>
      <c r="D2006" s="81">
        <v>43278</v>
      </c>
      <c r="E2006" s="82">
        <v>10671.4</v>
      </c>
      <c r="G2006" s="79"/>
      <c r="H2006" s="79"/>
      <c r="I2006" s="79"/>
    </row>
    <row r="2007" s="78" customFormat="1" ht="16.5" customHeight="1" spans="1:9">
      <c r="A2007" s="79"/>
      <c r="B2007" s="79"/>
      <c r="C2007" s="79"/>
      <c r="D2007" s="81">
        <v>43277</v>
      </c>
      <c r="E2007" s="82">
        <v>10769.15</v>
      </c>
      <c r="G2007" s="79"/>
      <c r="H2007" s="79"/>
      <c r="I2007" s="79"/>
    </row>
    <row r="2008" s="78" customFormat="1" ht="16.5" customHeight="1" spans="1:9">
      <c r="A2008" s="79"/>
      <c r="B2008" s="79"/>
      <c r="C2008" s="79"/>
      <c r="D2008" s="81">
        <v>43276</v>
      </c>
      <c r="E2008" s="82">
        <v>10762.45</v>
      </c>
      <c r="G2008" s="79"/>
      <c r="H2008" s="79"/>
      <c r="I2008" s="79"/>
    </row>
    <row r="2009" s="78" customFormat="1" ht="16.5" customHeight="1" spans="1:9">
      <c r="A2009" s="79"/>
      <c r="B2009" s="79"/>
      <c r="C2009" s="79"/>
      <c r="D2009" s="81">
        <v>43273</v>
      </c>
      <c r="E2009" s="82">
        <v>10821.85</v>
      </c>
      <c r="G2009" s="79"/>
      <c r="H2009" s="79"/>
      <c r="I2009" s="79"/>
    </row>
    <row r="2010" s="78" customFormat="1" ht="16.5" customHeight="1" spans="1:9">
      <c r="A2010" s="79"/>
      <c r="B2010" s="79"/>
      <c r="C2010" s="79"/>
      <c r="D2010" s="81">
        <v>43272</v>
      </c>
      <c r="E2010" s="82">
        <v>10741.1</v>
      </c>
      <c r="G2010" s="79"/>
      <c r="H2010" s="79"/>
      <c r="I2010" s="79"/>
    </row>
    <row r="2011" s="78" customFormat="1" ht="16.5" customHeight="1" spans="1:9">
      <c r="A2011" s="79"/>
      <c r="B2011" s="79"/>
      <c r="C2011" s="79"/>
      <c r="D2011" s="81">
        <v>43271</v>
      </c>
      <c r="E2011" s="82">
        <v>10772.05</v>
      </c>
      <c r="G2011" s="79"/>
      <c r="H2011" s="79"/>
      <c r="I2011" s="79"/>
    </row>
    <row r="2012" s="78" customFormat="1" ht="16.5" customHeight="1" spans="1:9">
      <c r="A2012" s="79"/>
      <c r="B2012" s="79"/>
      <c r="C2012" s="79"/>
      <c r="D2012" s="81">
        <v>43270</v>
      </c>
      <c r="E2012" s="82">
        <v>10710.45</v>
      </c>
      <c r="G2012" s="79"/>
      <c r="H2012" s="79"/>
      <c r="I2012" s="79"/>
    </row>
    <row r="2013" s="78" customFormat="1" ht="16.5" customHeight="1" spans="1:9">
      <c r="A2013" s="79"/>
      <c r="B2013" s="79"/>
      <c r="C2013" s="79"/>
      <c r="D2013" s="81">
        <v>43269</v>
      </c>
      <c r="E2013" s="82">
        <v>10799.85</v>
      </c>
      <c r="G2013" s="79"/>
      <c r="H2013" s="79"/>
      <c r="I2013" s="79"/>
    </row>
    <row r="2014" s="78" customFormat="1" ht="16.5" customHeight="1" spans="1:9">
      <c r="A2014" s="79"/>
      <c r="B2014" s="79"/>
      <c r="C2014" s="79"/>
      <c r="D2014" s="81">
        <v>43266</v>
      </c>
      <c r="E2014" s="82">
        <v>10817.7</v>
      </c>
      <c r="G2014" s="79"/>
      <c r="H2014" s="79"/>
      <c r="I2014" s="79"/>
    </row>
    <row r="2015" s="78" customFormat="1" ht="16.5" customHeight="1" spans="1:9">
      <c r="A2015" s="79"/>
      <c r="B2015" s="79"/>
      <c r="C2015" s="79"/>
      <c r="D2015" s="81">
        <v>43265</v>
      </c>
      <c r="E2015" s="82">
        <v>10808.05</v>
      </c>
      <c r="G2015" s="79"/>
      <c r="H2015" s="79"/>
      <c r="I2015" s="79"/>
    </row>
    <row r="2016" s="78" customFormat="1" ht="16.5" customHeight="1" spans="1:9">
      <c r="A2016" s="79"/>
      <c r="B2016" s="79"/>
      <c r="C2016" s="79"/>
      <c r="D2016" s="81">
        <v>43264</v>
      </c>
      <c r="E2016" s="82">
        <v>10856.7</v>
      </c>
      <c r="G2016" s="79"/>
      <c r="H2016" s="79"/>
      <c r="I2016" s="79"/>
    </row>
    <row r="2017" s="78" customFormat="1" ht="16.5" customHeight="1" spans="1:9">
      <c r="A2017" s="79"/>
      <c r="B2017" s="79"/>
      <c r="C2017" s="79"/>
      <c r="D2017" s="81">
        <v>43263</v>
      </c>
      <c r="E2017" s="82">
        <v>10842.85</v>
      </c>
      <c r="G2017" s="79"/>
      <c r="H2017" s="79"/>
      <c r="I2017" s="79"/>
    </row>
    <row r="2018" s="78" customFormat="1" ht="16.5" customHeight="1" spans="1:9">
      <c r="A2018" s="79"/>
      <c r="B2018" s="79"/>
      <c r="C2018" s="79"/>
      <c r="D2018" s="81">
        <v>43262</v>
      </c>
      <c r="E2018" s="82">
        <v>10786.95</v>
      </c>
      <c r="G2018" s="79"/>
      <c r="H2018" s="79"/>
      <c r="I2018" s="79"/>
    </row>
    <row r="2019" s="78" customFormat="1" ht="16.5" customHeight="1" spans="1:9">
      <c r="A2019" s="79"/>
      <c r="B2019" s="79"/>
      <c r="C2019" s="79"/>
      <c r="D2019" s="81">
        <v>43259</v>
      </c>
      <c r="E2019" s="82">
        <v>10767.65</v>
      </c>
      <c r="G2019" s="79"/>
      <c r="H2019" s="79"/>
      <c r="I2019" s="79"/>
    </row>
    <row r="2020" s="78" customFormat="1" ht="16.5" customHeight="1" spans="1:9">
      <c r="A2020" s="79"/>
      <c r="B2020" s="79"/>
      <c r="C2020" s="79"/>
      <c r="D2020" s="81">
        <v>43258</v>
      </c>
      <c r="E2020" s="82">
        <v>10768.35</v>
      </c>
      <c r="G2020" s="79"/>
      <c r="H2020" s="79"/>
      <c r="I2020" s="79"/>
    </row>
    <row r="2021" s="78" customFormat="1" ht="16.5" customHeight="1" spans="1:9">
      <c r="A2021" s="79"/>
      <c r="B2021" s="79"/>
      <c r="C2021" s="79"/>
      <c r="D2021" s="81">
        <v>43257</v>
      </c>
      <c r="E2021" s="82">
        <v>10684.65</v>
      </c>
      <c r="G2021" s="79"/>
      <c r="H2021" s="79"/>
      <c r="I2021" s="79"/>
    </row>
    <row r="2022" s="78" customFormat="1" ht="16.5" customHeight="1" spans="1:9">
      <c r="A2022" s="79"/>
      <c r="B2022" s="79"/>
      <c r="C2022" s="79"/>
      <c r="D2022" s="81">
        <v>43256</v>
      </c>
      <c r="E2022" s="82">
        <v>10593.15</v>
      </c>
      <c r="G2022" s="79"/>
      <c r="H2022" s="79"/>
      <c r="I2022" s="79"/>
    </row>
    <row r="2023" s="78" customFormat="1" ht="16.5" customHeight="1" spans="1:9">
      <c r="A2023" s="79"/>
      <c r="B2023" s="79"/>
      <c r="C2023" s="79"/>
      <c r="D2023" s="81">
        <v>43255</v>
      </c>
      <c r="E2023" s="82">
        <v>10628.5</v>
      </c>
      <c r="G2023" s="79"/>
      <c r="H2023" s="79"/>
      <c r="I2023" s="79"/>
    </row>
    <row r="2024" s="78" customFormat="1" ht="16.5" customHeight="1" spans="1:9">
      <c r="A2024" s="79"/>
      <c r="B2024" s="79"/>
      <c r="C2024" s="79"/>
      <c r="D2024" s="81">
        <v>43252</v>
      </c>
      <c r="E2024" s="82">
        <v>10696.2</v>
      </c>
      <c r="G2024" s="79"/>
      <c r="H2024" s="79"/>
      <c r="I2024" s="79"/>
    </row>
    <row r="2025" s="78" customFormat="1" ht="16.5" customHeight="1" spans="1:9">
      <c r="A2025" s="79"/>
      <c r="B2025" s="79"/>
      <c r="C2025" s="79"/>
      <c r="D2025" s="81">
        <v>43251</v>
      </c>
      <c r="E2025" s="82">
        <v>10736.15</v>
      </c>
      <c r="G2025" s="79"/>
      <c r="H2025" s="79"/>
      <c r="I2025" s="79"/>
    </row>
    <row r="2026" s="78" customFormat="1" ht="16.5" customHeight="1" spans="1:9">
      <c r="A2026" s="79"/>
      <c r="B2026" s="79"/>
      <c r="C2026" s="79"/>
      <c r="D2026" s="81">
        <v>43250</v>
      </c>
      <c r="E2026" s="82">
        <v>10614.35</v>
      </c>
      <c r="G2026" s="79"/>
      <c r="H2026" s="79"/>
      <c r="I2026" s="79"/>
    </row>
    <row r="2027" s="78" customFormat="1" ht="16.5" customHeight="1" spans="1:9">
      <c r="A2027" s="79"/>
      <c r="B2027" s="79"/>
      <c r="C2027" s="79"/>
      <c r="D2027" s="81">
        <v>43249</v>
      </c>
      <c r="E2027" s="82">
        <v>10633.3</v>
      </c>
      <c r="G2027" s="79"/>
      <c r="H2027" s="79"/>
      <c r="I2027" s="79"/>
    </row>
    <row r="2028" s="78" customFormat="1" ht="16.5" customHeight="1" spans="1:9">
      <c r="A2028" s="79"/>
      <c r="B2028" s="79"/>
      <c r="C2028" s="79"/>
      <c r="D2028" s="81">
        <v>43248</v>
      </c>
      <c r="E2028" s="82">
        <v>10688.65</v>
      </c>
      <c r="G2028" s="79"/>
      <c r="H2028" s="79"/>
      <c r="I2028" s="79"/>
    </row>
    <row r="2029" s="78" customFormat="1" ht="16.5" customHeight="1" spans="1:9">
      <c r="A2029" s="79"/>
      <c r="B2029" s="79"/>
      <c r="C2029" s="79"/>
      <c r="D2029" s="81">
        <v>43245</v>
      </c>
      <c r="E2029" s="82">
        <v>10605.15</v>
      </c>
      <c r="G2029" s="79"/>
      <c r="H2029" s="79"/>
      <c r="I2029" s="79"/>
    </row>
    <row r="2030" s="78" customFormat="1" ht="16.5" customHeight="1" spans="1:9">
      <c r="A2030" s="79"/>
      <c r="B2030" s="79"/>
      <c r="C2030" s="79"/>
      <c r="D2030" s="81">
        <v>43244</v>
      </c>
      <c r="E2030" s="82">
        <v>10513.85</v>
      </c>
      <c r="G2030" s="79"/>
      <c r="H2030" s="79"/>
      <c r="I2030" s="79"/>
    </row>
    <row r="2031" s="78" customFormat="1" ht="16.5" customHeight="1" spans="1:9">
      <c r="A2031" s="79"/>
      <c r="B2031" s="79"/>
      <c r="C2031" s="79"/>
      <c r="D2031" s="81">
        <v>43243</v>
      </c>
      <c r="E2031" s="82">
        <v>10430.35</v>
      </c>
      <c r="G2031" s="79"/>
      <c r="H2031" s="79"/>
      <c r="I2031" s="79"/>
    </row>
    <row r="2032" s="78" customFormat="1" ht="16.5" customHeight="1" spans="1:9">
      <c r="A2032" s="79"/>
      <c r="B2032" s="79"/>
      <c r="C2032" s="79"/>
      <c r="D2032" s="81">
        <v>43242</v>
      </c>
      <c r="E2032" s="82">
        <v>10536.7</v>
      </c>
      <c r="G2032" s="79"/>
      <c r="H2032" s="79"/>
      <c r="I2032" s="79"/>
    </row>
    <row r="2033" s="78" customFormat="1" ht="16.5" customHeight="1" spans="1:9">
      <c r="A2033" s="79"/>
      <c r="B2033" s="79"/>
      <c r="C2033" s="79"/>
      <c r="D2033" s="81">
        <v>43241</v>
      </c>
      <c r="E2033" s="82">
        <v>10516.7</v>
      </c>
      <c r="G2033" s="79"/>
      <c r="H2033" s="79"/>
      <c r="I2033" s="79"/>
    </row>
    <row r="2034" s="78" customFormat="1" ht="16.5" customHeight="1" spans="1:9">
      <c r="A2034" s="79"/>
      <c r="B2034" s="79"/>
      <c r="C2034" s="79"/>
      <c r="D2034" s="81">
        <v>43238</v>
      </c>
      <c r="E2034" s="82">
        <v>10596.4</v>
      </c>
      <c r="G2034" s="79"/>
      <c r="H2034" s="79"/>
      <c r="I2034" s="79"/>
    </row>
    <row r="2035" s="78" customFormat="1" ht="16.5" customHeight="1" spans="1:9">
      <c r="A2035" s="79"/>
      <c r="B2035" s="79"/>
      <c r="C2035" s="79"/>
      <c r="D2035" s="81">
        <v>43237</v>
      </c>
      <c r="E2035" s="82">
        <v>10682.7</v>
      </c>
      <c r="G2035" s="79"/>
      <c r="H2035" s="79"/>
      <c r="I2035" s="79"/>
    </row>
    <row r="2036" s="78" customFormat="1" ht="16.5" customHeight="1" spans="1:9">
      <c r="A2036" s="79"/>
      <c r="B2036" s="79"/>
      <c r="C2036" s="79"/>
      <c r="D2036" s="81">
        <v>43236</v>
      </c>
      <c r="E2036" s="82">
        <v>10741.1</v>
      </c>
      <c r="G2036" s="79"/>
      <c r="H2036" s="79"/>
      <c r="I2036" s="79"/>
    </row>
    <row r="2037" s="78" customFormat="1" ht="16.5" customHeight="1" spans="1:9">
      <c r="A2037" s="79"/>
      <c r="B2037" s="79"/>
      <c r="C2037" s="79"/>
      <c r="D2037" s="81">
        <v>43235</v>
      </c>
      <c r="E2037" s="82">
        <v>10801.85</v>
      </c>
      <c r="G2037" s="79"/>
      <c r="H2037" s="79"/>
      <c r="I2037" s="79"/>
    </row>
    <row r="2038" s="78" customFormat="1" ht="16.5" customHeight="1" spans="1:9">
      <c r="A2038" s="79"/>
      <c r="B2038" s="79"/>
      <c r="C2038" s="79"/>
      <c r="D2038" s="81">
        <v>43234</v>
      </c>
      <c r="E2038" s="82">
        <v>10806.6</v>
      </c>
      <c r="G2038" s="79"/>
      <c r="H2038" s="79"/>
      <c r="I2038" s="79"/>
    </row>
    <row r="2039" s="78" customFormat="1" ht="16.5" customHeight="1" spans="1:9">
      <c r="A2039" s="79"/>
      <c r="B2039" s="79"/>
      <c r="C2039" s="79"/>
      <c r="D2039" s="81">
        <v>43231</v>
      </c>
      <c r="E2039" s="82">
        <v>10806.5</v>
      </c>
      <c r="G2039" s="79"/>
      <c r="H2039" s="79"/>
      <c r="I2039" s="79"/>
    </row>
    <row r="2040" s="78" customFormat="1" ht="16.5" customHeight="1" spans="1:9">
      <c r="A2040" s="79"/>
      <c r="B2040" s="79"/>
      <c r="C2040" s="79"/>
      <c r="D2040" s="81">
        <v>43230</v>
      </c>
      <c r="E2040" s="82">
        <v>10716.55</v>
      </c>
      <c r="G2040" s="79"/>
      <c r="H2040" s="79"/>
      <c r="I2040" s="79"/>
    </row>
    <row r="2041" s="78" customFormat="1" ht="16.5" customHeight="1" spans="1:9">
      <c r="A2041" s="79"/>
      <c r="B2041" s="79"/>
      <c r="C2041" s="79"/>
      <c r="D2041" s="81">
        <v>43229</v>
      </c>
      <c r="E2041" s="82">
        <v>10741.7</v>
      </c>
      <c r="G2041" s="79"/>
      <c r="H2041" s="79"/>
      <c r="I2041" s="79"/>
    </row>
    <row r="2042" s="78" customFormat="1" ht="16.5" customHeight="1" spans="1:9">
      <c r="A2042" s="79"/>
      <c r="B2042" s="79"/>
      <c r="C2042" s="79"/>
      <c r="D2042" s="81">
        <v>43228</v>
      </c>
      <c r="E2042" s="82">
        <v>10717.8</v>
      </c>
      <c r="G2042" s="79"/>
      <c r="H2042" s="79"/>
      <c r="I2042" s="79"/>
    </row>
    <row r="2043" s="78" customFormat="1" ht="16.5" customHeight="1" spans="1:9">
      <c r="A2043" s="79"/>
      <c r="B2043" s="79"/>
      <c r="C2043" s="79"/>
      <c r="D2043" s="81">
        <v>43227</v>
      </c>
      <c r="E2043" s="82">
        <v>10715.5</v>
      </c>
      <c r="G2043" s="79"/>
      <c r="H2043" s="79"/>
      <c r="I2043" s="79"/>
    </row>
    <row r="2044" s="78" customFormat="1" ht="16.5" customHeight="1" spans="1:9">
      <c r="A2044" s="79"/>
      <c r="B2044" s="79"/>
      <c r="C2044" s="79"/>
      <c r="D2044" s="81">
        <v>43224</v>
      </c>
      <c r="E2044" s="82">
        <v>10618.25</v>
      </c>
      <c r="G2044" s="79"/>
      <c r="H2044" s="79"/>
      <c r="I2044" s="79"/>
    </row>
    <row r="2045" s="78" customFormat="1" ht="16.5" customHeight="1" spans="1:9">
      <c r="A2045" s="79"/>
      <c r="B2045" s="79"/>
      <c r="C2045" s="79"/>
      <c r="D2045" s="81">
        <v>43223</v>
      </c>
      <c r="E2045" s="82">
        <v>10679.65</v>
      </c>
      <c r="G2045" s="79"/>
      <c r="H2045" s="79"/>
      <c r="I2045" s="79"/>
    </row>
    <row r="2046" s="78" customFormat="1" ht="16.5" customHeight="1" spans="1:9">
      <c r="A2046" s="79"/>
      <c r="B2046" s="79"/>
      <c r="C2046" s="79"/>
      <c r="D2046" s="81">
        <v>43222</v>
      </c>
      <c r="E2046" s="82">
        <v>10718.05</v>
      </c>
      <c r="G2046" s="79"/>
      <c r="H2046" s="79"/>
      <c r="I2046" s="79"/>
    </row>
    <row r="2047" s="78" customFormat="1" ht="16.5" customHeight="1" spans="1:9">
      <c r="A2047" s="79"/>
      <c r="B2047" s="79"/>
      <c r="C2047" s="79"/>
      <c r="D2047" s="81">
        <v>43220</v>
      </c>
      <c r="E2047" s="82">
        <v>10739.35</v>
      </c>
      <c r="G2047" s="79"/>
      <c r="H2047" s="79"/>
      <c r="I2047" s="79"/>
    </row>
    <row r="2048" s="78" customFormat="1" ht="16.5" customHeight="1" spans="1:9">
      <c r="A2048" s="79"/>
      <c r="B2048" s="79"/>
      <c r="C2048" s="79"/>
      <c r="D2048" s="81">
        <v>43217</v>
      </c>
      <c r="E2048" s="82">
        <v>10692.3</v>
      </c>
      <c r="G2048" s="79"/>
      <c r="H2048" s="79"/>
      <c r="I2048" s="79"/>
    </row>
    <row r="2049" s="78" customFormat="1" ht="16.5" customHeight="1" spans="1:9">
      <c r="A2049" s="79"/>
      <c r="B2049" s="79"/>
      <c r="C2049" s="79"/>
      <c r="D2049" s="81">
        <v>43216</v>
      </c>
      <c r="E2049" s="82">
        <v>10617.8</v>
      </c>
      <c r="G2049" s="79"/>
      <c r="H2049" s="79"/>
      <c r="I2049" s="79"/>
    </row>
    <row r="2050" s="78" customFormat="1" ht="16.5" customHeight="1" spans="1:9">
      <c r="A2050" s="79"/>
      <c r="B2050" s="79"/>
      <c r="C2050" s="79"/>
      <c r="D2050" s="81">
        <v>43215</v>
      </c>
      <c r="E2050" s="82">
        <v>10570.55</v>
      </c>
      <c r="G2050" s="79"/>
      <c r="H2050" s="79"/>
      <c r="I2050" s="79"/>
    </row>
    <row r="2051" s="78" customFormat="1" ht="16.5" customHeight="1" spans="1:9">
      <c r="A2051" s="79"/>
      <c r="B2051" s="79"/>
      <c r="C2051" s="79"/>
      <c r="D2051" s="81">
        <v>43214</v>
      </c>
      <c r="E2051" s="82">
        <v>10614.35</v>
      </c>
      <c r="G2051" s="79"/>
      <c r="H2051" s="79"/>
      <c r="I2051" s="79"/>
    </row>
    <row r="2052" s="78" customFormat="1" ht="16.5" customHeight="1" spans="1:9">
      <c r="A2052" s="79"/>
      <c r="B2052" s="79"/>
      <c r="C2052" s="79"/>
      <c r="D2052" s="81">
        <v>43213</v>
      </c>
      <c r="E2052" s="82">
        <v>10584.7</v>
      </c>
      <c r="G2052" s="79"/>
      <c r="H2052" s="79"/>
      <c r="I2052" s="79"/>
    </row>
    <row r="2053" s="78" customFormat="1" ht="16.5" customHeight="1" spans="1:9">
      <c r="A2053" s="79"/>
      <c r="B2053" s="79"/>
      <c r="C2053" s="79"/>
      <c r="D2053" s="81">
        <v>43210</v>
      </c>
      <c r="E2053" s="82">
        <v>10564.05</v>
      </c>
      <c r="G2053" s="79"/>
      <c r="H2053" s="79"/>
      <c r="I2053" s="79"/>
    </row>
    <row r="2054" s="78" customFormat="1" ht="16.5" customHeight="1" spans="1:9">
      <c r="A2054" s="79"/>
      <c r="B2054" s="79"/>
      <c r="C2054" s="79"/>
      <c r="D2054" s="81">
        <v>43209</v>
      </c>
      <c r="E2054" s="82">
        <v>10565.3</v>
      </c>
      <c r="G2054" s="79"/>
      <c r="H2054" s="79"/>
      <c r="I2054" s="79"/>
    </row>
    <row r="2055" s="78" customFormat="1" ht="16.5" customHeight="1" spans="1:9">
      <c r="A2055" s="79"/>
      <c r="B2055" s="79"/>
      <c r="C2055" s="79"/>
      <c r="D2055" s="81">
        <v>43208</v>
      </c>
      <c r="E2055" s="82">
        <v>10526.2</v>
      </c>
      <c r="G2055" s="79"/>
      <c r="H2055" s="79"/>
      <c r="I2055" s="79"/>
    </row>
    <row r="2056" s="78" customFormat="1" ht="16.5" customHeight="1" spans="1:9">
      <c r="A2056" s="79"/>
      <c r="B2056" s="79"/>
      <c r="C2056" s="79"/>
      <c r="D2056" s="81">
        <v>43207</v>
      </c>
      <c r="E2056" s="82">
        <v>10548.7</v>
      </c>
      <c r="G2056" s="79"/>
      <c r="H2056" s="79"/>
      <c r="I2056" s="79"/>
    </row>
    <row r="2057" s="78" customFormat="1" ht="16.5" customHeight="1" spans="1:9">
      <c r="A2057" s="79"/>
      <c r="B2057" s="79"/>
      <c r="C2057" s="79"/>
      <c r="D2057" s="81">
        <v>43206</v>
      </c>
      <c r="E2057" s="82">
        <v>10528.35</v>
      </c>
      <c r="G2057" s="79"/>
      <c r="H2057" s="79"/>
      <c r="I2057" s="79"/>
    </row>
    <row r="2058" s="78" customFormat="1" ht="16.5" customHeight="1" spans="1:9">
      <c r="A2058" s="79"/>
      <c r="B2058" s="79"/>
      <c r="C2058" s="79"/>
      <c r="D2058" s="81">
        <v>43203</v>
      </c>
      <c r="E2058" s="82">
        <v>10480.6</v>
      </c>
      <c r="G2058" s="79"/>
      <c r="H2058" s="79"/>
      <c r="I2058" s="79"/>
    </row>
    <row r="2059" s="78" customFormat="1" ht="16.5" customHeight="1" spans="1:9">
      <c r="A2059" s="79"/>
      <c r="B2059" s="79"/>
      <c r="C2059" s="79"/>
      <c r="D2059" s="81">
        <v>43202</v>
      </c>
      <c r="E2059" s="82">
        <v>10458.65</v>
      </c>
      <c r="G2059" s="79"/>
      <c r="H2059" s="79"/>
      <c r="I2059" s="79"/>
    </row>
    <row r="2060" s="78" customFormat="1" ht="16.5" customHeight="1" spans="1:9">
      <c r="A2060" s="79"/>
      <c r="B2060" s="79"/>
      <c r="C2060" s="79"/>
      <c r="D2060" s="81">
        <v>43201</v>
      </c>
      <c r="E2060" s="82">
        <v>10417.15</v>
      </c>
      <c r="G2060" s="79"/>
      <c r="H2060" s="79"/>
      <c r="I2060" s="79"/>
    </row>
    <row r="2061" s="78" customFormat="1" ht="16.5" customHeight="1" spans="1:9">
      <c r="A2061" s="79"/>
      <c r="B2061" s="79"/>
      <c r="C2061" s="79"/>
      <c r="D2061" s="81">
        <v>43200</v>
      </c>
      <c r="E2061" s="82">
        <v>10402.25</v>
      </c>
      <c r="G2061" s="79"/>
      <c r="H2061" s="79"/>
      <c r="I2061" s="79"/>
    </row>
    <row r="2062" s="78" customFormat="1" ht="16.5" customHeight="1" spans="1:9">
      <c r="A2062" s="79"/>
      <c r="B2062" s="79"/>
      <c r="C2062" s="79"/>
      <c r="D2062" s="81">
        <v>43199</v>
      </c>
      <c r="E2062" s="82">
        <v>10379.35</v>
      </c>
      <c r="G2062" s="79"/>
      <c r="H2062" s="79"/>
      <c r="I2062" s="79"/>
    </row>
    <row r="2063" s="78" customFormat="1" ht="16.5" customHeight="1" spans="1:9">
      <c r="A2063" s="79"/>
      <c r="B2063" s="79"/>
      <c r="C2063" s="79"/>
      <c r="D2063" s="81">
        <v>43196</v>
      </c>
      <c r="E2063" s="82">
        <v>10331.6</v>
      </c>
      <c r="G2063" s="79"/>
      <c r="H2063" s="79"/>
      <c r="I2063" s="79"/>
    </row>
    <row r="2064" s="78" customFormat="1" ht="16.5" customHeight="1" spans="1:9">
      <c r="A2064" s="79"/>
      <c r="B2064" s="79"/>
      <c r="C2064" s="79"/>
      <c r="D2064" s="81">
        <v>43195</v>
      </c>
      <c r="E2064" s="82">
        <v>10325.15</v>
      </c>
      <c r="G2064" s="79"/>
      <c r="H2064" s="79"/>
      <c r="I2064" s="79"/>
    </row>
    <row r="2065" s="78" customFormat="1" ht="16.5" customHeight="1" spans="1:9">
      <c r="A2065" s="79"/>
      <c r="B2065" s="79"/>
      <c r="C2065" s="79"/>
      <c r="D2065" s="81">
        <v>43194</v>
      </c>
      <c r="E2065" s="82">
        <v>10128.4</v>
      </c>
      <c r="G2065" s="79"/>
      <c r="H2065" s="79"/>
      <c r="I2065" s="79"/>
    </row>
    <row r="2066" s="78" customFormat="1" ht="16.5" customHeight="1" spans="1:9">
      <c r="A2066" s="79"/>
      <c r="B2066" s="79"/>
      <c r="C2066" s="79"/>
      <c r="D2066" s="81">
        <v>43193</v>
      </c>
      <c r="E2066" s="82">
        <v>10245</v>
      </c>
      <c r="G2066" s="79"/>
      <c r="H2066" s="79"/>
      <c r="I2066" s="79"/>
    </row>
    <row r="2067" s="78" customFormat="1" ht="16.5" customHeight="1" spans="1:9">
      <c r="A2067" s="79"/>
      <c r="B2067" s="79"/>
      <c r="C2067" s="79"/>
      <c r="D2067" s="81">
        <v>43192</v>
      </c>
      <c r="E2067" s="82">
        <v>10211.8</v>
      </c>
      <c r="G2067" s="79"/>
      <c r="H2067" s="79"/>
      <c r="I2067" s="79"/>
    </row>
    <row r="2068" s="78" customFormat="1" ht="16.5" customHeight="1" spans="1:9">
      <c r="A2068" s="79"/>
      <c r="B2068" s="79"/>
      <c r="C2068" s="79"/>
      <c r="D2068" s="81">
        <v>43187</v>
      </c>
      <c r="E2068" s="82">
        <v>10113.7</v>
      </c>
      <c r="G2068" s="79"/>
      <c r="H2068" s="79"/>
      <c r="I2068" s="79"/>
    </row>
    <row r="2069" s="78" customFormat="1" ht="16.5" customHeight="1" spans="1:9">
      <c r="A2069" s="79"/>
      <c r="B2069" s="79"/>
      <c r="C2069" s="79"/>
      <c r="D2069" s="81">
        <v>43186</v>
      </c>
      <c r="E2069" s="82">
        <v>10184.15</v>
      </c>
      <c r="G2069" s="79"/>
      <c r="H2069" s="79"/>
      <c r="I2069" s="79"/>
    </row>
    <row r="2070" s="78" customFormat="1" ht="16.5" customHeight="1" spans="1:9">
      <c r="A2070" s="79"/>
      <c r="B2070" s="79"/>
      <c r="C2070" s="79"/>
      <c r="D2070" s="81">
        <v>43185</v>
      </c>
      <c r="E2070" s="82">
        <v>10130.65</v>
      </c>
      <c r="G2070" s="79"/>
      <c r="H2070" s="79"/>
      <c r="I2070" s="79"/>
    </row>
    <row r="2071" s="78" customFormat="1" ht="16.5" customHeight="1" spans="1:9">
      <c r="A2071" s="79"/>
      <c r="B2071" s="79"/>
      <c r="C2071" s="79"/>
      <c r="D2071" s="81">
        <v>43182</v>
      </c>
      <c r="E2071" s="82">
        <v>9998.05</v>
      </c>
      <c r="G2071" s="79"/>
      <c r="H2071" s="79"/>
      <c r="I2071" s="79"/>
    </row>
    <row r="2072" s="78" customFormat="1" ht="16.5" customHeight="1" spans="1:9">
      <c r="A2072" s="79"/>
      <c r="B2072" s="79"/>
      <c r="C2072" s="79"/>
      <c r="D2072" s="81">
        <v>43181</v>
      </c>
      <c r="E2072" s="82">
        <v>10114.75</v>
      </c>
      <c r="G2072" s="79"/>
      <c r="H2072" s="79"/>
      <c r="I2072" s="79"/>
    </row>
    <row r="2073" s="78" customFormat="1" ht="16.5" customHeight="1" spans="1:9">
      <c r="A2073" s="79"/>
      <c r="B2073" s="79"/>
      <c r="C2073" s="79"/>
      <c r="D2073" s="81">
        <v>43180</v>
      </c>
      <c r="E2073" s="82">
        <v>10155.25</v>
      </c>
      <c r="G2073" s="79"/>
      <c r="H2073" s="79"/>
      <c r="I2073" s="79"/>
    </row>
    <row r="2074" s="78" customFormat="1" ht="16.5" customHeight="1" spans="1:9">
      <c r="A2074" s="79"/>
      <c r="B2074" s="79"/>
      <c r="C2074" s="79"/>
      <c r="D2074" s="81">
        <v>43179</v>
      </c>
      <c r="E2074" s="82">
        <v>10124.35</v>
      </c>
      <c r="G2074" s="79"/>
      <c r="H2074" s="79"/>
      <c r="I2074" s="79"/>
    </row>
    <row r="2075" s="78" customFormat="1" ht="16.5" customHeight="1" spans="1:9">
      <c r="A2075" s="79"/>
      <c r="B2075" s="79"/>
      <c r="C2075" s="79"/>
      <c r="D2075" s="81">
        <v>43178</v>
      </c>
      <c r="E2075" s="82">
        <v>10094.25</v>
      </c>
      <c r="G2075" s="79"/>
      <c r="H2075" s="79"/>
      <c r="I2075" s="79"/>
    </row>
    <row r="2076" s="78" customFormat="1" ht="16.5" customHeight="1" spans="1:9">
      <c r="A2076" s="79"/>
      <c r="B2076" s="79"/>
      <c r="C2076" s="79"/>
      <c r="D2076" s="81">
        <v>43175</v>
      </c>
      <c r="E2076" s="82">
        <v>10195.15</v>
      </c>
      <c r="G2076" s="79"/>
      <c r="H2076" s="79"/>
      <c r="I2076" s="79"/>
    </row>
    <row r="2077" s="78" customFormat="1" ht="16.5" customHeight="1" spans="1:9">
      <c r="A2077" s="79"/>
      <c r="B2077" s="79"/>
      <c r="C2077" s="79"/>
      <c r="D2077" s="81">
        <v>43174</v>
      </c>
      <c r="E2077" s="82">
        <v>10360.15</v>
      </c>
      <c r="G2077" s="79"/>
      <c r="H2077" s="79"/>
      <c r="I2077" s="79"/>
    </row>
    <row r="2078" s="78" customFormat="1" ht="16.5" customHeight="1" spans="1:9">
      <c r="A2078" s="79"/>
      <c r="B2078" s="79"/>
      <c r="C2078" s="79"/>
      <c r="D2078" s="81">
        <v>43173</v>
      </c>
      <c r="E2078" s="82">
        <v>10410.9</v>
      </c>
      <c r="G2078" s="79"/>
      <c r="H2078" s="79"/>
      <c r="I2078" s="79"/>
    </row>
    <row r="2079" s="78" customFormat="1" ht="16.5" customHeight="1" spans="1:9">
      <c r="A2079" s="79"/>
      <c r="B2079" s="79"/>
      <c r="C2079" s="79"/>
      <c r="D2079" s="81">
        <v>43172</v>
      </c>
      <c r="E2079" s="82">
        <v>10426.85</v>
      </c>
      <c r="G2079" s="79"/>
      <c r="H2079" s="79"/>
      <c r="I2079" s="79"/>
    </row>
    <row r="2080" s="78" customFormat="1" ht="16.5" customHeight="1" spans="1:9">
      <c r="A2080" s="79"/>
      <c r="B2080" s="79"/>
      <c r="C2080" s="79"/>
      <c r="D2080" s="81">
        <v>43171</v>
      </c>
      <c r="E2080" s="82">
        <v>10421.4</v>
      </c>
      <c r="G2080" s="79"/>
      <c r="H2080" s="79"/>
      <c r="I2080" s="79"/>
    </row>
    <row r="2081" s="78" customFormat="1" ht="16.5" customHeight="1" spans="1:9">
      <c r="A2081" s="79"/>
      <c r="B2081" s="79"/>
      <c r="C2081" s="79"/>
      <c r="D2081" s="81">
        <v>43168</v>
      </c>
      <c r="E2081" s="82">
        <v>10226.85</v>
      </c>
      <c r="G2081" s="79"/>
      <c r="H2081" s="79"/>
      <c r="I2081" s="79"/>
    </row>
    <row r="2082" s="78" customFormat="1" ht="16.5" customHeight="1" spans="1:9">
      <c r="A2082" s="79"/>
      <c r="B2082" s="79"/>
      <c r="C2082" s="79"/>
      <c r="D2082" s="81">
        <v>43167</v>
      </c>
      <c r="E2082" s="82">
        <v>10242.65</v>
      </c>
      <c r="G2082" s="79"/>
      <c r="H2082" s="79"/>
      <c r="I2082" s="79"/>
    </row>
    <row r="2083" s="78" customFormat="1" ht="16.5" customHeight="1" spans="1:9">
      <c r="A2083" s="79"/>
      <c r="B2083" s="79"/>
      <c r="C2083" s="79"/>
      <c r="D2083" s="81">
        <v>43166</v>
      </c>
      <c r="E2083" s="82">
        <v>10154.2</v>
      </c>
      <c r="G2083" s="79"/>
      <c r="H2083" s="79"/>
      <c r="I2083" s="79"/>
    </row>
    <row r="2084" s="78" customFormat="1" ht="16.5" customHeight="1" spans="1:9">
      <c r="A2084" s="79"/>
      <c r="B2084" s="79"/>
      <c r="C2084" s="79"/>
      <c r="D2084" s="81">
        <v>43165</v>
      </c>
      <c r="E2084" s="82">
        <v>10249.25</v>
      </c>
      <c r="G2084" s="79"/>
      <c r="H2084" s="79"/>
      <c r="I2084" s="79"/>
    </row>
    <row r="2085" s="78" customFormat="1" ht="16.5" customHeight="1" spans="1:9">
      <c r="A2085" s="79"/>
      <c r="B2085" s="79"/>
      <c r="C2085" s="79"/>
      <c r="D2085" s="81">
        <v>43164</v>
      </c>
      <c r="E2085" s="82">
        <v>10358.85</v>
      </c>
      <c r="G2085" s="79"/>
      <c r="H2085" s="79"/>
      <c r="I2085" s="79"/>
    </row>
    <row r="2086" s="78" customFormat="1" ht="16.5" customHeight="1" spans="1:9">
      <c r="A2086" s="79"/>
      <c r="B2086" s="79"/>
      <c r="C2086" s="79"/>
      <c r="D2086" s="81">
        <v>43160</v>
      </c>
      <c r="E2086" s="82">
        <v>10458.35</v>
      </c>
      <c r="G2086" s="79"/>
      <c r="H2086" s="79"/>
      <c r="I2086" s="79"/>
    </row>
    <row r="2087" s="78" customFormat="1" ht="16.5" customHeight="1" spans="1:9">
      <c r="A2087" s="79"/>
      <c r="B2087" s="79"/>
      <c r="C2087" s="79"/>
      <c r="D2087" s="81">
        <v>43159</v>
      </c>
      <c r="E2087" s="82">
        <v>10492.85</v>
      </c>
      <c r="G2087" s="79"/>
      <c r="H2087" s="79"/>
      <c r="I2087" s="79"/>
    </row>
    <row r="2088" s="78" customFormat="1" ht="16.5" customHeight="1" spans="1:9">
      <c r="A2088" s="79"/>
      <c r="B2088" s="79"/>
      <c r="C2088" s="79"/>
      <c r="D2088" s="81">
        <v>43158</v>
      </c>
      <c r="E2088" s="82">
        <v>10554.3</v>
      </c>
      <c r="G2088" s="79"/>
      <c r="H2088" s="79"/>
      <c r="I2088" s="79"/>
    </row>
    <row r="2089" s="78" customFormat="1" ht="16.5" customHeight="1" spans="1:9">
      <c r="A2089" s="79"/>
      <c r="B2089" s="79"/>
      <c r="C2089" s="79"/>
      <c r="D2089" s="81">
        <v>43157</v>
      </c>
      <c r="E2089" s="82">
        <v>10582.6</v>
      </c>
      <c r="G2089" s="79"/>
      <c r="H2089" s="79"/>
      <c r="I2089" s="79"/>
    </row>
    <row r="2090" s="78" customFormat="1" ht="16.5" customHeight="1" spans="1:9">
      <c r="A2090" s="79"/>
      <c r="B2090" s="79"/>
      <c r="C2090" s="79"/>
      <c r="D2090" s="81">
        <v>43154</v>
      </c>
      <c r="E2090" s="82">
        <v>10491.05</v>
      </c>
      <c r="G2090" s="79"/>
      <c r="H2090" s="79"/>
      <c r="I2090" s="79"/>
    </row>
    <row r="2091" s="78" customFormat="1" ht="16.5" customHeight="1" spans="1:9">
      <c r="A2091" s="79"/>
      <c r="B2091" s="79"/>
      <c r="C2091" s="79"/>
      <c r="D2091" s="81">
        <v>43153</v>
      </c>
      <c r="E2091" s="82">
        <v>10382.7</v>
      </c>
      <c r="G2091" s="79"/>
      <c r="H2091" s="79"/>
      <c r="I2091" s="79"/>
    </row>
    <row r="2092" s="78" customFormat="1" ht="16.5" customHeight="1" spans="1:9">
      <c r="A2092" s="79"/>
      <c r="B2092" s="79"/>
      <c r="C2092" s="79"/>
      <c r="D2092" s="81">
        <v>43152</v>
      </c>
      <c r="E2092" s="82">
        <v>10397.45</v>
      </c>
      <c r="G2092" s="79"/>
      <c r="H2092" s="79"/>
      <c r="I2092" s="79"/>
    </row>
    <row r="2093" s="78" customFormat="1" ht="16.5" customHeight="1" spans="1:9">
      <c r="A2093" s="79"/>
      <c r="B2093" s="79"/>
      <c r="C2093" s="79"/>
      <c r="D2093" s="81">
        <v>43151</v>
      </c>
      <c r="E2093" s="82">
        <v>10360.4</v>
      </c>
      <c r="G2093" s="79"/>
      <c r="H2093" s="79"/>
      <c r="I2093" s="79"/>
    </row>
    <row r="2094" s="78" customFormat="1" ht="16.5" customHeight="1" spans="1:9">
      <c r="A2094" s="79"/>
      <c r="B2094" s="79"/>
      <c r="C2094" s="79"/>
      <c r="D2094" s="81">
        <v>43150</v>
      </c>
      <c r="E2094" s="82">
        <v>10378.4</v>
      </c>
      <c r="G2094" s="79"/>
      <c r="H2094" s="79"/>
      <c r="I2094" s="79"/>
    </row>
    <row r="2095" s="78" customFormat="1" ht="16.5" customHeight="1" spans="1:9">
      <c r="A2095" s="79"/>
      <c r="B2095" s="79"/>
      <c r="C2095" s="79"/>
      <c r="D2095" s="81">
        <v>43147</v>
      </c>
      <c r="E2095" s="82">
        <v>10452.3</v>
      </c>
      <c r="G2095" s="79"/>
      <c r="H2095" s="79"/>
      <c r="I2095" s="79"/>
    </row>
    <row r="2096" s="78" customFormat="1" ht="16.5" customHeight="1" spans="1:9">
      <c r="A2096" s="79"/>
      <c r="B2096" s="79"/>
      <c r="C2096" s="79"/>
      <c r="D2096" s="81">
        <v>43146</v>
      </c>
      <c r="E2096" s="82">
        <v>10545.5</v>
      </c>
      <c r="G2096" s="79"/>
      <c r="H2096" s="79"/>
      <c r="I2096" s="79"/>
    </row>
    <row r="2097" s="78" customFormat="1" ht="16.5" customHeight="1" spans="1:9">
      <c r="A2097" s="79"/>
      <c r="B2097" s="79"/>
      <c r="C2097" s="79"/>
      <c r="D2097" s="81">
        <v>43145</v>
      </c>
      <c r="E2097" s="82">
        <v>10500.9</v>
      </c>
      <c r="G2097" s="79"/>
      <c r="H2097" s="79"/>
      <c r="I2097" s="79"/>
    </row>
    <row r="2098" s="78" customFormat="1" ht="16.5" customHeight="1" spans="1:9">
      <c r="A2098" s="79"/>
      <c r="B2098" s="79"/>
      <c r="C2098" s="79"/>
      <c r="D2098" s="81">
        <v>43143</v>
      </c>
      <c r="E2098" s="82">
        <v>10539.75</v>
      </c>
      <c r="G2098" s="79"/>
      <c r="H2098" s="79"/>
      <c r="I2098" s="79"/>
    </row>
    <row r="2099" s="78" customFormat="1" ht="16.5" customHeight="1" spans="1:9">
      <c r="A2099" s="79"/>
      <c r="B2099" s="79"/>
      <c r="C2099" s="79"/>
      <c r="D2099" s="81">
        <v>43140</v>
      </c>
      <c r="E2099" s="82">
        <v>10454.95</v>
      </c>
      <c r="G2099" s="79"/>
      <c r="H2099" s="79"/>
      <c r="I2099" s="79"/>
    </row>
    <row r="2100" s="78" customFormat="1" ht="16.5" customHeight="1" spans="1:9">
      <c r="A2100" s="79"/>
      <c r="B2100" s="79"/>
      <c r="C2100" s="79"/>
      <c r="D2100" s="81">
        <v>43139</v>
      </c>
      <c r="E2100" s="82">
        <v>10576.85</v>
      </c>
      <c r="G2100" s="79"/>
      <c r="H2100" s="79"/>
      <c r="I2100" s="79"/>
    </row>
    <row r="2101" s="78" customFormat="1" ht="16.5" customHeight="1" spans="1:9">
      <c r="A2101" s="79"/>
      <c r="B2101" s="79"/>
      <c r="C2101" s="79"/>
      <c r="D2101" s="81">
        <v>43138</v>
      </c>
      <c r="E2101" s="82">
        <v>10476.7</v>
      </c>
      <c r="G2101" s="79"/>
      <c r="H2101" s="79"/>
      <c r="I2101" s="79"/>
    </row>
    <row r="2102" s="78" customFormat="1" ht="16.5" customHeight="1" spans="1:9">
      <c r="A2102" s="79"/>
      <c r="B2102" s="79"/>
      <c r="C2102" s="79"/>
      <c r="D2102" s="81">
        <v>43137</v>
      </c>
      <c r="E2102" s="82">
        <v>10498.25</v>
      </c>
      <c r="G2102" s="79"/>
      <c r="H2102" s="79"/>
      <c r="I2102" s="79"/>
    </row>
    <row r="2103" s="78" customFormat="1" ht="16.5" customHeight="1" spans="1:9">
      <c r="A2103" s="79"/>
      <c r="B2103" s="79"/>
      <c r="C2103" s="79"/>
      <c r="D2103" s="81">
        <v>43136</v>
      </c>
      <c r="E2103" s="82">
        <v>10666.55</v>
      </c>
      <c r="G2103" s="79"/>
      <c r="H2103" s="79"/>
      <c r="I2103" s="79"/>
    </row>
    <row r="2104" s="78" customFormat="1" ht="16.5" customHeight="1" spans="1:9">
      <c r="A2104" s="79"/>
      <c r="B2104" s="79"/>
      <c r="C2104" s="79"/>
      <c r="D2104" s="81">
        <v>43133</v>
      </c>
      <c r="E2104" s="82">
        <v>10760.6</v>
      </c>
      <c r="G2104" s="79"/>
      <c r="H2104" s="79"/>
      <c r="I2104" s="79"/>
    </row>
    <row r="2105" s="78" customFormat="1" ht="16.5" customHeight="1" spans="1:9">
      <c r="A2105" s="79"/>
      <c r="B2105" s="79"/>
      <c r="C2105" s="79"/>
      <c r="D2105" s="81">
        <v>43132</v>
      </c>
      <c r="E2105" s="82">
        <v>11016.9</v>
      </c>
      <c r="G2105" s="79"/>
      <c r="H2105" s="79"/>
      <c r="I2105" s="79"/>
    </row>
    <row r="2106" s="78" customFormat="1" ht="16.5" customHeight="1" spans="1:9">
      <c r="A2106" s="79"/>
      <c r="B2106" s="79"/>
      <c r="C2106" s="79"/>
      <c r="D2106" s="81">
        <v>43131</v>
      </c>
      <c r="E2106" s="82">
        <v>11027.7</v>
      </c>
      <c r="G2106" s="79"/>
      <c r="H2106" s="79"/>
      <c r="I2106" s="79"/>
    </row>
    <row r="2107" s="78" customFormat="1" ht="16.5" customHeight="1" spans="1:9">
      <c r="A2107" s="79"/>
      <c r="B2107" s="79"/>
      <c r="C2107" s="79"/>
      <c r="D2107" s="81">
        <v>43130</v>
      </c>
      <c r="E2107" s="82">
        <v>11049.65</v>
      </c>
      <c r="G2107" s="79"/>
      <c r="H2107" s="79"/>
      <c r="I2107" s="79"/>
    </row>
    <row r="2108" s="78" customFormat="1" ht="16.5" customHeight="1" spans="1:9">
      <c r="A2108" s="79"/>
      <c r="B2108" s="79"/>
      <c r="C2108" s="79"/>
      <c r="D2108" s="81">
        <v>43129</v>
      </c>
      <c r="E2108" s="82">
        <v>11130.4</v>
      </c>
      <c r="G2108" s="79"/>
      <c r="H2108" s="79"/>
      <c r="I2108" s="79"/>
    </row>
    <row r="2109" s="78" customFormat="1" ht="16.5" customHeight="1" spans="1:9">
      <c r="A2109" s="79"/>
      <c r="B2109" s="79"/>
      <c r="C2109" s="79"/>
      <c r="D2109" s="81">
        <v>43125</v>
      </c>
      <c r="E2109" s="82">
        <v>11069.65</v>
      </c>
      <c r="G2109" s="79"/>
      <c r="H2109" s="79"/>
      <c r="I2109" s="79"/>
    </row>
    <row r="2110" s="78" customFormat="1" ht="16.5" customHeight="1" spans="1:9">
      <c r="A2110" s="79"/>
      <c r="B2110" s="79"/>
      <c r="C2110" s="79"/>
      <c r="D2110" s="81">
        <v>43124</v>
      </c>
      <c r="E2110" s="82">
        <v>11086</v>
      </c>
      <c r="G2110" s="79"/>
      <c r="H2110" s="79"/>
      <c r="I2110" s="79"/>
    </row>
    <row r="2111" s="78" customFormat="1" ht="16.5" customHeight="1" spans="1:9">
      <c r="A2111" s="79"/>
      <c r="B2111" s="79"/>
      <c r="C2111" s="79"/>
      <c r="D2111" s="81">
        <v>43123</v>
      </c>
      <c r="E2111" s="82">
        <v>11083.7</v>
      </c>
      <c r="G2111" s="79"/>
      <c r="H2111" s="79"/>
      <c r="I2111" s="79"/>
    </row>
    <row r="2112" s="78" customFormat="1" ht="16.5" customHeight="1" spans="1:9">
      <c r="A2112" s="79"/>
      <c r="B2112" s="79"/>
      <c r="C2112" s="79"/>
      <c r="D2112" s="81">
        <v>43122</v>
      </c>
      <c r="E2112" s="82">
        <v>10966.2</v>
      </c>
      <c r="G2112" s="79"/>
      <c r="H2112" s="79"/>
      <c r="I2112" s="79"/>
    </row>
    <row r="2113" s="78" customFormat="1" ht="16.5" customHeight="1" spans="1:9">
      <c r="A2113" s="79"/>
      <c r="B2113" s="79"/>
      <c r="C2113" s="79"/>
      <c r="D2113" s="81">
        <v>43119</v>
      </c>
      <c r="E2113" s="82">
        <v>10894.7</v>
      </c>
      <c r="G2113" s="79"/>
      <c r="H2113" s="79"/>
      <c r="I2113" s="79"/>
    </row>
    <row r="2114" s="78" customFormat="1" ht="16.5" customHeight="1" spans="1:9">
      <c r="A2114" s="79"/>
      <c r="B2114" s="79"/>
      <c r="C2114" s="79"/>
      <c r="D2114" s="81">
        <v>43118</v>
      </c>
      <c r="E2114" s="82">
        <v>10817</v>
      </c>
      <c r="G2114" s="79"/>
      <c r="H2114" s="79"/>
      <c r="I2114" s="79"/>
    </row>
    <row r="2115" s="78" customFormat="1" ht="16.5" customHeight="1" spans="1:9">
      <c r="A2115" s="79"/>
      <c r="B2115" s="79"/>
      <c r="C2115" s="79"/>
      <c r="D2115" s="81">
        <v>43117</v>
      </c>
      <c r="E2115" s="82">
        <v>10788.55</v>
      </c>
      <c r="G2115" s="79"/>
      <c r="H2115" s="79"/>
      <c r="I2115" s="79"/>
    </row>
    <row r="2116" s="78" customFormat="1" ht="16.5" customHeight="1" spans="1:9">
      <c r="A2116" s="79"/>
      <c r="B2116" s="79"/>
      <c r="C2116" s="79"/>
      <c r="D2116" s="81">
        <v>43116</v>
      </c>
      <c r="E2116" s="82">
        <v>10700.45</v>
      </c>
      <c r="G2116" s="79"/>
      <c r="H2116" s="79"/>
      <c r="I2116" s="79"/>
    </row>
    <row r="2117" s="78" customFormat="1" ht="16.5" customHeight="1" spans="1:9">
      <c r="A2117" s="79"/>
      <c r="B2117" s="79"/>
      <c r="C2117" s="79"/>
      <c r="D2117" s="81">
        <v>43115</v>
      </c>
      <c r="E2117" s="82">
        <v>10741.55</v>
      </c>
      <c r="G2117" s="79"/>
      <c r="H2117" s="79"/>
      <c r="I2117" s="79"/>
    </row>
    <row r="2118" s="78" customFormat="1" ht="16.5" customHeight="1" spans="1:9">
      <c r="A2118" s="79"/>
      <c r="B2118" s="79"/>
      <c r="C2118" s="79"/>
      <c r="D2118" s="81">
        <v>43112</v>
      </c>
      <c r="E2118" s="82">
        <v>10681.25</v>
      </c>
      <c r="G2118" s="79"/>
      <c r="H2118" s="79"/>
      <c r="I2118" s="79"/>
    </row>
    <row r="2119" s="78" customFormat="1" ht="16.5" customHeight="1" spans="1:9">
      <c r="A2119" s="79"/>
      <c r="B2119" s="79"/>
      <c r="C2119" s="79"/>
      <c r="D2119" s="81">
        <v>43111</v>
      </c>
      <c r="E2119" s="82">
        <v>10651.2</v>
      </c>
      <c r="G2119" s="79"/>
      <c r="H2119" s="79"/>
      <c r="I2119" s="79"/>
    </row>
    <row r="2120" s="78" customFormat="1" ht="16.5" customHeight="1" spans="1:9">
      <c r="A2120" s="79"/>
      <c r="B2120" s="79"/>
      <c r="C2120" s="79"/>
      <c r="D2120" s="81">
        <v>43110</v>
      </c>
      <c r="E2120" s="82">
        <v>10632.2</v>
      </c>
      <c r="G2120" s="79"/>
      <c r="H2120" s="79"/>
      <c r="I2120" s="79"/>
    </row>
    <row r="2121" s="78" customFormat="1" ht="16.5" customHeight="1" spans="1:9">
      <c r="A2121" s="79"/>
      <c r="B2121" s="79"/>
      <c r="C2121" s="79"/>
      <c r="D2121" s="81">
        <v>43109</v>
      </c>
      <c r="E2121" s="82">
        <v>10637</v>
      </c>
      <c r="G2121" s="79"/>
      <c r="H2121" s="79"/>
      <c r="I2121" s="79"/>
    </row>
    <row r="2122" s="78" customFormat="1" ht="16.5" customHeight="1" spans="1:9">
      <c r="A2122" s="79"/>
      <c r="B2122" s="79"/>
      <c r="C2122" s="79"/>
      <c r="D2122" s="81">
        <v>43108</v>
      </c>
      <c r="E2122" s="82">
        <v>10623.6</v>
      </c>
      <c r="G2122" s="79"/>
      <c r="H2122" s="79"/>
      <c r="I2122" s="79"/>
    </row>
    <row r="2123" s="78" customFormat="1" ht="16.5" customHeight="1" spans="1:9">
      <c r="A2123" s="79"/>
      <c r="B2123" s="79"/>
      <c r="C2123" s="79"/>
      <c r="D2123" s="81">
        <v>43105</v>
      </c>
      <c r="E2123" s="82">
        <v>10558.85</v>
      </c>
      <c r="G2123" s="79"/>
      <c r="H2123" s="79"/>
      <c r="I2123" s="79"/>
    </row>
    <row r="2124" s="78" customFormat="1" ht="16.5" customHeight="1" spans="1:9">
      <c r="A2124" s="79"/>
      <c r="B2124" s="79"/>
      <c r="C2124" s="79"/>
      <c r="D2124" s="81">
        <v>43104</v>
      </c>
      <c r="E2124" s="82">
        <v>10504.8</v>
      </c>
      <c r="G2124" s="79"/>
      <c r="H2124" s="79"/>
      <c r="I2124" s="79"/>
    </row>
    <row r="2125" s="78" customFormat="1" ht="16.5" customHeight="1" spans="1:9">
      <c r="A2125" s="79"/>
      <c r="B2125" s="79"/>
      <c r="C2125" s="79"/>
      <c r="D2125" s="81">
        <v>43103</v>
      </c>
      <c r="E2125" s="82">
        <v>10443.2</v>
      </c>
      <c r="G2125" s="79"/>
      <c r="H2125" s="79"/>
      <c r="I2125" s="79"/>
    </row>
    <row r="2126" s="78" customFormat="1" ht="16.5" customHeight="1" spans="1:9">
      <c r="A2126" s="79"/>
      <c r="B2126" s="79"/>
      <c r="C2126" s="79"/>
      <c r="D2126" s="81">
        <v>43102</v>
      </c>
      <c r="E2126" s="82">
        <v>10442.2</v>
      </c>
      <c r="G2126" s="79"/>
      <c r="H2126" s="79"/>
      <c r="I2126" s="79"/>
    </row>
    <row r="2127" s="78" customFormat="1" ht="16.5" customHeight="1" spans="1:9">
      <c r="A2127" s="79"/>
      <c r="B2127" s="79"/>
      <c r="C2127" s="79"/>
      <c r="D2127" s="81">
        <v>43101</v>
      </c>
      <c r="E2127" s="82">
        <v>10435.55</v>
      </c>
      <c r="G2127" s="79"/>
      <c r="H2127" s="79"/>
      <c r="I2127" s="79"/>
    </row>
    <row r="2128" s="78" customFormat="1" ht="16.5" customHeight="1" spans="1:9">
      <c r="A2128" s="79"/>
      <c r="B2128" s="79"/>
      <c r="C2128" s="79"/>
      <c r="D2128" s="81">
        <v>43098</v>
      </c>
      <c r="E2128" s="82">
        <v>10530.7</v>
      </c>
      <c r="G2128" s="79"/>
      <c r="H2128" s="79"/>
      <c r="I2128" s="79"/>
    </row>
    <row r="2129" s="78" customFormat="1" ht="16.5" customHeight="1" spans="1:9">
      <c r="A2129" s="79"/>
      <c r="B2129" s="79"/>
      <c r="C2129" s="79"/>
      <c r="D2129" s="81">
        <v>43097</v>
      </c>
      <c r="E2129" s="82">
        <v>10477.9</v>
      </c>
      <c r="G2129" s="79"/>
      <c r="H2129" s="79"/>
      <c r="I2129" s="79"/>
    </row>
    <row r="2130" s="78" customFormat="1" ht="16.5" customHeight="1" spans="1:9">
      <c r="A2130" s="79"/>
      <c r="B2130" s="79"/>
      <c r="C2130" s="79"/>
      <c r="D2130" s="81">
        <v>43096</v>
      </c>
      <c r="E2130" s="82">
        <v>10490.75</v>
      </c>
      <c r="G2130" s="79"/>
      <c r="H2130" s="79"/>
      <c r="I2130" s="79"/>
    </row>
    <row r="2131" s="78" customFormat="1" ht="16.5" customHeight="1" spans="1:9">
      <c r="A2131" s="79"/>
      <c r="B2131" s="79"/>
      <c r="C2131" s="79"/>
      <c r="D2131" s="81">
        <v>43095</v>
      </c>
      <c r="E2131" s="82">
        <v>10531.5</v>
      </c>
      <c r="G2131" s="79"/>
      <c r="H2131" s="79"/>
      <c r="I2131" s="79"/>
    </row>
    <row r="2132" s="78" customFormat="1" ht="16.5" customHeight="1" spans="1:9">
      <c r="A2132" s="79"/>
      <c r="B2132" s="79"/>
      <c r="C2132" s="79"/>
      <c r="D2132" s="81">
        <v>43091</v>
      </c>
      <c r="E2132" s="82">
        <v>10493</v>
      </c>
      <c r="G2132" s="79"/>
      <c r="H2132" s="79"/>
      <c r="I2132" s="79"/>
    </row>
    <row r="2133" s="78" customFormat="1" ht="16.5" customHeight="1" spans="1:9">
      <c r="A2133" s="79"/>
      <c r="B2133" s="79"/>
      <c r="C2133" s="79"/>
      <c r="D2133" s="81">
        <v>43090</v>
      </c>
      <c r="E2133" s="82">
        <v>10440.3</v>
      </c>
      <c r="G2133" s="79"/>
      <c r="H2133" s="79"/>
      <c r="I2133" s="79"/>
    </row>
    <row r="2134" s="78" customFormat="1" ht="16.5" customHeight="1" spans="1:9">
      <c r="A2134" s="79"/>
      <c r="B2134" s="79"/>
      <c r="C2134" s="79"/>
      <c r="D2134" s="81">
        <v>43089</v>
      </c>
      <c r="E2134" s="82">
        <v>10444.2</v>
      </c>
      <c r="G2134" s="79"/>
      <c r="H2134" s="79"/>
      <c r="I2134" s="79"/>
    </row>
    <row r="2135" s="78" customFormat="1" ht="16.5" customHeight="1" spans="1:9">
      <c r="A2135" s="79"/>
      <c r="B2135" s="79"/>
      <c r="C2135" s="79"/>
      <c r="D2135" s="81">
        <v>43088</v>
      </c>
      <c r="E2135" s="82">
        <v>10463.2</v>
      </c>
      <c r="G2135" s="79"/>
      <c r="H2135" s="79"/>
      <c r="I2135" s="79"/>
    </row>
    <row r="2136" s="78" customFormat="1" ht="16.5" customHeight="1" spans="1:9">
      <c r="A2136" s="79"/>
      <c r="B2136" s="79"/>
      <c r="C2136" s="79"/>
      <c r="D2136" s="81">
        <v>43087</v>
      </c>
      <c r="E2136" s="82">
        <v>10388.75</v>
      </c>
      <c r="G2136" s="79"/>
      <c r="H2136" s="79"/>
      <c r="I2136" s="79"/>
    </row>
    <row r="2137" s="78" customFormat="1" ht="16.5" customHeight="1" spans="1:9">
      <c r="A2137" s="79"/>
      <c r="B2137" s="79"/>
      <c r="C2137" s="79"/>
      <c r="D2137" s="81">
        <v>43084</v>
      </c>
      <c r="E2137" s="82">
        <v>10333.25</v>
      </c>
      <c r="G2137" s="79"/>
      <c r="H2137" s="79"/>
      <c r="I2137" s="79"/>
    </row>
    <row r="2138" s="78" customFormat="1" ht="16.5" customHeight="1" spans="1:9">
      <c r="A2138" s="79"/>
      <c r="B2138" s="79"/>
      <c r="C2138" s="79"/>
      <c r="D2138" s="81">
        <v>43083</v>
      </c>
      <c r="E2138" s="82">
        <v>10252.1</v>
      </c>
      <c r="G2138" s="79"/>
      <c r="H2138" s="79"/>
      <c r="I2138" s="79"/>
    </row>
    <row r="2139" s="78" customFormat="1" ht="16.5" customHeight="1" spans="1:9">
      <c r="A2139" s="79"/>
      <c r="B2139" s="79"/>
      <c r="C2139" s="79"/>
      <c r="D2139" s="81">
        <v>43082</v>
      </c>
      <c r="E2139" s="82">
        <v>10192.95</v>
      </c>
      <c r="G2139" s="79"/>
      <c r="H2139" s="79"/>
      <c r="I2139" s="79"/>
    </row>
    <row r="2140" s="78" customFormat="1" ht="16.5" customHeight="1" spans="1:9">
      <c r="A2140" s="79"/>
      <c r="B2140" s="79"/>
      <c r="C2140" s="79"/>
      <c r="D2140" s="81">
        <v>43081</v>
      </c>
      <c r="E2140" s="82">
        <v>10240.15</v>
      </c>
      <c r="G2140" s="79"/>
      <c r="H2140" s="79"/>
      <c r="I2140" s="79"/>
    </row>
    <row r="2141" s="78" customFormat="1" ht="16.5" customHeight="1" spans="1:9">
      <c r="A2141" s="79"/>
      <c r="B2141" s="79"/>
      <c r="C2141" s="79"/>
      <c r="D2141" s="81">
        <v>43080</v>
      </c>
      <c r="E2141" s="82">
        <v>10322.25</v>
      </c>
      <c r="G2141" s="79"/>
      <c r="H2141" s="79"/>
      <c r="I2141" s="79"/>
    </row>
    <row r="2142" s="78" customFormat="1" ht="16.5" customHeight="1" spans="1:9">
      <c r="A2142" s="79"/>
      <c r="B2142" s="79"/>
      <c r="C2142" s="79"/>
      <c r="D2142" s="81">
        <v>43077</v>
      </c>
      <c r="E2142" s="82">
        <v>10265.65</v>
      </c>
      <c r="G2142" s="79"/>
      <c r="H2142" s="79"/>
      <c r="I2142" s="79"/>
    </row>
    <row r="2143" s="78" customFormat="1" ht="16.5" customHeight="1" spans="1:9">
      <c r="A2143" s="79"/>
      <c r="B2143" s="79"/>
      <c r="C2143" s="79"/>
      <c r="D2143" s="81">
        <v>43076</v>
      </c>
      <c r="E2143" s="82">
        <v>10166.7</v>
      </c>
      <c r="G2143" s="79"/>
      <c r="H2143" s="79"/>
      <c r="I2143" s="79"/>
    </row>
    <row r="2144" s="78" customFormat="1" ht="16.5" customHeight="1" spans="1:9">
      <c r="A2144" s="79"/>
      <c r="B2144" s="79"/>
      <c r="C2144" s="79"/>
      <c r="D2144" s="81">
        <v>43075</v>
      </c>
      <c r="E2144" s="82">
        <v>10044.1</v>
      </c>
      <c r="G2144" s="79"/>
      <c r="H2144" s="79"/>
      <c r="I2144" s="79"/>
    </row>
    <row r="2145" s="78" customFormat="1" ht="16.5" customHeight="1" spans="1:9">
      <c r="A2145" s="79"/>
      <c r="B2145" s="79"/>
      <c r="C2145" s="79"/>
      <c r="D2145" s="81">
        <v>43074</v>
      </c>
      <c r="E2145" s="82">
        <v>10118.25</v>
      </c>
      <c r="G2145" s="79"/>
      <c r="H2145" s="79"/>
      <c r="I2145" s="79"/>
    </row>
    <row r="2146" s="78" customFormat="1" ht="16.5" customHeight="1" spans="1:9">
      <c r="A2146" s="79"/>
      <c r="B2146" s="79"/>
      <c r="C2146" s="79"/>
      <c r="D2146" s="81">
        <v>43073</v>
      </c>
      <c r="E2146" s="82">
        <v>10127.75</v>
      </c>
      <c r="G2146" s="79"/>
      <c r="H2146" s="79"/>
      <c r="I2146" s="79"/>
    </row>
    <row r="2147" s="78" customFormat="1" ht="16.5" customHeight="1" spans="1:9">
      <c r="A2147" s="79"/>
      <c r="B2147" s="79"/>
      <c r="C2147" s="79"/>
      <c r="D2147" s="81">
        <v>43070</v>
      </c>
      <c r="E2147" s="82">
        <v>10121.8</v>
      </c>
      <c r="G2147" s="79"/>
      <c r="H2147" s="79"/>
      <c r="I2147" s="79"/>
    </row>
    <row r="2148" s="78" customFormat="1" ht="16.5" customHeight="1" spans="1:9">
      <c r="A2148" s="79"/>
      <c r="B2148" s="79"/>
      <c r="C2148" s="79"/>
      <c r="D2148" s="81">
        <v>43069</v>
      </c>
      <c r="E2148" s="82">
        <v>10226.55</v>
      </c>
      <c r="G2148" s="79"/>
      <c r="H2148" s="79"/>
      <c r="I2148" s="79"/>
    </row>
    <row r="2149" s="78" customFormat="1" ht="16.5" customHeight="1" spans="1:9">
      <c r="A2149" s="79"/>
      <c r="B2149" s="79"/>
      <c r="C2149" s="79"/>
      <c r="D2149" s="81">
        <v>43068</v>
      </c>
      <c r="E2149" s="82">
        <v>10361.3</v>
      </c>
      <c r="G2149" s="79"/>
      <c r="H2149" s="79"/>
      <c r="I2149" s="79"/>
    </row>
    <row r="2150" s="78" customFormat="1" ht="16.5" customHeight="1" spans="1:9">
      <c r="A2150" s="79"/>
      <c r="B2150" s="79"/>
      <c r="C2150" s="79"/>
      <c r="D2150" s="81">
        <v>43067</v>
      </c>
      <c r="E2150" s="82">
        <v>10370.25</v>
      </c>
      <c r="G2150" s="79"/>
      <c r="H2150" s="79"/>
      <c r="I2150" s="79"/>
    </row>
    <row r="2151" s="78" customFormat="1" ht="16.5" customHeight="1" spans="1:9">
      <c r="A2151" s="79"/>
      <c r="B2151" s="79"/>
      <c r="C2151" s="79"/>
      <c r="D2151" s="81">
        <v>43066</v>
      </c>
      <c r="E2151" s="82">
        <v>10399.55</v>
      </c>
      <c r="G2151" s="79"/>
      <c r="H2151" s="79"/>
      <c r="I2151" s="79"/>
    </row>
    <row r="2152" s="78" customFormat="1" ht="16.5" customHeight="1" spans="1:9">
      <c r="A2152" s="79"/>
      <c r="B2152" s="79"/>
      <c r="C2152" s="79"/>
      <c r="D2152" s="81">
        <v>43063</v>
      </c>
      <c r="E2152" s="82">
        <v>10389.7</v>
      </c>
      <c r="G2152" s="79"/>
      <c r="H2152" s="79"/>
      <c r="I2152" s="79"/>
    </row>
    <row r="2153" s="78" customFormat="1" ht="16.5" customHeight="1" spans="1:9">
      <c r="A2153" s="79"/>
      <c r="B2153" s="79"/>
      <c r="C2153" s="79"/>
      <c r="D2153" s="81">
        <v>43062</v>
      </c>
      <c r="E2153" s="82">
        <v>10348.75</v>
      </c>
      <c r="G2153" s="79"/>
      <c r="H2153" s="79"/>
      <c r="I2153" s="79"/>
    </row>
    <row r="2154" s="78" customFormat="1" ht="16.5" customHeight="1" spans="1:9">
      <c r="A2154" s="79"/>
      <c r="B2154" s="79"/>
      <c r="C2154" s="79"/>
      <c r="D2154" s="81">
        <v>43061</v>
      </c>
      <c r="E2154" s="82">
        <v>10342.3</v>
      </c>
      <c r="G2154" s="79"/>
      <c r="H2154" s="79"/>
      <c r="I2154" s="79"/>
    </row>
    <row r="2155" s="78" customFormat="1" ht="16.5" customHeight="1" spans="1:9">
      <c r="A2155" s="79"/>
      <c r="B2155" s="79"/>
      <c r="C2155" s="79"/>
      <c r="D2155" s="81">
        <v>43060</v>
      </c>
      <c r="E2155" s="82">
        <v>10326.9</v>
      </c>
      <c r="G2155" s="79"/>
      <c r="H2155" s="79"/>
      <c r="I2155" s="79"/>
    </row>
    <row r="2156" s="78" customFormat="1" ht="16.5" customHeight="1" spans="1:9">
      <c r="A2156" s="79"/>
      <c r="B2156" s="79"/>
      <c r="C2156" s="79"/>
      <c r="D2156" s="81">
        <v>43059</v>
      </c>
      <c r="E2156" s="82">
        <v>10298.75</v>
      </c>
      <c r="G2156" s="79"/>
      <c r="H2156" s="79"/>
      <c r="I2156" s="79"/>
    </row>
    <row r="2157" s="78" customFormat="1" ht="16.5" customHeight="1" spans="1:9">
      <c r="A2157" s="79"/>
      <c r="B2157" s="79"/>
      <c r="C2157" s="79"/>
      <c r="D2157" s="81">
        <v>43056</v>
      </c>
      <c r="E2157" s="82">
        <v>10283.6</v>
      </c>
      <c r="G2157" s="79"/>
      <c r="H2157" s="79"/>
      <c r="I2157" s="79"/>
    </row>
    <row r="2158" s="78" customFormat="1" ht="16.5" customHeight="1" spans="1:9">
      <c r="A2158" s="79"/>
      <c r="B2158" s="79"/>
      <c r="C2158" s="79"/>
      <c r="D2158" s="81">
        <v>43055</v>
      </c>
      <c r="E2158" s="82">
        <v>10214.75</v>
      </c>
      <c r="G2158" s="79"/>
      <c r="H2158" s="79"/>
      <c r="I2158" s="79"/>
    </row>
    <row r="2159" s="78" customFormat="1" ht="16.5" customHeight="1" spans="1:9">
      <c r="A2159" s="79"/>
      <c r="B2159" s="79"/>
      <c r="C2159" s="79"/>
      <c r="D2159" s="81">
        <v>43054</v>
      </c>
      <c r="E2159" s="82">
        <v>10118.05</v>
      </c>
      <c r="G2159" s="79"/>
      <c r="H2159" s="79"/>
      <c r="I2159" s="79"/>
    </row>
    <row r="2160" s="78" customFormat="1" ht="16.5" customHeight="1" spans="1:9">
      <c r="A2160" s="79"/>
      <c r="B2160" s="79"/>
      <c r="C2160" s="79"/>
      <c r="D2160" s="81">
        <v>43053</v>
      </c>
      <c r="E2160" s="82">
        <v>10186.6</v>
      </c>
      <c r="G2160" s="79"/>
      <c r="H2160" s="79"/>
      <c r="I2160" s="79"/>
    </row>
    <row r="2161" s="78" customFormat="1" ht="16.5" customHeight="1" spans="1:9">
      <c r="A2161" s="79"/>
      <c r="B2161" s="79"/>
      <c r="C2161" s="79"/>
      <c r="D2161" s="81">
        <v>43052</v>
      </c>
      <c r="E2161" s="82">
        <v>10224.95</v>
      </c>
      <c r="G2161" s="79"/>
      <c r="H2161" s="79"/>
      <c r="I2161" s="79"/>
    </row>
    <row r="2162" s="78" customFormat="1" ht="16.5" customHeight="1" spans="1:9">
      <c r="A2162" s="79"/>
      <c r="B2162" s="79"/>
      <c r="C2162" s="79"/>
      <c r="D2162" s="81">
        <v>43049</v>
      </c>
      <c r="E2162" s="82">
        <v>10321.75</v>
      </c>
      <c r="G2162" s="79"/>
      <c r="H2162" s="79"/>
      <c r="I2162" s="79"/>
    </row>
    <row r="2163" s="78" customFormat="1" ht="16.5" customHeight="1" spans="1:9">
      <c r="A2163" s="79"/>
      <c r="B2163" s="79"/>
      <c r="C2163" s="79"/>
      <c r="D2163" s="81">
        <v>43048</v>
      </c>
      <c r="E2163" s="82">
        <v>10308.95</v>
      </c>
      <c r="G2163" s="79"/>
      <c r="H2163" s="79"/>
      <c r="I2163" s="79"/>
    </row>
    <row r="2164" s="78" customFormat="1" ht="16.5" customHeight="1" spans="1:9">
      <c r="A2164" s="79"/>
      <c r="B2164" s="79"/>
      <c r="C2164" s="79"/>
      <c r="D2164" s="81">
        <v>43047</v>
      </c>
      <c r="E2164" s="82">
        <v>10303.15</v>
      </c>
      <c r="G2164" s="79"/>
      <c r="H2164" s="79"/>
      <c r="I2164" s="79"/>
    </row>
    <row r="2165" s="78" customFormat="1" ht="16.5" customHeight="1" spans="1:9">
      <c r="A2165" s="79"/>
      <c r="B2165" s="79"/>
      <c r="C2165" s="79"/>
      <c r="D2165" s="81">
        <v>43046</v>
      </c>
      <c r="E2165" s="82">
        <v>10350.15</v>
      </c>
      <c r="G2165" s="79"/>
      <c r="H2165" s="79"/>
      <c r="I2165" s="79"/>
    </row>
    <row r="2166" s="78" customFormat="1" ht="16.5" customHeight="1" spans="1:9">
      <c r="A2166" s="79"/>
      <c r="B2166" s="79"/>
      <c r="C2166" s="79"/>
      <c r="D2166" s="81">
        <v>43045</v>
      </c>
      <c r="E2166" s="82">
        <v>10451.8</v>
      </c>
      <c r="G2166" s="79"/>
      <c r="H2166" s="79"/>
      <c r="I2166" s="79"/>
    </row>
    <row r="2167" s="78" customFormat="1" ht="16.5" customHeight="1" spans="1:9">
      <c r="A2167" s="79"/>
      <c r="B2167" s="79"/>
      <c r="C2167" s="79"/>
      <c r="D2167" s="81">
        <v>43042</v>
      </c>
      <c r="E2167" s="82">
        <v>10452.5</v>
      </c>
      <c r="G2167" s="79"/>
      <c r="H2167" s="79"/>
      <c r="I2167" s="79"/>
    </row>
    <row r="2168" s="78" customFormat="1" ht="16.5" customHeight="1" spans="1:9">
      <c r="A2168" s="79"/>
      <c r="B2168" s="79"/>
      <c r="C2168" s="79"/>
      <c r="D2168" s="81">
        <v>43041</v>
      </c>
      <c r="E2168" s="82">
        <v>10423.8</v>
      </c>
      <c r="G2168" s="79"/>
      <c r="H2168" s="79"/>
      <c r="I2168" s="79"/>
    </row>
    <row r="2169" s="78" customFormat="1" ht="16.5" customHeight="1" spans="1:9">
      <c r="A2169" s="79"/>
      <c r="B2169" s="79"/>
      <c r="C2169" s="79"/>
      <c r="D2169" s="81">
        <v>43040</v>
      </c>
      <c r="E2169" s="82">
        <v>10440.5</v>
      </c>
      <c r="G2169" s="79"/>
      <c r="H2169" s="79"/>
      <c r="I2169" s="79"/>
    </row>
    <row r="2170" s="78" customFormat="1" ht="16.5" customHeight="1" spans="1:9">
      <c r="A2170" s="79"/>
      <c r="B2170" s="79"/>
      <c r="C2170" s="79"/>
      <c r="D2170" s="81">
        <v>43039</v>
      </c>
      <c r="E2170" s="82">
        <v>10335.3</v>
      </c>
      <c r="G2170" s="79"/>
      <c r="H2170" s="79"/>
      <c r="I2170" s="79"/>
    </row>
    <row r="2171" s="78" customFormat="1" ht="16.5" customHeight="1" spans="1:9">
      <c r="A2171" s="79"/>
      <c r="B2171" s="79"/>
      <c r="C2171" s="79"/>
      <c r="D2171" s="81">
        <v>43038</v>
      </c>
      <c r="E2171" s="82">
        <v>10363.65</v>
      </c>
      <c r="G2171" s="79"/>
      <c r="H2171" s="79"/>
      <c r="I2171" s="79"/>
    </row>
    <row r="2172" s="78" customFormat="1" ht="16.5" customHeight="1" spans="1:9">
      <c r="A2172" s="79"/>
      <c r="B2172" s="79"/>
      <c r="C2172" s="79"/>
      <c r="D2172" s="81">
        <v>43035</v>
      </c>
      <c r="E2172" s="82">
        <v>10323.05</v>
      </c>
      <c r="G2172" s="79"/>
      <c r="H2172" s="79"/>
      <c r="I2172" s="79"/>
    </row>
    <row r="2173" s="78" customFormat="1" ht="16.5" customHeight="1" spans="1:9">
      <c r="A2173" s="79"/>
      <c r="B2173" s="79"/>
      <c r="C2173" s="79"/>
      <c r="D2173" s="81">
        <v>43034</v>
      </c>
      <c r="E2173" s="82">
        <v>10343.8</v>
      </c>
      <c r="G2173" s="79"/>
      <c r="H2173" s="79"/>
      <c r="I2173" s="79"/>
    </row>
    <row r="2174" s="78" customFormat="1" ht="16.5" customHeight="1" spans="1:9">
      <c r="A2174" s="79"/>
      <c r="B2174" s="79"/>
      <c r="C2174" s="79"/>
      <c r="D2174" s="81">
        <v>43033</v>
      </c>
      <c r="E2174" s="82">
        <v>10295.35</v>
      </c>
      <c r="G2174" s="79"/>
      <c r="H2174" s="79"/>
      <c r="I2174" s="79"/>
    </row>
    <row r="2175" s="78" customFormat="1" ht="16.5" customHeight="1" spans="1:9">
      <c r="A2175" s="79"/>
      <c r="B2175" s="79"/>
      <c r="C2175" s="79"/>
      <c r="D2175" s="81">
        <v>43032</v>
      </c>
      <c r="E2175" s="82">
        <v>10207.7</v>
      </c>
      <c r="G2175" s="79"/>
      <c r="H2175" s="79"/>
      <c r="I2175" s="79"/>
    </row>
    <row r="2176" s="78" customFormat="1" ht="16.5" customHeight="1" spans="1:9">
      <c r="A2176" s="79"/>
      <c r="B2176" s="79"/>
      <c r="C2176" s="79"/>
      <c r="D2176" s="81">
        <v>43031</v>
      </c>
      <c r="E2176" s="82">
        <v>10184.85</v>
      </c>
      <c r="G2176" s="79"/>
      <c r="H2176" s="79"/>
      <c r="I2176" s="79"/>
    </row>
    <row r="2177" s="78" customFormat="1" ht="16.5" customHeight="1" spans="1:9">
      <c r="A2177" s="79"/>
      <c r="B2177" s="79"/>
      <c r="C2177" s="79"/>
      <c r="D2177" s="81">
        <v>43027</v>
      </c>
      <c r="E2177" s="82">
        <v>10146.55</v>
      </c>
      <c r="G2177" s="79"/>
      <c r="H2177" s="79"/>
      <c r="I2177" s="79"/>
    </row>
    <row r="2178" s="78" customFormat="1" ht="16.5" customHeight="1" spans="1:9">
      <c r="A2178" s="79"/>
      <c r="B2178" s="79"/>
      <c r="C2178" s="79"/>
      <c r="D2178" s="81">
        <v>43026</v>
      </c>
      <c r="E2178" s="82">
        <v>10210.85</v>
      </c>
      <c r="G2178" s="79"/>
      <c r="H2178" s="79"/>
      <c r="I2178" s="79"/>
    </row>
    <row r="2179" s="78" customFormat="1" ht="16.5" customHeight="1" spans="1:9">
      <c r="A2179" s="79"/>
      <c r="B2179" s="79"/>
      <c r="C2179" s="79"/>
      <c r="D2179" s="81">
        <v>43025</v>
      </c>
      <c r="E2179" s="82">
        <v>10234.45</v>
      </c>
      <c r="G2179" s="79"/>
      <c r="H2179" s="79"/>
      <c r="I2179" s="79"/>
    </row>
    <row r="2180" s="78" customFormat="1" ht="16.5" customHeight="1" spans="1:9">
      <c r="A2180" s="79"/>
      <c r="B2180" s="79"/>
      <c r="C2180" s="79"/>
      <c r="D2180" s="81">
        <v>43024</v>
      </c>
      <c r="E2180" s="82">
        <v>10230.85</v>
      </c>
      <c r="G2180" s="79"/>
      <c r="H2180" s="79"/>
      <c r="I2180" s="79"/>
    </row>
    <row r="2181" s="78" customFormat="1" ht="16.5" customHeight="1" spans="1:9">
      <c r="A2181" s="79"/>
      <c r="B2181" s="79"/>
      <c r="C2181" s="79"/>
      <c r="D2181" s="81">
        <v>43021</v>
      </c>
      <c r="E2181" s="82">
        <v>10167.45</v>
      </c>
      <c r="G2181" s="79"/>
      <c r="H2181" s="79"/>
      <c r="I2181" s="79"/>
    </row>
    <row r="2182" s="78" customFormat="1" ht="16.5" customHeight="1" spans="1:9">
      <c r="A2182" s="79"/>
      <c r="B2182" s="79"/>
      <c r="C2182" s="79"/>
      <c r="D2182" s="81">
        <v>43020</v>
      </c>
      <c r="E2182" s="82">
        <v>10096.4</v>
      </c>
      <c r="G2182" s="79"/>
      <c r="H2182" s="79"/>
      <c r="I2182" s="79"/>
    </row>
    <row r="2183" s="78" customFormat="1" ht="16.5" customHeight="1" spans="1:9">
      <c r="A2183" s="79"/>
      <c r="B2183" s="79"/>
      <c r="C2183" s="79"/>
      <c r="D2183" s="81">
        <v>43019</v>
      </c>
      <c r="E2183" s="82">
        <v>9984.8</v>
      </c>
      <c r="G2183" s="79"/>
      <c r="H2183" s="79"/>
      <c r="I2183" s="79"/>
    </row>
    <row r="2184" s="78" customFormat="1" ht="16.5" customHeight="1" spans="1:9">
      <c r="A2184" s="79"/>
      <c r="B2184" s="79"/>
      <c r="C2184" s="79"/>
      <c r="D2184" s="81">
        <v>43018</v>
      </c>
      <c r="E2184" s="82">
        <v>10016.95</v>
      </c>
      <c r="G2184" s="79"/>
      <c r="H2184" s="79"/>
      <c r="I2184" s="79"/>
    </row>
    <row r="2185" s="78" customFormat="1" ht="16.5" customHeight="1" spans="1:9">
      <c r="A2185" s="79"/>
      <c r="B2185" s="79"/>
      <c r="C2185" s="79"/>
      <c r="D2185" s="81">
        <v>43017</v>
      </c>
      <c r="E2185" s="82">
        <v>9988.75</v>
      </c>
      <c r="G2185" s="79"/>
      <c r="H2185" s="79"/>
      <c r="I2185" s="79"/>
    </row>
    <row r="2186" s="78" customFormat="1" ht="16.5" customHeight="1" spans="1:9">
      <c r="A2186" s="79"/>
      <c r="B2186" s="79"/>
      <c r="C2186" s="79"/>
      <c r="D2186" s="81">
        <v>43014</v>
      </c>
      <c r="E2186" s="82">
        <v>9979.7</v>
      </c>
      <c r="G2186" s="79"/>
      <c r="H2186" s="79"/>
      <c r="I2186" s="79"/>
    </row>
    <row r="2187" s="78" customFormat="1" ht="16.5" customHeight="1" spans="1:9">
      <c r="A2187" s="79"/>
      <c r="B2187" s="79"/>
      <c r="C2187" s="79"/>
      <c r="D2187" s="81">
        <v>43013</v>
      </c>
      <c r="E2187" s="82">
        <v>9888.7</v>
      </c>
      <c r="G2187" s="79"/>
      <c r="H2187" s="79"/>
      <c r="I2187" s="79"/>
    </row>
    <row r="2188" s="78" customFormat="1" ht="16.5" customHeight="1" spans="1:9">
      <c r="A2188" s="79"/>
      <c r="B2188" s="79"/>
      <c r="C2188" s="79"/>
      <c r="D2188" s="81">
        <v>43012</v>
      </c>
      <c r="E2188" s="82">
        <v>9914.9</v>
      </c>
      <c r="G2188" s="79"/>
      <c r="H2188" s="79"/>
      <c r="I2188" s="79"/>
    </row>
    <row r="2189" s="78" customFormat="1" ht="16.5" customHeight="1" spans="1:9">
      <c r="A2189" s="79"/>
      <c r="B2189" s="79"/>
      <c r="C2189" s="79"/>
      <c r="D2189" s="81">
        <v>43011</v>
      </c>
      <c r="E2189" s="82">
        <v>9859.5</v>
      </c>
      <c r="G2189" s="79"/>
      <c r="H2189" s="79"/>
      <c r="I2189" s="79"/>
    </row>
    <row r="2190" s="78" customFormat="1" ht="16.5" customHeight="1" spans="1:9">
      <c r="A2190" s="79"/>
      <c r="B2190" s="79"/>
      <c r="C2190" s="79"/>
      <c r="D2190" s="81">
        <v>43007</v>
      </c>
      <c r="E2190" s="82">
        <v>9788.6</v>
      </c>
      <c r="G2190" s="79"/>
      <c r="H2190" s="79"/>
      <c r="I2190" s="79"/>
    </row>
    <row r="2191" s="78" customFormat="1" ht="16.5" customHeight="1" spans="1:9">
      <c r="A2191" s="79"/>
      <c r="B2191" s="79"/>
      <c r="C2191" s="79"/>
      <c r="D2191" s="81">
        <v>43006</v>
      </c>
      <c r="E2191" s="82">
        <v>9768.95</v>
      </c>
      <c r="G2191" s="79"/>
      <c r="H2191" s="79"/>
      <c r="I2191" s="79"/>
    </row>
    <row r="2192" s="78" customFormat="1" ht="16.5" customHeight="1" spans="1:9">
      <c r="A2192" s="79"/>
      <c r="B2192" s="79"/>
      <c r="C2192" s="79"/>
      <c r="D2192" s="81">
        <v>43005</v>
      </c>
      <c r="E2192" s="82">
        <v>9735.75</v>
      </c>
      <c r="G2192" s="79"/>
      <c r="H2192" s="79"/>
      <c r="I2192" s="79"/>
    </row>
    <row r="2193" s="78" customFormat="1" ht="16.5" customHeight="1" spans="1:9">
      <c r="A2193" s="79"/>
      <c r="B2193" s="79"/>
      <c r="C2193" s="79"/>
      <c r="D2193" s="81">
        <v>43004</v>
      </c>
      <c r="E2193" s="82">
        <v>9871.5</v>
      </c>
      <c r="G2193" s="79"/>
      <c r="H2193" s="79"/>
      <c r="I2193" s="79"/>
    </row>
    <row r="2194" s="78" customFormat="1" ht="16.5" customHeight="1" spans="1:9">
      <c r="A2194" s="79"/>
      <c r="B2194" s="79"/>
      <c r="C2194" s="79"/>
      <c r="D2194" s="81">
        <v>43003</v>
      </c>
      <c r="E2194" s="82">
        <v>9872.6</v>
      </c>
      <c r="G2194" s="79"/>
      <c r="H2194" s="79"/>
      <c r="I2194" s="79"/>
    </row>
    <row r="2195" s="78" customFormat="1" ht="16.5" customHeight="1" spans="1:9">
      <c r="A2195" s="79"/>
      <c r="B2195" s="79"/>
      <c r="C2195" s="79"/>
      <c r="D2195" s="81">
        <v>43000</v>
      </c>
      <c r="E2195" s="82">
        <v>9964.4</v>
      </c>
      <c r="G2195" s="79"/>
      <c r="H2195" s="79"/>
      <c r="I2195" s="79"/>
    </row>
    <row r="2196" s="78" customFormat="1" ht="16.5" customHeight="1" spans="1:9">
      <c r="A2196" s="79"/>
      <c r="B2196" s="79"/>
      <c r="C2196" s="79"/>
      <c r="D2196" s="81">
        <v>42999</v>
      </c>
      <c r="E2196" s="82">
        <v>10121.9</v>
      </c>
      <c r="G2196" s="79"/>
      <c r="H2196" s="79"/>
      <c r="I2196" s="79"/>
    </row>
    <row r="2197" s="78" customFormat="1" ht="16.5" customHeight="1" spans="1:9">
      <c r="A2197" s="79"/>
      <c r="B2197" s="79"/>
      <c r="C2197" s="79"/>
      <c r="D2197" s="81">
        <v>42998</v>
      </c>
      <c r="E2197" s="82">
        <v>10141.15</v>
      </c>
      <c r="G2197" s="79"/>
      <c r="H2197" s="79"/>
      <c r="I2197" s="79"/>
    </row>
    <row r="2198" s="78" customFormat="1" ht="16.5" customHeight="1" spans="1:9">
      <c r="A2198" s="79"/>
      <c r="B2198" s="79"/>
      <c r="C2198" s="79"/>
      <c r="D2198" s="81">
        <v>42997</v>
      </c>
      <c r="E2198" s="82">
        <v>10147.55</v>
      </c>
      <c r="G2198" s="79"/>
      <c r="H2198" s="79"/>
      <c r="I2198" s="79"/>
    </row>
    <row r="2199" s="78" customFormat="1" ht="16.5" customHeight="1" spans="1:9">
      <c r="A2199" s="79"/>
      <c r="B2199" s="79"/>
      <c r="C2199" s="79"/>
      <c r="D2199" s="81">
        <v>42996</v>
      </c>
      <c r="E2199" s="82">
        <v>10153.1</v>
      </c>
      <c r="G2199" s="79"/>
      <c r="H2199" s="79"/>
      <c r="I2199" s="79"/>
    </row>
    <row r="2200" s="78" customFormat="1" ht="16.5" customHeight="1" spans="1:9">
      <c r="A2200" s="79"/>
      <c r="B2200" s="79"/>
      <c r="C2200" s="79"/>
      <c r="D2200" s="81">
        <v>42993</v>
      </c>
      <c r="E2200" s="82">
        <v>10085.4</v>
      </c>
      <c r="G2200" s="79"/>
      <c r="H2200" s="79"/>
      <c r="I2200" s="79"/>
    </row>
    <row r="2201" s="78" customFormat="1" ht="16.5" customHeight="1" spans="1:9">
      <c r="A2201" s="79"/>
      <c r="B2201" s="79"/>
      <c r="C2201" s="79"/>
      <c r="D2201" s="81">
        <v>42992</v>
      </c>
      <c r="E2201" s="82">
        <v>10086.6</v>
      </c>
      <c r="G2201" s="79"/>
      <c r="H2201" s="79"/>
      <c r="I2201" s="79"/>
    </row>
    <row r="2202" s="78" customFormat="1" ht="16.5" customHeight="1" spans="1:9">
      <c r="A2202" s="79"/>
      <c r="B2202" s="79"/>
      <c r="C2202" s="79"/>
      <c r="D2202" s="81">
        <v>42991</v>
      </c>
      <c r="E2202" s="82">
        <v>10079.3</v>
      </c>
      <c r="G2202" s="79"/>
      <c r="H2202" s="79"/>
      <c r="I2202" s="79"/>
    </row>
    <row r="2203" s="78" customFormat="1" ht="16.5" customHeight="1" spans="1:9">
      <c r="A2203" s="79"/>
      <c r="B2203" s="79"/>
      <c r="C2203" s="79"/>
      <c r="D2203" s="81">
        <v>42990</v>
      </c>
      <c r="E2203" s="82">
        <v>10093.05</v>
      </c>
      <c r="G2203" s="79"/>
      <c r="H2203" s="79"/>
      <c r="I2203" s="79"/>
    </row>
    <row r="2204" s="78" customFormat="1" ht="16.5" customHeight="1" spans="1:9">
      <c r="A2204" s="79"/>
      <c r="B2204" s="79"/>
      <c r="C2204" s="79"/>
      <c r="D2204" s="81">
        <v>42989</v>
      </c>
      <c r="E2204" s="82">
        <v>10006.05</v>
      </c>
      <c r="G2204" s="79"/>
      <c r="H2204" s="79"/>
      <c r="I2204" s="79"/>
    </row>
    <row r="2205" s="78" customFormat="1" ht="16.5" customHeight="1" spans="1:9">
      <c r="A2205" s="79"/>
      <c r="B2205" s="79"/>
      <c r="C2205" s="79"/>
      <c r="D2205" s="81">
        <v>42986</v>
      </c>
      <c r="E2205" s="82">
        <v>9934.8</v>
      </c>
      <c r="G2205" s="79"/>
      <c r="H2205" s="79"/>
      <c r="I2205" s="79"/>
    </row>
    <row r="2206" s="78" customFormat="1" ht="16.5" customHeight="1" spans="1:9">
      <c r="A2206" s="79"/>
      <c r="B2206" s="79"/>
      <c r="C2206" s="79"/>
      <c r="D2206" s="81">
        <v>42985</v>
      </c>
      <c r="E2206" s="82">
        <v>9929.9</v>
      </c>
      <c r="G2206" s="79"/>
      <c r="H2206" s="79"/>
      <c r="I2206" s="79"/>
    </row>
    <row r="2207" s="78" customFormat="1" ht="16.5" customHeight="1" spans="1:9">
      <c r="A2207" s="79"/>
      <c r="B2207" s="79"/>
      <c r="C2207" s="79"/>
      <c r="D2207" s="81">
        <v>42984</v>
      </c>
      <c r="E2207" s="82">
        <v>9916.2</v>
      </c>
      <c r="G2207" s="79"/>
      <c r="H2207" s="79"/>
      <c r="I2207" s="79"/>
    </row>
    <row r="2208" s="78" customFormat="1" ht="16.5" customHeight="1" spans="1:9">
      <c r="A2208" s="79"/>
      <c r="B2208" s="79"/>
      <c r="C2208" s="79"/>
      <c r="D2208" s="81">
        <v>42983</v>
      </c>
      <c r="E2208" s="82">
        <v>9952.2</v>
      </c>
      <c r="G2208" s="79"/>
      <c r="H2208" s="79"/>
      <c r="I2208" s="79"/>
    </row>
    <row r="2209" s="78" customFormat="1" ht="16.5" customHeight="1" spans="1:9">
      <c r="A2209" s="79"/>
      <c r="B2209" s="79"/>
      <c r="C2209" s="79"/>
      <c r="D2209" s="81">
        <v>42982</v>
      </c>
      <c r="E2209" s="82">
        <v>9912.85</v>
      </c>
      <c r="G2209" s="79"/>
      <c r="H2209" s="79"/>
      <c r="I2209" s="79"/>
    </row>
    <row r="2210" s="78" customFormat="1" ht="16.5" customHeight="1" spans="1:9">
      <c r="A2210" s="79"/>
      <c r="B2210" s="79"/>
      <c r="C2210" s="79"/>
      <c r="D2210" s="81">
        <v>42979</v>
      </c>
      <c r="E2210" s="82">
        <v>9974.4</v>
      </c>
      <c r="G2210" s="79"/>
      <c r="H2210" s="79"/>
      <c r="I2210" s="79"/>
    </row>
    <row r="2211" s="78" customFormat="1" ht="16.5" customHeight="1" spans="1:9">
      <c r="A2211" s="79"/>
      <c r="B2211" s="79"/>
      <c r="C2211" s="79"/>
      <c r="D2211" s="81">
        <v>42978</v>
      </c>
      <c r="E2211" s="82">
        <v>9917.9</v>
      </c>
      <c r="G2211" s="79"/>
      <c r="H2211" s="79"/>
      <c r="I2211" s="79"/>
    </row>
    <row r="2212" s="78" customFormat="1" ht="16.5" customHeight="1" spans="1:9">
      <c r="A2212" s="79"/>
      <c r="B2212" s="79"/>
      <c r="C2212" s="79"/>
      <c r="D2212" s="81">
        <v>42977</v>
      </c>
      <c r="E2212" s="82">
        <v>9884.4</v>
      </c>
      <c r="G2212" s="79"/>
      <c r="H2212" s="79"/>
      <c r="I2212" s="79"/>
    </row>
    <row r="2213" s="78" customFormat="1" ht="16.5" customHeight="1" spans="1:9">
      <c r="A2213" s="79"/>
      <c r="B2213" s="79"/>
      <c r="C2213" s="79"/>
      <c r="D2213" s="81">
        <v>42976</v>
      </c>
      <c r="E2213" s="82">
        <v>9796.05</v>
      </c>
      <c r="G2213" s="79"/>
      <c r="H2213" s="79"/>
      <c r="I2213" s="79"/>
    </row>
    <row r="2214" s="78" customFormat="1" ht="16.5" customHeight="1" spans="1:9">
      <c r="A2214" s="79"/>
      <c r="B2214" s="79"/>
      <c r="C2214" s="79"/>
      <c r="D2214" s="81">
        <v>42975</v>
      </c>
      <c r="E2214" s="82">
        <v>9912.8</v>
      </c>
      <c r="G2214" s="79"/>
      <c r="H2214" s="79"/>
      <c r="I2214" s="79"/>
    </row>
    <row r="2215" s="78" customFormat="1" ht="16.5" customHeight="1" spans="1:9">
      <c r="A2215" s="79"/>
      <c r="B2215" s="79"/>
      <c r="C2215" s="79"/>
      <c r="D2215" s="81">
        <v>42971</v>
      </c>
      <c r="E2215" s="82">
        <v>9857.05</v>
      </c>
      <c r="G2215" s="79"/>
      <c r="H2215" s="79"/>
      <c r="I2215" s="79"/>
    </row>
    <row r="2216" s="78" customFormat="1" ht="16.5" customHeight="1" spans="1:9">
      <c r="A2216" s="79"/>
      <c r="B2216" s="79"/>
      <c r="C2216" s="79"/>
      <c r="D2216" s="81">
        <v>42970</v>
      </c>
      <c r="E2216" s="82">
        <v>9852.5</v>
      </c>
      <c r="G2216" s="79"/>
      <c r="H2216" s="79"/>
      <c r="I2216" s="79"/>
    </row>
    <row r="2217" s="78" customFormat="1" ht="16.5" customHeight="1" spans="1:9">
      <c r="A2217" s="79"/>
      <c r="B2217" s="79"/>
      <c r="C2217" s="79"/>
      <c r="D2217" s="81">
        <v>42969</v>
      </c>
      <c r="E2217" s="82">
        <v>9765.55</v>
      </c>
      <c r="G2217" s="79"/>
      <c r="H2217" s="79"/>
      <c r="I2217" s="79"/>
    </row>
    <row r="2218" s="78" customFormat="1" ht="16.5" customHeight="1" spans="1:9">
      <c r="A2218" s="79"/>
      <c r="B2218" s="79"/>
      <c r="C2218" s="79"/>
      <c r="D2218" s="81">
        <v>42968</v>
      </c>
      <c r="E2218" s="82">
        <v>9754.35</v>
      </c>
      <c r="G2218" s="79"/>
      <c r="H2218" s="79"/>
      <c r="I2218" s="79"/>
    </row>
    <row r="2219" s="78" customFormat="1" ht="16.5" customHeight="1" spans="1:9">
      <c r="A2219" s="79"/>
      <c r="B2219" s="79"/>
      <c r="C2219" s="79"/>
      <c r="D2219" s="81">
        <v>42965</v>
      </c>
      <c r="E2219" s="82">
        <v>9837.4</v>
      </c>
      <c r="G2219" s="79"/>
      <c r="H2219" s="79"/>
      <c r="I2219" s="79"/>
    </row>
    <row r="2220" s="78" customFormat="1" ht="16.5" customHeight="1" spans="1:9">
      <c r="A2220" s="79"/>
      <c r="B2220" s="79"/>
      <c r="C2220" s="79"/>
      <c r="D2220" s="81">
        <v>42964</v>
      </c>
      <c r="E2220" s="82">
        <v>9904.15</v>
      </c>
      <c r="G2220" s="79"/>
      <c r="H2220" s="79"/>
      <c r="I2220" s="79"/>
    </row>
    <row r="2221" s="78" customFormat="1" ht="16.5" customHeight="1" spans="1:9">
      <c r="A2221" s="79"/>
      <c r="B2221" s="79"/>
      <c r="C2221" s="79"/>
      <c r="D2221" s="81">
        <v>42963</v>
      </c>
      <c r="E2221" s="82">
        <v>9897.3</v>
      </c>
      <c r="G2221" s="79"/>
      <c r="H2221" s="79"/>
      <c r="I2221" s="79"/>
    </row>
    <row r="2222" s="78" customFormat="1" ht="16.5" customHeight="1" spans="1:9">
      <c r="A2222" s="79"/>
      <c r="B2222" s="79"/>
      <c r="C2222" s="79"/>
      <c r="D2222" s="81">
        <v>42961</v>
      </c>
      <c r="E2222" s="82">
        <v>9794.15</v>
      </c>
      <c r="G2222" s="79"/>
      <c r="H2222" s="79"/>
      <c r="I2222" s="79"/>
    </row>
    <row r="2223" s="78" customFormat="1" ht="16.5" customHeight="1" spans="1:9">
      <c r="A2223" s="79"/>
      <c r="B2223" s="79"/>
      <c r="C2223" s="79"/>
      <c r="D2223" s="81">
        <v>42958</v>
      </c>
      <c r="E2223" s="82">
        <v>9710.8</v>
      </c>
      <c r="G2223" s="79"/>
      <c r="H2223" s="79"/>
      <c r="I2223" s="79"/>
    </row>
    <row r="2224" s="78" customFormat="1" ht="16.5" customHeight="1" spans="1:9">
      <c r="A2224" s="79"/>
      <c r="B2224" s="79"/>
      <c r="C2224" s="79"/>
      <c r="D2224" s="81">
        <v>42957</v>
      </c>
      <c r="E2224" s="82">
        <v>9820.25</v>
      </c>
      <c r="G2224" s="79"/>
      <c r="H2224" s="79"/>
      <c r="I2224" s="79"/>
    </row>
    <row r="2225" s="78" customFormat="1" ht="16.5" customHeight="1" spans="1:9">
      <c r="A2225" s="79"/>
      <c r="B2225" s="79"/>
      <c r="C2225" s="79"/>
      <c r="D2225" s="81">
        <v>42956</v>
      </c>
      <c r="E2225" s="82">
        <v>9908.05</v>
      </c>
      <c r="G2225" s="79"/>
      <c r="H2225" s="79"/>
      <c r="I2225" s="79"/>
    </row>
    <row r="2226" s="78" customFormat="1" ht="16.5" customHeight="1" spans="1:9">
      <c r="A2226" s="79"/>
      <c r="B2226" s="79"/>
      <c r="C2226" s="79"/>
      <c r="D2226" s="81">
        <v>42955</v>
      </c>
      <c r="E2226" s="82">
        <v>9978.55</v>
      </c>
      <c r="G2226" s="79"/>
      <c r="H2226" s="79"/>
      <c r="I2226" s="79"/>
    </row>
    <row r="2227" s="78" customFormat="1" ht="16.5" customHeight="1" spans="1:9">
      <c r="A2227" s="79"/>
      <c r="B2227" s="79"/>
      <c r="C2227" s="79"/>
      <c r="D2227" s="81">
        <v>42954</v>
      </c>
      <c r="E2227" s="82">
        <v>10057.4</v>
      </c>
      <c r="G2227" s="79"/>
      <c r="H2227" s="79"/>
      <c r="I2227" s="79"/>
    </row>
    <row r="2228" s="78" customFormat="1" ht="16.5" customHeight="1" spans="1:9">
      <c r="A2228" s="79"/>
      <c r="B2228" s="79"/>
      <c r="C2228" s="79"/>
      <c r="D2228" s="81">
        <v>42951</v>
      </c>
      <c r="E2228" s="82">
        <v>10066.4</v>
      </c>
      <c r="G2228" s="79"/>
      <c r="H2228" s="79"/>
      <c r="I2228" s="79"/>
    </row>
    <row r="2229" s="78" customFormat="1" ht="16.5" customHeight="1" spans="1:9">
      <c r="A2229" s="79"/>
      <c r="B2229" s="79"/>
      <c r="C2229" s="79"/>
      <c r="D2229" s="81">
        <v>42950</v>
      </c>
      <c r="E2229" s="82">
        <v>10013.65</v>
      </c>
      <c r="G2229" s="79"/>
      <c r="H2229" s="79"/>
      <c r="I2229" s="79"/>
    </row>
    <row r="2230" s="78" customFormat="1" ht="16.5" customHeight="1" spans="1:9">
      <c r="A2230" s="79"/>
      <c r="B2230" s="79"/>
      <c r="C2230" s="79"/>
      <c r="D2230" s="81">
        <v>42949</v>
      </c>
      <c r="E2230" s="82">
        <v>10081.5</v>
      </c>
      <c r="G2230" s="79"/>
      <c r="H2230" s="79"/>
      <c r="I2230" s="79"/>
    </row>
    <row r="2231" s="78" customFormat="1" ht="16.5" customHeight="1" spans="1:9">
      <c r="A2231" s="79"/>
      <c r="B2231" s="79"/>
      <c r="C2231" s="79"/>
      <c r="D2231" s="81">
        <v>42948</v>
      </c>
      <c r="E2231" s="82">
        <v>10114.65</v>
      </c>
      <c r="G2231" s="79"/>
      <c r="H2231" s="79"/>
      <c r="I2231" s="79"/>
    </row>
    <row r="2232" s="78" customFormat="1" ht="16.5" customHeight="1" spans="1:9">
      <c r="A2232" s="79"/>
      <c r="B2232" s="79"/>
      <c r="C2232" s="79"/>
      <c r="D2232" s="81">
        <v>42947</v>
      </c>
      <c r="E2232" s="82">
        <v>10077.1</v>
      </c>
      <c r="G2232" s="79"/>
      <c r="H2232" s="79"/>
      <c r="I2232" s="79"/>
    </row>
    <row r="2233" s="78" customFormat="1" ht="16.5" customHeight="1" spans="1:9">
      <c r="A2233" s="79"/>
      <c r="B2233" s="79"/>
      <c r="C2233" s="79"/>
      <c r="D2233" s="81">
        <v>42944</v>
      </c>
      <c r="E2233" s="82">
        <v>10014.5</v>
      </c>
      <c r="G2233" s="79"/>
      <c r="H2233" s="79"/>
      <c r="I2233" s="79"/>
    </row>
    <row r="2234" s="78" customFormat="1" ht="16.5" customHeight="1" spans="1:9">
      <c r="A2234" s="79"/>
      <c r="B2234" s="79"/>
      <c r="C2234" s="79"/>
      <c r="D2234" s="81">
        <v>42943</v>
      </c>
      <c r="E2234" s="82">
        <v>10020.55</v>
      </c>
      <c r="G2234" s="79"/>
      <c r="H2234" s="79"/>
      <c r="I2234" s="79"/>
    </row>
    <row r="2235" s="78" customFormat="1" ht="16.5" customHeight="1" spans="1:9">
      <c r="A2235" s="79"/>
      <c r="B2235" s="79"/>
      <c r="C2235" s="79"/>
      <c r="D2235" s="81">
        <v>42942</v>
      </c>
      <c r="E2235" s="82">
        <v>10020.65</v>
      </c>
      <c r="G2235" s="79"/>
      <c r="H2235" s="79"/>
      <c r="I2235" s="79"/>
    </row>
    <row r="2236" s="78" customFormat="1" ht="16.5" customHeight="1" spans="1:9">
      <c r="A2236" s="79"/>
      <c r="B2236" s="79"/>
      <c r="C2236" s="79"/>
      <c r="D2236" s="81">
        <v>42941</v>
      </c>
      <c r="E2236" s="82">
        <v>9964.55</v>
      </c>
      <c r="G2236" s="79"/>
      <c r="H2236" s="79"/>
      <c r="I2236" s="79"/>
    </row>
    <row r="2237" s="78" customFormat="1" ht="16.5" customHeight="1" spans="1:9">
      <c r="A2237" s="79"/>
      <c r="B2237" s="79"/>
      <c r="C2237" s="79"/>
      <c r="D2237" s="81">
        <v>42940</v>
      </c>
      <c r="E2237" s="82">
        <v>9966.4</v>
      </c>
      <c r="G2237" s="79"/>
      <c r="H2237" s="79"/>
      <c r="I2237" s="79"/>
    </row>
    <row r="2238" s="78" customFormat="1" ht="16.5" customHeight="1" spans="1:9">
      <c r="A2238" s="79"/>
      <c r="B2238" s="79"/>
      <c r="C2238" s="79"/>
      <c r="D2238" s="81">
        <v>42937</v>
      </c>
      <c r="E2238" s="82">
        <v>9915.25</v>
      </c>
      <c r="G2238" s="79"/>
      <c r="H2238" s="79"/>
      <c r="I2238" s="79"/>
    </row>
    <row r="2239" s="78" customFormat="1" ht="16.5" customHeight="1" spans="1:9">
      <c r="A2239" s="79"/>
      <c r="B2239" s="79"/>
      <c r="C2239" s="79"/>
      <c r="D2239" s="81">
        <v>42936</v>
      </c>
      <c r="E2239" s="82">
        <v>9873.3</v>
      </c>
      <c r="G2239" s="79"/>
      <c r="H2239" s="79"/>
      <c r="I2239" s="79"/>
    </row>
    <row r="2240" s="78" customFormat="1" ht="16.5" customHeight="1" spans="1:9">
      <c r="A2240" s="79"/>
      <c r="B2240" s="79"/>
      <c r="C2240" s="79"/>
      <c r="D2240" s="81">
        <v>42935</v>
      </c>
      <c r="E2240" s="82">
        <v>9899.6</v>
      </c>
      <c r="G2240" s="79"/>
      <c r="H2240" s="79"/>
      <c r="I2240" s="79"/>
    </row>
    <row r="2241" s="78" customFormat="1" ht="16.5" customHeight="1" spans="1:9">
      <c r="A2241" s="79"/>
      <c r="B2241" s="79"/>
      <c r="C2241" s="79"/>
      <c r="D2241" s="81">
        <v>42934</v>
      </c>
      <c r="E2241" s="82">
        <v>9827.15</v>
      </c>
      <c r="G2241" s="79"/>
      <c r="H2241" s="79"/>
      <c r="I2241" s="79"/>
    </row>
    <row r="2242" s="78" customFormat="1" ht="16.5" customHeight="1" spans="1:9">
      <c r="A2242" s="79"/>
      <c r="B2242" s="79"/>
      <c r="C2242" s="79"/>
      <c r="D2242" s="81">
        <v>42933</v>
      </c>
      <c r="E2242" s="82">
        <v>9915.95</v>
      </c>
      <c r="G2242" s="79"/>
      <c r="H2242" s="79"/>
      <c r="I2242" s="79"/>
    </row>
    <row r="2243" s="78" customFormat="1" ht="16.5" customHeight="1" spans="1:9">
      <c r="A2243" s="79"/>
      <c r="B2243" s="79"/>
      <c r="C2243" s="79"/>
      <c r="D2243" s="81">
        <v>42930</v>
      </c>
      <c r="E2243" s="82">
        <v>9886.35</v>
      </c>
      <c r="G2243" s="79"/>
      <c r="H2243" s="79"/>
      <c r="I2243" s="79"/>
    </row>
    <row r="2244" s="78" customFormat="1" ht="16.5" customHeight="1" spans="1:9">
      <c r="A2244" s="79"/>
      <c r="B2244" s="79"/>
      <c r="C2244" s="79"/>
      <c r="D2244" s="81">
        <v>42929</v>
      </c>
      <c r="E2244" s="82">
        <v>9891.7</v>
      </c>
      <c r="G2244" s="79"/>
      <c r="H2244" s="79"/>
      <c r="I2244" s="79"/>
    </row>
    <row r="2245" s="78" customFormat="1" ht="16.5" customHeight="1" spans="1:9">
      <c r="A2245" s="79"/>
      <c r="B2245" s="79"/>
      <c r="C2245" s="79"/>
      <c r="D2245" s="81">
        <v>42928</v>
      </c>
      <c r="E2245" s="82">
        <v>9816.1</v>
      </c>
      <c r="G2245" s="79"/>
      <c r="H2245" s="79"/>
      <c r="I2245" s="79"/>
    </row>
    <row r="2246" s="78" customFormat="1" ht="16.5" customHeight="1" spans="1:9">
      <c r="A2246" s="79"/>
      <c r="B2246" s="79"/>
      <c r="C2246" s="79"/>
      <c r="D2246" s="81">
        <v>42927</v>
      </c>
      <c r="E2246" s="82">
        <v>9786.05</v>
      </c>
      <c r="G2246" s="79"/>
      <c r="H2246" s="79"/>
      <c r="I2246" s="79"/>
    </row>
    <row r="2247" s="78" customFormat="1" ht="16.5" customHeight="1" spans="1:9">
      <c r="A2247" s="79"/>
      <c r="B2247" s="79"/>
      <c r="C2247" s="79"/>
      <c r="D2247" s="81">
        <v>42926</v>
      </c>
      <c r="E2247" s="82">
        <v>9771.05</v>
      </c>
      <c r="G2247" s="79"/>
      <c r="H2247" s="79"/>
      <c r="I2247" s="79"/>
    </row>
    <row r="2248" s="78" customFormat="1" ht="16.5" customHeight="1" spans="1:9">
      <c r="A2248" s="79"/>
      <c r="B2248" s="79"/>
      <c r="C2248" s="79"/>
      <c r="D2248" s="81">
        <v>42923</v>
      </c>
      <c r="E2248" s="82">
        <v>9665.8</v>
      </c>
      <c r="G2248" s="79"/>
      <c r="H2248" s="79"/>
      <c r="I2248" s="79"/>
    </row>
    <row r="2249" s="78" customFormat="1" ht="16.5" customHeight="1" spans="1:9">
      <c r="A2249" s="79"/>
      <c r="B2249" s="79"/>
      <c r="C2249" s="79"/>
      <c r="D2249" s="81">
        <v>42922</v>
      </c>
      <c r="E2249" s="82">
        <v>9674.55</v>
      </c>
      <c r="G2249" s="79"/>
      <c r="H2249" s="79"/>
      <c r="I2249" s="79"/>
    </row>
    <row r="2250" s="78" customFormat="1" ht="16.5" customHeight="1" spans="1:9">
      <c r="A2250" s="79"/>
      <c r="B2250" s="79"/>
      <c r="C2250" s="79"/>
      <c r="D2250" s="81">
        <v>42921</v>
      </c>
      <c r="E2250" s="82">
        <v>9637.6</v>
      </c>
      <c r="G2250" s="79"/>
      <c r="H2250" s="79"/>
      <c r="I2250" s="79"/>
    </row>
    <row r="2251" s="78" customFormat="1" ht="16.5" customHeight="1" spans="1:9">
      <c r="A2251" s="79"/>
      <c r="B2251" s="79"/>
      <c r="C2251" s="79"/>
      <c r="D2251" s="81">
        <v>42920</v>
      </c>
      <c r="E2251" s="82">
        <v>9613.3</v>
      </c>
      <c r="G2251" s="79"/>
      <c r="H2251" s="79"/>
      <c r="I2251" s="79"/>
    </row>
    <row r="2252" s="78" customFormat="1" ht="16.5" customHeight="1" spans="1:9">
      <c r="A2252" s="79"/>
      <c r="B2252" s="79"/>
      <c r="C2252" s="79"/>
      <c r="D2252" s="81">
        <v>42919</v>
      </c>
      <c r="E2252" s="82">
        <v>9615</v>
      </c>
      <c r="G2252" s="79"/>
      <c r="H2252" s="79"/>
      <c r="I2252" s="79"/>
    </row>
    <row r="2253" s="78" customFormat="1" ht="16.5" customHeight="1" spans="1:9">
      <c r="A2253" s="79"/>
      <c r="B2253" s="79"/>
      <c r="C2253" s="79"/>
      <c r="D2253" s="81">
        <v>42916</v>
      </c>
      <c r="E2253" s="82">
        <v>9520.9</v>
      </c>
      <c r="G2253" s="79"/>
      <c r="H2253" s="79"/>
      <c r="I2253" s="79"/>
    </row>
    <row r="2254" s="78" customFormat="1" ht="16.5" customHeight="1" spans="1:9">
      <c r="A2254" s="79"/>
      <c r="B2254" s="79"/>
      <c r="C2254" s="79"/>
      <c r="D2254" s="81">
        <v>42915</v>
      </c>
      <c r="E2254" s="82">
        <v>9504.1</v>
      </c>
      <c r="G2254" s="79"/>
      <c r="H2254" s="79"/>
      <c r="I2254" s="79"/>
    </row>
    <row r="2255" s="78" customFormat="1" ht="16.5" customHeight="1" spans="1:9">
      <c r="A2255" s="79"/>
      <c r="B2255" s="79"/>
      <c r="C2255" s="79"/>
      <c r="D2255" s="81">
        <v>42914</v>
      </c>
      <c r="E2255" s="82">
        <v>9491.25</v>
      </c>
      <c r="G2255" s="79"/>
      <c r="H2255" s="79"/>
      <c r="I2255" s="79"/>
    </row>
    <row r="2256" s="78" customFormat="1" ht="16.5" customHeight="1" spans="1:9">
      <c r="A2256" s="79"/>
      <c r="B2256" s="79"/>
      <c r="C2256" s="79"/>
      <c r="D2256" s="81">
        <v>42913</v>
      </c>
      <c r="E2256" s="82">
        <v>9511.4</v>
      </c>
      <c r="G2256" s="79"/>
      <c r="H2256" s="79"/>
      <c r="I2256" s="79"/>
    </row>
    <row r="2257" s="78" customFormat="1" ht="16.5" customHeight="1" spans="1:9">
      <c r="A2257" s="79"/>
      <c r="B2257" s="79"/>
      <c r="C2257" s="79"/>
      <c r="D2257" s="81">
        <v>42909</v>
      </c>
      <c r="E2257" s="82">
        <v>9574.95</v>
      </c>
      <c r="G2257" s="79"/>
      <c r="H2257" s="79"/>
      <c r="I2257" s="79"/>
    </row>
    <row r="2258" s="78" customFormat="1" ht="16.5" customHeight="1" spans="1:9">
      <c r="A2258" s="79"/>
      <c r="B2258" s="79"/>
      <c r="C2258" s="79"/>
      <c r="D2258" s="81">
        <v>42908</v>
      </c>
      <c r="E2258" s="82">
        <v>9630</v>
      </c>
      <c r="G2258" s="79"/>
      <c r="H2258" s="79"/>
      <c r="I2258" s="79"/>
    </row>
    <row r="2259" s="78" customFormat="1" ht="16.5" customHeight="1" spans="1:9">
      <c r="A2259" s="79"/>
      <c r="B2259" s="79"/>
      <c r="C2259" s="79"/>
      <c r="D2259" s="81">
        <v>42907</v>
      </c>
      <c r="E2259" s="82">
        <v>9633.6</v>
      </c>
      <c r="G2259" s="79"/>
      <c r="H2259" s="79"/>
      <c r="I2259" s="79"/>
    </row>
    <row r="2260" s="78" customFormat="1" ht="16.5" customHeight="1" spans="1:9">
      <c r="A2260" s="79"/>
      <c r="B2260" s="79"/>
      <c r="C2260" s="79"/>
      <c r="D2260" s="81">
        <v>42906</v>
      </c>
      <c r="E2260" s="82">
        <v>9653.5</v>
      </c>
      <c r="G2260" s="79"/>
      <c r="H2260" s="79"/>
      <c r="I2260" s="79"/>
    </row>
    <row r="2261" s="78" customFormat="1" ht="16.5" customHeight="1" spans="1:9">
      <c r="A2261" s="79"/>
      <c r="B2261" s="79"/>
      <c r="C2261" s="79"/>
      <c r="D2261" s="81">
        <v>42905</v>
      </c>
      <c r="E2261" s="82">
        <v>9657.55</v>
      </c>
      <c r="G2261" s="79"/>
      <c r="H2261" s="79"/>
      <c r="I2261" s="79"/>
    </row>
    <row r="2262" s="78" customFormat="1" ht="16.5" customHeight="1" spans="1:9">
      <c r="A2262" s="79"/>
      <c r="B2262" s="79"/>
      <c r="C2262" s="79"/>
      <c r="D2262" s="81">
        <v>42902</v>
      </c>
      <c r="E2262" s="82">
        <v>9588.05</v>
      </c>
      <c r="G2262" s="79"/>
      <c r="H2262" s="79"/>
      <c r="I2262" s="79"/>
    </row>
    <row r="2263" s="78" customFormat="1" ht="16.5" customHeight="1" spans="1:9">
      <c r="A2263" s="79"/>
      <c r="B2263" s="79"/>
      <c r="C2263" s="79"/>
      <c r="D2263" s="81">
        <v>42901</v>
      </c>
      <c r="E2263" s="82">
        <v>9578.05</v>
      </c>
      <c r="G2263" s="79"/>
      <c r="H2263" s="79"/>
      <c r="I2263" s="79"/>
    </row>
    <row r="2264" s="78" customFormat="1" ht="16.5" customHeight="1" spans="1:9">
      <c r="A2264" s="79"/>
      <c r="B2264" s="79"/>
      <c r="C2264" s="79"/>
      <c r="D2264" s="81">
        <v>42900</v>
      </c>
      <c r="E2264" s="82">
        <v>9618.15</v>
      </c>
      <c r="G2264" s="79"/>
      <c r="H2264" s="79"/>
      <c r="I2264" s="79"/>
    </row>
    <row r="2265" s="78" customFormat="1" ht="16.5" customHeight="1" spans="1:9">
      <c r="A2265" s="79"/>
      <c r="B2265" s="79"/>
      <c r="C2265" s="79"/>
      <c r="D2265" s="81">
        <v>42899</v>
      </c>
      <c r="E2265" s="82">
        <v>9606.9</v>
      </c>
      <c r="G2265" s="79"/>
      <c r="H2265" s="79"/>
      <c r="I2265" s="79"/>
    </row>
    <row r="2266" s="78" customFormat="1" ht="16.5" customHeight="1" spans="1:9">
      <c r="A2266" s="79"/>
      <c r="B2266" s="79"/>
      <c r="C2266" s="79"/>
      <c r="D2266" s="81">
        <v>42898</v>
      </c>
      <c r="E2266" s="82">
        <v>9616.4</v>
      </c>
      <c r="G2266" s="79"/>
      <c r="H2266" s="79"/>
      <c r="I2266" s="79"/>
    </row>
    <row r="2267" s="78" customFormat="1" ht="16.5" customHeight="1" spans="1:9">
      <c r="A2267" s="79"/>
      <c r="B2267" s="79"/>
      <c r="C2267" s="79"/>
      <c r="D2267" s="81">
        <v>42895</v>
      </c>
      <c r="E2267" s="82">
        <v>9668.25</v>
      </c>
      <c r="G2267" s="79"/>
      <c r="H2267" s="79"/>
      <c r="I2267" s="79"/>
    </row>
    <row r="2268" s="78" customFormat="1" ht="16.5" customHeight="1" spans="1:9">
      <c r="A2268" s="79"/>
      <c r="B2268" s="79"/>
      <c r="C2268" s="79"/>
      <c r="D2268" s="81">
        <v>42894</v>
      </c>
      <c r="E2268" s="82">
        <v>9647.25</v>
      </c>
      <c r="G2268" s="79"/>
      <c r="H2268" s="79"/>
      <c r="I2268" s="79"/>
    </row>
    <row r="2269" s="78" customFormat="1" ht="16.5" customHeight="1" spans="1:9">
      <c r="A2269" s="79"/>
      <c r="B2269" s="79"/>
      <c r="C2269" s="79"/>
      <c r="D2269" s="81">
        <v>42893</v>
      </c>
      <c r="E2269" s="82">
        <v>9663.9</v>
      </c>
      <c r="G2269" s="79"/>
      <c r="H2269" s="79"/>
      <c r="I2269" s="79"/>
    </row>
    <row r="2270" s="78" customFormat="1" ht="16.5" customHeight="1" spans="1:9">
      <c r="A2270" s="79"/>
      <c r="B2270" s="79"/>
      <c r="C2270" s="79"/>
      <c r="D2270" s="81">
        <v>42892</v>
      </c>
      <c r="E2270" s="82">
        <v>9637.15</v>
      </c>
      <c r="G2270" s="79"/>
      <c r="H2270" s="79"/>
      <c r="I2270" s="79"/>
    </row>
    <row r="2271" s="78" customFormat="1" ht="16.5" customHeight="1" spans="1:9">
      <c r="A2271" s="79"/>
      <c r="B2271" s="79"/>
      <c r="C2271" s="79"/>
      <c r="D2271" s="81">
        <v>42891</v>
      </c>
      <c r="E2271" s="82">
        <v>9675.1</v>
      </c>
      <c r="G2271" s="79"/>
      <c r="H2271" s="79"/>
      <c r="I2271" s="79"/>
    </row>
    <row r="2272" s="78" customFormat="1" ht="16.5" customHeight="1" spans="1:9">
      <c r="A2272" s="79"/>
      <c r="B2272" s="79"/>
      <c r="C2272" s="79"/>
      <c r="D2272" s="81">
        <v>42888</v>
      </c>
      <c r="E2272" s="82">
        <v>9653.5</v>
      </c>
      <c r="G2272" s="79"/>
      <c r="H2272" s="79"/>
      <c r="I2272" s="79"/>
    </row>
    <row r="2273" s="78" customFormat="1" ht="16.5" customHeight="1" spans="1:9">
      <c r="A2273" s="79"/>
      <c r="B2273" s="79"/>
      <c r="C2273" s="79"/>
      <c r="D2273" s="81">
        <v>42887</v>
      </c>
      <c r="E2273" s="82">
        <v>9616.1</v>
      </c>
      <c r="G2273" s="79"/>
      <c r="H2273" s="79"/>
      <c r="I2273" s="79"/>
    </row>
    <row r="2274" s="78" customFormat="1" ht="16.5" customHeight="1" spans="1:9">
      <c r="A2274" s="79"/>
      <c r="B2274" s="79"/>
      <c r="C2274" s="79"/>
      <c r="D2274" s="81">
        <v>42886</v>
      </c>
      <c r="E2274" s="82">
        <v>9621.25</v>
      </c>
      <c r="G2274" s="79"/>
      <c r="H2274" s="79"/>
      <c r="I2274" s="79"/>
    </row>
    <row r="2275" s="78" customFormat="1" ht="16.5" customHeight="1" spans="1:9">
      <c r="A2275" s="79"/>
      <c r="B2275" s="79"/>
      <c r="C2275" s="79"/>
      <c r="D2275" s="81">
        <v>42885</v>
      </c>
      <c r="E2275" s="82">
        <v>9624.55</v>
      </c>
      <c r="G2275" s="79"/>
      <c r="H2275" s="79"/>
      <c r="I2275" s="79"/>
    </row>
    <row r="2276" s="78" customFormat="1" ht="16.5" customHeight="1" spans="1:9">
      <c r="A2276" s="79"/>
      <c r="B2276" s="79"/>
      <c r="C2276" s="79"/>
      <c r="D2276" s="81">
        <v>42884</v>
      </c>
      <c r="E2276" s="82">
        <v>9604.9</v>
      </c>
      <c r="G2276" s="79"/>
      <c r="H2276" s="79"/>
      <c r="I2276" s="79"/>
    </row>
    <row r="2277" s="78" customFormat="1" ht="16.5" customHeight="1" spans="1:9">
      <c r="A2277" s="79"/>
      <c r="B2277" s="79"/>
      <c r="C2277" s="79"/>
      <c r="D2277" s="81">
        <v>42881</v>
      </c>
      <c r="E2277" s="82">
        <v>9595.1</v>
      </c>
      <c r="G2277" s="79"/>
      <c r="H2277" s="79"/>
      <c r="I2277" s="79"/>
    </row>
    <row r="2278" s="78" customFormat="1" ht="16.5" customHeight="1" spans="1:9">
      <c r="A2278" s="79"/>
      <c r="B2278" s="79"/>
      <c r="C2278" s="79"/>
      <c r="D2278" s="81">
        <v>42880</v>
      </c>
      <c r="E2278" s="82">
        <v>9509.75</v>
      </c>
      <c r="G2278" s="79"/>
      <c r="H2278" s="79"/>
      <c r="I2278" s="79"/>
    </row>
    <row r="2279" s="78" customFormat="1" ht="16.5" customHeight="1" spans="1:9">
      <c r="A2279" s="79"/>
      <c r="B2279" s="79"/>
      <c r="C2279" s="79"/>
      <c r="D2279" s="81">
        <v>42879</v>
      </c>
      <c r="E2279" s="82">
        <v>9360.55</v>
      </c>
      <c r="G2279" s="79"/>
      <c r="H2279" s="79"/>
      <c r="I2279" s="79"/>
    </row>
    <row r="2280" s="78" customFormat="1" ht="16.5" customHeight="1" spans="1:9">
      <c r="A2280" s="79"/>
      <c r="B2280" s="79"/>
      <c r="C2280" s="79"/>
      <c r="D2280" s="81">
        <v>42878</v>
      </c>
      <c r="E2280" s="82">
        <v>9386.15</v>
      </c>
      <c r="G2280" s="79"/>
      <c r="H2280" s="79"/>
      <c r="I2280" s="79"/>
    </row>
    <row r="2281" s="78" customFormat="1" ht="16.5" customHeight="1" spans="1:9">
      <c r="A2281" s="79"/>
      <c r="B2281" s="79"/>
      <c r="C2281" s="79"/>
      <c r="D2281" s="81">
        <v>42877</v>
      </c>
      <c r="E2281" s="82">
        <v>9438.25</v>
      </c>
      <c r="G2281" s="79"/>
      <c r="H2281" s="79"/>
      <c r="I2281" s="79"/>
    </row>
    <row r="2282" s="78" customFormat="1" ht="16.5" customHeight="1" spans="1:9">
      <c r="A2282" s="79"/>
      <c r="B2282" s="79"/>
      <c r="C2282" s="79"/>
      <c r="D2282" s="81">
        <v>42874</v>
      </c>
      <c r="E2282" s="82">
        <v>9427.9</v>
      </c>
      <c r="G2282" s="79"/>
      <c r="H2282" s="79"/>
      <c r="I2282" s="79"/>
    </row>
    <row r="2283" s="78" customFormat="1" ht="16.5" customHeight="1" spans="1:9">
      <c r="A2283" s="79"/>
      <c r="B2283" s="79"/>
      <c r="C2283" s="79"/>
      <c r="D2283" s="81">
        <v>42873</v>
      </c>
      <c r="E2283" s="82">
        <v>9429.45</v>
      </c>
      <c r="G2283" s="79"/>
      <c r="H2283" s="79"/>
      <c r="I2283" s="79"/>
    </row>
    <row r="2284" s="78" customFormat="1" ht="16.5" customHeight="1" spans="1:9">
      <c r="A2284" s="79"/>
      <c r="B2284" s="79"/>
      <c r="C2284" s="79"/>
      <c r="D2284" s="81">
        <v>42872</v>
      </c>
      <c r="E2284" s="82">
        <v>9525.75</v>
      </c>
      <c r="G2284" s="79"/>
      <c r="H2284" s="79"/>
      <c r="I2284" s="79"/>
    </row>
    <row r="2285" s="78" customFormat="1" ht="16.5" customHeight="1" spans="1:9">
      <c r="A2285" s="79"/>
      <c r="B2285" s="79"/>
      <c r="C2285" s="79"/>
      <c r="D2285" s="81">
        <v>42871</v>
      </c>
      <c r="E2285" s="82">
        <v>9512.25</v>
      </c>
      <c r="G2285" s="79"/>
      <c r="H2285" s="79"/>
      <c r="I2285" s="79"/>
    </row>
    <row r="2286" s="78" customFormat="1" ht="16.5" customHeight="1" spans="1:9">
      <c r="A2286" s="79"/>
      <c r="B2286" s="79"/>
      <c r="C2286" s="79"/>
      <c r="D2286" s="81">
        <v>42870</v>
      </c>
      <c r="E2286" s="82">
        <v>9445.4</v>
      </c>
      <c r="G2286" s="79"/>
      <c r="H2286" s="79"/>
      <c r="I2286" s="79"/>
    </row>
    <row r="2287" s="78" customFormat="1" ht="16.5" customHeight="1" spans="1:9">
      <c r="A2287" s="79"/>
      <c r="B2287" s="79"/>
      <c r="C2287" s="79"/>
      <c r="D2287" s="81">
        <v>42867</v>
      </c>
      <c r="E2287" s="82">
        <v>9400.9</v>
      </c>
      <c r="G2287" s="79"/>
      <c r="H2287" s="79"/>
      <c r="I2287" s="79"/>
    </row>
    <row r="2288" s="78" customFormat="1" ht="16.5" customHeight="1" spans="1:9">
      <c r="A2288" s="79"/>
      <c r="B2288" s="79"/>
      <c r="C2288" s="79"/>
      <c r="D2288" s="81">
        <v>42866</v>
      </c>
      <c r="E2288" s="82">
        <v>9422.4</v>
      </c>
      <c r="G2288" s="79"/>
      <c r="H2288" s="79"/>
      <c r="I2288" s="79"/>
    </row>
    <row r="2289" s="78" customFormat="1" ht="16.5" customHeight="1" spans="1:9">
      <c r="A2289" s="79"/>
      <c r="B2289" s="79"/>
      <c r="C2289" s="79"/>
      <c r="D2289" s="81">
        <v>42865</v>
      </c>
      <c r="E2289" s="82">
        <v>9407.3</v>
      </c>
      <c r="G2289" s="79"/>
      <c r="H2289" s="79"/>
      <c r="I2289" s="79"/>
    </row>
    <row r="2290" s="78" customFormat="1" ht="16.5" customHeight="1" spans="1:9">
      <c r="A2290" s="79"/>
      <c r="B2290" s="79"/>
      <c r="C2290" s="79"/>
      <c r="D2290" s="81">
        <v>42864</v>
      </c>
      <c r="E2290" s="82">
        <v>9316.85</v>
      </c>
      <c r="G2290" s="79"/>
      <c r="H2290" s="79"/>
      <c r="I2290" s="79"/>
    </row>
    <row r="2291" s="78" customFormat="1" ht="16.5" customHeight="1" spans="1:9">
      <c r="A2291" s="79"/>
      <c r="B2291" s="79"/>
      <c r="C2291" s="79"/>
      <c r="D2291" s="81">
        <v>42863</v>
      </c>
      <c r="E2291" s="82">
        <v>9314.05</v>
      </c>
      <c r="G2291" s="79"/>
      <c r="H2291" s="79"/>
      <c r="I2291" s="79"/>
    </row>
    <row r="2292" s="78" customFormat="1" ht="16.5" customHeight="1" spans="1:9">
      <c r="A2292" s="79"/>
      <c r="B2292" s="79"/>
      <c r="C2292" s="79"/>
      <c r="D2292" s="81">
        <v>42860</v>
      </c>
      <c r="E2292" s="82">
        <v>9285.3</v>
      </c>
      <c r="G2292" s="79"/>
      <c r="H2292" s="79"/>
      <c r="I2292" s="79"/>
    </row>
    <row r="2293" s="78" customFormat="1" ht="16.5" customHeight="1" spans="1:9">
      <c r="A2293" s="79"/>
      <c r="B2293" s="79"/>
      <c r="C2293" s="79"/>
      <c r="D2293" s="81">
        <v>42859</v>
      </c>
      <c r="E2293" s="82">
        <v>9359.9</v>
      </c>
      <c r="G2293" s="79"/>
      <c r="H2293" s="79"/>
      <c r="I2293" s="79"/>
    </row>
    <row r="2294" s="78" customFormat="1" ht="16.5" customHeight="1" spans="1:9">
      <c r="A2294" s="79"/>
      <c r="B2294" s="79"/>
      <c r="C2294" s="79"/>
      <c r="D2294" s="81">
        <v>42858</v>
      </c>
      <c r="E2294" s="82">
        <v>9311.95</v>
      </c>
      <c r="G2294" s="79"/>
      <c r="H2294" s="79"/>
      <c r="I2294" s="79"/>
    </row>
    <row r="2295" s="78" customFormat="1" ht="16.5" customHeight="1" spans="1:9">
      <c r="A2295" s="79"/>
      <c r="B2295" s="79"/>
      <c r="C2295" s="79"/>
      <c r="D2295" s="81">
        <v>42857</v>
      </c>
      <c r="E2295" s="82">
        <v>9313.8</v>
      </c>
      <c r="G2295" s="79"/>
      <c r="H2295" s="79"/>
      <c r="I2295" s="79"/>
    </row>
    <row r="2296" s="78" customFormat="1" ht="16.5" customHeight="1" spans="1:9">
      <c r="A2296" s="79"/>
      <c r="B2296" s="79"/>
      <c r="C2296" s="79"/>
      <c r="D2296" s="81">
        <v>42853</v>
      </c>
      <c r="E2296" s="82">
        <v>9304.05</v>
      </c>
      <c r="G2296" s="79"/>
      <c r="H2296" s="79"/>
      <c r="I2296" s="79"/>
    </row>
    <row r="2297" s="78" customFormat="1" ht="16.5" customHeight="1" spans="1:9">
      <c r="A2297" s="79"/>
      <c r="B2297" s="79"/>
      <c r="C2297" s="79"/>
      <c r="D2297" s="81">
        <v>42852</v>
      </c>
      <c r="E2297" s="82">
        <v>9342.15</v>
      </c>
      <c r="G2297" s="79"/>
      <c r="H2297" s="79"/>
      <c r="I2297" s="79"/>
    </row>
    <row r="2298" s="78" customFormat="1" ht="16.5" customHeight="1" spans="1:9">
      <c r="A2298" s="79"/>
      <c r="B2298" s="79"/>
      <c r="C2298" s="79"/>
      <c r="D2298" s="81">
        <v>42851</v>
      </c>
      <c r="E2298" s="82">
        <v>9351.85</v>
      </c>
      <c r="G2298" s="79"/>
      <c r="H2298" s="79"/>
      <c r="I2298" s="79"/>
    </row>
    <row r="2299" s="78" customFormat="1" ht="16.5" customHeight="1" spans="1:9">
      <c r="A2299" s="79"/>
      <c r="B2299" s="79"/>
      <c r="C2299" s="79"/>
      <c r="D2299" s="81">
        <v>42850</v>
      </c>
      <c r="E2299" s="82">
        <v>9306.6</v>
      </c>
      <c r="G2299" s="79"/>
      <c r="H2299" s="79"/>
      <c r="I2299" s="79"/>
    </row>
    <row r="2300" s="78" customFormat="1" ht="16.5" customHeight="1" spans="1:9">
      <c r="A2300" s="79"/>
      <c r="B2300" s="79"/>
      <c r="C2300" s="79"/>
      <c r="D2300" s="81">
        <v>42849</v>
      </c>
      <c r="E2300" s="82">
        <v>9217.95</v>
      </c>
      <c r="G2300" s="79"/>
      <c r="H2300" s="79"/>
      <c r="I2300" s="79"/>
    </row>
    <row r="2301" s="78" customFormat="1" ht="16.5" customHeight="1" spans="1:9">
      <c r="A2301" s="79"/>
      <c r="B2301" s="79"/>
      <c r="C2301" s="79"/>
      <c r="D2301" s="81">
        <v>42846</v>
      </c>
      <c r="E2301" s="82">
        <v>9119.4</v>
      </c>
      <c r="G2301" s="79"/>
      <c r="H2301" s="79"/>
      <c r="I2301" s="79"/>
    </row>
    <row r="2302" s="78" customFormat="1" ht="16.5" customHeight="1" spans="1:9">
      <c r="A2302" s="79"/>
      <c r="B2302" s="79"/>
      <c r="C2302" s="79"/>
      <c r="D2302" s="81">
        <v>42845</v>
      </c>
      <c r="E2302" s="82">
        <v>9136.4</v>
      </c>
      <c r="G2302" s="79"/>
      <c r="H2302" s="79"/>
      <c r="I2302" s="79"/>
    </row>
    <row r="2303" s="78" customFormat="1" ht="16.5" customHeight="1" spans="1:9">
      <c r="A2303" s="79"/>
      <c r="B2303" s="79"/>
      <c r="C2303" s="79"/>
      <c r="D2303" s="81">
        <v>42844</v>
      </c>
      <c r="E2303" s="82">
        <v>9103.5</v>
      </c>
      <c r="G2303" s="79"/>
      <c r="H2303" s="79"/>
      <c r="I2303" s="79"/>
    </row>
    <row r="2304" s="78" customFormat="1" ht="16.5" customHeight="1" spans="1:9">
      <c r="A2304" s="79"/>
      <c r="B2304" s="79"/>
      <c r="C2304" s="79"/>
      <c r="D2304" s="81">
        <v>42843</v>
      </c>
      <c r="E2304" s="82">
        <v>9105.15</v>
      </c>
      <c r="G2304" s="79"/>
      <c r="H2304" s="79"/>
      <c r="I2304" s="79"/>
    </row>
    <row r="2305" s="78" customFormat="1" ht="16.5" customHeight="1" spans="1:9">
      <c r="A2305" s="79"/>
      <c r="B2305" s="79"/>
      <c r="C2305" s="79"/>
      <c r="D2305" s="81">
        <v>42842</v>
      </c>
      <c r="E2305" s="82">
        <v>9139.3</v>
      </c>
      <c r="G2305" s="79"/>
      <c r="H2305" s="79"/>
      <c r="I2305" s="79"/>
    </row>
    <row r="2306" s="78" customFormat="1" ht="16.5" customHeight="1" spans="1:9">
      <c r="A2306" s="79"/>
      <c r="B2306" s="79"/>
      <c r="C2306" s="79"/>
      <c r="D2306" s="81">
        <v>42838</v>
      </c>
      <c r="E2306" s="82">
        <v>9150.8</v>
      </c>
      <c r="G2306" s="79"/>
      <c r="H2306" s="79"/>
      <c r="I2306" s="79"/>
    </row>
    <row r="2307" s="78" customFormat="1" ht="16.5" customHeight="1" spans="1:9">
      <c r="A2307" s="79"/>
      <c r="B2307" s="79"/>
      <c r="C2307" s="79"/>
      <c r="D2307" s="81">
        <v>42837</v>
      </c>
      <c r="E2307" s="82">
        <v>9203.45</v>
      </c>
      <c r="G2307" s="79"/>
      <c r="H2307" s="79"/>
      <c r="I2307" s="79"/>
    </row>
    <row r="2308" s="78" customFormat="1" ht="16.5" customHeight="1" spans="1:9">
      <c r="A2308" s="79"/>
      <c r="B2308" s="79"/>
      <c r="C2308" s="79"/>
      <c r="D2308" s="81">
        <v>42836</v>
      </c>
      <c r="E2308" s="82">
        <v>9237</v>
      </c>
      <c r="G2308" s="79"/>
      <c r="H2308" s="79"/>
      <c r="I2308" s="79"/>
    </row>
    <row r="2309" s="78" customFormat="1" ht="16.5" customHeight="1" spans="1:9">
      <c r="A2309" s="79"/>
      <c r="B2309" s="79"/>
      <c r="C2309" s="79"/>
      <c r="D2309" s="81">
        <v>42835</v>
      </c>
      <c r="E2309" s="82">
        <v>9181.45</v>
      </c>
      <c r="G2309" s="79"/>
      <c r="H2309" s="79"/>
      <c r="I2309" s="79"/>
    </row>
    <row r="2310" s="78" customFormat="1" ht="16.5" customHeight="1" spans="1:9">
      <c r="A2310" s="79"/>
      <c r="B2310" s="79"/>
      <c r="C2310" s="79"/>
      <c r="D2310" s="81">
        <v>42832</v>
      </c>
      <c r="E2310" s="82">
        <v>9198.3</v>
      </c>
      <c r="G2310" s="79"/>
      <c r="H2310" s="79"/>
      <c r="I2310" s="79"/>
    </row>
    <row r="2311" s="78" customFormat="1" ht="16.5" customHeight="1" spans="1:9">
      <c r="A2311" s="79"/>
      <c r="B2311" s="79"/>
      <c r="C2311" s="79"/>
      <c r="D2311" s="81">
        <v>42831</v>
      </c>
      <c r="E2311" s="82">
        <v>9261.95</v>
      </c>
      <c r="G2311" s="79"/>
      <c r="H2311" s="79"/>
      <c r="I2311" s="79"/>
    </row>
    <row r="2312" s="78" customFormat="1" ht="16.5" customHeight="1" spans="1:9">
      <c r="A2312" s="79"/>
      <c r="B2312" s="79"/>
      <c r="C2312" s="79"/>
      <c r="D2312" s="81">
        <v>42830</v>
      </c>
      <c r="E2312" s="82">
        <v>9265.15</v>
      </c>
      <c r="G2312" s="79"/>
      <c r="H2312" s="79"/>
      <c r="I2312" s="79"/>
    </row>
    <row r="2313" s="78" customFormat="1" ht="16.5" customHeight="1" spans="1:9">
      <c r="A2313" s="79"/>
      <c r="B2313" s="79"/>
      <c r="C2313" s="79"/>
      <c r="D2313" s="81">
        <v>42828</v>
      </c>
      <c r="E2313" s="82">
        <v>9237.85</v>
      </c>
      <c r="G2313" s="79"/>
      <c r="H2313" s="79"/>
      <c r="I2313" s="79"/>
    </row>
    <row r="2314" s="78" customFormat="1" ht="16.5" customHeight="1" spans="1:9">
      <c r="A2314" s="79"/>
      <c r="B2314" s="79"/>
      <c r="C2314" s="79"/>
      <c r="D2314" s="81">
        <v>42825</v>
      </c>
      <c r="E2314" s="82">
        <v>9173.75</v>
      </c>
      <c r="G2314" s="79"/>
      <c r="H2314" s="79"/>
      <c r="I2314" s="79"/>
    </row>
    <row r="2315" s="78" customFormat="1" ht="16.5" customHeight="1" spans="1:9">
      <c r="A2315" s="79"/>
      <c r="B2315" s="79"/>
      <c r="C2315" s="79"/>
      <c r="D2315" s="81">
        <v>42824</v>
      </c>
      <c r="E2315" s="82">
        <v>9173.75</v>
      </c>
      <c r="G2315" s="79"/>
      <c r="H2315" s="79"/>
      <c r="I2315" s="79"/>
    </row>
    <row r="2316" s="78" customFormat="1" ht="16.5" customHeight="1" spans="1:9">
      <c r="A2316" s="79"/>
      <c r="B2316" s="79"/>
      <c r="C2316" s="79"/>
      <c r="D2316" s="81">
        <v>42823</v>
      </c>
      <c r="E2316" s="82">
        <v>9143.8</v>
      </c>
      <c r="G2316" s="79"/>
      <c r="H2316" s="79"/>
      <c r="I2316" s="79"/>
    </row>
    <row r="2317" s="78" customFormat="1" ht="16.5" customHeight="1" spans="1:9">
      <c r="A2317" s="79"/>
      <c r="B2317" s="79"/>
      <c r="C2317" s="79"/>
      <c r="D2317" s="81">
        <v>42822</v>
      </c>
      <c r="E2317" s="82">
        <v>9100.8</v>
      </c>
      <c r="G2317" s="79"/>
      <c r="H2317" s="79"/>
      <c r="I2317" s="79"/>
    </row>
    <row r="2318" s="78" customFormat="1" ht="16.5" customHeight="1" spans="1:9">
      <c r="A2318" s="79"/>
      <c r="B2318" s="79"/>
      <c r="C2318" s="79"/>
      <c r="D2318" s="81">
        <v>42821</v>
      </c>
      <c r="E2318" s="82">
        <v>9045.2</v>
      </c>
      <c r="G2318" s="79"/>
      <c r="H2318" s="79"/>
      <c r="I2318" s="79"/>
    </row>
    <row r="2319" s="78" customFormat="1" ht="16.5" customHeight="1" spans="1:9">
      <c r="A2319" s="79"/>
      <c r="B2319" s="79"/>
      <c r="C2319" s="79"/>
      <c r="D2319" s="81">
        <v>42818</v>
      </c>
      <c r="E2319" s="82">
        <v>9108</v>
      </c>
      <c r="G2319" s="79"/>
      <c r="H2319" s="79"/>
      <c r="I2319" s="79"/>
    </row>
    <row r="2320" s="78" customFormat="1" ht="16.5" customHeight="1" spans="1:9">
      <c r="A2320" s="79"/>
      <c r="B2320" s="79"/>
      <c r="C2320" s="79"/>
      <c r="D2320" s="81">
        <v>42817</v>
      </c>
      <c r="E2320" s="82">
        <v>9086.3</v>
      </c>
      <c r="G2320" s="79"/>
      <c r="H2320" s="79"/>
      <c r="I2320" s="79"/>
    </row>
    <row r="2321" s="78" customFormat="1" ht="16.5" customHeight="1" spans="1:9">
      <c r="A2321" s="79"/>
      <c r="B2321" s="79"/>
      <c r="C2321" s="79"/>
      <c r="D2321" s="81">
        <v>42816</v>
      </c>
      <c r="E2321" s="82">
        <v>9030.45</v>
      </c>
      <c r="G2321" s="79"/>
      <c r="H2321" s="79"/>
      <c r="I2321" s="79"/>
    </row>
    <row r="2322" s="78" customFormat="1" ht="16.5" customHeight="1" spans="1:9">
      <c r="A2322" s="79"/>
      <c r="B2322" s="79"/>
      <c r="C2322" s="79"/>
      <c r="D2322" s="81">
        <v>42815</v>
      </c>
      <c r="E2322" s="82">
        <v>9121.5</v>
      </c>
      <c r="G2322" s="79"/>
      <c r="H2322" s="79"/>
      <c r="I2322" s="79"/>
    </row>
    <row r="2323" s="78" customFormat="1" ht="16.5" customHeight="1" spans="1:9">
      <c r="A2323" s="79"/>
      <c r="B2323" s="79"/>
      <c r="C2323" s="79"/>
      <c r="D2323" s="81">
        <v>42814</v>
      </c>
      <c r="E2323" s="82">
        <v>9126.85</v>
      </c>
      <c r="G2323" s="79"/>
      <c r="H2323" s="79"/>
      <c r="I2323" s="79"/>
    </row>
    <row r="2324" s="78" customFormat="1" ht="16.5" customHeight="1" spans="1:9">
      <c r="A2324" s="79"/>
      <c r="B2324" s="79"/>
      <c r="C2324" s="79"/>
      <c r="D2324" s="81">
        <v>42811</v>
      </c>
      <c r="E2324" s="82">
        <v>9160.05</v>
      </c>
      <c r="G2324" s="79"/>
      <c r="H2324" s="79"/>
      <c r="I2324" s="79"/>
    </row>
    <row r="2325" s="78" customFormat="1" ht="16.5" customHeight="1" spans="1:9">
      <c r="A2325" s="79"/>
      <c r="B2325" s="79"/>
      <c r="C2325" s="79"/>
      <c r="D2325" s="81">
        <v>42810</v>
      </c>
      <c r="E2325" s="82">
        <v>9153.7</v>
      </c>
      <c r="G2325" s="79"/>
      <c r="H2325" s="79"/>
      <c r="I2325" s="79"/>
    </row>
    <row r="2326" s="78" customFormat="1" ht="16.5" customHeight="1" spans="1:9">
      <c r="A2326" s="79"/>
      <c r="B2326" s="79"/>
      <c r="C2326" s="79"/>
      <c r="D2326" s="81">
        <v>42809</v>
      </c>
      <c r="E2326" s="82">
        <v>9084.8</v>
      </c>
      <c r="G2326" s="79"/>
      <c r="H2326" s="79"/>
      <c r="I2326" s="79"/>
    </row>
    <row r="2327" s="78" customFormat="1" ht="16.5" customHeight="1" spans="1:9">
      <c r="A2327" s="79"/>
      <c r="B2327" s="79"/>
      <c r="C2327" s="79"/>
      <c r="D2327" s="81">
        <v>42808</v>
      </c>
      <c r="E2327" s="82">
        <v>9087</v>
      </c>
      <c r="G2327" s="79"/>
      <c r="H2327" s="79"/>
      <c r="I2327" s="79"/>
    </row>
    <row r="2328" s="78" customFormat="1" ht="16.5" customHeight="1" spans="1:9">
      <c r="A2328" s="79"/>
      <c r="B2328" s="79"/>
      <c r="C2328" s="79"/>
      <c r="D2328" s="81">
        <v>42804</v>
      </c>
      <c r="E2328" s="82">
        <v>8934.55</v>
      </c>
      <c r="G2328" s="79"/>
      <c r="H2328" s="79"/>
      <c r="I2328" s="79"/>
    </row>
    <row r="2329" s="78" customFormat="1" ht="16.5" customHeight="1" spans="1:9">
      <c r="A2329" s="79"/>
      <c r="B2329" s="79"/>
      <c r="C2329" s="79"/>
      <c r="D2329" s="81">
        <v>42803</v>
      </c>
      <c r="E2329" s="82">
        <v>8927</v>
      </c>
      <c r="G2329" s="79"/>
      <c r="H2329" s="79"/>
      <c r="I2329" s="79"/>
    </row>
    <row r="2330" s="78" customFormat="1" ht="16.5" customHeight="1" spans="1:9">
      <c r="A2330" s="79"/>
      <c r="B2330" s="79"/>
      <c r="C2330" s="79"/>
      <c r="D2330" s="81">
        <v>42802</v>
      </c>
      <c r="E2330" s="82">
        <v>8924.3</v>
      </c>
      <c r="G2330" s="79"/>
      <c r="H2330" s="79"/>
      <c r="I2330" s="79"/>
    </row>
    <row r="2331" s="78" customFormat="1" ht="16.5" customHeight="1" spans="1:9">
      <c r="A2331" s="79"/>
      <c r="B2331" s="79"/>
      <c r="C2331" s="79"/>
      <c r="D2331" s="81">
        <v>42801</v>
      </c>
      <c r="E2331" s="82">
        <v>8946.9</v>
      </c>
      <c r="G2331" s="79"/>
      <c r="H2331" s="79"/>
      <c r="I2331" s="79"/>
    </row>
    <row r="2332" s="78" customFormat="1" ht="16.5" customHeight="1" spans="1:9">
      <c r="A2332" s="79"/>
      <c r="B2332" s="79"/>
      <c r="C2332" s="79"/>
      <c r="D2332" s="81">
        <v>42800</v>
      </c>
      <c r="E2332" s="82">
        <v>8963.45</v>
      </c>
      <c r="G2332" s="79"/>
      <c r="H2332" s="79"/>
      <c r="I2332" s="79"/>
    </row>
    <row r="2333" s="78" customFormat="1" ht="16.5" customHeight="1" spans="1:9">
      <c r="A2333" s="79"/>
      <c r="B2333" s="79"/>
      <c r="C2333" s="79"/>
      <c r="D2333" s="81">
        <v>42797</v>
      </c>
      <c r="E2333" s="82">
        <v>8897.55</v>
      </c>
      <c r="G2333" s="79"/>
      <c r="H2333" s="79"/>
      <c r="I2333" s="79"/>
    </row>
    <row r="2334" s="78" customFormat="1" ht="16.5" customHeight="1" spans="1:9">
      <c r="A2334" s="79"/>
      <c r="B2334" s="79"/>
      <c r="C2334" s="79"/>
      <c r="D2334" s="81">
        <v>42796</v>
      </c>
      <c r="E2334" s="82">
        <v>8899.75</v>
      </c>
      <c r="G2334" s="79"/>
      <c r="H2334" s="79"/>
      <c r="I2334" s="79"/>
    </row>
    <row r="2335" s="78" customFormat="1" ht="16.5" customHeight="1" spans="1:9">
      <c r="A2335" s="79"/>
      <c r="B2335" s="79"/>
      <c r="C2335" s="79"/>
      <c r="D2335" s="81">
        <v>42795</v>
      </c>
      <c r="E2335" s="82">
        <v>8945.8</v>
      </c>
      <c r="G2335" s="79"/>
      <c r="H2335" s="79"/>
      <c r="I2335" s="79"/>
    </row>
    <row r="2336" s="78" customFormat="1" ht="16.5" customHeight="1" spans="1:9">
      <c r="A2336" s="79"/>
      <c r="B2336" s="79"/>
      <c r="C2336" s="79"/>
      <c r="D2336" s="81">
        <v>42794</v>
      </c>
      <c r="E2336" s="82">
        <v>8879.6</v>
      </c>
      <c r="G2336" s="79"/>
      <c r="H2336" s="79"/>
      <c r="I2336" s="79"/>
    </row>
    <row r="2337" s="78" customFormat="1" ht="16.5" customHeight="1" spans="1:9">
      <c r="A2337" s="79"/>
      <c r="B2337" s="79"/>
      <c r="C2337" s="79"/>
      <c r="D2337" s="81">
        <v>42793</v>
      </c>
      <c r="E2337" s="82">
        <v>8896.7</v>
      </c>
      <c r="G2337" s="79"/>
      <c r="H2337" s="79"/>
      <c r="I2337" s="79"/>
    </row>
    <row r="2338" s="78" customFormat="1" ht="16.5" customHeight="1" spans="1:9">
      <c r="A2338" s="79"/>
      <c r="B2338" s="79"/>
      <c r="C2338" s="79"/>
      <c r="D2338" s="81">
        <v>42789</v>
      </c>
      <c r="E2338" s="82">
        <v>8939.5</v>
      </c>
      <c r="G2338" s="79"/>
      <c r="H2338" s="79"/>
      <c r="I2338" s="79"/>
    </row>
    <row r="2339" s="78" customFormat="1" ht="16.5" customHeight="1" spans="1:9">
      <c r="A2339" s="79"/>
      <c r="B2339" s="79"/>
      <c r="C2339" s="79"/>
      <c r="D2339" s="81">
        <v>42788</v>
      </c>
      <c r="E2339" s="82">
        <v>8926.9</v>
      </c>
      <c r="G2339" s="79"/>
      <c r="H2339" s="79"/>
      <c r="I2339" s="79"/>
    </row>
    <row r="2340" s="78" customFormat="1" ht="16.5" customHeight="1" spans="1:9">
      <c r="A2340" s="79"/>
      <c r="B2340" s="79"/>
      <c r="C2340" s="79"/>
      <c r="D2340" s="81">
        <v>42787</v>
      </c>
      <c r="E2340" s="82">
        <v>8907.85</v>
      </c>
      <c r="G2340" s="79"/>
      <c r="H2340" s="79"/>
      <c r="I2340" s="79"/>
    </row>
    <row r="2341" s="78" customFormat="1" ht="16.5" customHeight="1" spans="1:9">
      <c r="A2341" s="79"/>
      <c r="B2341" s="79"/>
      <c r="C2341" s="79"/>
      <c r="D2341" s="81">
        <v>42786</v>
      </c>
      <c r="E2341" s="82">
        <v>8879.2</v>
      </c>
      <c r="G2341" s="79"/>
      <c r="H2341" s="79"/>
      <c r="I2341" s="79"/>
    </row>
    <row r="2342" s="78" customFormat="1" ht="16.5" customHeight="1" spans="1:9">
      <c r="A2342" s="79"/>
      <c r="B2342" s="79"/>
      <c r="C2342" s="79"/>
      <c r="D2342" s="81">
        <v>42783</v>
      </c>
      <c r="E2342" s="82">
        <v>8821.7</v>
      </c>
      <c r="G2342" s="79"/>
      <c r="H2342" s="79"/>
      <c r="I2342" s="79"/>
    </row>
    <row r="2343" s="78" customFormat="1" ht="16.5" customHeight="1" spans="1:9">
      <c r="A2343" s="79"/>
      <c r="B2343" s="79"/>
      <c r="C2343" s="79"/>
      <c r="D2343" s="81">
        <v>42782</v>
      </c>
      <c r="E2343" s="82">
        <v>8778</v>
      </c>
      <c r="G2343" s="79"/>
      <c r="H2343" s="79"/>
      <c r="I2343" s="79"/>
    </row>
    <row r="2344" s="78" customFormat="1" ht="16.5" customHeight="1" spans="1:9">
      <c r="A2344" s="79"/>
      <c r="B2344" s="79"/>
      <c r="C2344" s="79"/>
      <c r="D2344" s="81">
        <v>42781</v>
      </c>
      <c r="E2344" s="82">
        <v>8724.7</v>
      </c>
      <c r="G2344" s="79"/>
      <c r="H2344" s="79"/>
      <c r="I2344" s="79"/>
    </row>
    <row r="2345" s="78" customFormat="1" ht="16.5" customHeight="1" spans="1:9">
      <c r="A2345" s="79"/>
      <c r="B2345" s="79"/>
      <c r="C2345" s="79"/>
      <c r="D2345" s="81">
        <v>42780</v>
      </c>
      <c r="E2345" s="82">
        <v>8792.3</v>
      </c>
      <c r="G2345" s="79"/>
      <c r="H2345" s="79"/>
      <c r="I2345" s="79"/>
    </row>
    <row r="2346" s="78" customFormat="1" ht="16.5" customHeight="1" spans="1:9">
      <c r="A2346" s="79"/>
      <c r="B2346" s="79"/>
      <c r="C2346" s="79"/>
      <c r="D2346" s="81">
        <v>42779</v>
      </c>
      <c r="E2346" s="82">
        <v>8805.05</v>
      </c>
      <c r="G2346" s="79"/>
      <c r="H2346" s="79"/>
      <c r="I2346" s="79"/>
    </row>
    <row r="2347" s="78" customFormat="1" ht="16.5" customHeight="1" spans="1:9">
      <c r="A2347" s="79"/>
      <c r="B2347" s="79"/>
      <c r="C2347" s="79"/>
      <c r="D2347" s="81">
        <v>42776</v>
      </c>
      <c r="E2347" s="82">
        <v>8793.55</v>
      </c>
      <c r="G2347" s="79"/>
      <c r="H2347" s="79"/>
      <c r="I2347" s="79"/>
    </row>
    <row r="2348" s="78" customFormat="1" ht="16.5" customHeight="1" spans="1:9">
      <c r="A2348" s="79"/>
      <c r="B2348" s="79"/>
      <c r="C2348" s="79"/>
      <c r="D2348" s="81">
        <v>42775</v>
      </c>
      <c r="E2348" s="82">
        <v>8778.4</v>
      </c>
      <c r="G2348" s="79"/>
      <c r="H2348" s="79"/>
      <c r="I2348" s="79"/>
    </row>
    <row r="2349" s="78" customFormat="1" ht="16.5" customHeight="1" spans="1:9">
      <c r="A2349" s="79"/>
      <c r="B2349" s="79"/>
      <c r="C2349" s="79"/>
      <c r="D2349" s="81">
        <v>42774</v>
      </c>
      <c r="E2349" s="82">
        <v>8769.05</v>
      </c>
      <c r="G2349" s="79"/>
      <c r="H2349" s="79"/>
      <c r="I2349" s="79"/>
    </row>
    <row r="2350" s="78" customFormat="1" ht="16.5" customHeight="1" spans="1:9">
      <c r="A2350" s="79"/>
      <c r="B2350" s="79"/>
      <c r="C2350" s="79"/>
      <c r="D2350" s="81">
        <v>42773</v>
      </c>
      <c r="E2350" s="82">
        <v>8768.3</v>
      </c>
      <c r="G2350" s="79"/>
      <c r="H2350" s="79"/>
      <c r="I2350" s="79"/>
    </row>
    <row r="2351" s="78" customFormat="1" ht="16.5" customHeight="1" spans="1:9">
      <c r="A2351" s="79"/>
      <c r="B2351" s="79"/>
      <c r="C2351" s="79"/>
      <c r="D2351" s="81">
        <v>42772</v>
      </c>
      <c r="E2351" s="82">
        <v>8801.05</v>
      </c>
      <c r="G2351" s="79"/>
      <c r="H2351" s="79"/>
      <c r="I2351" s="79"/>
    </row>
    <row r="2352" s="78" customFormat="1" ht="16.5" customHeight="1" spans="1:9">
      <c r="A2352" s="79"/>
      <c r="B2352" s="79"/>
      <c r="C2352" s="79"/>
      <c r="D2352" s="81">
        <v>42769</v>
      </c>
      <c r="E2352" s="82">
        <v>8740.95</v>
      </c>
      <c r="G2352" s="79"/>
      <c r="H2352" s="79"/>
      <c r="I2352" s="79"/>
    </row>
    <row r="2353" s="78" customFormat="1" ht="16.5" customHeight="1" spans="1:9">
      <c r="A2353" s="79"/>
      <c r="B2353" s="79"/>
      <c r="C2353" s="79"/>
      <c r="D2353" s="81">
        <v>42768</v>
      </c>
      <c r="E2353" s="82">
        <v>8734.25</v>
      </c>
      <c r="G2353" s="79"/>
      <c r="H2353" s="79"/>
      <c r="I2353" s="79"/>
    </row>
    <row r="2354" s="78" customFormat="1" ht="16.5" customHeight="1" spans="1:9">
      <c r="A2354" s="79"/>
      <c r="B2354" s="79"/>
      <c r="C2354" s="79"/>
      <c r="D2354" s="81">
        <v>42767</v>
      </c>
      <c r="E2354" s="82">
        <v>8716.4</v>
      </c>
      <c r="G2354" s="79"/>
      <c r="H2354" s="79"/>
      <c r="I2354" s="79"/>
    </row>
    <row r="2355" s="78" customFormat="1" ht="16.5" customHeight="1" spans="1:9">
      <c r="A2355" s="79"/>
      <c r="B2355" s="79"/>
      <c r="C2355" s="79"/>
      <c r="D2355" s="81">
        <v>42766</v>
      </c>
      <c r="E2355" s="82">
        <v>8561.3</v>
      </c>
      <c r="G2355" s="79"/>
      <c r="H2355" s="79"/>
      <c r="I2355" s="79"/>
    </row>
    <row r="2356" s="78" customFormat="1" ht="16.5" customHeight="1" spans="1:9">
      <c r="A2356" s="79"/>
      <c r="B2356" s="79"/>
      <c r="C2356" s="79"/>
      <c r="D2356" s="81">
        <v>42765</v>
      </c>
      <c r="E2356" s="82">
        <v>8632.75</v>
      </c>
      <c r="G2356" s="79"/>
      <c r="H2356" s="79"/>
      <c r="I2356" s="79"/>
    </row>
    <row r="2357" s="78" customFormat="1" ht="16.5" customHeight="1" spans="1:9">
      <c r="A2357" s="79"/>
      <c r="B2357" s="79"/>
      <c r="C2357" s="79"/>
      <c r="D2357" s="81">
        <v>42762</v>
      </c>
      <c r="E2357" s="82">
        <v>8641.25</v>
      </c>
      <c r="G2357" s="79"/>
      <c r="H2357" s="79"/>
      <c r="I2357" s="79"/>
    </row>
    <row r="2358" s="78" customFormat="1" ht="16.5" customHeight="1" spans="1:9">
      <c r="A2358" s="79"/>
      <c r="B2358" s="79"/>
      <c r="C2358" s="79"/>
      <c r="D2358" s="81">
        <v>42760</v>
      </c>
      <c r="E2358" s="82">
        <v>8602.75</v>
      </c>
      <c r="G2358" s="79"/>
      <c r="H2358" s="79"/>
      <c r="I2358" s="79"/>
    </row>
    <row r="2359" s="78" customFormat="1" ht="16.5" customHeight="1" spans="1:9">
      <c r="A2359" s="79"/>
      <c r="B2359" s="79"/>
      <c r="C2359" s="79"/>
      <c r="D2359" s="81">
        <v>42759</v>
      </c>
      <c r="E2359" s="82">
        <v>8475.8</v>
      </c>
      <c r="G2359" s="79"/>
      <c r="H2359" s="79"/>
      <c r="I2359" s="79"/>
    </row>
    <row r="2360" s="78" customFormat="1" ht="16.5" customHeight="1" spans="1:9">
      <c r="A2360" s="79"/>
      <c r="B2360" s="79"/>
      <c r="C2360" s="79"/>
      <c r="D2360" s="81">
        <v>42758</v>
      </c>
      <c r="E2360" s="82">
        <v>8391.5</v>
      </c>
      <c r="G2360" s="79"/>
      <c r="H2360" s="79"/>
      <c r="I2360" s="79"/>
    </row>
    <row r="2361" s="78" customFormat="1" ht="16.5" customHeight="1" spans="1:9">
      <c r="A2361" s="79"/>
      <c r="B2361" s="79"/>
      <c r="C2361" s="79"/>
      <c r="D2361" s="81">
        <v>42755</v>
      </c>
      <c r="E2361" s="82">
        <v>8349.35</v>
      </c>
      <c r="G2361" s="79"/>
      <c r="H2361" s="79"/>
      <c r="I2361" s="79"/>
    </row>
    <row r="2362" s="78" customFormat="1" ht="16.5" customHeight="1" spans="1:9">
      <c r="A2362" s="79"/>
      <c r="B2362" s="79"/>
      <c r="C2362" s="79"/>
      <c r="D2362" s="81">
        <v>42754</v>
      </c>
      <c r="E2362" s="82">
        <v>8435.1</v>
      </c>
      <c r="G2362" s="79"/>
      <c r="H2362" s="79"/>
      <c r="I2362" s="79"/>
    </row>
    <row r="2363" s="78" customFormat="1" ht="16.5" customHeight="1" spans="1:9">
      <c r="A2363" s="79"/>
      <c r="B2363" s="79"/>
      <c r="C2363" s="79"/>
      <c r="D2363" s="81">
        <v>42753</v>
      </c>
      <c r="E2363" s="82">
        <v>8417</v>
      </c>
      <c r="G2363" s="79"/>
      <c r="H2363" s="79"/>
      <c r="I2363" s="79"/>
    </row>
    <row r="2364" s="78" customFormat="1" ht="16.5" customHeight="1" spans="1:9">
      <c r="A2364" s="79"/>
      <c r="B2364" s="79"/>
      <c r="C2364" s="79"/>
      <c r="D2364" s="81">
        <v>42752</v>
      </c>
      <c r="E2364" s="82">
        <v>8398</v>
      </c>
      <c r="G2364" s="79"/>
      <c r="H2364" s="79"/>
      <c r="I2364" s="79"/>
    </row>
    <row r="2365" s="78" customFormat="1" ht="16.5" customHeight="1" spans="1:9">
      <c r="A2365" s="79"/>
      <c r="B2365" s="79"/>
      <c r="C2365" s="79"/>
      <c r="D2365" s="81">
        <v>42751</v>
      </c>
      <c r="E2365" s="82">
        <v>8412.8</v>
      </c>
      <c r="G2365" s="79"/>
      <c r="H2365" s="79"/>
      <c r="I2365" s="79"/>
    </row>
    <row r="2366" s="78" customFormat="1" ht="16.5" customHeight="1" spans="1:9">
      <c r="A2366" s="79"/>
      <c r="B2366" s="79"/>
      <c r="C2366" s="79"/>
      <c r="D2366" s="81">
        <v>42748</v>
      </c>
      <c r="E2366" s="82">
        <v>8400.35</v>
      </c>
      <c r="G2366" s="79"/>
      <c r="H2366" s="79"/>
      <c r="I2366" s="79"/>
    </row>
    <row r="2367" s="78" customFormat="1" ht="16.5" customHeight="1" spans="1:9">
      <c r="A2367" s="79"/>
      <c r="B2367" s="79"/>
      <c r="C2367" s="79"/>
      <c r="D2367" s="81">
        <v>42747</v>
      </c>
      <c r="E2367" s="82">
        <v>8407.2</v>
      </c>
      <c r="G2367" s="79"/>
      <c r="H2367" s="79"/>
      <c r="I2367" s="79"/>
    </row>
    <row r="2368" s="78" customFormat="1" ht="16.5" customHeight="1" spans="1:9">
      <c r="A2368" s="79"/>
      <c r="B2368" s="79"/>
      <c r="C2368" s="79"/>
      <c r="D2368" s="81">
        <v>42746</v>
      </c>
      <c r="E2368" s="82">
        <v>8380.65</v>
      </c>
      <c r="G2368" s="79"/>
      <c r="H2368" s="79"/>
      <c r="I2368" s="79"/>
    </row>
    <row r="2369" s="78" customFormat="1" ht="16.5" customHeight="1" spans="1:9">
      <c r="A2369" s="79"/>
      <c r="B2369" s="79"/>
      <c r="C2369" s="79"/>
      <c r="D2369" s="81">
        <v>42745</v>
      </c>
      <c r="E2369" s="82">
        <v>8288.6</v>
      </c>
      <c r="G2369" s="79"/>
      <c r="H2369" s="79"/>
      <c r="I2369" s="79"/>
    </row>
    <row r="2370" s="78" customFormat="1" ht="16.5" customHeight="1" spans="1:9">
      <c r="A2370" s="79"/>
      <c r="B2370" s="79"/>
      <c r="C2370" s="79"/>
      <c r="D2370" s="81">
        <v>42744</v>
      </c>
      <c r="E2370" s="82">
        <v>8236.05</v>
      </c>
      <c r="G2370" s="79"/>
      <c r="H2370" s="79"/>
      <c r="I2370" s="79"/>
    </row>
    <row r="2371" s="78" customFormat="1" ht="16.5" customHeight="1" spans="1:9">
      <c r="A2371" s="79"/>
      <c r="B2371" s="79"/>
      <c r="C2371" s="79"/>
      <c r="D2371" s="81">
        <v>42741</v>
      </c>
      <c r="E2371" s="82">
        <v>8243.8</v>
      </c>
      <c r="G2371" s="79"/>
      <c r="H2371" s="79"/>
      <c r="I2371" s="79"/>
    </row>
    <row r="2372" s="78" customFormat="1" ht="16.5" customHeight="1" spans="1:9">
      <c r="A2372" s="79"/>
      <c r="B2372" s="79"/>
      <c r="C2372" s="79"/>
      <c r="D2372" s="81">
        <v>42740</v>
      </c>
      <c r="E2372" s="82">
        <v>8273.8</v>
      </c>
      <c r="G2372" s="79"/>
      <c r="H2372" s="79"/>
      <c r="I2372" s="79"/>
    </row>
    <row r="2373" s="78" customFormat="1" ht="16.5" customHeight="1" spans="1:9">
      <c r="A2373" s="79"/>
      <c r="B2373" s="79"/>
      <c r="C2373" s="79"/>
      <c r="D2373" s="81">
        <v>42739</v>
      </c>
      <c r="E2373" s="82">
        <v>8190.5</v>
      </c>
      <c r="G2373" s="79"/>
      <c r="H2373" s="79"/>
      <c r="I2373" s="79"/>
    </row>
    <row r="2374" s="78" customFormat="1" ht="16.5" customHeight="1" spans="1:9">
      <c r="A2374" s="79"/>
      <c r="B2374" s="79"/>
      <c r="C2374" s="79"/>
      <c r="D2374" s="81">
        <v>42738</v>
      </c>
      <c r="E2374" s="82">
        <v>8192.25</v>
      </c>
      <c r="G2374" s="79"/>
      <c r="H2374" s="79"/>
      <c r="I2374" s="79"/>
    </row>
    <row r="2375" s="78" customFormat="1" ht="16.5" customHeight="1" spans="1:9">
      <c r="A2375" s="79"/>
      <c r="B2375" s="79"/>
      <c r="C2375" s="79"/>
      <c r="D2375" s="81">
        <v>42737</v>
      </c>
      <c r="E2375" s="82">
        <v>8179.5</v>
      </c>
      <c r="G2375" s="79"/>
      <c r="H2375" s="79"/>
      <c r="I2375" s="79"/>
    </row>
    <row r="2376" s="78" customFormat="1" ht="16.5" customHeight="1" spans="1:9">
      <c r="A2376" s="79"/>
      <c r="B2376" s="79"/>
      <c r="C2376" s="79"/>
      <c r="D2376" s="81">
        <v>42734</v>
      </c>
      <c r="E2376" s="82">
        <v>8185.8</v>
      </c>
      <c r="G2376" s="79"/>
      <c r="H2376" s="79"/>
      <c r="I2376" s="79"/>
    </row>
    <row r="2377" s="78" customFormat="1" ht="16.5" customHeight="1" spans="1:9">
      <c r="A2377" s="79"/>
      <c r="B2377" s="79"/>
      <c r="C2377" s="79"/>
      <c r="D2377" s="81">
        <v>42733</v>
      </c>
      <c r="E2377" s="82">
        <v>8103.6</v>
      </c>
      <c r="G2377" s="79"/>
      <c r="H2377" s="79"/>
      <c r="I2377" s="79"/>
    </row>
    <row r="2378" s="78" customFormat="1" ht="16.5" customHeight="1" spans="1:9">
      <c r="A2378" s="79"/>
      <c r="B2378" s="79"/>
      <c r="C2378" s="79"/>
      <c r="D2378" s="81">
        <v>42732</v>
      </c>
      <c r="E2378" s="82">
        <v>8034.85</v>
      </c>
      <c r="G2378" s="79"/>
      <c r="H2378" s="79"/>
      <c r="I2378" s="79"/>
    </row>
    <row r="2379" s="78" customFormat="1" ht="16.5" customHeight="1" spans="1:9">
      <c r="A2379" s="79"/>
      <c r="B2379" s="79"/>
      <c r="C2379" s="79"/>
      <c r="D2379" s="81">
        <v>42731</v>
      </c>
      <c r="E2379" s="82">
        <v>8032.85</v>
      </c>
      <c r="G2379" s="79"/>
      <c r="H2379" s="79"/>
      <c r="I2379" s="79"/>
    </row>
    <row r="2380" s="78" customFormat="1" ht="16.5" customHeight="1" spans="1:9">
      <c r="A2380" s="79"/>
      <c r="B2380" s="79"/>
      <c r="C2380" s="79"/>
      <c r="D2380" s="81">
        <v>42730</v>
      </c>
      <c r="E2380" s="82">
        <v>7908.25</v>
      </c>
      <c r="G2380" s="79"/>
      <c r="H2380" s="79"/>
      <c r="I2380" s="79"/>
    </row>
    <row r="2381" s="78" customFormat="1" ht="16.5" customHeight="1" spans="1:9">
      <c r="A2381" s="79"/>
      <c r="B2381" s="79"/>
      <c r="C2381" s="79"/>
      <c r="D2381" s="81">
        <v>42727</v>
      </c>
      <c r="E2381" s="82">
        <v>7985.75</v>
      </c>
      <c r="G2381" s="79"/>
      <c r="H2381" s="79"/>
      <c r="I2381" s="79"/>
    </row>
    <row r="2382" s="78" customFormat="1" ht="16.5" customHeight="1" spans="1:9">
      <c r="A2382" s="79"/>
      <c r="B2382" s="79"/>
      <c r="C2382" s="79"/>
      <c r="D2382" s="81">
        <v>42726</v>
      </c>
      <c r="E2382" s="82">
        <v>7979.1</v>
      </c>
      <c r="G2382" s="79"/>
      <c r="H2382" s="79"/>
      <c r="I2382" s="79"/>
    </row>
    <row r="2383" s="78" customFormat="1" ht="16.5" customHeight="1" spans="1:9">
      <c r="A2383" s="79"/>
      <c r="B2383" s="79"/>
      <c r="C2383" s="79"/>
      <c r="D2383" s="81">
        <v>42725</v>
      </c>
      <c r="E2383" s="82">
        <v>8061.3</v>
      </c>
      <c r="G2383" s="79"/>
      <c r="H2383" s="79"/>
      <c r="I2383" s="79"/>
    </row>
    <row r="2384" s="78" customFormat="1" ht="16.5" customHeight="1" spans="1:9">
      <c r="A2384" s="79"/>
      <c r="B2384" s="79"/>
      <c r="C2384" s="79"/>
      <c r="D2384" s="81">
        <v>42724</v>
      </c>
      <c r="E2384" s="82">
        <v>8082.4</v>
      </c>
      <c r="G2384" s="79"/>
      <c r="H2384" s="79"/>
      <c r="I2384" s="79"/>
    </row>
    <row r="2385" s="78" customFormat="1" ht="16.5" customHeight="1" spans="1:9">
      <c r="A2385" s="79"/>
      <c r="B2385" s="79"/>
      <c r="C2385" s="79"/>
      <c r="D2385" s="81">
        <v>42723</v>
      </c>
      <c r="E2385" s="82">
        <v>8104.35</v>
      </c>
      <c r="G2385" s="79"/>
      <c r="H2385" s="79"/>
      <c r="I2385" s="79"/>
    </row>
    <row r="2386" s="78" customFormat="1" ht="16.5" customHeight="1" spans="1:9">
      <c r="A2386" s="79"/>
      <c r="B2386" s="79"/>
      <c r="C2386" s="79"/>
      <c r="D2386" s="81">
        <v>42720</v>
      </c>
      <c r="E2386" s="82">
        <v>8139.45</v>
      </c>
      <c r="G2386" s="79"/>
      <c r="H2386" s="79"/>
      <c r="I2386" s="79"/>
    </row>
    <row r="2387" s="78" customFormat="1" ht="16.5" customHeight="1" spans="1:9">
      <c r="A2387" s="79"/>
      <c r="B2387" s="79"/>
      <c r="C2387" s="79"/>
      <c r="D2387" s="81">
        <v>42719</v>
      </c>
      <c r="E2387" s="82">
        <v>8153.6</v>
      </c>
      <c r="G2387" s="79"/>
      <c r="H2387" s="79"/>
      <c r="I2387" s="79"/>
    </row>
    <row r="2388" s="78" customFormat="1" ht="16.5" customHeight="1" spans="1:9">
      <c r="A2388" s="79"/>
      <c r="B2388" s="79"/>
      <c r="C2388" s="79"/>
      <c r="D2388" s="81">
        <v>42718</v>
      </c>
      <c r="E2388" s="82">
        <v>8182.45</v>
      </c>
      <c r="G2388" s="79"/>
      <c r="H2388" s="79"/>
      <c r="I2388" s="79"/>
    </row>
    <row r="2389" s="78" customFormat="1" ht="16.5" customHeight="1" spans="1:9">
      <c r="A2389" s="79"/>
      <c r="B2389" s="79"/>
      <c r="C2389" s="79"/>
      <c r="D2389" s="81">
        <v>42717</v>
      </c>
      <c r="E2389" s="82">
        <v>8221.8</v>
      </c>
      <c r="G2389" s="79"/>
      <c r="H2389" s="79"/>
      <c r="I2389" s="79"/>
    </row>
    <row r="2390" s="78" customFormat="1" ht="16.5" customHeight="1" spans="1:9">
      <c r="A2390" s="79"/>
      <c r="B2390" s="79"/>
      <c r="C2390" s="79"/>
      <c r="D2390" s="81">
        <v>42716</v>
      </c>
      <c r="E2390" s="82">
        <v>8170.8</v>
      </c>
      <c r="G2390" s="79"/>
      <c r="H2390" s="79"/>
      <c r="I2390" s="79"/>
    </row>
    <row r="2391" s="78" customFormat="1" ht="16.5" customHeight="1" spans="1:9">
      <c r="A2391" s="79"/>
      <c r="B2391" s="79"/>
      <c r="C2391" s="79"/>
      <c r="D2391" s="81">
        <v>42713</v>
      </c>
      <c r="E2391" s="82">
        <v>8261.75</v>
      </c>
      <c r="G2391" s="79"/>
      <c r="H2391" s="79"/>
      <c r="I2391" s="79"/>
    </row>
    <row r="2392" s="78" customFormat="1" ht="16.5" customHeight="1" spans="1:9">
      <c r="A2392" s="79"/>
      <c r="B2392" s="79"/>
      <c r="C2392" s="79"/>
      <c r="D2392" s="81">
        <v>42712</v>
      </c>
      <c r="E2392" s="82">
        <v>8246.85</v>
      </c>
      <c r="G2392" s="79"/>
      <c r="H2392" s="79"/>
      <c r="I2392" s="79"/>
    </row>
    <row r="2393" s="78" customFormat="1" ht="16.5" customHeight="1" spans="1:9">
      <c r="A2393" s="79"/>
      <c r="B2393" s="79"/>
      <c r="C2393" s="79"/>
      <c r="D2393" s="81">
        <v>42711</v>
      </c>
      <c r="E2393" s="82">
        <v>8102.05</v>
      </c>
      <c r="G2393" s="79"/>
      <c r="H2393" s="79"/>
      <c r="I2393" s="79"/>
    </row>
    <row r="2394" s="78" customFormat="1" ht="16.5" customHeight="1" spans="1:9">
      <c r="A2394" s="79"/>
      <c r="B2394" s="79"/>
      <c r="C2394" s="79"/>
      <c r="D2394" s="81">
        <v>42710</v>
      </c>
      <c r="E2394" s="82">
        <v>8143.15</v>
      </c>
      <c r="G2394" s="79"/>
      <c r="H2394" s="79"/>
      <c r="I2394" s="79"/>
    </row>
    <row r="2395" s="78" customFormat="1" ht="16.5" customHeight="1" spans="1:9">
      <c r="A2395" s="79"/>
      <c r="B2395" s="79"/>
      <c r="C2395" s="79"/>
      <c r="D2395" s="81">
        <v>42709</v>
      </c>
      <c r="E2395" s="82">
        <v>8128.75</v>
      </c>
      <c r="G2395" s="79"/>
      <c r="H2395" s="79"/>
      <c r="I2395" s="79"/>
    </row>
    <row r="2396" s="78" customFormat="1" ht="16.5" customHeight="1" spans="1:9">
      <c r="A2396" s="79"/>
      <c r="B2396" s="79"/>
      <c r="C2396" s="79"/>
      <c r="D2396" s="81">
        <v>42706</v>
      </c>
      <c r="E2396" s="82">
        <v>8086.8</v>
      </c>
      <c r="G2396" s="79"/>
      <c r="H2396" s="79"/>
      <c r="I2396" s="79"/>
    </row>
    <row r="2397" s="78" customFormat="1" ht="16.5" customHeight="1" spans="1:9">
      <c r="A2397" s="79"/>
      <c r="B2397" s="79"/>
      <c r="C2397" s="79"/>
      <c r="D2397" s="81">
        <v>42705</v>
      </c>
      <c r="E2397" s="82">
        <v>8192.9</v>
      </c>
      <c r="G2397" s="79"/>
      <c r="H2397" s="79"/>
      <c r="I2397" s="79"/>
    </row>
    <row r="2398" s="78" customFormat="1" ht="16.5" customHeight="1" spans="1:9">
      <c r="A2398" s="79"/>
      <c r="B2398" s="79"/>
      <c r="C2398" s="79"/>
      <c r="D2398" s="81">
        <v>42704</v>
      </c>
      <c r="E2398" s="82">
        <v>8224.5</v>
      </c>
      <c r="G2398" s="79"/>
      <c r="H2398" s="79"/>
      <c r="I2398" s="79"/>
    </row>
    <row r="2399" s="78" customFormat="1" ht="16.5" customHeight="1" spans="1:9">
      <c r="A2399" s="79"/>
      <c r="B2399" s="79"/>
      <c r="C2399" s="79"/>
      <c r="D2399" s="81">
        <v>42703</v>
      </c>
      <c r="E2399" s="82">
        <v>8142.15</v>
      </c>
      <c r="G2399" s="79"/>
      <c r="H2399" s="79"/>
      <c r="I2399" s="79"/>
    </row>
    <row r="2400" s="78" customFormat="1" ht="16.5" customHeight="1" spans="1:9">
      <c r="A2400" s="79"/>
      <c r="B2400" s="79"/>
      <c r="C2400" s="79"/>
      <c r="D2400" s="81">
        <v>42702</v>
      </c>
      <c r="E2400" s="82">
        <v>8126.9</v>
      </c>
      <c r="G2400" s="79"/>
      <c r="H2400" s="79"/>
      <c r="I2400" s="79"/>
    </row>
    <row r="2401" s="78" customFormat="1" ht="16.5" customHeight="1" spans="1:9">
      <c r="A2401" s="79"/>
      <c r="B2401" s="79"/>
      <c r="C2401" s="79"/>
      <c r="D2401" s="81">
        <v>42699</v>
      </c>
      <c r="E2401" s="82">
        <v>8114.3</v>
      </c>
      <c r="G2401" s="79"/>
      <c r="H2401" s="79"/>
      <c r="I2401" s="79"/>
    </row>
    <row r="2402" s="78" customFormat="1" ht="16.5" customHeight="1" spans="1:9">
      <c r="A2402" s="79"/>
      <c r="B2402" s="79"/>
      <c r="C2402" s="79"/>
      <c r="D2402" s="81">
        <v>42698</v>
      </c>
      <c r="E2402" s="82">
        <v>7965.5</v>
      </c>
      <c r="G2402" s="79"/>
      <c r="H2402" s="79"/>
      <c r="I2402" s="79"/>
    </row>
    <row r="2403" s="78" customFormat="1" ht="16.5" customHeight="1" spans="1:9">
      <c r="A2403" s="79"/>
      <c r="B2403" s="79"/>
      <c r="C2403" s="79"/>
      <c r="D2403" s="81">
        <v>42697</v>
      </c>
      <c r="E2403" s="82">
        <v>8033.3</v>
      </c>
      <c r="G2403" s="79"/>
      <c r="H2403" s="79"/>
      <c r="I2403" s="79"/>
    </row>
    <row r="2404" s="78" customFormat="1" ht="16.5" customHeight="1" spans="1:9">
      <c r="A2404" s="79"/>
      <c r="B2404" s="79"/>
      <c r="C2404" s="79"/>
      <c r="D2404" s="81">
        <v>42696</v>
      </c>
      <c r="E2404" s="82">
        <v>8002.3</v>
      </c>
      <c r="G2404" s="79"/>
      <c r="H2404" s="79"/>
      <c r="I2404" s="79"/>
    </row>
    <row r="2405" s="78" customFormat="1" ht="16.5" customHeight="1" spans="1:9">
      <c r="A2405" s="79"/>
      <c r="B2405" s="79"/>
      <c r="C2405" s="79"/>
      <c r="D2405" s="81">
        <v>42695</v>
      </c>
      <c r="E2405" s="82">
        <v>7929.1</v>
      </c>
      <c r="G2405" s="79"/>
      <c r="H2405" s="79"/>
      <c r="I2405" s="79"/>
    </row>
    <row r="2406" s="78" customFormat="1" ht="16.5" customHeight="1" spans="1:9">
      <c r="A2406" s="79"/>
      <c r="B2406" s="79"/>
      <c r="C2406" s="79"/>
      <c r="D2406" s="81">
        <v>42692</v>
      </c>
      <c r="E2406" s="82">
        <v>8074.1</v>
      </c>
      <c r="G2406" s="79"/>
      <c r="H2406" s="79"/>
      <c r="I2406" s="79"/>
    </row>
    <row r="2407" s="78" customFormat="1" ht="16.5" customHeight="1" spans="1:9">
      <c r="A2407" s="79"/>
      <c r="B2407" s="79"/>
      <c r="C2407" s="79"/>
      <c r="D2407" s="81">
        <v>42691</v>
      </c>
      <c r="E2407" s="82">
        <v>8079.95</v>
      </c>
      <c r="G2407" s="79"/>
      <c r="H2407" s="79"/>
      <c r="I2407" s="79"/>
    </row>
    <row r="2408" s="78" customFormat="1" ht="16.5" customHeight="1" spans="1:9">
      <c r="A2408" s="79"/>
      <c r="B2408" s="79"/>
      <c r="C2408" s="79"/>
      <c r="D2408" s="81">
        <v>42690</v>
      </c>
      <c r="E2408" s="82">
        <v>8111.6</v>
      </c>
      <c r="G2408" s="79"/>
      <c r="H2408" s="79"/>
      <c r="I2408" s="79"/>
    </row>
    <row r="2409" s="78" customFormat="1" ht="16.5" customHeight="1" spans="1:9">
      <c r="A2409" s="79"/>
      <c r="B2409" s="79"/>
      <c r="C2409" s="79"/>
      <c r="D2409" s="81">
        <v>42689</v>
      </c>
      <c r="E2409" s="82">
        <v>8108.45</v>
      </c>
      <c r="G2409" s="79"/>
      <c r="H2409" s="79"/>
      <c r="I2409" s="79"/>
    </row>
    <row r="2410" s="78" customFormat="1" ht="16.5" customHeight="1" spans="1:9">
      <c r="A2410" s="79"/>
      <c r="B2410" s="79"/>
      <c r="C2410" s="79"/>
      <c r="D2410" s="81">
        <v>42685</v>
      </c>
      <c r="E2410" s="82">
        <v>8296.3</v>
      </c>
      <c r="G2410" s="79"/>
      <c r="H2410" s="79"/>
      <c r="I2410" s="79"/>
    </row>
    <row r="2411" s="78" customFormat="1" ht="16.5" customHeight="1" spans="1:9">
      <c r="A2411" s="79"/>
      <c r="B2411" s="79"/>
      <c r="C2411" s="79"/>
      <c r="D2411" s="81">
        <v>42684</v>
      </c>
      <c r="E2411" s="82">
        <v>8525.75</v>
      </c>
      <c r="G2411" s="79"/>
      <c r="H2411" s="79"/>
      <c r="I2411" s="79"/>
    </row>
    <row r="2412" s="78" customFormat="1" ht="16.5" customHeight="1" spans="1:9">
      <c r="A2412" s="79"/>
      <c r="B2412" s="79"/>
      <c r="C2412" s="79"/>
      <c r="D2412" s="81">
        <v>42683</v>
      </c>
      <c r="E2412" s="82">
        <v>8432</v>
      </c>
      <c r="G2412" s="79"/>
      <c r="H2412" s="79"/>
      <c r="I2412" s="79"/>
    </row>
    <row r="2413" s="78" customFormat="1" ht="16.5" customHeight="1" spans="1:9">
      <c r="A2413" s="79"/>
      <c r="B2413" s="79"/>
      <c r="C2413" s="79"/>
      <c r="D2413" s="81">
        <v>42682</v>
      </c>
      <c r="E2413" s="82">
        <v>8543.55</v>
      </c>
      <c r="G2413" s="79"/>
      <c r="H2413" s="79"/>
      <c r="I2413" s="79"/>
    </row>
    <row r="2414" s="78" customFormat="1" ht="16.5" customHeight="1" spans="1:9">
      <c r="A2414" s="79"/>
      <c r="B2414" s="79"/>
      <c r="C2414" s="79"/>
      <c r="D2414" s="81">
        <v>42681</v>
      </c>
      <c r="E2414" s="82">
        <v>8497.05</v>
      </c>
      <c r="G2414" s="79"/>
      <c r="H2414" s="79"/>
      <c r="I2414" s="79"/>
    </row>
    <row r="2415" s="78" customFormat="1" ht="16.5" customHeight="1" spans="1:9">
      <c r="A2415" s="79"/>
      <c r="B2415" s="79"/>
      <c r="C2415" s="79"/>
      <c r="D2415" s="81">
        <v>42678</v>
      </c>
      <c r="E2415" s="82">
        <v>8433.75</v>
      </c>
      <c r="G2415" s="79"/>
      <c r="H2415" s="79"/>
      <c r="I2415" s="79"/>
    </row>
    <row r="2416" s="78" customFormat="1" ht="16.5" customHeight="1" spans="1:9">
      <c r="A2416" s="79"/>
      <c r="B2416" s="79"/>
      <c r="C2416" s="79"/>
      <c r="D2416" s="81">
        <v>42677</v>
      </c>
      <c r="E2416" s="82">
        <v>8484.95</v>
      </c>
      <c r="G2416" s="79"/>
      <c r="H2416" s="79"/>
      <c r="I2416" s="79"/>
    </row>
    <row r="2417" s="78" customFormat="1" ht="16.5" customHeight="1" spans="1:9">
      <c r="A2417" s="79"/>
      <c r="B2417" s="79"/>
      <c r="C2417" s="79"/>
      <c r="D2417" s="81">
        <v>42676</v>
      </c>
      <c r="E2417" s="82">
        <v>8514</v>
      </c>
      <c r="G2417" s="79"/>
      <c r="H2417" s="79"/>
      <c r="I2417" s="79"/>
    </row>
    <row r="2418" s="78" customFormat="1" ht="16.5" customHeight="1" spans="1:9">
      <c r="A2418" s="79"/>
      <c r="B2418" s="79"/>
      <c r="C2418" s="79"/>
      <c r="D2418" s="81">
        <v>42675</v>
      </c>
      <c r="E2418" s="82">
        <v>8626.25</v>
      </c>
      <c r="G2418" s="79"/>
      <c r="H2418" s="79"/>
      <c r="I2418" s="79"/>
    </row>
    <row r="2419" s="78" customFormat="1" ht="16.5" customHeight="1" spans="1:9">
      <c r="A2419" s="79"/>
      <c r="B2419" s="79"/>
      <c r="C2419" s="79"/>
      <c r="D2419" s="81">
        <v>42673</v>
      </c>
      <c r="E2419" s="82">
        <v>8625.7</v>
      </c>
      <c r="G2419" s="79"/>
      <c r="H2419" s="79"/>
      <c r="I2419" s="79"/>
    </row>
    <row r="2420" s="78" customFormat="1" ht="16.5" customHeight="1" spans="1:9">
      <c r="A2420" s="79"/>
      <c r="B2420" s="79"/>
      <c r="C2420" s="79"/>
      <c r="D2420" s="81">
        <v>42671</v>
      </c>
      <c r="E2420" s="82">
        <v>8638</v>
      </c>
      <c r="G2420" s="79"/>
      <c r="H2420" s="79"/>
      <c r="I2420" s="79"/>
    </row>
    <row r="2421" s="78" customFormat="1" ht="16.5" customHeight="1" spans="1:9">
      <c r="A2421" s="79"/>
      <c r="B2421" s="79"/>
      <c r="C2421" s="79"/>
      <c r="D2421" s="81">
        <v>42670</v>
      </c>
      <c r="E2421" s="82">
        <v>8615.25</v>
      </c>
      <c r="G2421" s="79"/>
      <c r="H2421" s="79"/>
      <c r="I2421" s="79"/>
    </row>
    <row r="2422" s="78" customFormat="1" ht="16.5" customHeight="1" spans="1:9">
      <c r="A2422" s="79"/>
      <c r="B2422" s="79"/>
      <c r="C2422" s="79"/>
      <c r="D2422" s="81">
        <v>42669</v>
      </c>
      <c r="E2422" s="82">
        <v>8615.25</v>
      </c>
      <c r="G2422" s="79"/>
      <c r="H2422" s="79"/>
      <c r="I2422" s="79"/>
    </row>
    <row r="2423" s="78" customFormat="1" ht="16.5" customHeight="1" spans="1:9">
      <c r="A2423" s="79"/>
      <c r="B2423" s="79"/>
      <c r="C2423" s="79"/>
      <c r="D2423" s="81">
        <v>42668</v>
      </c>
      <c r="E2423" s="82">
        <v>8691.3</v>
      </c>
      <c r="G2423" s="79"/>
      <c r="H2423" s="79"/>
      <c r="I2423" s="79"/>
    </row>
    <row r="2424" s="78" customFormat="1" ht="16.5" customHeight="1" spans="1:9">
      <c r="A2424" s="79"/>
      <c r="B2424" s="79"/>
      <c r="C2424" s="79"/>
      <c r="D2424" s="81">
        <v>42667</v>
      </c>
      <c r="E2424" s="82">
        <v>8708.95</v>
      </c>
      <c r="G2424" s="79"/>
      <c r="H2424" s="79"/>
      <c r="I2424" s="79"/>
    </row>
    <row r="2425" s="78" customFormat="1" ht="16.5" customHeight="1" spans="1:9">
      <c r="A2425" s="79"/>
      <c r="B2425" s="79"/>
      <c r="C2425" s="79"/>
      <c r="D2425" s="81">
        <v>42664</v>
      </c>
      <c r="E2425" s="82">
        <v>8693.05</v>
      </c>
      <c r="G2425" s="79"/>
      <c r="H2425" s="79"/>
      <c r="I2425" s="79"/>
    </row>
    <row r="2426" s="78" customFormat="1" ht="16.5" customHeight="1" spans="1:9">
      <c r="A2426" s="79"/>
      <c r="B2426" s="79"/>
      <c r="C2426" s="79"/>
      <c r="D2426" s="81">
        <v>42663</v>
      </c>
      <c r="E2426" s="82">
        <v>8699.4</v>
      </c>
      <c r="G2426" s="79"/>
      <c r="H2426" s="79"/>
      <c r="I2426" s="79"/>
    </row>
    <row r="2427" s="78" customFormat="1" ht="16.5" customHeight="1" spans="1:9">
      <c r="A2427" s="79"/>
      <c r="B2427" s="79"/>
      <c r="C2427" s="79"/>
      <c r="D2427" s="81">
        <v>42662</v>
      </c>
      <c r="E2427" s="82">
        <v>8659.1</v>
      </c>
      <c r="G2427" s="79"/>
      <c r="H2427" s="79"/>
      <c r="I2427" s="79"/>
    </row>
    <row r="2428" s="78" customFormat="1" ht="16.5" customHeight="1" spans="1:9">
      <c r="A2428" s="79"/>
      <c r="B2428" s="79"/>
      <c r="C2428" s="79"/>
      <c r="D2428" s="81">
        <v>42661</v>
      </c>
      <c r="E2428" s="82">
        <v>8677.9</v>
      </c>
      <c r="G2428" s="79"/>
      <c r="H2428" s="79"/>
      <c r="I2428" s="79"/>
    </row>
    <row r="2429" s="78" customFormat="1" ht="16.5" customHeight="1" spans="1:9">
      <c r="A2429" s="79"/>
      <c r="B2429" s="79"/>
      <c r="C2429" s="79"/>
      <c r="D2429" s="81">
        <v>42660</v>
      </c>
      <c r="E2429" s="82">
        <v>8520.4</v>
      </c>
      <c r="G2429" s="79"/>
      <c r="H2429" s="79"/>
      <c r="I2429" s="79"/>
    </row>
    <row r="2430" s="78" customFormat="1" ht="16.5" customHeight="1" spans="1:9">
      <c r="A2430" s="79"/>
      <c r="B2430" s="79"/>
      <c r="C2430" s="79"/>
      <c r="D2430" s="81">
        <v>42657</v>
      </c>
      <c r="E2430" s="82">
        <v>8583.4</v>
      </c>
      <c r="G2430" s="79"/>
      <c r="H2430" s="79"/>
      <c r="I2430" s="79"/>
    </row>
    <row r="2431" s="78" customFormat="1" ht="16.5" customHeight="1" spans="1:9">
      <c r="A2431" s="79"/>
      <c r="B2431" s="79"/>
      <c r="C2431" s="79"/>
      <c r="D2431" s="81">
        <v>42656</v>
      </c>
      <c r="E2431" s="82">
        <v>8573.35</v>
      </c>
      <c r="G2431" s="79"/>
      <c r="H2431" s="79"/>
      <c r="I2431" s="79"/>
    </row>
    <row r="2432" s="78" customFormat="1" ht="16.5" customHeight="1" spans="1:9">
      <c r="A2432" s="79"/>
      <c r="B2432" s="79"/>
      <c r="C2432" s="79"/>
      <c r="D2432" s="81">
        <v>42653</v>
      </c>
      <c r="E2432" s="82">
        <v>8708.8</v>
      </c>
      <c r="G2432" s="79"/>
      <c r="H2432" s="79"/>
      <c r="I2432" s="79"/>
    </row>
    <row r="2433" s="78" customFormat="1" ht="16.5" customHeight="1" spans="1:9">
      <c r="A2433" s="79"/>
      <c r="B2433" s="79"/>
      <c r="C2433" s="79"/>
      <c r="D2433" s="81">
        <v>42650</v>
      </c>
      <c r="E2433" s="82">
        <v>8697.6</v>
      </c>
      <c r="G2433" s="79"/>
      <c r="H2433" s="79"/>
      <c r="I2433" s="79"/>
    </row>
    <row r="2434" s="78" customFormat="1" ht="16.5" customHeight="1" spans="1:9">
      <c r="A2434" s="79"/>
      <c r="B2434" s="79"/>
      <c r="C2434" s="79"/>
      <c r="D2434" s="81">
        <v>42649</v>
      </c>
      <c r="E2434" s="82">
        <v>8709.55</v>
      </c>
      <c r="G2434" s="79"/>
      <c r="H2434" s="79"/>
      <c r="I2434" s="79"/>
    </row>
    <row r="2435" s="78" customFormat="1" ht="16.5" customHeight="1" spans="1:9">
      <c r="A2435" s="79"/>
      <c r="B2435" s="79"/>
      <c r="C2435" s="79"/>
      <c r="D2435" s="81">
        <v>42648</v>
      </c>
      <c r="E2435" s="82">
        <v>8743.95</v>
      </c>
      <c r="G2435" s="79"/>
      <c r="H2435" s="79"/>
      <c r="I2435" s="79"/>
    </row>
    <row r="2436" s="78" customFormat="1" ht="16.5" customHeight="1" spans="1:9">
      <c r="A2436" s="79"/>
      <c r="B2436" s="79"/>
      <c r="C2436" s="79"/>
      <c r="D2436" s="81">
        <v>42647</v>
      </c>
      <c r="E2436" s="82">
        <v>8769.15</v>
      </c>
      <c r="G2436" s="79"/>
      <c r="H2436" s="79"/>
      <c r="I2436" s="79"/>
    </row>
    <row r="2437" s="78" customFormat="1" ht="16.5" customHeight="1" spans="1:9">
      <c r="A2437" s="79"/>
      <c r="B2437" s="79"/>
      <c r="C2437" s="79"/>
      <c r="D2437" s="81">
        <v>42646</v>
      </c>
      <c r="E2437" s="82">
        <v>8738.1</v>
      </c>
      <c r="G2437" s="79"/>
      <c r="H2437" s="79"/>
      <c r="I2437" s="79"/>
    </row>
    <row r="2438" s="78" customFormat="1" ht="16.5" customHeight="1" spans="1:9">
      <c r="A2438" s="79"/>
      <c r="B2438" s="79"/>
      <c r="C2438" s="79"/>
      <c r="D2438" s="81">
        <v>42643</v>
      </c>
      <c r="E2438" s="82">
        <v>8611.15</v>
      </c>
      <c r="G2438" s="79"/>
      <c r="H2438" s="79"/>
      <c r="I2438" s="79"/>
    </row>
    <row r="2439" s="78" customFormat="1" ht="16.5" customHeight="1" spans="1:9">
      <c r="A2439" s="79"/>
      <c r="B2439" s="79"/>
      <c r="C2439" s="79"/>
      <c r="D2439" s="81">
        <v>42642</v>
      </c>
      <c r="E2439" s="82">
        <v>8591.25</v>
      </c>
      <c r="G2439" s="79"/>
      <c r="H2439" s="79"/>
      <c r="I2439" s="79"/>
    </row>
    <row r="2440" s="78" customFormat="1" ht="16.5" customHeight="1" spans="1:9">
      <c r="A2440" s="79"/>
      <c r="B2440" s="79"/>
      <c r="C2440" s="79"/>
      <c r="D2440" s="81">
        <v>42641</v>
      </c>
      <c r="E2440" s="82">
        <v>8745.15</v>
      </c>
      <c r="G2440" s="79"/>
      <c r="H2440" s="79"/>
      <c r="I2440" s="79"/>
    </row>
    <row r="2441" s="78" customFormat="1" ht="16.5" customHeight="1" spans="1:9">
      <c r="A2441" s="79"/>
      <c r="B2441" s="79"/>
      <c r="C2441" s="79"/>
      <c r="D2441" s="81">
        <v>42640</v>
      </c>
      <c r="E2441" s="82">
        <v>8706.4</v>
      </c>
      <c r="G2441" s="79"/>
      <c r="H2441" s="79"/>
      <c r="I2441" s="79"/>
    </row>
    <row r="2442" s="78" customFormat="1" ht="16.5" customHeight="1" spans="1:9">
      <c r="A2442" s="79"/>
      <c r="B2442" s="79"/>
      <c r="C2442" s="79"/>
      <c r="D2442" s="81">
        <v>42639</v>
      </c>
      <c r="E2442" s="82">
        <v>8723.05</v>
      </c>
      <c r="G2442" s="79"/>
      <c r="H2442" s="79"/>
      <c r="I2442" s="79"/>
    </row>
    <row r="2443" s="78" customFormat="1" ht="16.5" customHeight="1" spans="1:9">
      <c r="A2443" s="79"/>
      <c r="B2443" s="79"/>
      <c r="C2443" s="79"/>
      <c r="D2443" s="81">
        <v>42636</v>
      </c>
      <c r="E2443" s="82">
        <v>8831.55</v>
      </c>
      <c r="G2443" s="79"/>
      <c r="H2443" s="79"/>
      <c r="I2443" s="79"/>
    </row>
    <row r="2444" s="78" customFormat="1" ht="16.5" customHeight="1" spans="1:9">
      <c r="A2444" s="79"/>
      <c r="B2444" s="79"/>
      <c r="C2444" s="79"/>
      <c r="D2444" s="81">
        <v>42635</v>
      </c>
      <c r="E2444" s="82">
        <v>8867.45</v>
      </c>
      <c r="G2444" s="79"/>
      <c r="H2444" s="79"/>
      <c r="I2444" s="79"/>
    </row>
    <row r="2445" s="78" customFormat="1" ht="16.5" customHeight="1" spans="1:9">
      <c r="A2445" s="79"/>
      <c r="B2445" s="79"/>
      <c r="C2445" s="79"/>
      <c r="D2445" s="81">
        <v>42634</v>
      </c>
      <c r="E2445" s="82">
        <v>8777.15</v>
      </c>
      <c r="G2445" s="79"/>
      <c r="H2445" s="79"/>
      <c r="I2445" s="79"/>
    </row>
    <row r="2446" s="78" customFormat="1" ht="16.5" customHeight="1" spans="1:9">
      <c r="A2446" s="79"/>
      <c r="B2446" s="79"/>
      <c r="C2446" s="79"/>
      <c r="D2446" s="81">
        <v>42633</v>
      </c>
      <c r="E2446" s="82">
        <v>8775.9</v>
      </c>
      <c r="G2446" s="79"/>
      <c r="H2446" s="79"/>
      <c r="I2446" s="79"/>
    </row>
    <row r="2447" s="78" customFormat="1" ht="16.5" customHeight="1" spans="1:9">
      <c r="A2447" s="79"/>
      <c r="B2447" s="79"/>
      <c r="C2447" s="79"/>
      <c r="D2447" s="81">
        <v>42632</v>
      </c>
      <c r="E2447" s="82">
        <v>8808.4</v>
      </c>
      <c r="G2447" s="79"/>
      <c r="H2447" s="79"/>
      <c r="I2447" s="79"/>
    </row>
    <row r="2448" s="78" customFormat="1" ht="16.5" customHeight="1" spans="1:9">
      <c r="A2448" s="79"/>
      <c r="B2448" s="79"/>
      <c r="C2448" s="79"/>
      <c r="D2448" s="81">
        <v>42629</v>
      </c>
      <c r="E2448" s="82">
        <v>8779.85</v>
      </c>
      <c r="G2448" s="79"/>
      <c r="H2448" s="79"/>
      <c r="I2448" s="79"/>
    </row>
    <row r="2449" s="78" customFormat="1" ht="16.5" customHeight="1" spans="1:9">
      <c r="A2449" s="79"/>
      <c r="B2449" s="79"/>
      <c r="C2449" s="79"/>
      <c r="D2449" s="81">
        <v>42628</v>
      </c>
      <c r="E2449" s="82">
        <v>8742.55</v>
      </c>
      <c r="G2449" s="79"/>
      <c r="H2449" s="79"/>
      <c r="I2449" s="79"/>
    </row>
    <row r="2450" s="78" customFormat="1" ht="16.5" customHeight="1" spans="1:9">
      <c r="A2450" s="79"/>
      <c r="B2450" s="79"/>
      <c r="C2450" s="79"/>
      <c r="D2450" s="81">
        <v>42627</v>
      </c>
      <c r="E2450" s="82">
        <v>8726.6</v>
      </c>
      <c r="G2450" s="79"/>
      <c r="H2450" s="79"/>
      <c r="I2450" s="79"/>
    </row>
    <row r="2451" s="78" customFormat="1" ht="16.5" customHeight="1" spans="1:9">
      <c r="A2451" s="79"/>
      <c r="B2451" s="79"/>
      <c r="C2451" s="79"/>
      <c r="D2451" s="81">
        <v>42625</v>
      </c>
      <c r="E2451" s="82">
        <v>8715.6</v>
      </c>
      <c r="G2451" s="79"/>
      <c r="H2451" s="79"/>
      <c r="I2451" s="79"/>
    </row>
    <row r="2452" s="78" customFormat="1" ht="16.5" customHeight="1" spans="1:9">
      <c r="A2452" s="79"/>
      <c r="B2452" s="79"/>
      <c r="C2452" s="79"/>
      <c r="D2452" s="81">
        <v>42622</v>
      </c>
      <c r="E2452" s="82">
        <v>8866.7</v>
      </c>
      <c r="G2452" s="79"/>
      <c r="H2452" s="79"/>
      <c r="I2452" s="79"/>
    </row>
    <row r="2453" s="78" customFormat="1" ht="16.5" customHeight="1" spans="1:9">
      <c r="A2453" s="79"/>
      <c r="B2453" s="79"/>
      <c r="C2453" s="79"/>
      <c r="D2453" s="81">
        <v>42621</v>
      </c>
      <c r="E2453" s="82">
        <v>8952.5</v>
      </c>
      <c r="G2453" s="79"/>
      <c r="H2453" s="79"/>
      <c r="I2453" s="79"/>
    </row>
    <row r="2454" s="78" customFormat="1" ht="16.5" customHeight="1" spans="1:9">
      <c r="A2454" s="79"/>
      <c r="B2454" s="79"/>
      <c r="C2454" s="79"/>
      <c r="D2454" s="81">
        <v>42620</v>
      </c>
      <c r="E2454" s="82">
        <v>8917.95</v>
      </c>
      <c r="G2454" s="79"/>
      <c r="H2454" s="79"/>
      <c r="I2454" s="79"/>
    </row>
    <row r="2455" s="78" customFormat="1" ht="16.5" customHeight="1" spans="1:9">
      <c r="A2455" s="79"/>
      <c r="B2455" s="79"/>
      <c r="C2455" s="79"/>
      <c r="D2455" s="81">
        <v>42619</v>
      </c>
      <c r="E2455" s="82">
        <v>8943</v>
      </c>
      <c r="G2455" s="79"/>
      <c r="H2455" s="79"/>
      <c r="I2455" s="79"/>
    </row>
    <row r="2456" s="78" customFormat="1" ht="16.5" customHeight="1" spans="1:9">
      <c r="A2456" s="79"/>
      <c r="B2456" s="79"/>
      <c r="C2456" s="79"/>
      <c r="D2456" s="81">
        <v>42615</v>
      </c>
      <c r="E2456" s="82">
        <v>8809.65</v>
      </c>
      <c r="G2456" s="79"/>
      <c r="H2456" s="79"/>
      <c r="I2456" s="79"/>
    </row>
    <row r="2457" s="78" customFormat="1" ht="16.5" customHeight="1" spans="1:9">
      <c r="A2457" s="79"/>
      <c r="B2457" s="79"/>
      <c r="C2457" s="79"/>
      <c r="D2457" s="81">
        <v>42614</v>
      </c>
      <c r="E2457" s="82">
        <v>8774.65</v>
      </c>
      <c r="G2457" s="79"/>
      <c r="H2457" s="79"/>
      <c r="I2457" s="79"/>
    </row>
    <row r="2458" s="78" customFormat="1" ht="16.5" customHeight="1" spans="1:9">
      <c r="A2458" s="79"/>
      <c r="B2458" s="79"/>
      <c r="C2458" s="79"/>
      <c r="D2458" s="81">
        <v>42613</v>
      </c>
      <c r="E2458" s="82">
        <v>8786.2</v>
      </c>
      <c r="G2458" s="79"/>
      <c r="H2458" s="79"/>
      <c r="I2458" s="79"/>
    </row>
    <row r="2459" s="78" customFormat="1" ht="16.5" customHeight="1" spans="1:9">
      <c r="A2459" s="79"/>
      <c r="B2459" s="79"/>
      <c r="C2459" s="79"/>
      <c r="D2459" s="81">
        <v>42612</v>
      </c>
      <c r="E2459" s="82">
        <v>8744.35</v>
      </c>
      <c r="G2459" s="79"/>
      <c r="H2459" s="79"/>
      <c r="I2459" s="79"/>
    </row>
    <row r="2460" s="78" customFormat="1" ht="16.5" customHeight="1" spans="1:9">
      <c r="A2460" s="79"/>
      <c r="B2460" s="79"/>
      <c r="C2460" s="79"/>
      <c r="D2460" s="81">
        <v>42611</v>
      </c>
      <c r="E2460" s="82">
        <v>8607.45</v>
      </c>
      <c r="G2460" s="79"/>
      <c r="H2460" s="79"/>
      <c r="I2460" s="79"/>
    </row>
    <row r="2461" s="78" customFormat="1" ht="16.5" customHeight="1" spans="1:9">
      <c r="A2461" s="79"/>
      <c r="B2461" s="79"/>
      <c r="C2461" s="79"/>
      <c r="D2461" s="81">
        <v>42608</v>
      </c>
      <c r="E2461" s="82">
        <v>8572.55</v>
      </c>
      <c r="G2461" s="79"/>
      <c r="H2461" s="79"/>
      <c r="I2461" s="79"/>
    </row>
    <row r="2462" s="78" customFormat="1" ht="16.5" customHeight="1" spans="1:9">
      <c r="A2462" s="79"/>
      <c r="B2462" s="79"/>
      <c r="C2462" s="79"/>
      <c r="D2462" s="81">
        <v>42607</v>
      </c>
      <c r="E2462" s="82">
        <v>8592.2</v>
      </c>
      <c r="G2462" s="79"/>
      <c r="H2462" s="79"/>
      <c r="I2462" s="79"/>
    </row>
    <row r="2463" s="78" customFormat="1" ht="16.5" customHeight="1" spans="1:9">
      <c r="A2463" s="79"/>
      <c r="B2463" s="79"/>
      <c r="C2463" s="79"/>
      <c r="D2463" s="81">
        <v>42606</v>
      </c>
      <c r="E2463" s="82">
        <v>8650.3</v>
      </c>
      <c r="G2463" s="79"/>
      <c r="H2463" s="79"/>
      <c r="I2463" s="79"/>
    </row>
    <row r="2464" s="78" customFormat="1" ht="16.5" customHeight="1" spans="1:9">
      <c r="A2464" s="79"/>
      <c r="B2464" s="79"/>
      <c r="C2464" s="79"/>
      <c r="D2464" s="81">
        <v>42605</v>
      </c>
      <c r="E2464" s="82">
        <v>8632.6</v>
      </c>
      <c r="G2464" s="79"/>
      <c r="H2464" s="79"/>
      <c r="I2464" s="79"/>
    </row>
    <row r="2465" s="78" customFormat="1" ht="16.5" customHeight="1" spans="1:9">
      <c r="A2465" s="79"/>
      <c r="B2465" s="79"/>
      <c r="C2465" s="79"/>
      <c r="D2465" s="81">
        <v>42604</v>
      </c>
      <c r="E2465" s="82">
        <v>8629.15</v>
      </c>
      <c r="G2465" s="79"/>
      <c r="H2465" s="79"/>
      <c r="I2465" s="79"/>
    </row>
    <row r="2466" s="78" customFormat="1" ht="16.5" customHeight="1" spans="1:9">
      <c r="A2466" s="79"/>
      <c r="B2466" s="79"/>
      <c r="C2466" s="79"/>
      <c r="D2466" s="81">
        <v>42601</v>
      </c>
      <c r="E2466" s="82">
        <v>8666.9</v>
      </c>
      <c r="G2466" s="79"/>
      <c r="H2466" s="79"/>
      <c r="I2466" s="79"/>
    </row>
    <row r="2467" s="78" customFormat="1" ht="16.5" customHeight="1" spans="1:9">
      <c r="A2467" s="79"/>
      <c r="B2467" s="79"/>
      <c r="C2467" s="79"/>
      <c r="D2467" s="81">
        <v>42600</v>
      </c>
      <c r="E2467" s="82">
        <v>8673.25</v>
      </c>
      <c r="G2467" s="79"/>
      <c r="H2467" s="79"/>
      <c r="I2467" s="79"/>
    </row>
    <row r="2468" s="78" customFormat="1" ht="16.5" customHeight="1" spans="1:9">
      <c r="A2468" s="79"/>
      <c r="B2468" s="79"/>
      <c r="C2468" s="79"/>
      <c r="D2468" s="81">
        <v>42599</v>
      </c>
      <c r="E2468" s="82">
        <v>8624.05</v>
      </c>
      <c r="G2468" s="79"/>
      <c r="H2468" s="79"/>
      <c r="I2468" s="79"/>
    </row>
    <row r="2469" s="78" customFormat="1" ht="16.5" customHeight="1" spans="1:9">
      <c r="A2469" s="79"/>
      <c r="B2469" s="79"/>
      <c r="C2469" s="79"/>
      <c r="D2469" s="81">
        <v>42598</v>
      </c>
      <c r="E2469" s="82">
        <v>8642.55</v>
      </c>
      <c r="G2469" s="79"/>
      <c r="H2469" s="79"/>
      <c r="I2469" s="79"/>
    </row>
    <row r="2470" s="78" customFormat="1" ht="16.5" customHeight="1" spans="1:9">
      <c r="A2470" s="79"/>
      <c r="B2470" s="79"/>
      <c r="C2470" s="79"/>
      <c r="D2470" s="81">
        <v>42594</v>
      </c>
      <c r="E2470" s="82">
        <v>8672.15</v>
      </c>
      <c r="G2470" s="79"/>
      <c r="H2470" s="79"/>
      <c r="I2470" s="79"/>
    </row>
    <row r="2471" s="78" customFormat="1" ht="16.5" customHeight="1" spans="1:9">
      <c r="A2471" s="79"/>
      <c r="B2471" s="79"/>
      <c r="C2471" s="79"/>
      <c r="D2471" s="81">
        <v>42593</v>
      </c>
      <c r="E2471" s="82">
        <v>8592.15</v>
      </c>
      <c r="G2471" s="79"/>
      <c r="H2471" s="79"/>
      <c r="I2471" s="79"/>
    </row>
    <row r="2472" s="78" customFormat="1" ht="16.5" customHeight="1" spans="1:9">
      <c r="A2472" s="79"/>
      <c r="B2472" s="79"/>
      <c r="C2472" s="79"/>
      <c r="D2472" s="81">
        <v>42592</v>
      </c>
      <c r="E2472" s="82">
        <v>8575.3</v>
      </c>
      <c r="G2472" s="79"/>
      <c r="H2472" s="79"/>
      <c r="I2472" s="79"/>
    </row>
    <row r="2473" s="78" customFormat="1" ht="16.5" customHeight="1" spans="1:9">
      <c r="A2473" s="79"/>
      <c r="B2473" s="79"/>
      <c r="C2473" s="79"/>
      <c r="D2473" s="81">
        <v>42591</v>
      </c>
      <c r="E2473" s="82">
        <v>8678.25</v>
      </c>
      <c r="G2473" s="79"/>
      <c r="H2473" s="79"/>
      <c r="I2473" s="79"/>
    </row>
    <row r="2474" s="78" customFormat="1" ht="16.5" customHeight="1" spans="1:9">
      <c r="A2474" s="79"/>
      <c r="B2474" s="79"/>
      <c r="C2474" s="79"/>
      <c r="D2474" s="81">
        <v>42590</v>
      </c>
      <c r="E2474" s="82">
        <v>8711.35</v>
      </c>
      <c r="G2474" s="79"/>
      <c r="H2474" s="79"/>
      <c r="I2474" s="79"/>
    </row>
    <row r="2475" s="78" customFormat="1" ht="16.5" customHeight="1" spans="1:9">
      <c r="A2475" s="79"/>
      <c r="B2475" s="79"/>
      <c r="C2475" s="79"/>
      <c r="D2475" s="81">
        <v>42587</v>
      </c>
      <c r="E2475" s="82">
        <v>8683.15</v>
      </c>
      <c r="G2475" s="79"/>
      <c r="H2475" s="79"/>
      <c r="I2475" s="79"/>
    </row>
    <row r="2476" s="78" customFormat="1" ht="16.5" customHeight="1" spans="1:9">
      <c r="A2476" s="79"/>
      <c r="B2476" s="79"/>
      <c r="C2476" s="79"/>
      <c r="D2476" s="81">
        <v>42586</v>
      </c>
      <c r="E2476" s="82">
        <v>8551.1</v>
      </c>
      <c r="G2476" s="79"/>
      <c r="H2476" s="79"/>
      <c r="I2476" s="79"/>
    </row>
    <row r="2477" s="78" customFormat="1" ht="16.5" customHeight="1" spans="1:9">
      <c r="A2477" s="79"/>
      <c r="B2477" s="79"/>
      <c r="C2477" s="79"/>
      <c r="D2477" s="81">
        <v>42585</v>
      </c>
      <c r="E2477" s="82">
        <v>8544.85</v>
      </c>
      <c r="G2477" s="79"/>
      <c r="H2477" s="79"/>
      <c r="I2477" s="79"/>
    </row>
    <row r="2478" s="78" customFormat="1" ht="16.5" customHeight="1" spans="1:9">
      <c r="A2478" s="79"/>
      <c r="B2478" s="79"/>
      <c r="C2478" s="79"/>
      <c r="D2478" s="81">
        <v>42584</v>
      </c>
      <c r="E2478" s="82">
        <v>8622.9</v>
      </c>
      <c r="G2478" s="79"/>
      <c r="H2478" s="79"/>
      <c r="I2478" s="79"/>
    </row>
    <row r="2479" s="78" customFormat="1" ht="16.5" customHeight="1" spans="1:9">
      <c r="A2479" s="79"/>
      <c r="B2479" s="79"/>
      <c r="C2479" s="79"/>
      <c r="D2479" s="81">
        <v>42583</v>
      </c>
      <c r="E2479" s="82">
        <v>8636.55</v>
      </c>
      <c r="G2479" s="79"/>
      <c r="H2479" s="79"/>
      <c r="I2479" s="79"/>
    </row>
    <row r="2480" s="78" customFormat="1" ht="16.5" customHeight="1" spans="1:9">
      <c r="A2480" s="79"/>
      <c r="B2480" s="79"/>
      <c r="C2480" s="79"/>
      <c r="D2480" s="81">
        <v>42580</v>
      </c>
      <c r="E2480" s="82">
        <v>8638.5</v>
      </c>
      <c r="G2480" s="79"/>
      <c r="H2480" s="79"/>
      <c r="I2480" s="79"/>
    </row>
    <row r="2481" s="78" customFormat="1" ht="16.5" customHeight="1" spans="1:9">
      <c r="A2481" s="79"/>
      <c r="B2481" s="79"/>
      <c r="C2481" s="79"/>
      <c r="D2481" s="81">
        <v>42579</v>
      </c>
      <c r="E2481" s="82">
        <v>8666.3</v>
      </c>
      <c r="G2481" s="79"/>
      <c r="H2481" s="79"/>
      <c r="I2481" s="79"/>
    </row>
    <row r="2482" s="78" customFormat="1" ht="16.5" customHeight="1" spans="1:9">
      <c r="A2482" s="79"/>
      <c r="B2482" s="79"/>
      <c r="C2482" s="79"/>
      <c r="D2482" s="81">
        <v>42578</v>
      </c>
      <c r="E2482" s="82">
        <v>8615.8</v>
      </c>
      <c r="G2482" s="79"/>
      <c r="H2482" s="79"/>
      <c r="I2482" s="79"/>
    </row>
    <row r="2483" s="78" customFormat="1" ht="16.5" customHeight="1" spans="1:9">
      <c r="A2483" s="79"/>
      <c r="B2483" s="79"/>
      <c r="C2483" s="79"/>
      <c r="D2483" s="81">
        <v>42577</v>
      </c>
      <c r="E2483" s="82">
        <v>8590.65</v>
      </c>
      <c r="G2483" s="79"/>
      <c r="H2483" s="79"/>
      <c r="I2483" s="79"/>
    </row>
    <row r="2484" s="78" customFormat="1" ht="16.5" customHeight="1" spans="1:9">
      <c r="A2484" s="79"/>
      <c r="B2484" s="79"/>
      <c r="C2484" s="79"/>
      <c r="D2484" s="81">
        <v>42576</v>
      </c>
      <c r="E2484" s="82">
        <v>8635.65</v>
      </c>
      <c r="G2484" s="79"/>
      <c r="H2484" s="79"/>
      <c r="I2484" s="79"/>
    </row>
    <row r="2485" s="78" customFormat="1" ht="16.5" customHeight="1" spans="1:9">
      <c r="A2485" s="79"/>
      <c r="B2485" s="79"/>
      <c r="C2485" s="79"/>
      <c r="D2485" s="81">
        <v>42573</v>
      </c>
      <c r="E2485" s="82">
        <v>8541.2</v>
      </c>
      <c r="G2485" s="79"/>
      <c r="H2485" s="79"/>
      <c r="I2485" s="79"/>
    </row>
    <row r="2486" s="78" customFormat="1" ht="16.5" customHeight="1" spans="1:9">
      <c r="A2486" s="79"/>
      <c r="B2486" s="79"/>
      <c r="C2486" s="79"/>
      <c r="D2486" s="81">
        <v>42572</v>
      </c>
      <c r="E2486" s="82">
        <v>8510.1</v>
      </c>
      <c r="G2486" s="79"/>
      <c r="H2486" s="79"/>
      <c r="I2486" s="79"/>
    </row>
    <row r="2487" s="78" customFormat="1" ht="16.5" customHeight="1" spans="1:9">
      <c r="A2487" s="79"/>
      <c r="B2487" s="79"/>
      <c r="C2487" s="79"/>
      <c r="D2487" s="81">
        <v>42571</v>
      </c>
      <c r="E2487" s="82">
        <v>8565.85</v>
      </c>
      <c r="G2487" s="79"/>
      <c r="H2487" s="79"/>
      <c r="I2487" s="79"/>
    </row>
    <row r="2488" s="78" customFormat="1" ht="16.5" customHeight="1" spans="1:9">
      <c r="A2488" s="79"/>
      <c r="B2488" s="79"/>
      <c r="C2488" s="79"/>
      <c r="D2488" s="81">
        <v>42570</v>
      </c>
      <c r="E2488" s="82">
        <v>8528.55</v>
      </c>
      <c r="G2488" s="79"/>
      <c r="H2488" s="79"/>
      <c r="I2488" s="79"/>
    </row>
    <row r="2489" s="78" customFormat="1" ht="16.5" customHeight="1" spans="1:9">
      <c r="A2489" s="79"/>
      <c r="B2489" s="79"/>
      <c r="C2489" s="79"/>
      <c r="D2489" s="81">
        <v>42569</v>
      </c>
      <c r="E2489" s="82">
        <v>8508.7</v>
      </c>
      <c r="G2489" s="79"/>
      <c r="H2489" s="79"/>
      <c r="I2489" s="79"/>
    </row>
    <row r="2490" s="78" customFormat="1" ht="16.5" customHeight="1" spans="1:9">
      <c r="A2490" s="79"/>
      <c r="B2490" s="79"/>
      <c r="C2490" s="79"/>
      <c r="D2490" s="81">
        <v>42566</v>
      </c>
      <c r="E2490" s="82">
        <v>8541.4</v>
      </c>
      <c r="G2490" s="79"/>
      <c r="H2490" s="79"/>
      <c r="I2490" s="79"/>
    </row>
    <row r="2491" s="78" customFormat="1" ht="16.5" customHeight="1" spans="1:9">
      <c r="A2491" s="79"/>
      <c r="B2491" s="79"/>
      <c r="C2491" s="79"/>
      <c r="D2491" s="81">
        <v>42565</v>
      </c>
      <c r="E2491" s="82">
        <v>8565</v>
      </c>
      <c r="G2491" s="79"/>
      <c r="H2491" s="79"/>
      <c r="I2491" s="79"/>
    </row>
    <row r="2492" s="78" customFormat="1" ht="16.5" customHeight="1" spans="1:9">
      <c r="A2492" s="79"/>
      <c r="B2492" s="79"/>
      <c r="C2492" s="79"/>
      <c r="D2492" s="81">
        <v>42564</v>
      </c>
      <c r="E2492" s="82">
        <v>8519.5</v>
      </c>
      <c r="G2492" s="79"/>
      <c r="H2492" s="79"/>
      <c r="I2492" s="79"/>
    </row>
    <row r="2493" s="78" customFormat="1" ht="16.5" customHeight="1" spans="1:9">
      <c r="A2493" s="79"/>
      <c r="B2493" s="79"/>
      <c r="C2493" s="79"/>
      <c r="D2493" s="81">
        <v>42563</v>
      </c>
      <c r="E2493" s="82">
        <v>8521.05</v>
      </c>
      <c r="G2493" s="79"/>
      <c r="H2493" s="79"/>
      <c r="I2493" s="79"/>
    </row>
    <row r="2494" s="78" customFormat="1" ht="16.5" customHeight="1" spans="1:9">
      <c r="A2494" s="79"/>
      <c r="B2494" s="79"/>
      <c r="C2494" s="79"/>
      <c r="D2494" s="81">
        <v>42562</v>
      </c>
      <c r="E2494" s="82">
        <v>8467.9</v>
      </c>
      <c r="G2494" s="79"/>
      <c r="H2494" s="79"/>
      <c r="I2494" s="79"/>
    </row>
    <row r="2495" s="78" customFormat="1" ht="16.5" customHeight="1" spans="1:9">
      <c r="A2495" s="79"/>
      <c r="B2495" s="79"/>
      <c r="C2495" s="79"/>
      <c r="D2495" s="81">
        <v>42559</v>
      </c>
      <c r="E2495" s="82">
        <v>8323.2</v>
      </c>
      <c r="G2495" s="79"/>
      <c r="H2495" s="79"/>
      <c r="I2495" s="79"/>
    </row>
    <row r="2496" s="78" customFormat="1" ht="16.5" customHeight="1" spans="1:9">
      <c r="A2496" s="79"/>
      <c r="B2496" s="79"/>
      <c r="C2496" s="79"/>
      <c r="D2496" s="81">
        <v>42558</v>
      </c>
      <c r="E2496" s="82">
        <v>8337.9</v>
      </c>
      <c r="G2496" s="79"/>
      <c r="H2496" s="79"/>
      <c r="I2496" s="79"/>
    </row>
    <row r="2497" s="78" customFormat="1" ht="16.5" customHeight="1" spans="1:9">
      <c r="A2497" s="79"/>
      <c r="B2497" s="79"/>
      <c r="C2497" s="79"/>
      <c r="D2497" s="81">
        <v>42556</v>
      </c>
      <c r="E2497" s="82">
        <v>8335.95</v>
      </c>
      <c r="G2497" s="79"/>
      <c r="H2497" s="79"/>
      <c r="I2497" s="79"/>
    </row>
    <row r="2498" s="78" customFormat="1" ht="16.5" customHeight="1" spans="1:9">
      <c r="A2498" s="79"/>
      <c r="B2498" s="79"/>
      <c r="C2498" s="79"/>
      <c r="D2498" s="81">
        <v>42555</v>
      </c>
      <c r="E2498" s="82">
        <v>8370.7</v>
      </c>
      <c r="G2498" s="79"/>
      <c r="H2498" s="79"/>
      <c r="I2498" s="79"/>
    </row>
    <row r="2499" s="78" customFormat="1" ht="16.5" customHeight="1" spans="1:9">
      <c r="A2499" s="79"/>
      <c r="B2499" s="79"/>
      <c r="C2499" s="79"/>
      <c r="D2499" s="81">
        <v>42552</v>
      </c>
      <c r="E2499" s="82">
        <v>8328.35</v>
      </c>
      <c r="G2499" s="79"/>
      <c r="H2499" s="79"/>
      <c r="I2499" s="79"/>
    </row>
    <row r="2500" s="78" customFormat="1" ht="16.5" customHeight="1" spans="1:9">
      <c r="A2500" s="79"/>
      <c r="B2500" s="79"/>
      <c r="C2500" s="79"/>
      <c r="D2500" s="81">
        <v>42551</v>
      </c>
      <c r="E2500" s="82">
        <v>8287.75</v>
      </c>
      <c r="G2500" s="79"/>
      <c r="H2500" s="79"/>
      <c r="I2500" s="79"/>
    </row>
    <row r="2501" s="78" customFormat="1" ht="16.5" customHeight="1" spans="1:9">
      <c r="A2501" s="79"/>
      <c r="B2501" s="79"/>
      <c r="C2501" s="79"/>
      <c r="D2501" s="81">
        <v>42550</v>
      </c>
      <c r="E2501" s="82">
        <v>8204</v>
      </c>
      <c r="G2501" s="79"/>
      <c r="H2501" s="79"/>
      <c r="I2501" s="79"/>
    </row>
    <row r="2502" s="78" customFormat="1" ht="16.5" customHeight="1" spans="1:9">
      <c r="A2502" s="79"/>
      <c r="B2502" s="79"/>
      <c r="C2502" s="79"/>
      <c r="D2502" s="81">
        <v>42549</v>
      </c>
      <c r="E2502" s="82">
        <v>8127.85</v>
      </c>
      <c r="G2502" s="79"/>
      <c r="H2502" s="79"/>
      <c r="I2502" s="79"/>
    </row>
    <row r="2503" s="78" customFormat="1" ht="16.5" customHeight="1" spans="1:9">
      <c r="A2503" s="79"/>
      <c r="B2503" s="79"/>
      <c r="C2503" s="79"/>
      <c r="D2503" s="81">
        <v>42548</v>
      </c>
      <c r="E2503" s="82">
        <v>8094.7</v>
      </c>
      <c r="G2503" s="79"/>
      <c r="H2503" s="79"/>
      <c r="I2503" s="79"/>
    </row>
    <row r="2504" s="78" customFormat="1" ht="16.5" customHeight="1" spans="1:9">
      <c r="A2504" s="79"/>
      <c r="B2504" s="79"/>
      <c r="C2504" s="79"/>
      <c r="D2504" s="81">
        <v>42545</v>
      </c>
      <c r="E2504" s="82">
        <v>8088.6</v>
      </c>
      <c r="G2504" s="79"/>
      <c r="H2504" s="79"/>
      <c r="I2504" s="79"/>
    </row>
    <row r="2505" s="78" customFormat="1" ht="16.5" customHeight="1" spans="1:9">
      <c r="A2505" s="79"/>
      <c r="B2505" s="79"/>
      <c r="C2505" s="79"/>
      <c r="D2505" s="81">
        <v>42544</v>
      </c>
      <c r="E2505" s="82">
        <v>8270.45</v>
      </c>
      <c r="G2505" s="79"/>
      <c r="H2505" s="79"/>
      <c r="I2505" s="79"/>
    </row>
    <row r="2506" s="78" customFormat="1" ht="16.5" customHeight="1" spans="1:9">
      <c r="A2506" s="79"/>
      <c r="B2506" s="79"/>
      <c r="C2506" s="79"/>
      <c r="D2506" s="81">
        <v>42543</v>
      </c>
      <c r="E2506" s="82">
        <v>8203.7</v>
      </c>
      <c r="G2506" s="79"/>
      <c r="H2506" s="79"/>
      <c r="I2506" s="79"/>
    </row>
    <row r="2507" s="78" customFormat="1" ht="16.5" customHeight="1" spans="1:9">
      <c r="A2507" s="79"/>
      <c r="B2507" s="79"/>
      <c r="C2507" s="79"/>
      <c r="D2507" s="81">
        <v>42542</v>
      </c>
      <c r="E2507" s="82">
        <v>8219.9</v>
      </c>
      <c r="G2507" s="79"/>
      <c r="H2507" s="79"/>
      <c r="I2507" s="79"/>
    </row>
    <row r="2508" s="78" customFormat="1" ht="16.5" customHeight="1" spans="1:9">
      <c r="A2508" s="79"/>
      <c r="B2508" s="79"/>
      <c r="C2508" s="79"/>
      <c r="D2508" s="81">
        <v>42541</v>
      </c>
      <c r="E2508" s="82">
        <v>8238.5</v>
      </c>
      <c r="G2508" s="79"/>
      <c r="H2508" s="79"/>
      <c r="I2508" s="79"/>
    </row>
    <row r="2509" s="78" customFormat="1" ht="16.5" customHeight="1" spans="1:9">
      <c r="A2509" s="79"/>
      <c r="B2509" s="79"/>
      <c r="C2509" s="79"/>
      <c r="D2509" s="81">
        <v>42538</v>
      </c>
      <c r="E2509" s="82">
        <v>8170.2</v>
      </c>
      <c r="G2509" s="79"/>
      <c r="H2509" s="79"/>
      <c r="I2509" s="79"/>
    </row>
    <row r="2510" s="78" customFormat="1" ht="16.5" customHeight="1" spans="1:9">
      <c r="A2510" s="79"/>
      <c r="B2510" s="79"/>
      <c r="C2510" s="79"/>
      <c r="D2510" s="81">
        <v>42537</v>
      </c>
      <c r="E2510" s="82">
        <v>8140.75</v>
      </c>
      <c r="G2510" s="79"/>
      <c r="H2510" s="79"/>
      <c r="I2510" s="79"/>
    </row>
    <row r="2511" s="78" customFormat="1" ht="16.5" customHeight="1" spans="1:9">
      <c r="A2511" s="79"/>
      <c r="B2511" s="79"/>
      <c r="C2511" s="79"/>
      <c r="D2511" s="81">
        <v>42536</v>
      </c>
      <c r="E2511" s="82">
        <v>8206.6</v>
      </c>
      <c r="G2511" s="79"/>
      <c r="H2511" s="79"/>
      <c r="I2511" s="79"/>
    </row>
    <row r="2512" s="78" customFormat="1" ht="16.5" customHeight="1" spans="1:9">
      <c r="A2512" s="79"/>
      <c r="B2512" s="79"/>
      <c r="C2512" s="79"/>
      <c r="D2512" s="81">
        <v>42535</v>
      </c>
      <c r="E2512" s="82">
        <v>8108.85</v>
      </c>
      <c r="G2512" s="79"/>
      <c r="H2512" s="79"/>
      <c r="I2512" s="79"/>
    </row>
    <row r="2513" s="78" customFormat="1" ht="16.5" customHeight="1" spans="1:9">
      <c r="A2513" s="79"/>
      <c r="B2513" s="79"/>
      <c r="C2513" s="79"/>
      <c r="D2513" s="81">
        <v>42534</v>
      </c>
      <c r="E2513" s="82">
        <v>8110.6</v>
      </c>
      <c r="G2513" s="79"/>
      <c r="H2513" s="79"/>
      <c r="I2513" s="79"/>
    </row>
    <row r="2514" s="78" customFormat="1" ht="16.5" customHeight="1" spans="1:9">
      <c r="A2514" s="79"/>
      <c r="B2514" s="79"/>
      <c r="C2514" s="79"/>
      <c r="D2514" s="81">
        <v>42531</v>
      </c>
      <c r="E2514" s="82">
        <v>8170.05</v>
      </c>
      <c r="G2514" s="79"/>
      <c r="H2514" s="79"/>
      <c r="I2514" s="79"/>
    </row>
    <row r="2515" s="78" customFormat="1" ht="16.5" customHeight="1" spans="1:9">
      <c r="A2515" s="79"/>
      <c r="B2515" s="79"/>
      <c r="C2515" s="79"/>
      <c r="D2515" s="81">
        <v>42530</v>
      </c>
      <c r="E2515" s="82">
        <v>8203.6</v>
      </c>
      <c r="G2515" s="79"/>
      <c r="H2515" s="79"/>
      <c r="I2515" s="79"/>
    </row>
    <row r="2516" s="78" customFormat="1" ht="16.5" customHeight="1" spans="1:9">
      <c r="A2516" s="79"/>
      <c r="B2516" s="79"/>
      <c r="C2516" s="79"/>
      <c r="D2516" s="81">
        <v>42529</v>
      </c>
      <c r="E2516" s="82">
        <v>8273.05</v>
      </c>
      <c r="G2516" s="79"/>
      <c r="H2516" s="79"/>
      <c r="I2516" s="79"/>
    </row>
    <row r="2517" s="78" customFormat="1" ht="16.5" customHeight="1" spans="1:9">
      <c r="A2517" s="79"/>
      <c r="B2517" s="79"/>
      <c r="C2517" s="79"/>
      <c r="D2517" s="81">
        <v>42528</v>
      </c>
      <c r="E2517" s="82">
        <v>8266.45</v>
      </c>
      <c r="G2517" s="79"/>
      <c r="H2517" s="79"/>
      <c r="I2517" s="79"/>
    </row>
    <row r="2518" s="78" customFormat="1" ht="16.5" customHeight="1" spans="1:9">
      <c r="A2518" s="79"/>
      <c r="B2518" s="79"/>
      <c r="C2518" s="79"/>
      <c r="D2518" s="81">
        <v>42527</v>
      </c>
      <c r="E2518" s="82">
        <v>8201.05</v>
      </c>
      <c r="G2518" s="79"/>
      <c r="H2518" s="79"/>
      <c r="I2518" s="79"/>
    </row>
    <row r="2519" s="78" customFormat="1" ht="16.5" customHeight="1" spans="1:9">
      <c r="A2519" s="79"/>
      <c r="B2519" s="79"/>
      <c r="C2519" s="79"/>
      <c r="D2519" s="81">
        <v>42524</v>
      </c>
      <c r="E2519" s="82">
        <v>8220.8</v>
      </c>
      <c r="G2519" s="79"/>
      <c r="H2519" s="79"/>
      <c r="I2519" s="79"/>
    </row>
    <row r="2520" s="78" customFormat="1" ht="16.5" customHeight="1" spans="1:9">
      <c r="A2520" s="79"/>
      <c r="B2520" s="79"/>
      <c r="C2520" s="79"/>
      <c r="D2520" s="81">
        <v>42523</v>
      </c>
      <c r="E2520" s="82">
        <v>8218.95</v>
      </c>
      <c r="G2520" s="79"/>
      <c r="H2520" s="79"/>
      <c r="I2520" s="79"/>
    </row>
    <row r="2521" s="78" customFormat="1" ht="16.5" customHeight="1" spans="1:9">
      <c r="A2521" s="79"/>
      <c r="B2521" s="79"/>
      <c r="C2521" s="79"/>
      <c r="D2521" s="81">
        <v>42522</v>
      </c>
      <c r="E2521" s="82">
        <v>8179.95</v>
      </c>
      <c r="G2521" s="79"/>
      <c r="H2521" s="79"/>
      <c r="I2521" s="79"/>
    </row>
    <row r="2522" s="78" customFormat="1" ht="16.5" customHeight="1" spans="1:9">
      <c r="A2522" s="79"/>
      <c r="B2522" s="79"/>
      <c r="C2522" s="79"/>
      <c r="D2522" s="81">
        <v>42521</v>
      </c>
      <c r="E2522" s="82">
        <v>8160.1</v>
      </c>
      <c r="G2522" s="79"/>
      <c r="H2522" s="79"/>
      <c r="I2522" s="79"/>
    </row>
    <row r="2523" s="78" customFormat="1" ht="16.5" customHeight="1" spans="1:9">
      <c r="A2523" s="79"/>
      <c r="B2523" s="79"/>
      <c r="C2523" s="79"/>
      <c r="D2523" s="81">
        <v>42520</v>
      </c>
      <c r="E2523" s="82">
        <v>8178.5</v>
      </c>
      <c r="G2523" s="79"/>
      <c r="H2523" s="79"/>
      <c r="I2523" s="79"/>
    </row>
    <row r="2524" s="78" customFormat="1" ht="16.5" customHeight="1" spans="1:9">
      <c r="A2524" s="79"/>
      <c r="B2524" s="79"/>
      <c r="C2524" s="79"/>
      <c r="D2524" s="81">
        <v>42517</v>
      </c>
      <c r="E2524" s="82">
        <v>8156.65</v>
      </c>
      <c r="G2524" s="79"/>
      <c r="H2524" s="79"/>
      <c r="I2524" s="79"/>
    </row>
    <row r="2525" s="78" customFormat="1" ht="16.5" customHeight="1" spans="1:9">
      <c r="A2525" s="79"/>
      <c r="B2525" s="79"/>
      <c r="C2525" s="79"/>
      <c r="D2525" s="81">
        <v>42516</v>
      </c>
      <c r="E2525" s="82">
        <v>8069.65</v>
      </c>
      <c r="G2525" s="79"/>
      <c r="H2525" s="79"/>
      <c r="I2525" s="79"/>
    </row>
    <row r="2526" s="78" customFormat="1" ht="16.5" customHeight="1" spans="1:9">
      <c r="A2526" s="79"/>
      <c r="B2526" s="79"/>
      <c r="C2526" s="79"/>
      <c r="D2526" s="81">
        <v>42515</v>
      </c>
      <c r="E2526" s="82">
        <v>7934.9</v>
      </c>
      <c r="G2526" s="79"/>
      <c r="H2526" s="79"/>
      <c r="I2526" s="79"/>
    </row>
    <row r="2527" s="78" customFormat="1" ht="16.5" customHeight="1" spans="1:9">
      <c r="A2527" s="79"/>
      <c r="B2527" s="79"/>
      <c r="C2527" s="79"/>
      <c r="D2527" s="81">
        <v>42514</v>
      </c>
      <c r="E2527" s="82">
        <v>7748.85</v>
      </c>
      <c r="G2527" s="79"/>
      <c r="H2527" s="79"/>
      <c r="I2527" s="79"/>
    </row>
    <row r="2528" s="78" customFormat="1" ht="16.5" customHeight="1" spans="1:9">
      <c r="A2528" s="79"/>
      <c r="B2528" s="79"/>
      <c r="C2528" s="79"/>
      <c r="D2528" s="81">
        <v>42513</v>
      </c>
      <c r="E2528" s="82">
        <v>7731.05</v>
      </c>
      <c r="G2528" s="79"/>
      <c r="H2528" s="79"/>
      <c r="I2528" s="79"/>
    </row>
    <row r="2529" s="78" customFormat="1" ht="16.5" customHeight="1" spans="1:9">
      <c r="A2529" s="79"/>
      <c r="B2529" s="79"/>
      <c r="C2529" s="79"/>
      <c r="D2529" s="81">
        <v>42510</v>
      </c>
      <c r="E2529" s="82">
        <v>7749.7</v>
      </c>
      <c r="G2529" s="79"/>
      <c r="H2529" s="79"/>
      <c r="I2529" s="79"/>
    </row>
    <row r="2530" s="78" customFormat="1" ht="16.5" customHeight="1" spans="1:9">
      <c r="A2530" s="79"/>
      <c r="B2530" s="79"/>
      <c r="C2530" s="79"/>
      <c r="D2530" s="81">
        <v>42509</v>
      </c>
      <c r="E2530" s="82">
        <v>7783.4</v>
      </c>
      <c r="G2530" s="79"/>
      <c r="H2530" s="79"/>
      <c r="I2530" s="79"/>
    </row>
    <row r="2531" s="78" customFormat="1" ht="16.5" customHeight="1" spans="1:9">
      <c r="A2531" s="79"/>
      <c r="B2531" s="79"/>
      <c r="C2531" s="79"/>
      <c r="D2531" s="81">
        <v>42508</v>
      </c>
      <c r="E2531" s="82">
        <v>7870.15</v>
      </c>
      <c r="G2531" s="79"/>
      <c r="H2531" s="79"/>
      <c r="I2531" s="79"/>
    </row>
    <row r="2532" s="78" customFormat="1" ht="16.5" customHeight="1" spans="1:9">
      <c r="A2532" s="79"/>
      <c r="B2532" s="79"/>
      <c r="C2532" s="79"/>
      <c r="D2532" s="81">
        <v>42507</v>
      </c>
      <c r="E2532" s="82">
        <v>7890.75</v>
      </c>
      <c r="G2532" s="79"/>
      <c r="H2532" s="79"/>
      <c r="I2532" s="79"/>
    </row>
    <row r="2533" s="78" customFormat="1" ht="16.5" customHeight="1" spans="1:9">
      <c r="A2533" s="79"/>
      <c r="B2533" s="79"/>
      <c r="C2533" s="79"/>
      <c r="D2533" s="81">
        <v>42506</v>
      </c>
      <c r="E2533" s="82">
        <v>7860.75</v>
      </c>
      <c r="G2533" s="79"/>
      <c r="H2533" s="79"/>
      <c r="I2533" s="79"/>
    </row>
    <row r="2534" s="78" customFormat="1" ht="16.5" customHeight="1" spans="1:9">
      <c r="A2534" s="79"/>
      <c r="B2534" s="79"/>
      <c r="C2534" s="79"/>
      <c r="D2534" s="81">
        <v>42503</v>
      </c>
      <c r="E2534" s="82">
        <v>7814.9</v>
      </c>
      <c r="G2534" s="79"/>
      <c r="H2534" s="79"/>
      <c r="I2534" s="79"/>
    </row>
    <row r="2535" s="78" customFormat="1" ht="16.5" customHeight="1" spans="1:9">
      <c r="A2535" s="79"/>
      <c r="B2535" s="79"/>
      <c r="C2535" s="79"/>
      <c r="D2535" s="81">
        <v>42502</v>
      </c>
      <c r="E2535" s="82">
        <v>7900.4</v>
      </c>
      <c r="G2535" s="79"/>
      <c r="H2535" s="79"/>
      <c r="I2535" s="79"/>
    </row>
    <row r="2536" s="78" customFormat="1" ht="16.5" customHeight="1" spans="1:9">
      <c r="A2536" s="79"/>
      <c r="B2536" s="79"/>
      <c r="C2536" s="79"/>
      <c r="D2536" s="81">
        <v>42501</v>
      </c>
      <c r="E2536" s="82">
        <v>7848.85</v>
      </c>
      <c r="G2536" s="79"/>
      <c r="H2536" s="79"/>
      <c r="I2536" s="79"/>
    </row>
    <row r="2537" s="78" customFormat="1" ht="16.5" customHeight="1" spans="1:9">
      <c r="A2537" s="79"/>
      <c r="B2537" s="79"/>
      <c r="C2537" s="79"/>
      <c r="D2537" s="81">
        <v>42500</v>
      </c>
      <c r="E2537" s="82">
        <v>7887.8</v>
      </c>
      <c r="G2537" s="79"/>
      <c r="H2537" s="79"/>
      <c r="I2537" s="79"/>
    </row>
    <row r="2538" s="78" customFormat="1" ht="16.5" customHeight="1" spans="1:9">
      <c r="A2538" s="79"/>
      <c r="B2538" s="79"/>
      <c r="C2538" s="79"/>
      <c r="D2538" s="81">
        <v>42499</v>
      </c>
      <c r="E2538" s="82">
        <v>7866.05</v>
      </c>
      <c r="G2538" s="79"/>
      <c r="H2538" s="79"/>
      <c r="I2538" s="79"/>
    </row>
    <row r="2539" s="78" customFormat="1" ht="16.5" customHeight="1" spans="1:9">
      <c r="A2539" s="79"/>
      <c r="B2539" s="79"/>
      <c r="C2539" s="79"/>
      <c r="D2539" s="81">
        <v>42496</v>
      </c>
      <c r="E2539" s="82">
        <v>7733.45</v>
      </c>
      <c r="G2539" s="79"/>
      <c r="H2539" s="79"/>
      <c r="I2539" s="79"/>
    </row>
    <row r="2540" s="78" customFormat="1" ht="16.5" customHeight="1" spans="1:9">
      <c r="A2540" s="79"/>
      <c r="B2540" s="79"/>
      <c r="C2540" s="79"/>
      <c r="D2540" s="81">
        <v>42495</v>
      </c>
      <c r="E2540" s="82">
        <v>7735.5</v>
      </c>
      <c r="G2540" s="79"/>
      <c r="H2540" s="79"/>
      <c r="I2540" s="79"/>
    </row>
    <row r="2541" s="78" customFormat="1" ht="16.5" customHeight="1" spans="1:9">
      <c r="A2541" s="79"/>
      <c r="B2541" s="79"/>
      <c r="C2541" s="79"/>
      <c r="D2541" s="81">
        <v>42494</v>
      </c>
      <c r="E2541" s="82">
        <v>7706.55</v>
      </c>
      <c r="G2541" s="79"/>
      <c r="H2541" s="79"/>
      <c r="I2541" s="79"/>
    </row>
    <row r="2542" s="78" customFormat="1" ht="16.5" customHeight="1" spans="1:9">
      <c r="A2542" s="79"/>
      <c r="B2542" s="79"/>
      <c r="C2542" s="79"/>
      <c r="D2542" s="81">
        <v>42493</v>
      </c>
      <c r="E2542" s="82">
        <v>7747</v>
      </c>
      <c r="G2542" s="79"/>
      <c r="H2542" s="79"/>
      <c r="I2542" s="79"/>
    </row>
    <row r="2543" s="78" customFormat="1" ht="16.5" customHeight="1" spans="1:9">
      <c r="A2543" s="79"/>
      <c r="B2543" s="79"/>
      <c r="C2543" s="79"/>
      <c r="D2543" s="81">
        <v>42492</v>
      </c>
      <c r="E2543" s="82">
        <v>7805.9</v>
      </c>
      <c r="G2543" s="79"/>
      <c r="H2543" s="79"/>
      <c r="I2543" s="79"/>
    </row>
    <row r="2544" s="78" customFormat="1" ht="16.5" customHeight="1" spans="1:9">
      <c r="A2544" s="79"/>
      <c r="B2544" s="79"/>
      <c r="C2544" s="79"/>
      <c r="D2544" s="81">
        <v>42489</v>
      </c>
      <c r="E2544" s="82">
        <v>7849.8</v>
      </c>
      <c r="G2544" s="79"/>
      <c r="H2544" s="79"/>
      <c r="I2544" s="79"/>
    </row>
    <row r="2545" s="78" customFormat="1" ht="16.5" customHeight="1" spans="1:9">
      <c r="A2545" s="79"/>
      <c r="B2545" s="79"/>
      <c r="C2545" s="79"/>
      <c r="D2545" s="81">
        <v>42488</v>
      </c>
      <c r="E2545" s="82">
        <v>7847.25</v>
      </c>
      <c r="G2545" s="79"/>
      <c r="H2545" s="79"/>
      <c r="I2545" s="79"/>
    </row>
    <row r="2546" s="78" customFormat="1" ht="16.5" customHeight="1" spans="1:9">
      <c r="A2546" s="79"/>
      <c r="B2546" s="79"/>
      <c r="C2546" s="79"/>
      <c r="D2546" s="81">
        <v>42487</v>
      </c>
      <c r="E2546" s="82">
        <v>7979.9</v>
      </c>
      <c r="G2546" s="79"/>
      <c r="H2546" s="79"/>
      <c r="I2546" s="79"/>
    </row>
    <row r="2547" s="78" customFormat="1" ht="16.5" customHeight="1" spans="1:9">
      <c r="A2547" s="79"/>
      <c r="B2547" s="79"/>
      <c r="C2547" s="79"/>
      <c r="D2547" s="81">
        <v>42486</v>
      </c>
      <c r="E2547" s="82">
        <v>7962.65</v>
      </c>
      <c r="G2547" s="79"/>
      <c r="H2547" s="79"/>
      <c r="I2547" s="79"/>
    </row>
    <row r="2548" s="78" customFormat="1" ht="16.5" customHeight="1" spans="1:9">
      <c r="A2548" s="79"/>
      <c r="B2548" s="79"/>
      <c r="C2548" s="79"/>
      <c r="D2548" s="81">
        <v>42485</v>
      </c>
      <c r="E2548" s="82">
        <v>7855.05</v>
      </c>
      <c r="G2548" s="79"/>
      <c r="H2548" s="79"/>
      <c r="I2548" s="79"/>
    </row>
    <row r="2549" s="78" customFormat="1" ht="16.5" customHeight="1" spans="1:9">
      <c r="A2549" s="79"/>
      <c r="B2549" s="79"/>
      <c r="C2549" s="79"/>
      <c r="D2549" s="81">
        <v>42482</v>
      </c>
      <c r="E2549" s="82">
        <v>7899.3</v>
      </c>
      <c r="G2549" s="79"/>
      <c r="H2549" s="79"/>
      <c r="I2549" s="79"/>
    </row>
    <row r="2550" s="78" customFormat="1" ht="16.5" customHeight="1" spans="1:9">
      <c r="A2550" s="79"/>
      <c r="B2550" s="79"/>
      <c r="C2550" s="79"/>
      <c r="D2550" s="81">
        <v>42481</v>
      </c>
      <c r="E2550" s="82">
        <v>7912.05</v>
      </c>
      <c r="G2550" s="79"/>
      <c r="H2550" s="79"/>
      <c r="I2550" s="79"/>
    </row>
    <row r="2551" s="78" customFormat="1" ht="16.5" customHeight="1" spans="1:9">
      <c r="A2551" s="79"/>
      <c r="B2551" s="79"/>
      <c r="C2551" s="79"/>
      <c r="D2551" s="81">
        <v>42480</v>
      </c>
      <c r="E2551" s="82">
        <v>7914.75</v>
      </c>
      <c r="G2551" s="79"/>
      <c r="H2551" s="79"/>
      <c r="I2551" s="79"/>
    </row>
    <row r="2552" s="78" customFormat="1" ht="16.5" customHeight="1" spans="1:9">
      <c r="A2552" s="79"/>
      <c r="B2552" s="79"/>
      <c r="C2552" s="79"/>
      <c r="D2552" s="81">
        <v>42478</v>
      </c>
      <c r="E2552" s="82">
        <v>7914.7</v>
      </c>
      <c r="G2552" s="79"/>
      <c r="H2552" s="79"/>
      <c r="I2552" s="79"/>
    </row>
    <row r="2553" s="78" customFormat="1" ht="16.5" customHeight="1" spans="1:9">
      <c r="A2553" s="79"/>
      <c r="B2553" s="79"/>
      <c r="C2553" s="79"/>
      <c r="D2553" s="81">
        <v>42473</v>
      </c>
      <c r="E2553" s="82">
        <v>7850.45</v>
      </c>
      <c r="G2553" s="79"/>
      <c r="H2553" s="79"/>
      <c r="I2553" s="79"/>
    </row>
    <row r="2554" s="78" customFormat="1" ht="16.5" customHeight="1" spans="1:9">
      <c r="A2554" s="79"/>
      <c r="B2554" s="79"/>
      <c r="C2554" s="79"/>
      <c r="D2554" s="81">
        <v>42472</v>
      </c>
      <c r="E2554" s="82">
        <v>7708.95</v>
      </c>
      <c r="G2554" s="79"/>
      <c r="H2554" s="79"/>
      <c r="I2554" s="79"/>
    </row>
    <row r="2555" s="78" customFormat="1" ht="16.5" customHeight="1" spans="1:9">
      <c r="A2555" s="79"/>
      <c r="B2555" s="79"/>
      <c r="C2555" s="79"/>
      <c r="D2555" s="81">
        <v>42471</v>
      </c>
      <c r="E2555" s="82">
        <v>7671.4</v>
      </c>
      <c r="G2555" s="79"/>
      <c r="H2555" s="79"/>
      <c r="I2555" s="79"/>
    </row>
    <row r="2556" s="78" customFormat="1" ht="16.5" customHeight="1" spans="1:9">
      <c r="A2556" s="79"/>
      <c r="B2556" s="79"/>
      <c r="C2556" s="79"/>
      <c r="D2556" s="81">
        <v>42468</v>
      </c>
      <c r="E2556" s="82">
        <v>7555.2</v>
      </c>
      <c r="G2556" s="79"/>
      <c r="H2556" s="79"/>
      <c r="I2556" s="79"/>
    </row>
    <row r="2557" s="78" customFormat="1" ht="16.5" customHeight="1" spans="1:9">
      <c r="A2557" s="79"/>
      <c r="B2557" s="79"/>
      <c r="C2557" s="79"/>
      <c r="D2557" s="81">
        <v>42467</v>
      </c>
      <c r="E2557" s="82">
        <v>7546.45</v>
      </c>
      <c r="G2557" s="79"/>
      <c r="H2557" s="79"/>
      <c r="I2557" s="79"/>
    </row>
    <row r="2558" s="78" customFormat="1" ht="16.5" customHeight="1" spans="1:9">
      <c r="A2558" s="79"/>
      <c r="B2558" s="79"/>
      <c r="C2558" s="79"/>
      <c r="D2558" s="81">
        <v>42466</v>
      </c>
      <c r="E2558" s="82">
        <v>7614.35</v>
      </c>
      <c r="G2558" s="79"/>
      <c r="H2558" s="79"/>
      <c r="I2558" s="79"/>
    </row>
    <row r="2559" s="78" customFormat="1" ht="16.5" customHeight="1" spans="1:9">
      <c r="A2559" s="79"/>
      <c r="B2559" s="79"/>
      <c r="C2559" s="79"/>
      <c r="D2559" s="81">
        <v>42465</v>
      </c>
      <c r="E2559" s="82">
        <v>7603.2</v>
      </c>
      <c r="G2559" s="79"/>
      <c r="H2559" s="79"/>
      <c r="I2559" s="79"/>
    </row>
    <row r="2560" s="78" customFormat="1" ht="16.5" customHeight="1" spans="1:9">
      <c r="A2560" s="79"/>
      <c r="B2560" s="79"/>
      <c r="C2560" s="79"/>
      <c r="D2560" s="81">
        <v>42464</v>
      </c>
      <c r="E2560" s="82">
        <v>7758.8</v>
      </c>
      <c r="G2560" s="79"/>
      <c r="H2560" s="79"/>
      <c r="I2560" s="79"/>
    </row>
    <row r="2561" s="78" customFormat="1" ht="16.5" customHeight="1" spans="1:9">
      <c r="A2561" s="79"/>
      <c r="B2561" s="79"/>
      <c r="C2561" s="79"/>
      <c r="D2561" s="81">
        <v>42461</v>
      </c>
      <c r="E2561" s="82">
        <v>7713.05</v>
      </c>
      <c r="G2561" s="79"/>
      <c r="H2561" s="79"/>
      <c r="I2561" s="79"/>
    </row>
    <row r="2562" s="78" customFormat="1" ht="16.5" customHeight="1" spans="1:9">
      <c r="A2562" s="79"/>
      <c r="B2562" s="79"/>
      <c r="C2562" s="79"/>
      <c r="D2562" s="81">
        <v>42460</v>
      </c>
      <c r="E2562" s="82">
        <v>7738.4</v>
      </c>
      <c r="G2562" s="79"/>
      <c r="H2562" s="79"/>
      <c r="I2562" s="79"/>
    </row>
    <row r="2563" s="78" customFormat="1" ht="16.5" customHeight="1" spans="1:9">
      <c r="A2563" s="79"/>
      <c r="B2563" s="79"/>
      <c r="C2563" s="79"/>
      <c r="D2563" s="81">
        <v>42459</v>
      </c>
      <c r="E2563" s="82">
        <v>7735.2</v>
      </c>
      <c r="G2563" s="79"/>
      <c r="H2563" s="79"/>
      <c r="I2563" s="79"/>
    </row>
    <row r="2564" s="78" customFormat="1" ht="16.5" customHeight="1" spans="1:9">
      <c r="A2564" s="79"/>
      <c r="B2564" s="79"/>
      <c r="C2564" s="79"/>
      <c r="D2564" s="81">
        <v>42458</v>
      </c>
      <c r="E2564" s="82">
        <v>7597</v>
      </c>
      <c r="G2564" s="79"/>
      <c r="H2564" s="79"/>
      <c r="I2564" s="79"/>
    </row>
    <row r="2565" s="78" customFormat="1" ht="16.5" customHeight="1" spans="1:9">
      <c r="A2565" s="79"/>
      <c r="B2565" s="79"/>
      <c r="C2565" s="79"/>
      <c r="D2565" s="81">
        <v>42457</v>
      </c>
      <c r="E2565" s="82">
        <v>7615.1</v>
      </c>
      <c r="G2565" s="79"/>
      <c r="H2565" s="79"/>
      <c r="I2565" s="79"/>
    </row>
    <row r="2566" s="78" customFormat="1" ht="16.5" customHeight="1" spans="1:9">
      <c r="A2566" s="79"/>
      <c r="B2566" s="79"/>
      <c r="C2566" s="79"/>
      <c r="D2566" s="81">
        <v>42452</v>
      </c>
      <c r="E2566" s="82">
        <v>7716.5</v>
      </c>
      <c r="G2566" s="79"/>
      <c r="H2566" s="79"/>
      <c r="I2566" s="79"/>
    </row>
    <row r="2567" s="78" customFormat="1" ht="16.5" customHeight="1" spans="1:9">
      <c r="A2567" s="79"/>
      <c r="B2567" s="79"/>
      <c r="C2567" s="79"/>
      <c r="D2567" s="81">
        <v>42451</v>
      </c>
      <c r="E2567" s="82">
        <v>7714.9</v>
      </c>
      <c r="G2567" s="79"/>
      <c r="H2567" s="79"/>
      <c r="I2567" s="79"/>
    </row>
    <row r="2568" s="78" customFormat="1" ht="16.5" customHeight="1" spans="1:9">
      <c r="A2568" s="79"/>
      <c r="B2568" s="79"/>
      <c r="C2568" s="79"/>
      <c r="D2568" s="81">
        <v>42450</v>
      </c>
      <c r="E2568" s="82">
        <v>7704.25</v>
      </c>
      <c r="G2568" s="79"/>
      <c r="H2568" s="79"/>
      <c r="I2568" s="79"/>
    </row>
    <row r="2569" s="78" customFormat="1" ht="16.5" customHeight="1" spans="1:9">
      <c r="A2569" s="79"/>
      <c r="B2569" s="79"/>
      <c r="C2569" s="79"/>
      <c r="D2569" s="81">
        <v>42447</v>
      </c>
      <c r="E2569" s="82">
        <v>7604.35</v>
      </c>
      <c r="G2569" s="79"/>
      <c r="H2569" s="79"/>
      <c r="I2569" s="79"/>
    </row>
    <row r="2570" s="78" customFormat="1" ht="16.5" customHeight="1" spans="1:9">
      <c r="A2570" s="79"/>
      <c r="B2570" s="79"/>
      <c r="C2570" s="79"/>
      <c r="D2570" s="81">
        <v>42446</v>
      </c>
      <c r="E2570" s="82">
        <v>7512.55</v>
      </c>
      <c r="G2570" s="79"/>
      <c r="H2570" s="79"/>
      <c r="I2570" s="79"/>
    </row>
    <row r="2571" s="78" customFormat="1" ht="16.5" customHeight="1" spans="1:9">
      <c r="A2571" s="79"/>
      <c r="B2571" s="79"/>
      <c r="C2571" s="79"/>
      <c r="D2571" s="81">
        <v>42445</v>
      </c>
      <c r="E2571" s="82">
        <v>7498.75</v>
      </c>
      <c r="G2571" s="79"/>
      <c r="H2571" s="79"/>
      <c r="I2571" s="79"/>
    </row>
    <row r="2572" s="78" customFormat="1" ht="16.5" customHeight="1" spans="1:9">
      <c r="A2572" s="79"/>
      <c r="B2572" s="79"/>
      <c r="C2572" s="79"/>
      <c r="D2572" s="81">
        <v>42444</v>
      </c>
      <c r="E2572" s="82">
        <v>7460.6</v>
      </c>
      <c r="G2572" s="79"/>
      <c r="H2572" s="79"/>
      <c r="I2572" s="79"/>
    </row>
    <row r="2573" s="78" customFormat="1" ht="16.5" customHeight="1" spans="1:9">
      <c r="A2573" s="79"/>
      <c r="B2573" s="79"/>
      <c r="C2573" s="79"/>
      <c r="D2573" s="81">
        <v>42443</v>
      </c>
      <c r="E2573" s="82">
        <v>7538.75</v>
      </c>
      <c r="G2573" s="79"/>
      <c r="H2573" s="79"/>
      <c r="I2573" s="79"/>
    </row>
    <row r="2574" s="78" customFormat="1" ht="16.5" customHeight="1" spans="1:9">
      <c r="A2574" s="79"/>
      <c r="B2574" s="79"/>
      <c r="C2574" s="79"/>
      <c r="D2574" s="81">
        <v>42440</v>
      </c>
      <c r="E2574" s="82">
        <v>7510.2</v>
      </c>
      <c r="G2574" s="79"/>
      <c r="H2574" s="79"/>
      <c r="I2574" s="79"/>
    </row>
    <row r="2575" s="78" customFormat="1" ht="16.5" customHeight="1" spans="1:9">
      <c r="A2575" s="79"/>
      <c r="B2575" s="79"/>
      <c r="C2575" s="79"/>
      <c r="D2575" s="81">
        <v>42439</v>
      </c>
      <c r="E2575" s="82">
        <v>7486.15</v>
      </c>
      <c r="G2575" s="79"/>
      <c r="H2575" s="79"/>
      <c r="I2575" s="79"/>
    </row>
    <row r="2576" s="78" customFormat="1" ht="16.5" customHeight="1" spans="1:9">
      <c r="A2576" s="79"/>
      <c r="B2576" s="79"/>
      <c r="C2576" s="79"/>
      <c r="D2576" s="81">
        <v>42438</v>
      </c>
      <c r="E2576" s="82">
        <v>7531.8</v>
      </c>
      <c r="G2576" s="79"/>
      <c r="H2576" s="79"/>
      <c r="I2576" s="79"/>
    </row>
    <row r="2577" s="78" customFormat="1" ht="16.5" customHeight="1" spans="1:9">
      <c r="A2577" s="79"/>
      <c r="B2577" s="79"/>
      <c r="C2577" s="79"/>
      <c r="D2577" s="81">
        <v>42437</v>
      </c>
      <c r="E2577" s="82">
        <v>7485.3</v>
      </c>
      <c r="G2577" s="79"/>
      <c r="H2577" s="79"/>
      <c r="I2577" s="79"/>
    </row>
    <row r="2578" s="78" customFormat="1" ht="16.5" customHeight="1" spans="1:9">
      <c r="A2578" s="79"/>
      <c r="B2578" s="79"/>
      <c r="C2578" s="79"/>
      <c r="D2578" s="81">
        <v>42433</v>
      </c>
      <c r="E2578" s="82">
        <v>7485.35</v>
      </c>
      <c r="G2578" s="79"/>
      <c r="H2578" s="79"/>
      <c r="I2578" s="79"/>
    </row>
    <row r="2579" s="78" customFormat="1" ht="16.5" customHeight="1" spans="1:9">
      <c r="A2579" s="79"/>
      <c r="B2579" s="79"/>
      <c r="C2579" s="79"/>
      <c r="D2579" s="81">
        <v>42432</v>
      </c>
      <c r="E2579" s="82">
        <v>7475.6</v>
      </c>
      <c r="G2579" s="79"/>
      <c r="H2579" s="79"/>
      <c r="I2579" s="79"/>
    </row>
    <row r="2580" s="78" customFormat="1" ht="16.5" customHeight="1" spans="1:9">
      <c r="A2580" s="79"/>
      <c r="B2580" s="79"/>
      <c r="C2580" s="79"/>
      <c r="D2580" s="81">
        <v>42431</v>
      </c>
      <c r="E2580" s="82">
        <v>7368.85</v>
      </c>
      <c r="G2580" s="79"/>
      <c r="H2580" s="79"/>
      <c r="I2580" s="79"/>
    </row>
    <row r="2581" s="78" customFormat="1" ht="16.5" customHeight="1" spans="1:9">
      <c r="A2581" s="79"/>
      <c r="B2581" s="79"/>
      <c r="C2581" s="79"/>
      <c r="D2581" s="81">
        <v>42430</v>
      </c>
      <c r="E2581" s="82">
        <v>7222.3</v>
      </c>
      <c r="G2581" s="79"/>
      <c r="H2581" s="79"/>
      <c r="I2581" s="79"/>
    </row>
    <row r="2582" s="78" customFormat="1" ht="16.5" customHeight="1" spans="1:9">
      <c r="A2582" s="79"/>
      <c r="B2582" s="79"/>
      <c r="C2582" s="79"/>
      <c r="D2582" s="81">
        <v>42429</v>
      </c>
      <c r="E2582" s="82">
        <v>6987.05</v>
      </c>
      <c r="G2582" s="79"/>
      <c r="H2582" s="79"/>
      <c r="I2582" s="79"/>
    </row>
    <row r="2583" s="78" customFormat="1" ht="16.5" customHeight="1" spans="1:9">
      <c r="A2583" s="79"/>
      <c r="B2583" s="79"/>
      <c r="C2583" s="79"/>
      <c r="D2583" s="81">
        <v>42426</v>
      </c>
      <c r="E2583" s="82">
        <v>7029.75</v>
      </c>
      <c r="G2583" s="79"/>
      <c r="H2583" s="79"/>
      <c r="I2583" s="79"/>
    </row>
    <row r="2584" s="78" customFormat="1" ht="16.5" customHeight="1" spans="1:9">
      <c r="A2584" s="79"/>
      <c r="B2584" s="79"/>
      <c r="C2584" s="79"/>
      <c r="D2584" s="81">
        <v>42425</v>
      </c>
      <c r="E2584" s="82">
        <v>6970.6</v>
      </c>
      <c r="G2584" s="79"/>
      <c r="H2584" s="79"/>
      <c r="I2584" s="79"/>
    </row>
    <row r="2585" s="78" customFormat="1" ht="16.5" customHeight="1" spans="1:9">
      <c r="A2585" s="79"/>
      <c r="B2585" s="79"/>
      <c r="C2585" s="79"/>
      <c r="D2585" s="81">
        <v>42424</v>
      </c>
      <c r="E2585" s="82">
        <v>7018.7</v>
      </c>
      <c r="G2585" s="79"/>
      <c r="H2585" s="79"/>
      <c r="I2585" s="79"/>
    </row>
    <row r="2586" s="78" customFormat="1" ht="16.5" customHeight="1" spans="1:9">
      <c r="A2586" s="79"/>
      <c r="B2586" s="79"/>
      <c r="C2586" s="79"/>
      <c r="D2586" s="81">
        <v>42423</v>
      </c>
      <c r="E2586" s="82">
        <v>7109.55</v>
      </c>
      <c r="G2586" s="79"/>
      <c r="H2586" s="79"/>
      <c r="I2586" s="79"/>
    </row>
    <row r="2587" s="78" customFormat="1" ht="16.5" customHeight="1" spans="1:9">
      <c r="A2587" s="79"/>
      <c r="B2587" s="79"/>
      <c r="C2587" s="79"/>
      <c r="D2587" s="81">
        <v>42422</v>
      </c>
      <c r="E2587" s="82">
        <v>7234.55</v>
      </c>
      <c r="G2587" s="79"/>
      <c r="H2587" s="79"/>
      <c r="I2587" s="79"/>
    </row>
    <row r="2588" s="78" customFormat="1" ht="16.5" customHeight="1" spans="1:9">
      <c r="A2588" s="79"/>
      <c r="B2588" s="79"/>
      <c r="C2588" s="79"/>
      <c r="D2588" s="81">
        <v>42419</v>
      </c>
      <c r="E2588" s="82">
        <v>7210.75</v>
      </c>
      <c r="G2588" s="79"/>
      <c r="H2588" s="79"/>
      <c r="I2588" s="79"/>
    </row>
    <row r="2589" s="78" customFormat="1" ht="16.5" customHeight="1" spans="1:9">
      <c r="A2589" s="79"/>
      <c r="B2589" s="79"/>
      <c r="C2589" s="79"/>
      <c r="D2589" s="81">
        <v>42418</v>
      </c>
      <c r="E2589" s="82">
        <v>7191.75</v>
      </c>
      <c r="G2589" s="79"/>
      <c r="H2589" s="79"/>
      <c r="I2589" s="79"/>
    </row>
    <row r="2590" s="78" customFormat="1" ht="16.5" customHeight="1" spans="1:9">
      <c r="A2590" s="79"/>
      <c r="B2590" s="79"/>
      <c r="C2590" s="79"/>
      <c r="D2590" s="81">
        <v>42417</v>
      </c>
      <c r="E2590" s="82">
        <v>7108.45</v>
      </c>
      <c r="G2590" s="79"/>
      <c r="H2590" s="79"/>
      <c r="I2590" s="79"/>
    </row>
    <row r="2591" s="78" customFormat="1" ht="16.5" customHeight="1" spans="1:9">
      <c r="A2591" s="79"/>
      <c r="B2591" s="79"/>
      <c r="C2591" s="79"/>
      <c r="D2591" s="81">
        <v>42416</v>
      </c>
      <c r="E2591" s="82">
        <v>7048.25</v>
      </c>
      <c r="G2591" s="79"/>
      <c r="H2591" s="79"/>
      <c r="I2591" s="79"/>
    </row>
    <row r="2592" s="78" customFormat="1" ht="16.5" customHeight="1" spans="1:9">
      <c r="A2592" s="79"/>
      <c r="B2592" s="79"/>
      <c r="C2592" s="79"/>
      <c r="D2592" s="81">
        <v>42415</v>
      </c>
      <c r="E2592" s="82">
        <v>7162.95</v>
      </c>
      <c r="G2592" s="79"/>
      <c r="H2592" s="79"/>
      <c r="I2592" s="79"/>
    </row>
    <row r="2593" s="78" customFormat="1" ht="16.5" customHeight="1" spans="1:9">
      <c r="A2593" s="79"/>
      <c r="B2593" s="79"/>
      <c r="C2593" s="79"/>
      <c r="D2593" s="81">
        <v>42412</v>
      </c>
      <c r="E2593" s="82">
        <v>6980.95</v>
      </c>
      <c r="G2593" s="79"/>
      <c r="H2593" s="79"/>
      <c r="I2593" s="79"/>
    </row>
    <row r="2594" s="78" customFormat="1" ht="16.5" customHeight="1" spans="1:9">
      <c r="A2594" s="79"/>
      <c r="B2594" s="79"/>
      <c r="C2594" s="79"/>
      <c r="D2594" s="81">
        <v>42411</v>
      </c>
      <c r="E2594" s="82">
        <v>6976.35</v>
      </c>
      <c r="G2594" s="79"/>
      <c r="H2594" s="79"/>
      <c r="I2594" s="79"/>
    </row>
    <row r="2595" s="78" customFormat="1" ht="16.5" customHeight="1" spans="1:9">
      <c r="A2595" s="79"/>
      <c r="B2595" s="79"/>
      <c r="C2595" s="79"/>
      <c r="D2595" s="81">
        <v>42410</v>
      </c>
      <c r="E2595" s="82">
        <v>7215.7</v>
      </c>
      <c r="G2595" s="79"/>
      <c r="H2595" s="79"/>
      <c r="I2595" s="79"/>
    </row>
    <row r="2596" s="78" customFormat="1" ht="16.5" customHeight="1" spans="1:9">
      <c r="A2596" s="79"/>
      <c r="B2596" s="79"/>
      <c r="C2596" s="79"/>
      <c r="D2596" s="81">
        <v>42409</v>
      </c>
      <c r="E2596" s="82">
        <v>7298.2</v>
      </c>
      <c r="G2596" s="79"/>
      <c r="H2596" s="79"/>
      <c r="I2596" s="79"/>
    </row>
    <row r="2597" s="78" customFormat="1" ht="16.5" customHeight="1" spans="1:9">
      <c r="A2597" s="79"/>
      <c r="B2597" s="79"/>
      <c r="C2597" s="79"/>
      <c r="D2597" s="81">
        <v>42408</v>
      </c>
      <c r="E2597" s="82">
        <v>7387.25</v>
      </c>
      <c r="G2597" s="79"/>
      <c r="H2597" s="79"/>
      <c r="I2597" s="79"/>
    </row>
    <row r="2598" s="78" customFormat="1" ht="16.5" customHeight="1" spans="1:9">
      <c r="A2598" s="79"/>
      <c r="B2598" s="79"/>
      <c r="C2598" s="79"/>
      <c r="D2598" s="81">
        <v>42405</v>
      </c>
      <c r="E2598" s="82">
        <v>7489.1</v>
      </c>
      <c r="G2598" s="79"/>
      <c r="H2598" s="79"/>
      <c r="I2598" s="79"/>
    </row>
    <row r="2599" s="78" customFormat="1" ht="16.5" customHeight="1" spans="1:9">
      <c r="A2599" s="79"/>
      <c r="B2599" s="79"/>
      <c r="C2599" s="79"/>
      <c r="D2599" s="81">
        <v>42404</v>
      </c>
      <c r="E2599" s="82">
        <v>7404</v>
      </c>
      <c r="G2599" s="79"/>
      <c r="H2599" s="79"/>
      <c r="I2599" s="79"/>
    </row>
    <row r="2600" s="78" customFormat="1" ht="16.5" customHeight="1" spans="1:9">
      <c r="A2600" s="79"/>
      <c r="B2600" s="79"/>
      <c r="C2600" s="79"/>
      <c r="D2600" s="81">
        <v>42403</v>
      </c>
      <c r="E2600" s="82">
        <v>7361.8</v>
      </c>
      <c r="G2600" s="79"/>
      <c r="H2600" s="79"/>
      <c r="I2600" s="79"/>
    </row>
    <row r="2601" s="78" customFormat="1" ht="16.5" customHeight="1" spans="1:9">
      <c r="A2601" s="79"/>
      <c r="B2601" s="79"/>
      <c r="C2601" s="79"/>
      <c r="D2601" s="81">
        <v>42402</v>
      </c>
      <c r="E2601" s="82">
        <v>7455.55</v>
      </c>
      <c r="G2601" s="79"/>
      <c r="H2601" s="79"/>
      <c r="I2601" s="79"/>
    </row>
    <row r="2602" s="78" customFormat="1" ht="16.5" customHeight="1" spans="1:9">
      <c r="A2602" s="79"/>
      <c r="B2602" s="79"/>
      <c r="C2602" s="79"/>
      <c r="D2602" s="81">
        <v>42401</v>
      </c>
      <c r="E2602" s="82">
        <v>7555.95</v>
      </c>
      <c r="G2602" s="79"/>
      <c r="H2602" s="79"/>
      <c r="I2602" s="79"/>
    </row>
    <row r="2603" s="78" customFormat="1" ht="16.5" customHeight="1" spans="1:9">
      <c r="A2603" s="79"/>
      <c r="B2603" s="79"/>
      <c r="C2603" s="79"/>
      <c r="D2603" s="81">
        <v>42398</v>
      </c>
      <c r="E2603" s="82">
        <v>7563.55</v>
      </c>
      <c r="G2603" s="79"/>
      <c r="H2603" s="79"/>
      <c r="I2603" s="79"/>
    </row>
    <row r="2604" s="78" customFormat="1" ht="16.5" customHeight="1" spans="1:9">
      <c r="A2604" s="79"/>
      <c r="B2604" s="79"/>
      <c r="C2604" s="79"/>
      <c r="D2604" s="81">
        <v>42397</v>
      </c>
      <c r="E2604" s="82">
        <v>7424.65</v>
      </c>
      <c r="G2604" s="79"/>
      <c r="H2604" s="79"/>
      <c r="I2604" s="79"/>
    </row>
    <row r="2605" s="78" customFormat="1" ht="16.5" customHeight="1" spans="1:9">
      <c r="A2605" s="79"/>
      <c r="B2605" s="79"/>
      <c r="C2605" s="79"/>
      <c r="D2605" s="81">
        <v>42396</v>
      </c>
      <c r="E2605" s="82">
        <v>7437.75</v>
      </c>
      <c r="G2605" s="79"/>
      <c r="H2605" s="79"/>
      <c r="I2605" s="79"/>
    </row>
    <row r="2606" s="78" customFormat="1" ht="16.5" customHeight="1" spans="1:9">
      <c r="A2606" s="79"/>
      <c r="B2606" s="79"/>
      <c r="C2606" s="79"/>
      <c r="D2606" s="81">
        <v>42394</v>
      </c>
      <c r="E2606" s="82">
        <v>7436.15</v>
      </c>
      <c r="G2606" s="79"/>
      <c r="H2606" s="79"/>
      <c r="I2606" s="79"/>
    </row>
    <row r="2607" s="78" customFormat="1" ht="16.5" customHeight="1" spans="1:9">
      <c r="A2607" s="79"/>
      <c r="B2607" s="79"/>
      <c r="C2607" s="79"/>
      <c r="D2607" s="81">
        <v>42391</v>
      </c>
      <c r="E2607" s="82">
        <v>7422.45</v>
      </c>
      <c r="G2607" s="79"/>
      <c r="H2607" s="79"/>
      <c r="I2607" s="79"/>
    </row>
    <row r="2608" s="78" customFormat="1" ht="16.5" customHeight="1" spans="1:9">
      <c r="A2608" s="79"/>
      <c r="B2608" s="79"/>
      <c r="C2608" s="79"/>
      <c r="D2608" s="81">
        <v>42390</v>
      </c>
      <c r="E2608" s="82">
        <v>7276.8</v>
      </c>
      <c r="G2608" s="79"/>
      <c r="H2608" s="79"/>
      <c r="I2608" s="79"/>
    </row>
    <row r="2609" s="78" customFormat="1" ht="16.5" customHeight="1" spans="1:9">
      <c r="A2609" s="79"/>
      <c r="B2609" s="79"/>
      <c r="C2609" s="79"/>
      <c r="D2609" s="81">
        <v>42389</v>
      </c>
      <c r="E2609" s="82">
        <v>7309.3</v>
      </c>
      <c r="G2609" s="79"/>
      <c r="H2609" s="79"/>
      <c r="I2609" s="79"/>
    </row>
    <row r="2610" s="78" customFormat="1" ht="16.5" customHeight="1" spans="1:9">
      <c r="A2610" s="79"/>
      <c r="B2610" s="79"/>
      <c r="C2610" s="79"/>
      <c r="D2610" s="81">
        <v>42388</v>
      </c>
      <c r="E2610" s="82">
        <v>7435.1</v>
      </c>
      <c r="G2610" s="79"/>
      <c r="H2610" s="79"/>
      <c r="I2610" s="79"/>
    </row>
    <row r="2611" s="78" customFormat="1" ht="16.5" customHeight="1" spans="1:9">
      <c r="A2611" s="79"/>
      <c r="B2611" s="79"/>
      <c r="C2611" s="79"/>
      <c r="D2611" s="81">
        <v>42387</v>
      </c>
      <c r="E2611" s="82">
        <v>7351</v>
      </c>
      <c r="G2611" s="79"/>
      <c r="H2611" s="79"/>
      <c r="I2611" s="79"/>
    </row>
    <row r="2612" s="78" customFormat="1" ht="16.5" customHeight="1" spans="1:9">
      <c r="A2612" s="79"/>
      <c r="B2612" s="79"/>
      <c r="C2612" s="79"/>
      <c r="D2612" s="81">
        <v>42384</v>
      </c>
      <c r="E2612" s="82">
        <v>7437.8</v>
      </c>
      <c r="G2612" s="79"/>
      <c r="H2612" s="79"/>
      <c r="I2612" s="79"/>
    </row>
    <row r="2613" s="78" customFormat="1" ht="16.5" customHeight="1" spans="1:9">
      <c r="A2613" s="79"/>
      <c r="B2613" s="79"/>
      <c r="C2613" s="79"/>
      <c r="D2613" s="81">
        <v>42383</v>
      </c>
      <c r="E2613" s="82">
        <v>7536.8</v>
      </c>
      <c r="G2613" s="79"/>
      <c r="H2613" s="79"/>
      <c r="I2613" s="79"/>
    </row>
    <row r="2614" s="78" customFormat="1" ht="16.5" customHeight="1" spans="1:9">
      <c r="A2614" s="79"/>
      <c r="B2614" s="79"/>
      <c r="C2614" s="79"/>
      <c r="D2614" s="81">
        <v>42382</v>
      </c>
      <c r="E2614" s="82">
        <v>7562.4</v>
      </c>
      <c r="G2614" s="79"/>
      <c r="H2614" s="79"/>
      <c r="I2614" s="79"/>
    </row>
    <row r="2615" s="78" customFormat="1" ht="16.5" customHeight="1" spans="1:9">
      <c r="A2615" s="79"/>
      <c r="B2615" s="79"/>
      <c r="C2615" s="79"/>
      <c r="D2615" s="81">
        <v>42381</v>
      </c>
      <c r="E2615" s="82">
        <v>7510.3</v>
      </c>
      <c r="G2615" s="79"/>
      <c r="H2615" s="79"/>
      <c r="I2615" s="79"/>
    </row>
    <row r="2616" s="78" customFormat="1" ht="16.5" customHeight="1" spans="1:9">
      <c r="A2616" s="79"/>
      <c r="B2616" s="79"/>
      <c r="C2616" s="79"/>
      <c r="D2616" s="81">
        <v>42380</v>
      </c>
      <c r="E2616" s="82">
        <v>7563.85</v>
      </c>
      <c r="G2616" s="79"/>
      <c r="H2616" s="79"/>
      <c r="I2616" s="79"/>
    </row>
    <row r="2617" s="78" customFormat="1" ht="16.5" customHeight="1" spans="1:9">
      <c r="A2617" s="79"/>
      <c r="B2617" s="79"/>
      <c r="C2617" s="79"/>
      <c r="D2617" s="81">
        <v>42377</v>
      </c>
      <c r="E2617" s="82">
        <v>7601.35</v>
      </c>
      <c r="G2617" s="79"/>
      <c r="H2617" s="79"/>
      <c r="I2617" s="79"/>
    </row>
    <row r="2618" s="78" customFormat="1" ht="16.5" customHeight="1" spans="1:9">
      <c r="A2618" s="79"/>
      <c r="B2618" s="79"/>
      <c r="C2618" s="79"/>
      <c r="D2618" s="81">
        <v>42376</v>
      </c>
      <c r="E2618" s="82">
        <v>7568.3</v>
      </c>
      <c r="G2618" s="79"/>
      <c r="H2618" s="79"/>
      <c r="I2618" s="79"/>
    </row>
    <row r="2619" s="78" customFormat="1" ht="16.5" customHeight="1" spans="1:9">
      <c r="A2619" s="79"/>
      <c r="B2619" s="79"/>
      <c r="C2619" s="79"/>
      <c r="D2619" s="81">
        <v>42375</v>
      </c>
      <c r="E2619" s="82">
        <v>7741</v>
      </c>
      <c r="G2619" s="79"/>
      <c r="H2619" s="79"/>
      <c r="I2619" s="79"/>
    </row>
    <row r="2620" s="78" customFormat="1" ht="16.5" customHeight="1" spans="1:9">
      <c r="A2620" s="79"/>
      <c r="B2620" s="79"/>
      <c r="C2620" s="79"/>
      <c r="D2620" s="81">
        <v>42374</v>
      </c>
      <c r="E2620" s="82">
        <v>7784.65</v>
      </c>
      <c r="G2620" s="79"/>
      <c r="H2620" s="79"/>
      <c r="I2620" s="79"/>
    </row>
    <row r="2621" s="78" customFormat="1" ht="16.5" customHeight="1" spans="1:9">
      <c r="A2621" s="79"/>
      <c r="B2621" s="79"/>
      <c r="C2621" s="79"/>
      <c r="D2621" s="81">
        <v>42373</v>
      </c>
      <c r="E2621" s="82">
        <v>7791.3</v>
      </c>
      <c r="G2621" s="79"/>
      <c r="H2621" s="79"/>
      <c r="I2621" s="79"/>
    </row>
    <row r="2622" s="78" customFormat="1" ht="16.5" customHeight="1" spans="1:9">
      <c r="A2622" s="79"/>
      <c r="B2622" s="79"/>
      <c r="C2622" s="79"/>
      <c r="D2622" s="81">
        <v>42370</v>
      </c>
      <c r="E2622" s="82">
        <v>7963.2</v>
      </c>
      <c r="G2622" s="79"/>
      <c r="H2622" s="79"/>
      <c r="I2622" s="7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showGridLines="0" zoomScale="82" zoomScaleNormal="82" workbookViewId="0">
      <selection activeCell="I39" sqref="I39"/>
    </sheetView>
  </sheetViews>
  <sheetFormatPr defaultColWidth="9.14285714285714" defaultRowHeight="16.8"/>
  <cols>
    <col min="1" max="3" width="1.23214285714286" style="16" customWidth="1"/>
    <col min="4" max="4" width="40.6428571428571" style="16" customWidth="1"/>
    <col min="5" max="6" width="9.14285714285714" style="16"/>
    <col min="7" max="7" width="2.64285714285714" style="16" customWidth="1"/>
    <col min="8" max="14" width="12.6428571428571" style="16" customWidth="1"/>
    <col min="15" max="16384" width="9.14285714285714" style="16"/>
  </cols>
  <sheetData>
    <row r="1" ht="34.4" spans="1:14">
      <c r="A1" s="60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3" t="s">
        <v>292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ht="10" customHeight="1" spans="1:14">
      <c r="A3" s="61" t="s">
        <v>293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5" spans="1:14">
      <c r="A5" s="62" t="s">
        <v>294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</row>
    <row r="7" spans="1:14">
      <c r="D7" s="64"/>
      <c r="E7" s="64"/>
      <c r="F7" s="64"/>
      <c r="G7" s="64"/>
      <c r="H7" s="65" t="s">
        <v>55</v>
      </c>
      <c r="I7" s="65" t="s">
        <v>270</v>
      </c>
      <c r="J7" s="65" t="s">
        <v>295</v>
      </c>
      <c r="K7" s="65" t="s">
        <v>295</v>
      </c>
      <c r="L7" s="65" t="s">
        <v>296</v>
      </c>
      <c r="M7" s="65" t="s">
        <v>297</v>
      </c>
      <c r="N7" s="65" t="s">
        <v>298</v>
      </c>
    </row>
    <row r="8" spans="1:14">
      <c r="D8" s="65" t="s">
        <v>299</v>
      </c>
      <c r="E8" s="64"/>
      <c r="F8" s="64"/>
      <c r="G8" s="64"/>
      <c r="H8" s="65" t="s">
        <v>300</v>
      </c>
      <c r="I8" s="65" t="s">
        <v>301</v>
      </c>
      <c r="J8" s="65" t="s">
        <v>55</v>
      </c>
      <c r="K8" s="65" t="s">
        <v>302</v>
      </c>
      <c r="L8" s="65" t="s">
        <v>303</v>
      </c>
      <c r="M8" s="65" t="s">
        <v>304</v>
      </c>
      <c r="N8" s="65" t="s">
        <v>304</v>
      </c>
    </row>
    <row r="9" spans="1:14">
      <c r="D9" s="66" t="s">
        <v>305</v>
      </c>
      <c r="E9" s="66"/>
      <c r="F9" s="66"/>
      <c r="G9" s="66"/>
      <c r="H9" s="67">
        <f>Comp!K8</f>
        <v>1615403.32</v>
      </c>
      <c r="I9" s="67">
        <f>Comp!L8</f>
        <v>1925280</v>
      </c>
      <c r="J9" s="68">
        <f>I9/H9</f>
        <v>1.19182619978768</v>
      </c>
      <c r="K9" s="68">
        <f>I9/(H9+I9)</f>
        <v>0.543759445846176</v>
      </c>
      <c r="L9" s="68">
        <f>Model!M10</f>
        <v>0.238578164379273</v>
      </c>
      <c r="M9" s="69">
        <v>1.75</v>
      </c>
      <c r="N9" s="69">
        <f>M9/(1+J9*(1-K9))</f>
        <v>1.13359630265503</v>
      </c>
    </row>
    <row r="10" spans="1:14">
      <c r="D10" s="16" t="s">
        <v>306</v>
      </c>
      <c r="H10" s="70">
        <f>Comp!K9</f>
        <v>825000</v>
      </c>
      <c r="I10" s="70">
        <f>Comp!L9</f>
        <v>26943</v>
      </c>
      <c r="J10" s="71">
        <f>I10/H10</f>
        <v>0.0326581818181818</v>
      </c>
      <c r="K10" s="71">
        <f>I10/(H10+I10)</f>
        <v>0.0316253552174265</v>
      </c>
      <c r="L10" s="71">
        <f>L9</f>
        <v>0.238578164379273</v>
      </c>
      <c r="M10" s="72">
        <v>0.55</v>
      </c>
      <c r="N10" s="72">
        <f>M10/(1+J10*(1-K10))</f>
        <v>0.533139280862364</v>
      </c>
    </row>
    <row r="11" spans="1:14">
      <c r="D11" s="16" t="s">
        <v>307</v>
      </c>
      <c r="H11" s="70">
        <f>Comp!K10</f>
        <v>513000</v>
      </c>
      <c r="I11" s="70">
        <f>Comp!L10</f>
        <v>122624</v>
      </c>
      <c r="J11" s="71">
        <f>I11/H11</f>
        <v>0.239033138401559</v>
      </c>
      <c r="K11" s="71">
        <f>I11/(H11+I11)</f>
        <v>0.192919084238481</v>
      </c>
      <c r="L11" s="71">
        <f>L10</f>
        <v>0.238578164379273</v>
      </c>
      <c r="M11" s="72">
        <v>0.85</v>
      </c>
      <c r="N11" s="72">
        <f>M11/(1+J11*(1-K11))</f>
        <v>0.712537850413057</v>
      </c>
    </row>
    <row r="12" spans="1:14">
      <c r="D12" s="16" t="s">
        <v>308</v>
      </c>
      <c r="H12" s="70">
        <f>Comp!K11</f>
        <v>96282</v>
      </c>
      <c r="I12" s="70">
        <f>Comp!L11</f>
        <v>637.2</v>
      </c>
      <c r="J12" s="71">
        <f>I12/H12</f>
        <v>0.00661805945036455</v>
      </c>
      <c r="K12" s="71">
        <f>I12/(H12+I12)</f>
        <v>0.00657454869623356</v>
      </c>
      <c r="L12" s="71">
        <f>L11</f>
        <v>0.238578164379273</v>
      </c>
      <c r="M12" s="72">
        <v>0.7</v>
      </c>
      <c r="N12" s="72">
        <f>M12/(1+J12*(1-K12))</f>
        <v>0.695427875567364</v>
      </c>
    </row>
    <row r="13" spans="1:14">
      <c r="D13" s="28" t="s">
        <v>309</v>
      </c>
      <c r="E13" s="29"/>
      <c r="F13" s="29"/>
      <c r="G13" s="29"/>
      <c r="H13" s="29"/>
      <c r="I13" s="29"/>
      <c r="J13" s="73">
        <f>AVERAGE(J9:J12)</f>
        <v>0.367533894864446</v>
      </c>
      <c r="K13" s="73">
        <f>AVERAGE(K9:K12)</f>
        <v>0.193719608499579</v>
      </c>
      <c r="L13" s="73">
        <f>AVERAGE(L9:L12)</f>
        <v>0.238578164379273</v>
      </c>
      <c r="M13" s="74">
        <f>AVERAGE(M9:M12)</f>
        <v>0.9625</v>
      </c>
      <c r="N13" s="74">
        <f>AVERAGE(N9:N12)</f>
        <v>0.768675327374453</v>
      </c>
    </row>
    <row r="14" spans="1:14">
      <c r="D14" s="32" t="s">
        <v>310</v>
      </c>
      <c r="E14" s="17"/>
      <c r="F14" s="17"/>
      <c r="G14" s="17"/>
      <c r="H14" s="17"/>
      <c r="I14" s="17"/>
      <c r="J14" s="75">
        <f>MEDIAN(J9:J12)</f>
        <v>0.135845660109871</v>
      </c>
      <c r="K14" s="75">
        <f>MEDIAN(K9:K12)</f>
        <v>0.112272219727954</v>
      </c>
      <c r="L14" s="75">
        <f>MEDIAN(L9:L12)</f>
        <v>0.238578164379273</v>
      </c>
      <c r="M14" s="76">
        <f>MEDIAN(M9:M12)</f>
        <v>0.775</v>
      </c>
      <c r="N14" s="76">
        <f>MEDIAN(N9:N12)</f>
        <v>0.703982862990211</v>
      </c>
    </row>
    <row r="16" spans="1:14">
      <c r="D16" s="35" t="s">
        <v>0</v>
      </c>
      <c r="H16" s="70">
        <f>Comp!K16</f>
        <v>11273160</v>
      </c>
      <c r="I16" s="70">
        <f>Comp!L16</f>
        <v>1954117</v>
      </c>
    </row>
    <row r="18" spans="3:9">
      <c r="C18" s="13"/>
      <c r="D18" s="62" t="s">
        <v>311</v>
      </c>
      <c r="E18" s="13"/>
      <c r="F18" s="13"/>
      <c r="G18" s="13"/>
      <c r="H18" s="13"/>
      <c r="I18" s="13"/>
    </row>
    <row r="20" spans="3:9">
      <c r="C20" s="62" t="s">
        <v>312</v>
      </c>
      <c r="D20" s="13"/>
      <c r="E20" s="63"/>
      <c r="F20" s="63"/>
      <c r="G20" s="63"/>
      <c r="H20" s="63"/>
      <c r="I20" s="63"/>
    </row>
    <row r="21" spans="3:9">
      <c r="D21" s="16" t="s">
        <v>313</v>
      </c>
      <c r="I21" s="71">
        <f>Comp!L16/(Comp!K16+Comp!L16)</f>
        <v>0.14773388354988</v>
      </c>
    </row>
    <row r="22" spans="3:9">
      <c r="D22" s="16" t="s">
        <v>314</v>
      </c>
      <c r="I22" s="71">
        <f>1-I21</f>
        <v>0.85226611645012</v>
      </c>
    </row>
    <row r="25" spans="3:9">
      <c r="C25" s="32" t="s">
        <v>315</v>
      </c>
      <c r="D25" s="17"/>
      <c r="E25" s="17"/>
      <c r="F25" s="17"/>
      <c r="G25" s="17"/>
      <c r="H25" s="17"/>
      <c r="I25" s="17"/>
    </row>
    <row r="26" spans="3:9">
      <c r="D26" s="16" t="s">
        <v>316</v>
      </c>
      <c r="I26" s="70">
        <f>H16</f>
        <v>11273160</v>
      </c>
    </row>
    <row r="27" spans="3:9">
      <c r="D27" s="16" t="s">
        <v>317</v>
      </c>
      <c r="I27" s="70">
        <f>I16</f>
        <v>1954117</v>
      </c>
    </row>
    <row r="28" spans="3:9">
      <c r="C28" s="66"/>
      <c r="D28" s="66" t="s">
        <v>318</v>
      </c>
      <c r="E28" s="66"/>
      <c r="F28" s="66"/>
      <c r="G28" s="66"/>
      <c r="H28" s="66"/>
      <c r="I28" s="68">
        <f>I27/I26</f>
        <v>0.173342434596865</v>
      </c>
    </row>
    <row r="30" spans="3:9">
      <c r="C30" s="32" t="s">
        <v>319</v>
      </c>
      <c r="D30" s="17"/>
      <c r="E30" s="17"/>
      <c r="F30" s="17"/>
      <c r="G30" s="17"/>
      <c r="H30" s="17"/>
      <c r="I30" s="17"/>
    </row>
    <row r="31" spans="3:9">
      <c r="D31" s="16" t="s">
        <v>320</v>
      </c>
      <c r="I31" s="71">
        <f>Model!M9</f>
        <v>0.100099580006699</v>
      </c>
    </row>
    <row r="32" spans="3:9">
      <c r="D32" s="16" t="s">
        <v>231</v>
      </c>
      <c r="I32" s="71">
        <f>Model!M10</f>
        <v>0.238578164379273</v>
      </c>
    </row>
    <row r="33" spans="3:9">
      <c r="C33" s="66"/>
      <c r="D33" s="66" t="s">
        <v>321</v>
      </c>
      <c r="E33" s="66"/>
      <c r="F33" s="66"/>
      <c r="G33" s="66"/>
      <c r="H33" s="66"/>
      <c r="I33" s="68">
        <f>I31*(1-I32)</f>
        <v>0.0762180059535647</v>
      </c>
    </row>
    <row r="35" spans="3:9">
      <c r="C35" s="32" t="s">
        <v>322</v>
      </c>
      <c r="D35" s="17"/>
      <c r="E35" s="17"/>
      <c r="F35" s="17"/>
      <c r="G35" s="17"/>
      <c r="H35" s="17"/>
      <c r="I35" s="17"/>
    </row>
    <row r="36" spans="3:9">
      <c r="D36" s="16" t="s">
        <v>323</v>
      </c>
      <c r="I36" s="71">
        <v>0.065</v>
      </c>
    </row>
    <row r="37" spans="3:9">
      <c r="D37" s="16" t="s">
        <v>324</v>
      </c>
      <c r="I37" s="71">
        <f>'Market Data'!J8</f>
        <v>0.130388716842143</v>
      </c>
    </row>
    <row r="38" spans="3:9">
      <c r="D38" s="16" t="s">
        <v>325</v>
      </c>
      <c r="I38" s="71">
        <f>I37-I36</f>
        <v>0.0653887168421429</v>
      </c>
    </row>
    <row r="39" spans="3:9">
      <c r="D39" s="16" t="s">
        <v>326</v>
      </c>
      <c r="I39" s="72">
        <f>N14*(1+I28)*(1-I32)</f>
        <v>0.628944309104083</v>
      </c>
    </row>
    <row r="40" spans="3:9">
      <c r="C40" s="66"/>
      <c r="D40" s="66" t="s">
        <v>322</v>
      </c>
      <c r="E40" s="66"/>
      <c r="F40" s="66"/>
      <c r="G40" s="66"/>
      <c r="H40" s="66"/>
      <c r="I40" s="68">
        <f>I36+I39*I38</f>
        <v>0.106125861337484</v>
      </c>
    </row>
    <row r="42" spans="3:9">
      <c r="D42" s="35" t="s">
        <v>327</v>
      </c>
      <c r="I42" s="77">
        <f>(I21*I33)+(I40*I22)</f>
        <v>0.10170745771297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showGridLines="0" zoomScale="97" zoomScaleNormal="97" workbookViewId="0">
      <selection activeCell="H17" sqref="H17"/>
    </sheetView>
  </sheetViews>
  <sheetFormatPr defaultColWidth="9.14285714285714" defaultRowHeight="17.6"/>
  <cols>
    <col min="1" max="3" width="1.23214285714286" style="16" customWidth="1"/>
    <col min="4" max="4" width="40.6428571428571" style="16" customWidth="1"/>
    <col min="5" max="5" width="11.9642857142857" style="16" customWidth="1"/>
    <col min="6" max="6" width="12.6607142857143" style="16" customWidth="1"/>
    <col min="7" max="7" width="2.64285714285714" style="16" customWidth="1"/>
    <col min="8" max="15" width="12.6428571428571" style="47" customWidth="1"/>
    <col min="16" max="16384" width="9.14285714285714" style="16"/>
  </cols>
  <sheetData>
    <row r="1" ht="37.2" customHeight="1" spans="1:17">
      <c r="A1" s="1" t="s">
        <v>0</v>
      </c>
      <c r="B1" s="48"/>
      <c r="C1" s="48"/>
      <c r="D1" s="48"/>
      <c r="E1" s="48"/>
      <c r="F1" s="48"/>
      <c r="G1" s="48"/>
      <c r="H1" s="49" t="s">
        <v>328</v>
      </c>
      <c r="I1" s="49"/>
      <c r="J1" s="49"/>
      <c r="K1" s="49"/>
      <c r="L1" s="49"/>
      <c r="M1" s="49"/>
      <c r="N1" s="49"/>
      <c r="O1" s="49"/>
      <c r="P1" s="50"/>
      <c r="Q1" s="50"/>
    </row>
    <row r="2" spans="1:17">
      <c r="A2" s="3" t="s">
        <v>329</v>
      </c>
      <c r="B2" s="4"/>
      <c r="C2" s="4"/>
      <c r="D2" s="4"/>
      <c r="E2" s="48"/>
      <c r="F2" s="48"/>
      <c r="G2" s="48"/>
      <c r="H2" s="49"/>
      <c r="I2" s="49"/>
      <c r="J2" s="49"/>
      <c r="K2" s="49"/>
      <c r="L2" s="49"/>
      <c r="M2" s="49"/>
      <c r="N2" s="49"/>
      <c r="O2" s="49"/>
      <c r="P2" s="50"/>
      <c r="Q2" s="50"/>
    </row>
    <row r="3" spans="1:17">
      <c r="P3" s="51"/>
      <c r="Q3" s="51"/>
    </row>
    <row r="4" spans="1:17">
      <c r="D4" s="52" t="s">
        <v>330</v>
      </c>
      <c r="E4" s="17"/>
      <c r="F4" s="17"/>
      <c r="G4" s="17"/>
      <c r="H4" s="53" t="s">
        <v>331</v>
      </c>
      <c r="I4" s="53" t="s">
        <v>332</v>
      </c>
      <c r="J4" s="53" t="s">
        <v>333</v>
      </c>
      <c r="K4" s="53" t="s">
        <v>301</v>
      </c>
      <c r="L4" s="53" t="s">
        <v>334</v>
      </c>
      <c r="M4" s="53" t="s">
        <v>335</v>
      </c>
      <c r="N4" s="53" t="s">
        <v>165</v>
      </c>
      <c r="O4" s="53" t="s">
        <v>336</v>
      </c>
    </row>
    <row r="5" spans="1:17">
      <c r="D5" s="16" t="s">
        <v>0</v>
      </c>
      <c r="H5" s="54" t="s">
        <v>337</v>
      </c>
      <c r="I5" s="55">
        <v>1850</v>
      </c>
      <c r="J5" s="55">
        <v>6093.6</v>
      </c>
      <c r="K5" s="56">
        <v>1954117</v>
      </c>
      <c r="L5" s="56">
        <v>303768</v>
      </c>
      <c r="M5" s="56">
        <v>2109728</v>
      </c>
      <c r="N5" s="56">
        <v>1196745</v>
      </c>
      <c r="O5" s="56">
        <v>338228</v>
      </c>
    </row>
    <row r="6" spans="1:17">
      <c r="D6" s="57"/>
      <c r="E6" s="57"/>
      <c r="F6" s="57"/>
      <c r="G6" s="57"/>
      <c r="H6" s="58"/>
      <c r="I6" s="58"/>
      <c r="J6" s="58"/>
      <c r="K6" s="58"/>
      <c r="L6" s="58"/>
      <c r="M6" s="58"/>
      <c r="N6" s="58"/>
      <c r="O6" s="58"/>
    </row>
    <row r="7" spans="1:17">
      <c r="D7" s="16" t="s">
        <v>305</v>
      </c>
      <c r="H7" s="54" t="s">
        <v>338</v>
      </c>
      <c r="I7" s="55">
        <v>14.92</v>
      </c>
      <c r="J7" s="55">
        <v>108271</v>
      </c>
      <c r="K7" s="56">
        <v>1925280</v>
      </c>
      <c r="L7" s="56">
        <v>57310</v>
      </c>
      <c r="M7" s="56">
        <v>455390</v>
      </c>
      <c r="N7" s="56">
        <v>194251</v>
      </c>
      <c r="O7" s="56">
        <v>374058</v>
      </c>
    </row>
    <row r="8" spans="1:17">
      <c r="D8" s="16" t="s">
        <v>306</v>
      </c>
      <c r="H8" s="54" t="s">
        <v>339</v>
      </c>
      <c r="I8" s="55">
        <v>1650</v>
      </c>
      <c r="J8" s="55">
        <v>500</v>
      </c>
      <c r="K8" s="56">
        <v>26943</v>
      </c>
      <c r="L8" s="56">
        <v>330</v>
      </c>
      <c r="M8" s="56">
        <v>96010</v>
      </c>
      <c r="N8" s="56">
        <v>50519</v>
      </c>
      <c r="O8" s="56">
        <v>18240</v>
      </c>
    </row>
    <row r="9" spans="1:17">
      <c r="D9" s="16" t="s">
        <v>307</v>
      </c>
      <c r="H9" s="54" t="s">
        <v>340</v>
      </c>
      <c r="I9" s="55">
        <v>1800</v>
      </c>
      <c r="J9" s="55">
        <v>285</v>
      </c>
      <c r="K9" s="56">
        <v>122624</v>
      </c>
      <c r="L9" s="56">
        <v>9905</v>
      </c>
      <c r="M9" s="56">
        <v>254260</v>
      </c>
      <c r="N9" s="56">
        <v>49158</v>
      </c>
      <c r="O9" s="56">
        <v>9058</v>
      </c>
    </row>
    <row r="10" spans="1:17">
      <c r="D10" s="16" t="s">
        <v>308</v>
      </c>
      <c r="H10" s="54" t="s">
        <v>341</v>
      </c>
      <c r="I10" s="55">
        <v>300</v>
      </c>
      <c r="J10" s="55">
        <v>320.94</v>
      </c>
      <c r="K10" s="56">
        <v>637.2</v>
      </c>
      <c r="L10" s="56">
        <v>6541.1</v>
      </c>
      <c r="M10" s="56">
        <v>44270</v>
      </c>
      <c r="N10" s="56">
        <v>6521.8</v>
      </c>
      <c r="O10" s="56">
        <v>3460</v>
      </c>
    </row>
    <row r="12" spans="1:17">
      <c r="D12" s="59" t="s">
        <v>342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showGridLines="0" zoomScale="82" zoomScaleNormal="82" workbookViewId="0">
      <selection activeCell="A1" sqref="A1:L2"/>
    </sheetView>
  </sheetViews>
  <sheetFormatPr defaultColWidth="9.14285714285714" defaultRowHeight="16.8"/>
  <cols>
    <col min="1" max="3" width="1.23214285714286" customWidth="1"/>
    <col min="4" max="4" width="40.6428571428571" customWidth="1"/>
    <col min="6" max="6" width="12.7857142857143"/>
    <col min="7" max="7" width="2.64285714285714" customWidth="1"/>
    <col min="9" max="9" width="12.8571428571429"/>
    <col min="10" max="10" width="11.7142857142857"/>
    <col min="11" max="11" width="11.3571428571429" customWidth="1"/>
    <col min="12" max="12" width="9.57142857142857"/>
    <col min="13" max="13" width="12.7857142857143"/>
    <col min="14" max="14" width="10.6428571428571" customWidth="1"/>
    <col min="16" max="17" width="9.57142857142857"/>
    <col min="20" max="20" width="9" customWidth="1"/>
    <col min="21" max="21" width="12.2857142857143" customWidth="1"/>
  </cols>
  <sheetData>
    <row r="1" ht="37.2" customHeight="1" spans="1:2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5"/>
      <c r="S1" s="15"/>
      <c r="T1" s="15"/>
      <c r="U1" s="15"/>
      <c r="V1" s="15"/>
    </row>
    <row r="2" spans="1:23">
      <c r="A2" s="3" t="s">
        <v>343</v>
      </c>
      <c r="B2" s="4"/>
      <c r="C2" s="4"/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5"/>
      <c r="S2" s="15"/>
      <c r="T2" s="15"/>
      <c r="U2" s="15"/>
      <c r="V2" s="15"/>
    </row>
    <row r="3" spans="1:2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>
      <c r="A5" s="16"/>
      <c r="B5" s="16"/>
      <c r="C5" s="16"/>
      <c r="D5" s="17"/>
      <c r="E5" s="17"/>
      <c r="F5" s="17"/>
      <c r="G5" s="17"/>
      <c r="H5" s="17"/>
      <c r="I5" s="18" t="s">
        <v>287</v>
      </c>
      <c r="J5" s="19"/>
      <c r="K5" s="19"/>
      <c r="L5" s="19"/>
      <c r="M5" s="19"/>
      <c r="N5" s="19"/>
      <c r="O5" s="17"/>
      <c r="P5" s="18" t="s">
        <v>344</v>
      </c>
      <c r="Q5" s="19"/>
      <c r="R5" s="19"/>
      <c r="S5" s="17"/>
      <c r="T5" s="18" t="s">
        <v>345</v>
      </c>
      <c r="U5" s="19"/>
      <c r="V5" s="19"/>
      <c r="W5" s="16"/>
    </row>
    <row r="6" spans="1:23">
      <c r="A6" s="16"/>
      <c r="B6" s="16"/>
      <c r="C6" s="16"/>
      <c r="D6" s="17"/>
      <c r="E6" s="17"/>
      <c r="F6" s="17"/>
      <c r="G6" s="17"/>
      <c r="H6" s="17"/>
      <c r="I6" s="20" t="s">
        <v>332</v>
      </c>
      <c r="J6" s="20" t="s">
        <v>333</v>
      </c>
      <c r="K6" s="20" t="s">
        <v>316</v>
      </c>
      <c r="L6" s="20" t="s">
        <v>301</v>
      </c>
      <c r="M6" s="20" t="s">
        <v>334</v>
      </c>
      <c r="N6" s="20" t="s">
        <v>346</v>
      </c>
      <c r="O6" s="21"/>
      <c r="P6" s="20" t="s">
        <v>335</v>
      </c>
      <c r="Q6" s="20" t="s">
        <v>165</v>
      </c>
      <c r="R6" s="20" t="s">
        <v>347</v>
      </c>
      <c r="S6" s="21"/>
      <c r="T6" s="20" t="s">
        <v>348</v>
      </c>
      <c r="U6" s="20" t="s">
        <v>232</v>
      </c>
      <c r="V6" s="20" t="s">
        <v>349</v>
      </c>
      <c r="W6" s="16"/>
    </row>
    <row r="7" ht="17" spans="1:23">
      <c r="A7" s="16"/>
      <c r="B7" s="16"/>
      <c r="C7" s="16"/>
      <c r="D7" s="17" t="s">
        <v>299</v>
      </c>
      <c r="E7" s="17"/>
      <c r="F7" s="17" t="s">
        <v>331</v>
      </c>
      <c r="G7" s="17"/>
      <c r="H7" s="17"/>
      <c r="I7" s="21" t="s">
        <v>350</v>
      </c>
      <c r="J7" s="22" t="s">
        <v>351</v>
      </c>
      <c r="K7" s="22" t="s">
        <v>351</v>
      </c>
      <c r="L7" s="21"/>
      <c r="M7" s="21" t="s">
        <v>352</v>
      </c>
      <c r="N7" s="22" t="s">
        <v>351</v>
      </c>
      <c r="O7" s="21"/>
      <c r="P7" s="22" t="s">
        <v>351</v>
      </c>
      <c r="Q7" s="22" t="s">
        <v>351</v>
      </c>
      <c r="R7" s="22" t="s">
        <v>351</v>
      </c>
      <c r="S7" s="21"/>
      <c r="T7" s="21" t="s">
        <v>353</v>
      </c>
      <c r="U7" s="21" t="s">
        <v>353</v>
      </c>
      <c r="V7" s="21" t="s">
        <v>353</v>
      </c>
      <c r="W7" s="16"/>
    </row>
    <row r="8" spans="1:23">
      <c r="A8" s="16"/>
      <c r="B8" s="16"/>
      <c r="C8" s="16"/>
      <c r="D8" s="16" t="s">
        <v>305</v>
      </c>
      <c r="E8" s="16"/>
      <c r="F8" s="23" t="s">
        <v>338</v>
      </c>
      <c r="G8" s="23"/>
      <c r="H8" s="23"/>
      <c r="I8" s="24">
        <f>'Comp Data'!I7</f>
        <v>14.92</v>
      </c>
      <c r="J8" s="24">
        <f>'Comp Data'!J7</f>
        <v>108271</v>
      </c>
      <c r="K8" s="25">
        <f>I8*J8</f>
        <v>1615403.32</v>
      </c>
      <c r="L8" s="24">
        <f>'Comp Data'!K7</f>
        <v>1925280</v>
      </c>
      <c r="M8" s="24">
        <f>'Comp Data'!L7</f>
        <v>57310</v>
      </c>
      <c r="N8" s="25">
        <f>K8+L8-M8</f>
        <v>3483373.32</v>
      </c>
      <c r="O8" s="23"/>
      <c r="P8" s="24">
        <f>'Comp Data'!M7</f>
        <v>455390</v>
      </c>
      <c r="Q8" s="24">
        <f>'Comp Data'!N7</f>
        <v>194251</v>
      </c>
      <c r="R8" s="24">
        <f>'Comp Data'!O7</f>
        <v>374058</v>
      </c>
      <c r="S8" s="23"/>
      <c r="T8" s="26">
        <f>N8/P8</f>
        <v>7.64920907354136</v>
      </c>
      <c r="U8" s="26">
        <f>N8/Q8</f>
        <v>17.9323314680491</v>
      </c>
      <c r="V8" s="26">
        <f>K8/R8</f>
        <v>4.31859048596742</v>
      </c>
      <c r="W8" s="16"/>
    </row>
    <row r="9" spans="1:23">
      <c r="A9" s="16"/>
      <c r="B9" s="16"/>
      <c r="C9" s="16"/>
      <c r="D9" s="16" t="s">
        <v>306</v>
      </c>
      <c r="E9" s="16"/>
      <c r="F9" s="23" t="s">
        <v>339</v>
      </c>
      <c r="G9" s="23"/>
      <c r="H9" s="23"/>
      <c r="I9" s="24">
        <f>'Comp Data'!I8</f>
        <v>1650</v>
      </c>
      <c r="J9" s="24">
        <f>'Comp Data'!J8</f>
        <v>500</v>
      </c>
      <c r="K9" s="25">
        <f>I9*J9</f>
        <v>825000</v>
      </c>
      <c r="L9" s="24">
        <f>'Comp Data'!K8</f>
        <v>26943</v>
      </c>
      <c r="M9" s="24">
        <f>'Comp Data'!L8</f>
        <v>330</v>
      </c>
      <c r="N9" s="25">
        <f>K9+L9-M9</f>
        <v>851613</v>
      </c>
      <c r="O9" s="23"/>
      <c r="P9" s="24">
        <f>'Comp Data'!M8</f>
        <v>96010</v>
      </c>
      <c r="Q9" s="24">
        <f>'Comp Data'!N8</f>
        <v>50519</v>
      </c>
      <c r="R9" s="24">
        <f>'Comp Data'!O8</f>
        <v>18240</v>
      </c>
      <c r="S9" s="23"/>
      <c r="T9" s="26">
        <f>N9/P9</f>
        <v>8.87004478700135</v>
      </c>
      <c r="U9" s="26">
        <f>N9/Q9</f>
        <v>16.8572814188721</v>
      </c>
      <c r="V9" s="26">
        <f>K9/R9</f>
        <v>45.2302631578947</v>
      </c>
      <c r="W9" s="16"/>
    </row>
    <row r="10" spans="1:23">
      <c r="A10" s="16"/>
      <c r="B10" s="16"/>
      <c r="C10" s="16"/>
      <c r="D10" s="16" t="s">
        <v>307</v>
      </c>
      <c r="E10" s="16"/>
      <c r="F10" s="23" t="s">
        <v>340</v>
      </c>
      <c r="G10" s="23"/>
      <c r="H10" s="23"/>
      <c r="I10" s="24">
        <f>'Comp Data'!I9</f>
        <v>1800</v>
      </c>
      <c r="J10" s="24">
        <f>'Comp Data'!J9</f>
        <v>285</v>
      </c>
      <c r="K10" s="25">
        <f>I10*J10</f>
        <v>513000</v>
      </c>
      <c r="L10" s="24">
        <f>'Comp Data'!K9</f>
        <v>122624</v>
      </c>
      <c r="M10" s="24">
        <f>'Comp Data'!L9</f>
        <v>9905</v>
      </c>
      <c r="N10" s="25">
        <f>K10+L10-M10</f>
        <v>625719</v>
      </c>
      <c r="O10" s="23"/>
      <c r="P10" s="24">
        <f>'Comp Data'!M9</f>
        <v>254260</v>
      </c>
      <c r="Q10" s="24">
        <f>'Comp Data'!N9</f>
        <v>49158</v>
      </c>
      <c r="R10" s="24">
        <f>'Comp Data'!O9</f>
        <v>9058</v>
      </c>
      <c r="S10" s="23"/>
      <c r="T10" s="26">
        <f>N10/P10</f>
        <v>2.46094155588767</v>
      </c>
      <c r="U10" s="26">
        <f>N10/Q10</f>
        <v>12.7287318442573</v>
      </c>
      <c r="V10" s="26">
        <f>K10/R10</f>
        <v>56.6350187679399</v>
      </c>
      <c r="W10" s="16"/>
    </row>
    <row r="11" spans="1:23">
      <c r="A11" s="16"/>
      <c r="B11" s="16"/>
      <c r="C11" s="16"/>
      <c r="D11" s="16" t="s">
        <v>308</v>
      </c>
      <c r="E11" s="16"/>
      <c r="F11" s="23" t="s">
        <v>341</v>
      </c>
      <c r="G11" s="23"/>
      <c r="H11" s="23"/>
      <c r="I11" s="24">
        <f>'Comp Data'!I10</f>
        <v>300</v>
      </c>
      <c r="J11" s="24">
        <f>'Comp Data'!J10</f>
        <v>320.94</v>
      </c>
      <c r="K11" s="25">
        <f>I11*J11</f>
        <v>96282</v>
      </c>
      <c r="L11" s="24">
        <f>'Comp Data'!K10</f>
        <v>637.2</v>
      </c>
      <c r="M11" s="24">
        <f>'Comp Data'!L10</f>
        <v>6541.1</v>
      </c>
      <c r="N11" s="25">
        <f>K11+L11-M11</f>
        <v>90378.1</v>
      </c>
      <c r="O11" s="23"/>
      <c r="P11" s="24">
        <f>'Comp Data'!M10</f>
        <v>44270</v>
      </c>
      <c r="Q11" s="24">
        <f>'Comp Data'!N10</f>
        <v>6521.8</v>
      </c>
      <c r="R11" s="24">
        <f>'Comp Data'!O10</f>
        <v>3460</v>
      </c>
      <c r="S11" s="23"/>
      <c r="T11" s="26">
        <f>N11/P11</f>
        <v>2.04152021685114</v>
      </c>
      <c r="U11" s="26">
        <f>N11/Q11</f>
        <v>13.8578459934374</v>
      </c>
      <c r="V11" s="26">
        <f>K11/R11</f>
        <v>27.8271676300578</v>
      </c>
      <c r="W11" s="16"/>
    </row>
    <row r="12" spans="1:23">
      <c r="A12" s="16"/>
      <c r="B12" s="16"/>
      <c r="C12" s="16"/>
      <c r="D12" s="16"/>
      <c r="E12" s="16"/>
      <c r="F12" s="16"/>
      <c r="G12" s="16"/>
      <c r="H12" s="16"/>
      <c r="I12" s="27"/>
      <c r="J12" s="27"/>
      <c r="K12" s="16"/>
      <c r="L12" s="27"/>
      <c r="M12" s="27"/>
      <c r="N12" s="16"/>
      <c r="O12" s="16"/>
      <c r="P12" s="27"/>
      <c r="Q12" s="27"/>
      <c r="R12" s="27"/>
      <c r="S12" s="16"/>
      <c r="T12" s="16"/>
      <c r="U12" s="16"/>
      <c r="V12" s="16"/>
      <c r="W12" s="16"/>
    </row>
    <row r="13" spans="1:23">
      <c r="A13" s="16"/>
      <c r="B13" s="16"/>
      <c r="C13" s="16"/>
      <c r="D13" s="28" t="s">
        <v>309</v>
      </c>
      <c r="E13" s="29"/>
      <c r="F13" s="29"/>
      <c r="G13" s="29"/>
      <c r="H13" s="29"/>
      <c r="I13" s="30"/>
      <c r="J13" s="30"/>
      <c r="K13" s="29"/>
      <c r="L13" s="30"/>
      <c r="M13" s="30"/>
      <c r="N13" s="29"/>
      <c r="O13" s="29"/>
      <c r="P13" s="30"/>
      <c r="Q13" s="30"/>
      <c r="R13" s="30"/>
      <c r="S13" s="29"/>
      <c r="T13" s="31">
        <f>AVERAGE(T8:T11)</f>
        <v>5.25542890832038</v>
      </c>
      <c r="U13" s="31">
        <f>AVERAGE(U8:U11)</f>
        <v>15.344047681154</v>
      </c>
      <c r="V13" s="31">
        <f>AVERAGE(V8:V11)</f>
        <v>33.502760010465</v>
      </c>
      <c r="W13" s="16"/>
    </row>
    <row r="14" spans="1:23">
      <c r="A14" s="16"/>
      <c r="B14" s="16"/>
      <c r="C14" s="16"/>
      <c r="D14" s="32" t="s">
        <v>310</v>
      </c>
      <c r="E14" s="17"/>
      <c r="F14" s="17"/>
      <c r="G14" s="17"/>
      <c r="H14" s="17"/>
      <c r="I14" s="33"/>
      <c r="J14" s="33"/>
      <c r="K14" s="17"/>
      <c r="L14" s="33"/>
      <c r="M14" s="33"/>
      <c r="N14" s="17"/>
      <c r="O14" s="17"/>
      <c r="P14" s="33"/>
      <c r="Q14" s="33"/>
      <c r="R14" s="33"/>
      <c r="S14" s="17"/>
      <c r="T14" s="34">
        <f>MEDIAN(T8:T11)</f>
        <v>5.05507531471452</v>
      </c>
      <c r="U14" s="34">
        <f>MEDIAN(U8:U11)</f>
        <v>15.3575637061547</v>
      </c>
      <c r="V14" s="34">
        <f>MEDIAN(V8:V11)</f>
        <v>36.5287153939763</v>
      </c>
      <c r="W14" s="16"/>
    </row>
    <row r="15" spans="1:23">
      <c r="A15" s="16"/>
      <c r="B15" s="16"/>
      <c r="C15" s="16"/>
      <c r="D15" s="16"/>
      <c r="E15" s="16"/>
      <c r="F15" s="16"/>
      <c r="G15" s="16"/>
      <c r="H15" s="16"/>
      <c r="I15" s="27"/>
      <c r="J15" s="27"/>
      <c r="K15" s="16"/>
      <c r="L15" s="27"/>
      <c r="M15" s="27"/>
      <c r="N15" s="16"/>
      <c r="O15" s="16"/>
      <c r="P15" s="27"/>
      <c r="Q15" s="27"/>
      <c r="R15" s="27"/>
      <c r="S15" s="16"/>
      <c r="T15" s="16"/>
      <c r="U15" s="16"/>
      <c r="V15" s="16"/>
      <c r="W15" s="16"/>
    </row>
    <row r="16" spans="1:23">
      <c r="A16" s="16"/>
      <c r="B16" s="16"/>
      <c r="C16" s="16"/>
      <c r="D16" s="35" t="s">
        <v>0</v>
      </c>
      <c r="E16" s="16"/>
      <c r="H16" s="36"/>
      <c r="I16" s="37">
        <f>'Comp Data'!I5</f>
        <v>1850</v>
      </c>
      <c r="J16" s="37">
        <f>'Comp Data'!J5</f>
        <v>6093.6</v>
      </c>
      <c r="K16" s="38">
        <f>I16*J16</f>
        <v>11273160</v>
      </c>
      <c r="L16" s="37">
        <f>'Comp Data'!K5</f>
        <v>1954117</v>
      </c>
      <c r="M16" s="37">
        <f>'Comp Data'!L5</f>
        <v>303768</v>
      </c>
      <c r="N16" s="38">
        <f>K16+L16-M16</f>
        <v>12923509</v>
      </c>
      <c r="O16" s="36"/>
      <c r="P16" s="37">
        <f>'Comp Data'!M5</f>
        <v>2109728</v>
      </c>
      <c r="Q16" s="37">
        <f>'Comp Data'!N5</f>
        <v>1196745</v>
      </c>
      <c r="R16" s="37">
        <f>'Comp Data'!O5</f>
        <v>338228</v>
      </c>
      <c r="S16" s="16"/>
      <c r="T16" s="16"/>
      <c r="U16" s="16"/>
      <c r="V16" s="16"/>
      <c r="W16" s="16"/>
    </row>
    <row r="17" spans="1:2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ht="17.6" spans="1:23">
      <c r="A18" s="16"/>
      <c r="B18" s="16"/>
      <c r="C18" s="17"/>
      <c r="D18" s="39" t="s">
        <v>354</v>
      </c>
      <c r="E18" s="40"/>
      <c r="F18" s="41" t="s">
        <v>355</v>
      </c>
      <c r="G18" s="39"/>
      <c r="H18" s="39"/>
      <c r="I18" s="42" t="s">
        <v>346</v>
      </c>
      <c r="J18" s="42" t="s">
        <v>356</v>
      </c>
      <c r="K18" s="42" t="s">
        <v>259</v>
      </c>
      <c r="L18" s="42" t="s">
        <v>333</v>
      </c>
      <c r="M18" s="42" t="s">
        <v>357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A19" s="16"/>
      <c r="B19" s="16"/>
      <c r="C19" s="16"/>
      <c r="D19" s="43" t="str">
        <f>T6</f>
        <v>EV/Sales</v>
      </c>
      <c r="E19" s="43"/>
      <c r="F19" s="44">
        <f>T14</f>
        <v>5.05507531471452</v>
      </c>
      <c r="G19" s="45"/>
      <c r="H19" s="45"/>
      <c r="I19" s="45">
        <f>F19*P16</f>
        <v>10664833.933562</v>
      </c>
      <c r="J19" s="45">
        <f>L16-M16</f>
        <v>1650349</v>
      </c>
      <c r="K19" s="45">
        <f>I19-J19</f>
        <v>9014484.93356203</v>
      </c>
      <c r="L19" s="45">
        <f>J16</f>
        <v>6093.6</v>
      </c>
      <c r="M19" s="45">
        <f>K19/L19</f>
        <v>1479.33650609853</v>
      </c>
      <c r="N19" s="4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s="16"/>
      <c r="B20" s="16"/>
      <c r="C20" s="16"/>
      <c r="D20" s="43" t="str">
        <f>U6</f>
        <v>EV/EBITDA</v>
      </c>
      <c r="E20" s="43"/>
      <c r="F20" s="44">
        <f>U14</f>
        <v>15.3575637061547</v>
      </c>
      <c r="G20" s="45"/>
      <c r="H20" s="45"/>
      <c r="I20" s="45">
        <f>F20*Q16</f>
        <v>18379087.5775222</v>
      </c>
      <c r="J20" s="45">
        <f>J19</f>
        <v>1650349</v>
      </c>
      <c r="K20" s="45">
        <f>I20-J20</f>
        <v>16728738.5775222</v>
      </c>
      <c r="L20" s="45">
        <f>L19</f>
        <v>6093.6</v>
      </c>
      <c r="M20" s="45">
        <f>K20/L20</f>
        <v>2745.29647130139</v>
      </c>
      <c r="N20" s="4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A21" s="16"/>
      <c r="B21" s="16"/>
      <c r="C21" s="16"/>
      <c r="D21" s="43" t="str">
        <f>V6</f>
        <v>P/E</v>
      </c>
      <c r="E21" s="43"/>
      <c r="F21" s="44">
        <f>V14</f>
        <v>36.5287153939763</v>
      </c>
      <c r="G21" s="45"/>
      <c r="H21" s="45"/>
      <c r="I21" s="45">
        <f>F21*R16</f>
        <v>12355034.3502738</v>
      </c>
      <c r="J21" s="45">
        <f>J20</f>
        <v>1650349</v>
      </c>
      <c r="K21" s="45">
        <f>I21-J21</f>
        <v>10704685.3502738</v>
      </c>
      <c r="L21" s="45">
        <f>L20</f>
        <v>6093.6</v>
      </c>
      <c r="M21" s="45">
        <f>K21/L21</f>
        <v>1756.70955597246</v>
      </c>
      <c r="N21" s="4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A22" s="16"/>
      <c r="B22" s="16"/>
      <c r="C22" s="16"/>
      <c r="D22" s="43"/>
      <c r="E22" s="43"/>
      <c r="F22" s="45"/>
      <c r="G22" s="45"/>
      <c r="H22" s="45"/>
      <c r="I22" s="45"/>
      <c r="J22" s="45"/>
      <c r="K22" s="45"/>
      <c r="L22" s="45"/>
      <c r="M22" s="45"/>
      <c r="N22" s="46"/>
      <c r="O22" s="16"/>
      <c r="P22" s="16"/>
      <c r="Q22" s="16"/>
      <c r="R22" s="16"/>
      <c r="S22" s="16"/>
      <c r="T22" s="16"/>
      <c r="U22" s="16"/>
      <c r="V22" s="16"/>
      <c r="W22" s="16"/>
    </row>
    <row r="23" spans="1:23">
      <c r="A23" s="16"/>
      <c r="B23" s="16"/>
      <c r="C23" s="16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>
      <c r="A24" s="16"/>
      <c r="B24" s="16"/>
      <c r="C24" s="16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</sheetData>
  <pageMargins left="0.75" right="0.75" top="1" bottom="1" header="0.5" footer="0.5"/>
  <headerFooter/>
  <ignoredErrors>
    <ignoredError sqref="A1:W17 A18:C18 N18:W18 A19:W30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tabSelected="1" workbookViewId="0">
      <selection activeCell="J11" sqref="J11"/>
    </sheetView>
  </sheetViews>
  <sheetFormatPr defaultColWidth="9.14285714285714" defaultRowHeight="16.8"/>
  <cols>
    <col min="1" max="3" width="1.23214285714286" customWidth="1"/>
    <col min="4" max="4" width="40.6428571428571" customWidth="1"/>
    <col min="7" max="7" width="12.3482142857143" customWidth="1"/>
  </cols>
  <sheetData>
    <row r="1" ht="37.2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3" t="s">
        <v>358</v>
      </c>
      <c r="B2" s="4"/>
      <c r="C2" s="4"/>
      <c r="D2" s="4"/>
      <c r="E2" s="2"/>
      <c r="F2" s="2"/>
      <c r="G2" s="2"/>
      <c r="H2" s="2"/>
      <c r="I2" s="2"/>
      <c r="J2" s="2"/>
      <c r="K2" s="2"/>
      <c r="L2" s="2"/>
    </row>
    <row r="4" ht="51" spans="1:12">
      <c r="D4" s="5"/>
      <c r="E4" s="6" t="s">
        <v>355</v>
      </c>
      <c r="F4" s="6" t="s">
        <v>359</v>
      </c>
      <c r="G4" s="7" t="s">
        <v>360</v>
      </c>
      <c r="H4" s="7" t="s">
        <v>361</v>
      </c>
    </row>
    <row r="5" spans="1:12">
      <c r="D5" s="8" t="s">
        <v>362</v>
      </c>
      <c r="E5" s="9">
        <f>E6</f>
        <v>2745.29647130139</v>
      </c>
      <c r="F5" s="9">
        <f>F6</f>
        <v>3225.72734914333</v>
      </c>
      <c r="G5" s="9">
        <f>G6</f>
        <v>2175</v>
      </c>
      <c r="H5" s="9">
        <f>H6</f>
        <v>2410</v>
      </c>
    </row>
    <row r="6" spans="1:12">
      <c r="D6" s="8" t="s">
        <v>362</v>
      </c>
      <c r="E6" s="9">
        <f>Comp!M20</f>
        <v>2745.29647130139</v>
      </c>
      <c r="F6" s="9">
        <v>3225.72734914333</v>
      </c>
      <c r="G6" s="9">
        <v>2175</v>
      </c>
      <c r="H6" s="9">
        <v>2410</v>
      </c>
      <c r="I6" s="10" t="s">
        <v>363</v>
      </c>
    </row>
    <row r="7" spans="1:12">
      <c r="D7" s="8" t="s">
        <v>364</v>
      </c>
      <c r="E7" s="9">
        <f>Comp!M19</f>
        <v>1479.33650609853</v>
      </c>
      <c r="F7" s="9">
        <v>2817.97191566729</v>
      </c>
      <c r="G7" s="9">
        <v>1740</v>
      </c>
      <c r="H7" s="9">
        <v>2180</v>
      </c>
      <c r="I7" s="11" t="s">
        <v>365</v>
      </c>
    </row>
    <row r="8" spans="1:12">
      <c r="D8" s="8" t="s">
        <v>364</v>
      </c>
      <c r="E8" s="9">
        <f>E7</f>
        <v>1479.33650609853</v>
      </c>
      <c r="F8" s="9">
        <f>F7</f>
        <v>2817.97191566729</v>
      </c>
      <c r="G8" s="9">
        <f>G7</f>
        <v>1740</v>
      </c>
      <c r="H8" s="9">
        <f>H7</f>
        <v>2180</v>
      </c>
      <c r="I8" s="12"/>
    </row>
    <row r="10" spans="1:12">
      <c r="A10" s="13" t="s">
        <v>358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</sheetData>
  <pageMargins left="0.75" right="0.75" top="1" bottom="1" header="0.5" footer="0.5"/>
  <headerFooter/>
  <ignoredErrors>
    <ignoredError sqref="A1:L4 A5:D8 L5:L8 J6:L7 I8:L8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Historical Data</vt:lpstr>
      <vt:lpstr>Model</vt:lpstr>
      <vt:lpstr>Re-Payment</vt:lpstr>
      <vt:lpstr>Scenario</vt:lpstr>
      <vt:lpstr>Market Data</vt:lpstr>
      <vt:lpstr>WACC</vt:lpstr>
      <vt:lpstr>Comp Data</vt:lpstr>
      <vt:lpstr>Comp</vt:lpstr>
      <vt:lpstr>Football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0</cp:revision>
  <dcterms:created xsi:type="dcterms:W3CDTF">2026-09-18T08:27:00Z</dcterms:created>
  <dcterms:modified xsi:type="dcterms:W3CDTF">2026-09-30T01:28:42Z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391EB1FBBD91BE3A73E0AC6A8395E2B8_42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