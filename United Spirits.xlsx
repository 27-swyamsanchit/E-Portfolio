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Scenarios" sheetId="3" r:id="rId3"/>
    <sheet name="Repayment" sheetId="4" state="hidden" r:id="rId4"/>
    <sheet name="Market_Data" sheetId="7" r:id="rId5"/>
    <sheet name="WACC" sheetId="8" r:id="rId6"/>
    <sheet name="Comps_Data" sheetId="5" r:id="rId7"/>
    <sheet name="Comps" sheetId="6" r:id="rId8"/>
    <sheet name="Foot_Ball Field" sheetId="9" r:id="rId9"/>
  </sheets>
  <definedNames>
    <definedName name="IQ_AVG_PRICE_TARGET" hidden="1">"c82"</definedName>
    <definedName name="IQ_DNTM" hidden="1">700000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<sst xmlns="http://schemas.openxmlformats.org/spreadsheetml/2006/main" count="485" uniqueCount="406">
  <si>
    <t>United Spirits Limited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</si>
  <si>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</si>
  <si>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</si>
  <si>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</si>
  <si>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</si>
  <si>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</si>
  <si>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</si>
  <si>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</si>
  <si>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</si>
  <si>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 of stock-in-trade</t>
  </si>
  <si>
    <t>Change in inventories of finished goods, WIP &amp; stock-in-trade</t>
  </si>
  <si>
    <t>Excise duty</t>
  </si>
  <si>
    <t>Employee benefits expense</t>
  </si>
  <si>
    <t>Depreciation, amortisation and impairment expense</t>
  </si>
  <si>
    <t>Advertisement and sales promotion</t>
  </si>
  <si>
    <t>Loss allowance on trade receivables &amp; other financial assets (net)</t>
  </si>
  <si>
    <t>Other expenses</t>
  </si>
  <si>
    <t>Finance costs</t>
  </si>
  <si>
    <t>Total expenses</t>
  </si>
  <si>
    <t>Profit before exceptional items, share of net profit/(loss) of
associates/JVs and tax</t>
  </si>
  <si>
    <t>Share of net profit/(loss) in associate / joint ventures</t>
  </si>
  <si>
    <t>Profit before exceptional items and tax</t>
  </si>
  <si>
    <t>Add/(Less): Exceptional items (net)</t>
  </si>
  <si>
    <t>Profit before tax (continuing operations)</t>
  </si>
  <si>
    <t>Tax expense:</t>
  </si>
  <si>
    <t>Current tax</t>
  </si>
  <si>
    <t>Current tax relating to earlier years</t>
  </si>
  <si>
    <t>Deferred tax (credit)/charge</t>
  </si>
  <si>
    <t>Total tax expense</t>
  </si>
  <si>
    <t>Profit for the year (continuing operations)</t>
  </si>
  <si>
    <t>Profit after tax from discontinued operations</t>
  </si>
  <si>
    <t>PROFIT FOR THE YEAR</t>
  </si>
  <si>
    <t>Other comprehensive income, net of tax</t>
  </si>
  <si>
    <t>TOTAL COMPREHENSIVE INCOME FOR THE YEAR</t>
  </si>
  <si>
    <t>BALANCE SHEET</t>
  </si>
  <si>
    <t>ASSETS</t>
  </si>
  <si>
    <t>Non-current assets</t>
  </si>
  <si>
    <t>Property, plant and equipment</t>
  </si>
  <si>
    <t>Right-of-use assets</t>
  </si>
  <si>
    <t>Capital work-in-progress</t>
  </si>
  <si>
    <t>Goodwill</t>
  </si>
  <si>
    <t>Intangible assets / Other intangible assets</t>
  </si>
  <si>
    <t>Intangible assets under development</t>
  </si>
  <si>
    <t>Investment property / properties</t>
  </si>
  <si>
    <t>Investments accounted for using equity method / in joint ventures</t>
  </si>
  <si>
    <t>Investments (non-current)</t>
  </si>
  <si>
    <t>Trade receivables (non-current)</t>
  </si>
  <si>
    <t>Loans (non-current)</t>
  </si>
  <si>
    <t>Other financial assets (non-current)</t>
  </si>
  <si>
    <t>Deferred tax assets (net)</t>
  </si>
  <si>
    <t>Current tax assets (net) (non-current)</t>
  </si>
  <si>
    <t>Other non-current assets</t>
  </si>
  <si>
    <t>Total non-current assets</t>
  </si>
  <si>
    <t>Current assets</t>
  </si>
  <si>
    <t>Inventories</t>
  </si>
  <si>
    <t>Investments (current)</t>
  </si>
  <si>
    <t>Trade receivables (current)</t>
  </si>
  <si>
    <t>Cash and cash equivalents</t>
  </si>
  <si>
    <t>Bank balances other than cash and cash equivalents</t>
  </si>
  <si>
    <t>Loans (current)</t>
  </si>
  <si>
    <t>Other financial assets (current)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</si>
  <si>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</si>
  <si>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</si>
  <si>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</si>
  <si>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</si>
  <si>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</si>
  <si>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</si>
  <si>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Share capital</t>
  </si>
  <si>
    <t>Other equity (Reserves and surplus)</t>
  </si>
  <si>
    <t>Equity attributable to owners of United Spirits Limited</t>
  </si>
  <si>
    <t>Non-controlling interests</t>
  </si>
  <si>
    <t>Total equity</t>
  </si>
  <si>
    <t>LIABILITIES</t>
  </si>
  <si>
    <t>Non-current liabilities</t>
  </si>
  <si>
    <t>Borrowings (non-current)</t>
  </si>
  <si>
    <t>Lease liabilities (non-current)</t>
  </si>
  <si>
    <t>Deferred tax liabilities (net)</t>
  </si>
  <si>
    <t>Provisions (non-current)</t>
  </si>
  <si>
    <t>Other non-current liabilities</t>
  </si>
  <si>
    <t>Total non-current liabilities</t>
  </si>
  <si>
    <t>Current liabilities</t>
  </si>
  <si>
    <t>Borrowings (current)</t>
  </si>
  <si>
    <t>Lease liabilities (current)</t>
  </si>
  <si>
    <t>Trade payables — micro &amp; small enterprises</t>
  </si>
  <si>
    <t>Trade payables — other creditors</t>
  </si>
  <si>
    <t>Other financial liabilities</t>
  </si>
  <si>
    <t>Provisions (current)</t>
  </si>
  <si>
    <t>Current tax liabilities (net)</t>
  </si>
  <si>
    <t>Other current liabilities</t>
  </si>
  <si>
    <t>Liabilities associated with assets held for sale</t>
  </si>
  <si>
    <t>Total current liabilities</t>
  </si>
  <si>
    <t>Total liabilities</t>
  </si>
  <si>
    <t>TOTAL EQUITY AND LIABILITIES</t>
  </si>
  <si>
    <t>CASHFLOW</t>
  </si>
  <si>
    <t>A.  CASH FLOW FROM OPERATING ACTIVITIES</t>
  </si>
  <si>
    <t>Profit before tax</t>
  </si>
  <si>
    <t>Adjustments for:</t>
  </si>
  <si>
    <t>Employee share-based payment expense</t>
  </si>
  <si>
    <t>Loss allowance on trade receivables / other financial assets &amp; other assets (net)</t>
  </si>
  <si>
    <t>Provision on doubtful other assets (net)</t>
  </si>
  <si>
    <t>Profit on sale of investment property</t>
  </si>
  <si>
    <t>Profit on sale of / redemption of investments / mutual fund units</t>
  </si>
  <si>
    <t>Increase in fair value of investments / mutual fund units (net)</t>
  </si>
  <si>
    <t>Exchange (gain)/loss (net) on translation of foreign currency monetary assets &amp; liabilities</t>
  </si>
  <si>
    <t>Liabilities / provisions no longer required written back</t>
  </si>
  <si>
    <t>Gain on disposal of property, plant and equipment / investment property (net)</t>
  </si>
  <si>
    <t>Interest income</t>
  </si>
  <si>
    <t>Interest income on term deposits with banks</t>
  </si>
  <si>
    <t>Interest income from loan to a joint venture</t>
  </si>
  <si>
    <t>Interest on direct and indirect tax refunds</t>
  </si>
  <si>
    <t>Share of net (profit)/loss in associate / joint ventures accounted for using equity method</t>
  </si>
  <si>
    <t>Exceptional items (net) / Exceptional item – profit on sale of business undertaking</t>
  </si>
  <si>
    <t>Exceptional item – supply restructuring cost</t>
  </si>
  <si>
    <t>Exceptional item – others</t>
  </si>
  <si>
    <t>Total adjustments</t>
  </si>
  <si>
    <t>Operating profit before working capital changes</t>
  </si>
  <si>
    <t>Changes in working capital:</t>
  </si>
  <si>
    <t>(Increase)/decrease in trade receivables</t>
  </si>
  <si>
    <t>(Increase)/decrease in other financial assets / loans and other financial assets</t>
  </si>
  <si>
    <t>(Increase)/decrease in other assets</t>
  </si>
  <si>
    <t>(Increase)/decrease in inventories</t>
  </si>
  <si>
    <t>Increase/(decrease) in trade payables</t>
  </si>
  <si>
    <t>Increase/(decrease) in other financial liabilities</t>
  </si>
  <si>
    <t>Increase/(decrease) in other liabilities</t>
  </si>
  <si>
    <t>Increase/(decrease) in provisions</t>
  </si>
  <si>
    <t>Total working capital changes</t>
  </si>
  <si>
    <t>Cash generated from operations</t>
  </si>
  <si>
    <t>Income taxes paid (net of refund)</t>
  </si>
  <si>
    <t>Net cash generated from operating activities – continuing operations</t>
  </si>
  <si>
    <t>Net cash generated from operating activities – discontinued operations</t>
  </si>
  <si>
    <t>NET CASH GENERATED FROM OPERATING ACTIVITIES (A)</t>
  </si>
  <si>
    <t>B.  CASH FLOW FROM INVESTING ACTIVITIES</t>
  </si>
  <si>
    <t>Purchase of property, plant and equipment and intangible assets</t>
  </si>
  <si>
    <t>Advance lease payments for right-of-use assets</t>
  </si>
  <si>
    <t>Proceeds from sale of property, plant and equipment (and investment properties)</t>
  </si>
  <si>
    <t>(Purchase)/redemption of current investments (net) / Purchase of current investments</t>
  </si>
  <si>
    <t>Redemption of current investments</t>
  </si>
  <si>
    <t>Purchase of term deposits with banks</t>
  </si>
  <si>
    <t>Redemption of term deposits from banks</t>
  </si>
  <si>
    <t>Proceeds from sale of a business undertaking</t>
  </si>
  <si>
    <t>Proceeds from sale of / disposal of investment in subsidiaries</t>
  </si>
  <si>
    <t>Proceeds from disposal of investment in an associate</t>
  </si>
  <si>
    <t>Investment in an associate / joint ventures</t>
  </si>
  <si>
    <t>Loans given to others / to a joint venture</t>
  </si>
  <si>
    <t>Repayment of loans given to others</t>
  </si>
  <si>
    <t>Interest received</t>
  </si>
  <si>
    <t>Proceeds from sale of investment property</t>
  </si>
  <si>
    <t>Net cash from investing – continuing operations</t>
  </si>
  <si>
    <t>Net cash from investing – discontinued operations</t>
  </si>
  <si>
    <t>NET CASH (OUTFLOW)/INFLOW FROM INVESTING ACTIVITIES (B)</t>
  </si>
  <si>
    <t>C.  CASH FLOW FROM FINANCING ACTIVITIES</t>
  </si>
  <si>
    <t>Repayment of long-term loans</t>
  </si>
  <si>
    <t>Proceeds from working capital loans</t>
  </si>
  <si>
    <t>Net proceeds/(repayment) of / repayment of working capital loans</t>
  </si>
  <si>
    <t>Repayment of working capital loans</t>
  </si>
  <si>
    <t>Repayment of deferred sales tax liability</t>
  </si>
  <si>
    <t>Interest paid on borrowings / interest paid</t>
  </si>
  <si>
    <t>Principal repayment of lease liabilities</t>
  </si>
  <si>
    <t>Interest paid on lease liabilities</t>
  </si>
  <si>
    <t>Dividend paid (net)</t>
  </si>
  <si>
    <t>Net cash from financing – continuing operations</t>
  </si>
  <si>
    <t>Net cash from financing – discontinued operations</t>
  </si>
  <si>
    <t>NET CASH (OUTFLOW) FROM FINANCING ACTIVITIES (C)</t>
  </si>
  <si>
    <t>Net increase/(decrease) in cash and cash equivalents [D = A+B+C]</t>
  </si>
  <si>
    <t>Cash and cash equivalents as at the beginning of the year (E)</t>
  </si>
  <si>
    <t>Effects of exchange rate changes on cash and cash equivalents</t>
  </si>
  <si>
    <t>Net increase/(decrease) for continuing operations</t>
  </si>
  <si>
    <t>Net increase/(decrease) for discontinued operations</t>
  </si>
  <si>
    <t>Cash and cash equivalents as at the end of the year [D+E]</t>
  </si>
  <si>
    <t>Less: Cash and cash equivalents at year end – discontinued operations</t>
  </si>
  <si>
    <t>Cash and cash equivalents at year end – continuing operations</t>
  </si>
  <si>
    <t>Non-cash financing and investing activity: Acquisition of right-of-use assets</t>
  </si>
  <si>
    <t xml:space="preserve">Historical Period </t>
  </si>
  <si>
    <t>Forcasted Period</t>
  </si>
  <si>
    <t>Financial Statement Analysis &amp; Valuation</t>
  </si>
  <si>
    <t>Ratios &amp; Assumptions</t>
  </si>
  <si>
    <t>LIVE SCENARIO'S</t>
  </si>
  <si>
    <t>Base Case</t>
  </si>
  <si>
    <t>Revenue Growth %</t>
  </si>
  <si>
    <t>COGS as % of Revenue</t>
  </si>
  <si>
    <t>Operating Expense</t>
  </si>
  <si>
    <t>Deprication &amp; Amortization as % PPE</t>
  </si>
  <si>
    <t>Interest as % of Debt</t>
  </si>
  <si>
    <t>Other Income as % Revenue</t>
  </si>
  <si>
    <t>Taxes as %  of PBT</t>
  </si>
  <si>
    <t>Dividend Payout Ratio</t>
  </si>
  <si>
    <t>Day Sale's Outstanding</t>
  </si>
  <si>
    <t>Day Inventory's Outstanding</t>
  </si>
  <si>
    <t>Day Payable's Outstanding</t>
  </si>
  <si>
    <t>Capital Assets Turnover Ratio</t>
  </si>
  <si>
    <t>INCOME STATEMENT</t>
  </si>
  <si>
    <t>Revenue</t>
  </si>
  <si>
    <t>Less: Cost Of Good 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</si>
  <si>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</si>
  <si>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</si>
  <si>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</si>
  <si>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</si>
  <si>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</si>
  <si>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</si>
  <si>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</si>
  <si>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PBT</t>
  </si>
  <si>
    <t>Less: Tax</t>
  </si>
  <si>
    <t>Profit After Tax</t>
  </si>
  <si>
    <t>Assests</t>
  </si>
  <si>
    <t>Current Assest</t>
  </si>
  <si>
    <t>Cash &amp; Bank</t>
  </si>
  <si>
    <t>Account Receivable</t>
  </si>
  <si>
    <t>Inventory</t>
  </si>
  <si>
    <t>Other Current Assest</t>
  </si>
  <si>
    <t>Non-Current</t>
  </si>
  <si>
    <t>Plant, Property &amp; Equipment</t>
  </si>
  <si>
    <t>Intangible Assests</t>
  </si>
  <si>
    <t>Financial Assests</t>
  </si>
  <si>
    <t>Other Non-Current Assests</t>
  </si>
  <si>
    <t>TOTAL ASSEST</t>
  </si>
  <si>
    <t>Liabilities</t>
  </si>
  <si>
    <t>Current-Liabilities</t>
  </si>
  <si>
    <t>Account Payable</t>
  </si>
  <si>
    <t>Other Current Liability</t>
  </si>
  <si>
    <t>Non-Current Liabilities</t>
  </si>
  <si>
    <t>Debt</t>
  </si>
  <si>
    <t>Other Non-Current Liability</t>
  </si>
  <si>
    <t>TOTAL LIBILITY</t>
  </si>
  <si>
    <t>Equity</t>
  </si>
  <si>
    <t>Other Equity</t>
  </si>
  <si>
    <t>Shareholder's Funds</t>
  </si>
  <si>
    <t>Non-Controlling Interest</t>
  </si>
  <si>
    <t>TOTAL EQUITY &amp; LIABILITIES</t>
  </si>
  <si>
    <t>CHECK</t>
  </si>
  <si>
    <t>CASH FLOW STATEMENT</t>
  </si>
  <si>
    <t>Cash Flow from Operations</t>
  </si>
  <si>
    <t>Profit before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</si>
  <si>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</si>
  <si>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</si>
  <si>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</si>
  <si>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</si>
  <si>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</si>
  <si>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</si>
  <si>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</si>
  <si>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</si>
  <si>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</si>
  <si>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Cash Flow from Financing Activities</t>
  </si>
  <si>
    <t>Issuance/repayment of debt</t>
  </si>
  <si>
    <t>Proceeds from issue of preference shares</t>
  </si>
  <si>
    <t>Dividend paid</t>
  </si>
  <si>
    <t>Interest paid</t>
  </si>
  <si>
    <t>Net Increase/(Decrease)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</si>
  <si>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</si>
  <si>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</si>
  <si>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</si>
  <si>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</si>
  <si>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</si>
  <si>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Accounts Payable</t>
  </si>
  <si>
    <t>Others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</si>
  <si>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</si>
  <si>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</si>
  <si>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</si>
  <si>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</si>
  <si>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</si>
  <si>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</si>
  <si>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</si>
  <si>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</si>
  <si>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</si>
  <si>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</si>
  <si>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</si>
  <si>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</si>
  <si>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</si>
  <si>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</si>
  <si>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</si>
  <si>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</si>
  <si>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</si>
  <si>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</si>
  <si>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</si>
  <si>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</si>
  <si>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</si>
  <si>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</si>
  <si>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</si>
  <si>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</si>
  <si>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</si>
  <si>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</si>
  <si>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</si>
  <si>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</si>
  <si>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</si>
  <si>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</si>
  <si>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</si>
  <si>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</si>
  <si>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</si>
  <si>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</si>
  <si>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</si>
  <si>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</si>
  <si>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</si>
  <si>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</si>
  <si>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</si>
  <si>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</si>
  <si>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</si>
  <si>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</si>
  <si>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</si>
  <si>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</si>
  <si>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</si>
  <si>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</si>
  <si>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</si>
  <si>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Revenue Scenarios</t>
  </si>
  <si>
    <t>Scenarios</t>
  </si>
  <si>
    <t>Growth %</t>
  </si>
  <si>
    <t>Bull Case</t>
  </si>
  <si>
    <t>Bear Case</t>
  </si>
  <si>
    <t>Annual growth tapering</t>
  </si>
  <si>
    <t>Repayment of lease liabilities &amp; Loan</t>
  </si>
  <si>
    <t>Lender / Facility</t>
  </si>
  <si>
    <t>Repayment Terms (per Note 40)</t>
  </si>
  <si>
    <t>Balance
31-Mar-26</t>
  </si>
  <si>
    <t>FY27</t>
  </si>
  <si>
    <t>FY28</t>
  </si>
  <si>
    <t>FY29</t>
  </si>
  <si>
    <t>FY30</t>
  </si>
  <si>
    <t>FY31</t>
  </si>
  <si>
    <t>ICICI Bank – Working Capital Loan</t>
  </si>
  <si>
    <t>Revolving; payable on demand — treated as fully due in FY27</t>
  </si>
  <si>
    <t>Lease Liabilities (Ind AS 116)</t>
  </si>
  <si>
    <t>Per underlying lease terms; undiscounted maturity per Note 40</t>
  </si>
  <si>
    <t>Disclosed: due within 12 months, Lease Liabilities (Note 40)</t>
  </si>
  <si>
    <t>Disclosed: due 1–2 years, Lease Liabilities (Note 40)</t>
  </si>
  <si>
    <t>Disclosed: due 2–5 years, Lease Liabilities (Note 40) — spread straight-line across FY29–FY31</t>
  </si>
  <si>
    <t>Disclosed: due beyond 5 years, Lease Liabilities (Note 40) — shown as single FY32+ lump sum</t>
  </si>
  <si>
    <t>Total Projected Repayment</t>
  </si>
  <si>
    <t>Market Data</t>
  </si>
  <si>
    <t>Index</t>
  </si>
  <si>
    <t>Close Price</t>
  </si>
  <si>
    <t>Period (yrs)</t>
  </si>
  <si>
    <t>Returns</t>
  </si>
  <si>
    <t>Weighted-Average Cost of Capital (WACC)</t>
  </si>
  <si>
    <t>All Amounts Denominated in ₹ Cr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</si>
  <si>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</si>
  <si>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</si>
  <si>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</si>
  <si>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</si>
  <si>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</si>
  <si>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</si>
  <si>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</si>
  <si>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</si>
  <si>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</si>
  <si>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</si>
  <si>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Radico Khaitan Limited</t>
  </si>
  <si>
    <t>Globus Spirits Limited</t>
  </si>
  <si>
    <t>Tilaknagar Industries Limited</t>
  </si>
  <si>
    <t>United Breweries Limited</t>
  </si>
  <si>
    <t>Median</t>
  </si>
  <si>
    <t>United Spirits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</si>
  <si>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</si>
  <si>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</si>
  <si>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</si>
  <si>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</si>
  <si>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</si>
  <si>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</si>
  <si>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</si>
  <si>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</si>
  <si>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</si>
  <si>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</si>
  <si>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</si>
  <si>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</si>
  <si>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</si>
  <si>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</si>
  <si>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</si>
  <si>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</si>
  <si>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Comps Data</t>
  </si>
  <si>
    <t>Company</t>
  </si>
  <si>
    <t>Ticker</t>
  </si>
  <si>
    <t>Price</t>
  </si>
  <si>
    <t>Shares</t>
  </si>
  <si>
    <t>Cash</t>
  </si>
  <si>
    <t>Sales</t>
  </si>
  <si>
    <t>Net Income</t>
  </si>
  <si>
    <t>UNITDSPR</t>
  </si>
  <si>
    <t>RADICO</t>
  </si>
  <si>
    <t>GLOBUSSPR</t>
  </si>
  <si>
    <t>TI</t>
  </si>
  <si>
    <t>UBL</t>
  </si>
  <si>
    <t>Source: www.screener.in</t>
  </si>
  <si>
    <t>Comps Valuation</t>
  </si>
  <si>
    <t>Financial Data</t>
  </si>
  <si>
    <t>Valuation</t>
  </si>
  <si>
    <t>EV</t>
  </si>
  <si>
    <t>Earnings</t>
  </si>
  <si>
    <t>EV/Sales</t>
  </si>
  <si>
    <t>P/E</t>
  </si>
  <si>
    <t>(₹/share)</t>
  </si>
  <si>
    <t>Cr</t>
  </si>
  <si>
    <t>₹ Cr</t>
  </si>
  <si>
    <t>&amp; Equivalents</t>
  </si>
  <si>
    <t>x</t>
  </si>
  <si>
    <t>Metric</t>
  </si>
  <si>
    <t>Comps</t>
  </si>
  <si>
    <t>Net Debt</t>
  </si>
  <si>
    <t>Share Price</t>
  </si>
  <si>
    <t>EV/Revenue</t>
  </si>
  <si>
    <t>PE</t>
  </si>
  <si>
    <t>Football Field - Valuation Summary</t>
  </si>
  <si>
    <t>Football Field Data</t>
  </si>
  <si>
    <t>DCF</t>
  </si>
  <si>
    <t>52-week high/low</t>
  </si>
  <si>
    <t>Market Consensus</t>
  </si>
  <si>
    <t>High</t>
  </si>
  <si>
    <t>Choice Institutional Equities</t>
  </si>
  <si>
    <t>Low</t>
  </si>
  <si>
    <t>Motilal Oswal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</si>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</sst>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\(#,##0.00\);\-"/>
    <numFmt numFmtId="177" formatCode="0.00\x"/>
    <numFmt numFmtId="178" formatCode="0\F"/>
    <numFmt numFmtId="179" formatCode="0\A"/>
    <numFmt numFmtId="180" formatCode=";;;"/>
    <numFmt numFmtId="181" formatCode="0.00_);[Red]\(0.00\)"/>
    <numFmt numFmtId="182" formatCode="0.0\x"/>
    <numFmt numFmtId="183" formatCode="0.00_);\(0.00\)"/>
    <numFmt numFmtId="184" formatCode="#,##0;\(#,##0\);\-"/>
    <numFmt numFmtId="185" formatCode="dd/mm/yyyy;@"/>
    <numFmt numFmtId="186" formatCode="0\x"/>
  </numFmts>
  <fonts count="86">
    <font>
      <sz val="11"/>
      <color theme="1"/>
      <name val="Calibri"/>
      <charset val="134"/>
    </font>
    <font>
      <b/>
      <sz val="24"/>
      <color theme="0"/>
      <name val="Times New Roman Regular"/>
      <charset val="1"/>
    </font>
    <font>
      <sz val="14"/>
      <color theme="0"/>
      <name val="Times New Roman Regular"/>
      <charset val="134"/>
    </font>
    <font>
      <sz val="11"/>
      <color theme="1"/>
      <name val="Times New Roman Regular"/>
      <charset val="134"/>
    </font>
    <font>
      <b/>
      <sz val="12"/>
      <color theme="0"/>
      <name val="Times New Roman Regular"/>
      <charset val="1"/>
    </font>
    <font>
      <sz val="12"/>
      <color theme="0"/>
      <name val="Times New Roman Regular"/>
      <charset val="134"/>
    </font>
    <font>
      <sz val="11"/>
      <color theme="1"/>
      <name val="Times New Roman Bold"/>
      <charset val="134"/>
    </font>
    <font>
      <b/>
      <sz val="11"/>
      <color theme="0"/>
      <name val="Times New Roman Regular"/>
      <charset val="134"/>
    </font>
    <font>
      <sz val="11"/>
      <color theme="0"/>
      <name val="Times New Roman Regular"/>
      <charset val="134"/>
    </font>
    <font>
      <sz val="11"/>
      <color theme="0"/>
      <name val="Times New Roman Bold"/>
      <charset val="134"/>
    </font>
    <font>
      <b/>
      <sz val="11"/>
      <color theme="1"/>
      <name val="Times New Roman Regular"/>
      <charset val="134"/>
    </font>
    <font>
      <b/>
      <i/>
      <u/>
      <sz val="6"/>
      <color theme="1"/>
      <name val="Times New Roman Regular"/>
      <charset val="134"/>
    </font>
    <font>
      <sz val="12"/>
      <color theme="1"/>
      <name val="Times New Roman Bold"/>
      <charset val="134"/>
    </font>
    <font>
      <sz val="24"/>
      <color theme="0"/>
      <name val="Times New Roman Regular"/>
      <charset val="1"/>
    </font>
    <font>
      <sz val="12"/>
      <color theme="1"/>
      <name val="Times New Roman Regular"/>
      <charset val="134"/>
    </font>
    <font>
      <sz val="12"/>
      <color theme="0"/>
      <name val="Times New Roman Regular"/>
      <charset val="1"/>
    </font>
    <font>
      <sz val="14"/>
      <color theme="0"/>
      <name val="Times New Roman Regular"/>
      <charset val="1"/>
    </font>
    <font>
      <sz val="14"/>
      <color theme="0"/>
      <name val="Times New Roman"/>
      <charset val="1"/>
    </font>
    <font>
      <sz val="12"/>
      <name val="Times New Roman Regular"/>
      <charset val="1"/>
    </font>
    <font>
      <b/>
      <sz val="24"/>
      <color theme="0"/>
      <name val="Times New Roman"/>
      <charset val="1"/>
    </font>
    <font>
      <sz val="11"/>
      <color theme="0"/>
      <name val="Calibri"/>
      <charset val="134"/>
    </font>
    <font>
      <b/>
      <sz val="11"/>
      <color theme="0"/>
      <name val="Times New Roman"/>
      <charset val="1"/>
    </font>
    <font>
      <sz val="11"/>
      <name val="Times New Roman"/>
      <charset val="1"/>
    </font>
    <font>
      <sz val="11"/>
      <color rgb="FF00B0F0"/>
      <name val="Times New Roman"/>
      <charset val="1"/>
    </font>
    <font>
      <b/>
      <i/>
      <u/>
      <sz val="8"/>
      <color theme="1"/>
      <name val="Times New Roman Regular"/>
      <charset val="134"/>
    </font>
    <font>
      <i/>
      <sz val="6"/>
      <name val="Times New Roman"/>
      <charset val="1"/>
    </font>
    <font>
      <sz val="6"/>
      <name val="Calibri"/>
      <charset val="134"/>
    </font>
    <font>
      <b/>
      <sz val="24"/>
      <color theme="0"/>
      <name val="Times New Roman Bold"/>
      <charset val="1"/>
    </font>
    <font>
      <b/>
      <sz val="11"/>
      <color theme="0"/>
      <name val="Times New Roman Bold"/>
      <charset val="1"/>
    </font>
    <font>
      <i/>
      <u/>
      <sz val="11"/>
      <color theme="0"/>
      <name val="Times New Roman Bold"/>
      <charset val="1"/>
    </font>
    <font>
      <b/>
      <sz val="11"/>
      <name val="Times New Roman Regular"/>
      <charset val="1"/>
    </font>
    <font>
      <sz val="11"/>
      <name val="Times New Roman Regular"/>
      <charset val="1"/>
    </font>
    <font>
      <sz val="11"/>
      <color rgb="FF00B050"/>
      <name val="Times New Roman Regular"/>
      <charset val="1"/>
    </font>
    <font>
      <sz val="11"/>
      <color rgb="FF00B0F0"/>
      <name val="Times New Roman Regular"/>
      <charset val="1"/>
    </font>
    <font>
      <b/>
      <sz val="11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rgb="FF0000FF"/>
      <name val="Times New Roman Regular"/>
      <charset val="1"/>
    </font>
    <font>
      <sz val="24"/>
      <color theme="0"/>
      <name val="Times New Roman Regular"/>
      <charset val="134"/>
    </font>
    <font>
      <b/>
      <sz val="11"/>
      <name val="Times New Roman"/>
      <charset val="1"/>
    </font>
    <font>
      <sz val="11"/>
      <color rgb="FF0070C0"/>
      <name val="Times New Roman Regular"/>
      <charset val="134"/>
    </font>
    <font>
      <b/>
      <sz val="24"/>
      <color theme="0"/>
      <name val="Times New Roman Regular"/>
      <charset val="134"/>
    </font>
    <font>
      <i/>
      <sz val="11"/>
      <color theme="0"/>
      <name val="Times New Roman Regular"/>
      <charset val="134"/>
    </font>
    <font>
      <sz val="11"/>
      <color rgb="FF0070C0"/>
      <name val="Times New Roman"/>
      <charset val="1"/>
    </font>
    <font>
      <sz val="11"/>
      <color theme="1"/>
      <name val="Times New Roman Regular"/>
      <charset val="1"/>
    </font>
    <font>
      <i/>
      <sz val="9"/>
      <name val="Times New Roman Regular"/>
      <charset val="1"/>
    </font>
    <font>
      <b/>
      <sz val="14"/>
      <color theme="0"/>
      <name val="Times New Roman Regular"/>
      <charset val="134"/>
    </font>
    <font>
      <sz val="11"/>
      <color theme="0"/>
      <name val="Times New Roman"/>
      <charset val="1"/>
    </font>
    <font>
      <b/>
      <i/>
      <sz val="11"/>
      <name val="Times New Roman"/>
      <charset val="1"/>
    </font>
    <font>
      <b/>
      <i/>
      <sz val="11"/>
      <color theme="1"/>
      <name val="Calibri"/>
      <charset val="134"/>
    </font>
    <font>
      <sz val="12"/>
      <color theme="0"/>
      <name val="Times New Roman"/>
      <charset val="1"/>
    </font>
    <font>
      <sz val="12"/>
      <color theme="0"/>
      <name val="Calibri"/>
      <charset val="134"/>
    </font>
    <font>
      <i/>
      <sz val="11"/>
      <name val="Times New Roman Regular"/>
      <charset val="1"/>
    </font>
    <font>
      <i/>
      <sz val="11"/>
      <color theme="1"/>
      <name val="Times New Roman Regular"/>
      <charset val="134"/>
    </font>
    <font>
      <i/>
      <sz val="11"/>
      <name val="Times New Roman"/>
      <charset val="1"/>
    </font>
    <font>
      <i/>
      <sz val="11"/>
      <color theme="1"/>
      <name val="Calibri"/>
      <charset val="134"/>
    </font>
    <font>
      <b/>
      <sz val="12"/>
      <color theme="1"/>
      <name val="Times New Roman Regular"/>
      <charset val="134"/>
    </font>
    <font>
      <sz val="11"/>
      <name val="Times New Roman Regular"/>
      <charset val="134"/>
    </font>
    <font>
      <b/>
      <sz val="11"/>
      <name val="Times New Roman Regular"/>
      <charset val="134"/>
    </font>
    <font>
      <b/>
      <sz val="10"/>
      <name val="Times New Roman Regular"/>
      <charset val="1"/>
    </font>
    <font>
      <sz val="10"/>
      <name val="Times New Roman Regular"/>
      <charset val="1"/>
    </font>
    <font>
      <b/>
      <sz val="11"/>
      <color rgb="FF1F4E78"/>
      <name val="Times New Roman Regular"/>
      <charset val="1"/>
    </font>
    <font>
      <sz val="11"/>
      <name val="Calibri"/>
      <charset val="134"/>
    </font>
    <font>
      <b/>
      <sz val="10"/>
      <color rgb="FF1F4E78"/>
      <name val="Times New Roman Regular"/>
      <charset val="1"/>
    </font>
    <font>
      <sz val="11"/>
      <color theme="1"/>
      <name val="Times New Roman Bold"/>
      <charset val="1"/>
    </font>
    <font>
      <b/>
      <sz val="10"/>
      <name val="Times New Roman Bold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medium">
        <color theme="2" tint="-0.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5" fillId="0" borderId="0" applyBorder="0" applyAlignment="0" applyProtection="0"/>
    <xf numFmtId="44" fontId="65" fillId="0" borderId="0" applyBorder="0" applyAlignment="0" applyProtection="0"/>
    <xf numFmtId="9" fontId="65" fillId="0" borderId="0" applyBorder="0" applyAlignment="0" applyProtection="0"/>
    <xf numFmtId="41" fontId="65" fillId="0" borderId="0" applyBorder="0" applyAlignment="0" applyProtection="0"/>
    <xf numFmtId="42" fontId="65" fillId="0" borderId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6" borderId="10" applyNumberFormat="0" applyFon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7" borderId="13" applyNumberFormat="0" applyAlignment="0" applyProtection="0">
      <alignment vertical="center"/>
    </xf>
    <xf numFmtId="0" fontId="76" fillId="8" borderId="14" applyNumberFormat="0" applyAlignment="0" applyProtection="0">
      <alignment vertical="center"/>
    </xf>
    <xf numFmtId="0" fontId="77" fillId="8" borderId="13" applyNumberFormat="0" applyAlignment="0" applyProtection="0">
      <alignment vertical="center"/>
    </xf>
    <xf numFmtId="0" fontId="78" fillId="9" borderId="15" applyNumberFormat="0" applyAlignment="0" applyProtection="0">
      <alignment vertical="center"/>
    </xf>
    <xf numFmtId="0" fontId="79" fillId="0" borderId="16" applyNumberFormat="0" applyFill="0" applyAlignment="0" applyProtection="0">
      <alignment vertical="center"/>
    </xf>
    <xf numFmtId="0" fontId="80" fillId="0" borderId="17" applyNumberFormat="0" applyFill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/>
    <xf numFmtId="0" fontId="6" fillId="0" borderId="0" xfId="0" applyFont="1" applyAlignment="1">
      <alignment vertical="center"/>
    </xf>
    <xf numFmtId="0" fontId="7" fillId="2" borderId="0" xfId="0" applyFont="1" applyFill="1" applyAlignment="1"/>
    <xf numFmtId="0" fontId="8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vertical="center"/>
    </xf>
    <xf numFmtId="0" fontId="13" fillId="2" borderId="0" xfId="0" applyFont="1" applyFill="1" applyAlignment="1"/>
    <xf numFmtId="0" fontId="5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2" borderId="0" xfId="0" applyFont="1" applyFill="1" applyAlignment="1"/>
    <xf numFmtId="0" fontId="14" fillId="0" borderId="0" xfId="0" applyFont="1" applyAlignment="1"/>
    <xf numFmtId="0" fontId="2" fillId="2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0" borderId="0" xfId="0" applyFont="1" applyAlignment="1"/>
    <xf numFmtId="4" fontId="18" fillId="0" borderId="0" xfId="0" applyNumberFormat="1" applyFont="1" applyAlignment="1"/>
    <xf numFmtId="176" fontId="18" fillId="0" borderId="0" xfId="0" applyNumberFormat="1" applyFont="1" applyAlignment="1"/>
    <xf numFmtId="177" fontId="18" fillId="0" borderId="0" xfId="0" applyNumberFormat="1" applyFont="1" applyAlignment="1"/>
    <xf numFmtId="0" fontId="15" fillId="3" borderId="0" xfId="0" applyFont="1" applyFill="1" applyAlignment="1"/>
    <xf numFmtId="0" fontId="5" fillId="3" borderId="0" xfId="0" applyFont="1" applyFill="1" applyAlignment="1"/>
    <xf numFmtId="177" fontId="15" fillId="3" borderId="0" xfId="0" applyNumberFormat="1" applyFont="1" applyFill="1" applyAlignment="1"/>
    <xf numFmtId="0" fontId="5" fillId="0" borderId="0" xfId="0" applyFont="1" applyAlignment="1"/>
    <xf numFmtId="0" fontId="19" fillId="2" borderId="0" xfId="0" applyFont="1" applyFill="1" applyAlignment="1"/>
    <xf numFmtId="0" fontId="20" fillId="2" borderId="0" xfId="0" applyFont="1" applyFill="1" applyAlignment="1"/>
    <xf numFmtId="0" fontId="20" fillId="2" borderId="0" xfId="0" applyFont="1" applyFill="1" applyAlignment="1">
      <alignment vertical="center"/>
    </xf>
    <xf numFmtId="0" fontId="21" fillId="2" borderId="0" xfId="0" applyFont="1" applyFill="1" applyAlignment="1"/>
    <xf numFmtId="0" fontId="22" fillId="0" borderId="0" xfId="0" applyFont="1" applyAlignment="1"/>
    <xf numFmtId="4" fontId="23" fillId="0" borderId="0" xfId="0" applyNumberFormat="1" applyFont="1" applyAlignment="1"/>
    <xf numFmtId="176" fontId="23" fillId="0" borderId="0" xfId="0" applyNumberFormat="1" applyFont="1" applyAlignment="1"/>
    <xf numFmtId="0" fontId="0" fillId="3" borderId="0" xfId="0" applyFill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2" borderId="0" xfId="0" applyFont="1" applyFill="1" applyAlignment="1"/>
    <xf numFmtId="0" fontId="9" fillId="2" borderId="0" xfId="0" applyFont="1" applyFill="1" applyAlignment="1"/>
    <xf numFmtId="0" fontId="20" fillId="0" borderId="0" xfId="0" applyFont="1" applyAlignment="1">
      <alignment vertical="center"/>
    </xf>
    <xf numFmtId="0" fontId="28" fillId="2" borderId="0" xfId="0" applyFont="1" applyFill="1" applyAlignment="1"/>
    <xf numFmtId="0" fontId="29" fillId="2" borderId="0" xfId="0" applyFont="1" applyFill="1" applyAlignment="1"/>
    <xf numFmtId="0" fontId="0" fillId="0" borderId="0" xfId="0" applyAlignment="1">
      <alignment vertical="center"/>
    </xf>
    <xf numFmtId="0" fontId="30" fillId="0" borderId="0" xfId="0" applyFont="1" applyAlignment="1"/>
    <xf numFmtId="0" fontId="3" fillId="0" borderId="4" xfId="0" applyFont="1" applyBorder="1" applyAlignment="1"/>
    <xf numFmtId="0" fontId="31" fillId="0" borderId="4" xfId="0" applyFont="1" applyBorder="1" applyAlignment="1"/>
    <xf numFmtId="176" fontId="32" fillId="0" borderId="4" xfId="0" applyNumberFormat="1" applyFont="1" applyBorder="1" applyAlignment="1"/>
    <xf numFmtId="10" fontId="31" fillId="0" borderId="4" xfId="0" applyNumberFormat="1" applyFont="1" applyBorder="1" applyAlignment="1"/>
    <xf numFmtId="10" fontId="32" fillId="0" borderId="4" xfId="0" applyNumberFormat="1" applyFont="1" applyBorder="1" applyAlignment="1"/>
    <xf numFmtId="2" fontId="33" fillId="0" borderId="4" xfId="0" applyNumberFormat="1" applyFont="1" applyBorder="1" applyAlignment="1"/>
    <xf numFmtId="2" fontId="31" fillId="0" borderId="4" xfId="0" applyNumberFormat="1" applyFont="1" applyBorder="1" applyAlignment="1"/>
    <xf numFmtId="0" fontId="0" fillId="0" borderId="4" xfId="0" applyBorder="1" applyAlignment="1">
      <alignment vertical="center"/>
    </xf>
    <xf numFmtId="0" fontId="31" fillId="0" borderId="0" xfId="0" applyFont="1" applyAlignment="1"/>
    <xf numFmtId="176" fontId="32" fillId="0" borderId="0" xfId="0" applyNumberFormat="1" applyFont="1" applyAlignment="1"/>
    <xf numFmtId="10" fontId="31" fillId="0" borderId="0" xfId="0" applyNumberFormat="1" applyFont="1" applyAlignment="1"/>
    <xf numFmtId="10" fontId="32" fillId="0" borderId="0" xfId="0" applyNumberFormat="1" applyFont="1" applyAlignment="1"/>
    <xf numFmtId="2" fontId="33" fillId="0" borderId="0" xfId="0" applyNumberFormat="1" applyFont="1" applyAlignment="1"/>
    <xf numFmtId="2" fontId="31" fillId="0" borderId="0" xfId="0" applyNumberFormat="1" applyFont="1" applyAlignment="1"/>
    <xf numFmtId="0" fontId="34" fillId="2" borderId="0" xfId="0" applyFont="1" applyFill="1" applyAlignment="1"/>
    <xf numFmtId="10" fontId="34" fillId="2" borderId="0" xfId="0" applyNumberFormat="1" applyFont="1" applyFill="1" applyAlignment="1"/>
    <xf numFmtId="2" fontId="34" fillId="2" borderId="0" xfId="0" applyNumberFormat="1" applyFont="1" applyFill="1" applyAlignment="1"/>
    <xf numFmtId="176" fontId="35" fillId="2" borderId="0" xfId="0" applyNumberFormat="1" applyFont="1" applyFill="1" applyAlignment="1"/>
    <xf numFmtId="0" fontId="3" fillId="2" borderId="0" xfId="0" applyFont="1" applyFill="1" applyAlignment="1"/>
    <xf numFmtId="176" fontId="31" fillId="0" borderId="0" xfId="0" applyNumberFormat="1" applyFont="1" applyAlignment="1"/>
    <xf numFmtId="10" fontId="36" fillId="0" borderId="0" xfId="0" applyNumberFormat="1" applyFont="1" applyAlignment="1"/>
    <xf numFmtId="10" fontId="30" fillId="0" borderId="0" xfId="0" applyNumberFormat="1" applyFont="1" applyAlignment="1"/>
    <xf numFmtId="0" fontId="37" fillId="2" borderId="0" xfId="0" applyFont="1" applyFill="1" applyAlignment="1"/>
    <xf numFmtId="0" fontId="38" fillId="0" borderId="0" xfId="0" applyFont="1" applyAlignment="1"/>
    <xf numFmtId="0" fontId="8" fillId="2" borderId="0" xfId="0" applyFont="1" applyFill="1" applyAlignment="1">
      <alignment horizontal="center" vertical="center"/>
    </xf>
    <xf numFmtId="58" fontId="39" fillId="0" borderId="0" xfId="0" applyNumberFormat="1" applyFont="1" applyAlignment="1">
      <alignment horizontal="center" vertical="center" wrapText="1"/>
    </xf>
    <xf numFmtId="4" fontId="3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2" borderId="5" xfId="0" applyFont="1" applyFill="1" applyBorder="1" applyAlignment="1">
      <alignment vertical="center"/>
    </xf>
    <xf numFmtId="10" fontId="8" fillId="2" borderId="5" xfId="0" applyNumberFormat="1" applyFont="1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1" fillId="2" borderId="0" xfId="0" applyFont="1" applyFill="1" applyAlignment="1">
      <alignment vertical="center"/>
    </xf>
    <xf numFmtId="0" fontId="34" fillId="4" borderId="0" xfId="0" applyFont="1" applyFill="1" applyBorder="1" applyAlignment="1">
      <alignment horizontal="center" vertical="center" wrapText="1"/>
    </xf>
    <xf numFmtId="1" fontId="35" fillId="4" borderId="0" xfId="0" applyNumberFormat="1" applyFont="1" applyFill="1" applyBorder="1" applyAlignment="1"/>
    <xf numFmtId="0" fontId="34" fillId="5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31" fillId="0" borderId="0" xfId="0" applyFont="1" applyFill="1" applyAlignment="1"/>
    <xf numFmtId="0" fontId="3" fillId="0" borderId="0" xfId="0" applyFont="1">
      <alignment vertical="center"/>
    </xf>
    <xf numFmtId="4" fontId="31" fillId="0" borderId="0" xfId="0" applyNumberFormat="1" applyFont="1" applyFill="1" applyAlignment="1"/>
    <xf numFmtId="4" fontId="22" fillId="0" borderId="0" xfId="0" applyNumberFormat="1" applyFont="1" applyFill="1" applyAlignment="1"/>
    <xf numFmtId="4" fontId="42" fillId="0" borderId="0" xfId="0" applyNumberFormat="1" applyFont="1" applyFill="1" applyAlignment="1"/>
    <xf numFmtId="0" fontId="43" fillId="0" borderId="0" xfId="0" applyFont="1" applyFill="1" applyAlignment="1"/>
    <xf numFmtId="4" fontId="30" fillId="0" borderId="0" xfId="0" applyNumberFormat="1" applyFont="1" applyFill="1" applyAlignment="1"/>
    <xf numFmtId="4" fontId="38" fillId="0" borderId="0" xfId="0" applyNumberFormat="1" applyFont="1" applyFill="1" applyAlignment="1"/>
    <xf numFmtId="0" fontId="30" fillId="0" borderId="0" xfId="0" applyFont="1" applyFill="1" applyAlignment="1"/>
    <xf numFmtId="0" fontId="44" fillId="0" borderId="0" xfId="0" applyFont="1" applyAlignment="1"/>
    <xf numFmtId="178" fontId="10" fillId="0" borderId="0" xfId="0" applyNumberFormat="1" applyFont="1" applyAlignment="1">
      <alignment horizontal="center" vertical="center"/>
    </xf>
    <xf numFmtId="0" fontId="0" fillId="0" borderId="4" xfId="0" applyBorder="1" applyAlignment="1"/>
    <xf numFmtId="10" fontId="22" fillId="0" borderId="6" xfId="0" applyNumberFormat="1" applyFont="1" applyBorder="1" applyAlignment="1">
      <alignment vertical="center"/>
    </xf>
    <xf numFmtId="10" fontId="22" fillId="0" borderId="4" xfId="0" applyNumberFormat="1" applyFont="1" applyBorder="1" applyAlignment="1">
      <alignment horizontal="right" vertical="center"/>
    </xf>
    <xf numFmtId="10" fontId="22" fillId="0" borderId="5" xfId="0" applyNumberFormat="1" applyFont="1" applyBorder="1" applyAlignment="1">
      <alignment vertical="center"/>
    </xf>
    <xf numFmtId="10" fontId="22" fillId="0" borderId="0" xfId="0" applyNumberFormat="1" applyFont="1" applyAlignment="1">
      <alignment horizontal="right"/>
    </xf>
    <xf numFmtId="10" fontId="23" fillId="0" borderId="5" xfId="0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45" fillId="2" borderId="0" xfId="0" applyFont="1" applyFill="1" applyBorder="1" applyAlignment="1">
      <alignment horizontal="center" vertical="center" wrapText="1"/>
    </xf>
    <xf numFmtId="0" fontId="45" fillId="2" borderId="7" xfId="0" applyFont="1" applyFill="1" applyBorder="1" applyAlignment="1">
      <alignment horizontal="center" vertical="center" wrapText="1"/>
    </xf>
    <xf numFmtId="179" fontId="8" fillId="2" borderId="0" xfId="0" applyNumberFormat="1" applyFont="1" applyFill="1" applyAlignment="1">
      <alignment vertical="center"/>
    </xf>
    <xf numFmtId="178" fontId="8" fillId="2" borderId="7" xfId="0" applyNumberFormat="1" applyFont="1" applyFill="1" applyBorder="1" applyAlignment="1">
      <alignment vertical="center"/>
    </xf>
    <xf numFmtId="178" fontId="8" fillId="2" borderId="0" xfId="0" applyNumberFormat="1" applyFont="1" applyFill="1" applyAlignment="1">
      <alignment vertical="center"/>
    </xf>
    <xf numFmtId="0" fontId="46" fillId="2" borderId="0" xfId="0" applyFont="1" applyFill="1" applyAlignment="1"/>
    <xf numFmtId="180" fontId="22" fillId="0" borderId="0" xfId="0" applyNumberFormat="1" applyFont="1" applyAlignment="1"/>
    <xf numFmtId="0" fontId="3" fillId="0" borderId="4" xfId="0" applyFont="1" applyBorder="1" applyAlignment="1">
      <alignment vertical="center"/>
    </xf>
    <xf numFmtId="10" fontId="22" fillId="0" borderId="0" xfId="0" applyNumberFormat="1" applyFont="1" applyAlignment="1"/>
    <xf numFmtId="181" fontId="22" fillId="0" borderId="0" xfId="0" applyNumberFormat="1" applyFont="1" applyAlignment="1"/>
    <xf numFmtId="182" fontId="22" fillId="0" borderId="0" xfId="0" applyNumberFormat="1" applyFont="1" applyAlignment="1"/>
    <xf numFmtId="183" fontId="3" fillId="0" borderId="0" xfId="0" applyNumberFormat="1" applyFont="1" applyAlignment="1">
      <alignment vertical="center"/>
    </xf>
    <xf numFmtId="176" fontId="22" fillId="0" borderId="0" xfId="0" applyNumberFormat="1" applyFont="1" applyAlignment="1">
      <alignment vertical="center"/>
    </xf>
    <xf numFmtId="183" fontId="3" fillId="0" borderId="4" xfId="0" applyNumberFormat="1" applyFont="1" applyBorder="1" applyAlignment="1">
      <alignment vertical="center"/>
    </xf>
    <xf numFmtId="183" fontId="10" fillId="0" borderId="4" xfId="0" applyNumberFormat="1" applyFont="1" applyBorder="1" applyAlignment="1">
      <alignment vertical="center"/>
    </xf>
    <xf numFmtId="176" fontId="38" fillId="0" borderId="4" xfId="0" applyNumberFormat="1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76" fontId="22" fillId="0" borderId="0" xfId="0" applyNumberFormat="1" applyFont="1" applyAlignment="1"/>
    <xf numFmtId="184" fontId="3" fillId="0" borderId="0" xfId="0" applyNumberFormat="1" applyFont="1" applyAlignment="1">
      <alignment vertical="center"/>
    </xf>
    <xf numFmtId="176" fontId="3" fillId="0" borderId="4" xfId="0" applyNumberFormat="1" applyFont="1" applyBorder="1" applyAlignment="1">
      <alignment vertical="center"/>
    </xf>
    <xf numFmtId="176" fontId="10" fillId="0" borderId="4" xfId="0" applyNumberFormat="1" applyFont="1" applyBorder="1" applyAlignment="1">
      <alignment vertical="center"/>
    </xf>
    <xf numFmtId="176" fontId="47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 applyAlignment="1"/>
    <xf numFmtId="0" fontId="47" fillId="0" borderId="0" xfId="0" applyFont="1" applyAlignment="1"/>
    <xf numFmtId="0" fontId="49" fillId="2" borderId="0" xfId="0" applyFont="1" applyFill="1" applyAlignment="1">
      <alignment vertical="center"/>
    </xf>
    <xf numFmtId="0" fontId="38" fillId="0" borderId="4" xfId="0" applyFont="1" applyBorder="1" applyAlignment="1"/>
    <xf numFmtId="176" fontId="38" fillId="0" borderId="4" xfId="0" applyNumberFormat="1" applyFont="1" applyBorder="1" applyAlignment="1"/>
    <xf numFmtId="176" fontId="38" fillId="0" borderId="0" xfId="0" applyNumberFormat="1" applyFont="1" applyAlignment="1"/>
    <xf numFmtId="0" fontId="50" fillId="2" borderId="0" xfId="0" applyFont="1" applyFill="1" applyAlignment="1"/>
    <xf numFmtId="0" fontId="50" fillId="2" borderId="0" xfId="0" applyFont="1" applyFill="1" applyAlignment="1">
      <alignment vertical="center"/>
    </xf>
    <xf numFmtId="0" fontId="22" fillId="0" borderId="4" xfId="0" applyFont="1" applyBorder="1" applyAlignment="1"/>
    <xf numFmtId="185" fontId="22" fillId="0" borderId="4" xfId="0" applyNumberFormat="1" applyFont="1" applyBorder="1" applyAlignment="1"/>
    <xf numFmtId="185" fontId="22" fillId="0" borderId="0" xfId="0" applyNumberFormat="1" applyFont="1" applyAlignment="1"/>
    <xf numFmtId="10" fontId="23" fillId="0" borderId="0" xfId="0" applyNumberFormat="1" applyFont="1" applyAlignment="1"/>
    <xf numFmtId="4" fontId="22" fillId="0" borderId="0" xfId="0" applyNumberFormat="1" applyFont="1" applyAlignment="1"/>
    <xf numFmtId="0" fontId="51" fillId="0" borderId="4" xfId="0" applyFont="1" applyBorder="1" applyAlignment="1"/>
    <xf numFmtId="0" fontId="52" fillId="0" borderId="4" xfId="0" applyFont="1" applyBorder="1" applyAlignment="1">
      <alignment vertical="center"/>
    </xf>
    <xf numFmtId="0" fontId="52" fillId="0" borderId="4" xfId="0" applyFont="1" applyBorder="1" applyAlignment="1"/>
    <xf numFmtId="185" fontId="51" fillId="0" borderId="4" xfId="0" applyNumberFormat="1" applyFont="1" applyBorder="1" applyAlignment="1"/>
    <xf numFmtId="185" fontId="53" fillId="0" borderId="4" xfId="0" applyNumberFormat="1" applyFont="1" applyBorder="1" applyAlignment="1"/>
    <xf numFmtId="176" fontId="22" fillId="0" borderId="4" xfId="0" applyNumberFormat="1" applyFont="1" applyBorder="1" applyAlignment="1"/>
    <xf numFmtId="0" fontId="51" fillId="0" borderId="0" xfId="0" applyFont="1" applyAlignment="1"/>
    <xf numFmtId="0" fontId="52" fillId="0" borderId="0" xfId="0" applyFont="1" applyAlignment="1">
      <alignment vertical="center"/>
    </xf>
    <xf numFmtId="0" fontId="52" fillId="0" borderId="0" xfId="0" applyFont="1" applyAlignment="1"/>
    <xf numFmtId="0" fontId="54" fillId="0" borderId="0" xfId="0" applyFont="1" applyAlignment="1">
      <alignment vertical="center"/>
    </xf>
    <xf numFmtId="2" fontId="51" fillId="0" borderId="0" xfId="0" applyNumberFormat="1" applyFont="1" applyAlignment="1"/>
    <xf numFmtId="2" fontId="53" fillId="0" borderId="0" xfId="0" applyNumberFormat="1" applyFont="1" applyAlignment="1"/>
    <xf numFmtId="176" fontId="30" fillId="0" borderId="4" xfId="0" applyNumberFormat="1" applyFont="1" applyBorder="1" applyAlignment="1"/>
    <xf numFmtId="0" fontId="30" fillId="0" borderId="4" xfId="0" applyFont="1" applyBorder="1" applyAlignment="1"/>
    <xf numFmtId="176" fontId="23" fillId="0" borderId="4" xfId="0" applyNumberFormat="1" applyFont="1" applyBorder="1" applyAlignment="1"/>
    <xf numFmtId="176" fontId="21" fillId="2" borderId="0" xfId="0" applyNumberFormat="1" applyFont="1" applyFill="1" applyAlignment="1"/>
    <xf numFmtId="0" fontId="0" fillId="3" borderId="0" xfId="0" applyFill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Continuous" wrapText="1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vertical="center" textRotation="90"/>
    </xf>
    <xf numFmtId="180" fontId="30" fillId="0" borderId="0" xfId="0" applyNumberFormat="1" applyFont="1" applyAlignment="1">
      <alignment horizontal="left"/>
    </xf>
    <xf numFmtId="186" fontId="30" fillId="0" borderId="0" xfId="0" applyNumberFormat="1" applyFont="1" applyAlignment="1"/>
    <xf numFmtId="0" fontId="55" fillId="0" borderId="0" xfId="0" applyFont="1" applyBorder="1" applyAlignment="1">
      <alignment horizontal="center" vertical="center" textRotation="90"/>
    </xf>
    <xf numFmtId="10" fontId="30" fillId="0" borderId="0" xfId="0" applyNumberFormat="1" applyFont="1" applyAlignment="1">
      <alignment horizontal="left"/>
    </xf>
    <xf numFmtId="4" fontId="31" fillId="0" borderId="8" xfId="0" applyNumberFormat="1" applyFont="1" applyBorder="1" applyAlignment="1"/>
    <xf numFmtId="4" fontId="31" fillId="0" borderId="4" xfId="0" applyNumberFormat="1" applyFont="1" applyBorder="1" applyAlignment="1"/>
    <xf numFmtId="4" fontId="31" fillId="0" borderId="9" xfId="0" applyNumberFormat="1" applyFont="1" applyBorder="1" applyAlignment="1"/>
    <xf numFmtId="4" fontId="31" fillId="0" borderId="0" xfId="0" applyNumberFormat="1" applyFont="1" applyAlignment="1"/>
    <xf numFmtId="0" fontId="3" fillId="0" borderId="0" xfId="0" applyFont="1" applyAlignment="1">
      <alignment horizontal="center" vertical="center" textRotation="179"/>
    </xf>
    <xf numFmtId="0" fontId="30" fillId="0" borderId="0" xfId="0" applyFont="1" applyAlignment="1">
      <alignment horizontal="center"/>
    </xf>
    <xf numFmtId="10" fontId="31" fillId="0" borderId="0" xfId="0" applyNumberFormat="1" applyFont="1" applyAlignment="1">
      <alignment horizontal="centerContinuous" wrapText="1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84" fontId="31" fillId="0" borderId="0" xfId="0" applyNumberFormat="1" applyFont="1" applyAlignment="1"/>
    <xf numFmtId="184" fontId="30" fillId="0" borderId="0" xfId="0" applyNumberFormat="1" applyFont="1" applyAlignment="1"/>
    <xf numFmtId="0" fontId="30" fillId="0" borderId="0" xfId="0" applyFont="1" applyAlignment="1">
      <alignment horizontal="left" wrapText="1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left"/>
    </xf>
    <xf numFmtId="0" fontId="43" fillId="0" borderId="0" xfId="0" applyFont="1" applyAlignment="1"/>
    <xf numFmtId="184" fontId="60" fillId="0" borderId="0" xfId="0" applyNumberFormat="1" applyFont="1" applyAlignment="1"/>
    <xf numFmtId="0" fontId="61" fillId="0" borderId="0" xfId="0" applyFont="1" applyAlignment="1">
      <alignment vertical="center"/>
    </xf>
    <xf numFmtId="184" fontId="62" fillId="0" borderId="0" xfId="0" applyNumberFormat="1" applyFont="1" applyAlignment="1"/>
    <xf numFmtId="184" fontId="59" fillId="0" borderId="0" xfId="0" applyNumberFormat="1" applyFont="1" applyAlignment="1"/>
    <xf numFmtId="184" fontId="58" fillId="0" borderId="0" xfId="0" applyNumberFormat="1" applyFont="1" applyAlignment="1"/>
    <xf numFmtId="0" fontId="63" fillId="0" borderId="0" xfId="0" applyFont="1" applyAlignment="1"/>
    <xf numFmtId="0" fontId="6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FFFFFF"/>
                </a:solidFill>
                <a:latin typeface="Calibri" panose="020F07020304040A0204"/>
              </a:rPr>
              <a:t>Football Field </a:t>
            </a:r>
            <a:endParaRPr lang="en-US" sz="1400" b="1" strike="noStrike" spc="-1">
              <a:solidFill>
                <a:srgbClr val="FFFFFF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'Foot_Ball Field'!$D$8:$E$8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Field'!$F$8:$I$8</c:f>
              <c:numCache>
                <c:formatCode>#,##0.00</c:formatCode>
                <c:ptCount val="4"/>
                <c:pt idx="0">
                  <c:v>1547.09832641018</c:v>
                </c:pt>
                <c:pt idx="1">
                  <c:v>711.48</c:v>
                </c:pt>
                <c:pt idx="2">
                  <c:v>1210.8</c:v>
                </c:pt>
                <c:pt idx="3" c:formatCode="General">
                  <c:v>1468.2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'Foot_Ball Field'!$D$9:$E$9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Field'!$F$9:$I$9</c:f>
              <c:numCache>
                <c:formatCode>#,##0.00</c:formatCode>
                <c:ptCount val="4"/>
                <c:pt idx="0">
                  <c:v>1547.09832641018</c:v>
                </c:pt>
                <c:pt idx="1">
                  <c:v>711.48</c:v>
                </c:pt>
                <c:pt idx="2">
                  <c:v>1210.8</c:v>
                </c:pt>
                <c:pt idx="3" c:formatCode="General">
                  <c:v>1468.2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'Foot_Ball Field'!$D$10:$E$10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Field'!$F$10:$I$10</c:f>
              <c:numCache>
                <c:formatCode>#,##0.00</c:formatCode>
                <c:ptCount val="4"/>
                <c:pt idx="0">
                  <c:v>730.869987461052</c:v>
                </c:pt>
                <c:pt idx="1">
                  <c:v>393.47</c:v>
                </c:pt>
                <c:pt idx="2">
                  <c:v>1563.4</c:v>
                </c:pt>
                <c:pt idx="3" c:formatCode="General">
                  <c:v>1318.8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'Foot_Ball Field'!$D$11:$E$11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Field'!$F$11:$I$11</c:f>
              <c:numCache>
                <c:formatCode>#,##0.00</c:formatCode>
                <c:ptCount val="4"/>
                <c:pt idx="0">
                  <c:v>730.869987461052</c:v>
                </c:pt>
                <c:pt idx="1">
                  <c:v>393.47</c:v>
                </c:pt>
                <c:pt idx="2">
                  <c:v>1563.4</c:v>
                </c:pt>
                <c:pt idx="3" c:formatCode="General">
                  <c:v>1318.8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000000"/>
              </a:solidFill>
              <a:ln w="19080" cap="flat" cmpd="sng" algn="ctr">
                <a:noFill/>
                <a:prstDash val="solid"/>
                <a:round/>
              </a:ln>
            </c:spPr>
          </c:upBars>
          <c:downBars>
            <c:spPr>
              <a:solidFill>
                <a:srgbClr val="000000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17711089"/>
        <c:axId val="2194096"/>
      </c:stockChart>
      <c:catAx>
        <c:axId val="17711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2194096"/>
        <c:crosses val="autoZero"/>
        <c:auto val="1"/>
        <c:lblAlgn val="ctr"/>
        <c:lblOffset val="100"/>
        <c:noMultiLvlLbl val="0"/>
      </c:catAx>
      <c:valAx>
        <c:axId val="21940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17711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FFFFFF"/>
              </a:solidFill>
              <a:latin typeface="Calibri" panose="020F07020304040A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ed04ce-650d-48b8-bd4c-ffb02ebe5ce9}"/>
      </c:ext>
    </c:extLst>
  </c:chart>
  <c:spPr>
    <a:solidFill>
      <a:srgbClr val="FF0000"/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28440</xdr:colOff>
      <xdr:row>14</xdr:row>
      <xdr:rowOff>33480</xdr:rowOff>
    </xdr:from>
    <xdr:to>
      <xdr:col>9</xdr:col>
      <xdr:colOff>13680</xdr:colOff>
      <xdr:row>27</xdr:row>
      <xdr:rowOff>208800</xdr:rowOff>
    </xdr:to>
    <xdr:graphicFrame>
      <xdr:nvGraphicFramePr>
        <xdr:cNvPr id="2" name="Chart 1"/>
        <xdr:cNvGraphicFramePr/>
      </xdr:nvGraphicFramePr>
      <xdr:xfrm>
        <a:off x="292735" y="3052445"/>
        <a:ext cx="6757035" cy="2899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0"/>
  <sheetViews>
    <sheetView showGridLines="0" zoomScale="93" zoomScaleNormal="93" topLeftCell="A166" workbookViewId="0">
      <selection activeCell="L2" sqref="L2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12" width="12.6428571428571" style="1" customWidth="1"/>
    <col min="13" max="13" width="10.6428571428571" style="1" customWidth="1"/>
    <col min="14" max="14" width="11.5803571428571" style="1" customWidth="1"/>
  </cols>
  <sheetData>
    <row r="1" ht="33.75" customHeight="1" spans="1:14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59"/>
      <c r="N1" s="59"/>
    </row>
    <row r="2" ht="16.5" customHeight="1" spans="1:14">
      <c r="A2" s="1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 t="s">
        <v>2</v>
      </c>
      <c r="M2" s="59"/>
      <c r="N2" s="59"/>
    </row>
    <row r="3" ht="16.5" customHeight="1" spans="1:14">
      <c r="M3" s="59"/>
      <c r="N3" s="59"/>
    </row>
    <row r="4" ht="16.5" customHeight="1" spans="1:14">
      <c r="A4" s="5"/>
      <c r="B4" s="5"/>
      <c r="C4" s="5"/>
      <c r="D4" s="186"/>
      <c r="E4" s="186"/>
      <c r="F4" s="186"/>
      <c r="G4" s="186"/>
      <c r="H4" s="187">
        <v>2022</v>
      </c>
      <c r="I4" s="187">
        <f>H4+1</f>
        <v>2023</v>
      </c>
      <c r="J4" s="187">
        <f>I4+1</f>
        <v>2024</v>
      </c>
      <c r="K4" s="187">
        <f>J4+1</f>
        <v>2025</v>
      </c>
      <c r="L4" s="187">
        <f>K4+1</f>
        <v>2026</v>
      </c>
      <c r="M4" s="5"/>
      <c r="N4" s="59"/>
    </row>
    <row r="5" ht="16.5" customHeight="1" spans="1:14">
      <c r="A5" s="5"/>
      <c r="B5" s="188" t="s">
        <v>3</v>
      </c>
      <c r="C5" s="5"/>
      <c r="D5" s="186"/>
      <c r="E5" s="186"/>
      <c r="F5" s="186"/>
      <c r="G5" s="186"/>
      <c r="H5" s="186"/>
      <c r="I5" s="186"/>
      <c r="J5" s="186"/>
      <c r="K5" s="186"/>
      <c r="L5" s="186"/>
      <c r="M5" s="5"/>
      <c r="N5" s="59"/>
    </row>
    <row r="6" ht="16.5" customHeight="1" spans="1:14">
      <c r="A6" s="5"/>
      <c r="B6" s="5"/>
      <c r="C6" s="5"/>
      <c r="D6" s="189" t="s">
        <v>4</v>
      </c>
      <c r="E6" s="186"/>
      <c r="F6" s="186"/>
      <c r="G6" s="186"/>
      <c r="H6" s="190">
        <v>31061.8</v>
      </c>
      <c r="I6" s="190">
        <v>27815.4</v>
      </c>
      <c r="J6" s="190">
        <v>26018</v>
      </c>
      <c r="K6" s="190">
        <v>27276</v>
      </c>
      <c r="L6" s="190">
        <v>27816</v>
      </c>
      <c r="M6" s="5"/>
      <c r="N6" s="59"/>
    </row>
    <row r="7" ht="16.5" customHeight="1" spans="1:14">
      <c r="A7" s="5"/>
      <c r="B7" s="5"/>
      <c r="C7" s="5"/>
      <c r="D7" s="189" t="s">
        <v>5</v>
      </c>
      <c r="E7" s="186"/>
      <c r="F7" s="186"/>
      <c r="G7" s="186"/>
      <c r="H7" s="190">
        <v>35.5</v>
      </c>
      <c r="I7" s="190">
        <v>73.1</v>
      </c>
      <c r="J7" s="190">
        <v>225</v>
      </c>
      <c r="K7" s="190">
        <v>336</v>
      </c>
      <c r="L7" s="190">
        <v>478</v>
      </c>
      <c r="M7" s="5"/>
      <c r="N7" s="59"/>
    </row>
    <row r="8" ht="16.5" customHeight="1" spans="1:14">
      <c r="A8" s="5"/>
      <c r="B8" s="5"/>
      <c r="C8" s="5"/>
      <c r="D8" s="188" t="s">
        <v>6</v>
      </c>
      <c r="E8" s="186"/>
      <c r="F8" s="186"/>
      <c r="G8" s="186"/>
      <c r="H8" s="191">
        <v>31097.3</v>
      </c>
      <c r="I8" s="191">
        <v>27888.5</v>
      </c>
      <c r="J8" s="191">
        <v>26243</v>
      </c>
      <c r="K8" s="191">
        <v>27612</v>
      </c>
      <c r="L8" s="191">
        <v>28294</v>
      </c>
      <c r="M8" s="5"/>
      <c r="N8" s="59"/>
    </row>
    <row r="9" ht="16.5" customHeight="1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9"/>
    </row>
    <row r="10" ht="16.5" customHeight="1" spans="1:14">
      <c r="A10" s="5"/>
      <c r="B10" s="188" t="s">
        <v>7</v>
      </c>
      <c r="C10" s="5"/>
      <c r="D10" s="5"/>
      <c r="E10" s="186"/>
      <c r="F10" s="186"/>
      <c r="G10" s="186"/>
      <c r="H10" s="191"/>
      <c r="I10" s="191"/>
      <c r="J10" s="191"/>
      <c r="K10" s="191"/>
      <c r="L10" s="191"/>
      <c r="M10" s="5"/>
      <c r="N10" s="59"/>
    </row>
    <row r="11" ht="16.5" customHeight="1" spans="1:14">
      <c r="A11" s="5"/>
      <c r="B11" s="5"/>
      <c r="C11" s="5"/>
      <c r="D11" s="189" t="s">
        <v>8</v>
      </c>
      <c r="E11" s="186"/>
      <c r="F11" s="186"/>
      <c r="G11" s="186"/>
      <c r="H11" s="190">
        <v>4796.9</v>
      </c>
      <c r="I11" s="190">
        <v>5337</v>
      </c>
      <c r="J11" s="190">
        <v>5254</v>
      </c>
      <c r="K11" s="190">
        <v>5443</v>
      </c>
      <c r="L11" s="190">
        <v>6007</v>
      </c>
      <c r="M11" s="5"/>
      <c r="N11" s="59"/>
    </row>
    <row r="12" ht="16.5" customHeight="1" spans="1:14">
      <c r="A12" s="5"/>
      <c r="B12" s="5"/>
      <c r="C12" s="5"/>
      <c r="D12" s="189" t="s">
        <v>9</v>
      </c>
      <c r="E12" s="186"/>
      <c r="F12" s="186"/>
      <c r="G12" s="186"/>
      <c r="H12" s="190">
        <v>577.3</v>
      </c>
      <c r="I12" s="190">
        <v>864.2</v>
      </c>
      <c r="J12" s="190">
        <v>675</v>
      </c>
      <c r="K12" s="190">
        <v>864</v>
      </c>
      <c r="L12" s="190">
        <v>808</v>
      </c>
      <c r="M12" s="5"/>
      <c r="N12" s="59"/>
    </row>
    <row r="13" ht="16.5" customHeight="1" spans="1:14">
      <c r="A13" s="5"/>
      <c r="B13" s="5"/>
      <c r="C13" s="5"/>
      <c r="D13" s="189" t="s">
        <v>10</v>
      </c>
      <c r="E13" s="186"/>
      <c r="F13" s="186"/>
      <c r="G13" s="186"/>
      <c r="H13" s="190">
        <v>-82.7</v>
      </c>
      <c r="I13" s="190">
        <v>-137.1</v>
      </c>
      <c r="J13" s="190">
        <v>119</v>
      </c>
      <c r="K13" s="190">
        <v>90</v>
      </c>
      <c r="L13" s="190">
        <v>-141</v>
      </c>
      <c r="M13" s="5"/>
      <c r="N13" s="59"/>
    </row>
    <row r="14" ht="16.5" customHeight="1" spans="1:14">
      <c r="A14" s="5"/>
      <c r="B14" s="5"/>
      <c r="C14" s="5"/>
      <c r="D14" s="189" t="s">
        <v>11</v>
      </c>
      <c r="E14" s="186"/>
      <c r="F14" s="186"/>
      <c r="G14" s="186"/>
      <c r="H14" s="190">
        <v>21349.4</v>
      </c>
      <c r="I14" s="190">
        <v>17203.8</v>
      </c>
      <c r="J14" s="190">
        <v>14697</v>
      </c>
      <c r="K14" s="190">
        <v>15207</v>
      </c>
      <c r="L14" s="190">
        <v>15349</v>
      </c>
      <c r="M14" s="5"/>
      <c r="N14" s="59"/>
    </row>
    <row r="15" ht="16.5" customHeight="1" spans="1:14">
      <c r="A15" s="5"/>
      <c r="B15" s="5"/>
      <c r="C15" s="5"/>
      <c r="D15" s="189" t="s">
        <v>12</v>
      </c>
      <c r="E15" s="186"/>
      <c r="F15" s="186"/>
      <c r="G15" s="186"/>
      <c r="H15" s="190">
        <v>653.1</v>
      </c>
      <c r="I15" s="190">
        <v>610</v>
      </c>
      <c r="J15" s="190">
        <v>547</v>
      </c>
      <c r="K15" s="190">
        <v>609</v>
      </c>
      <c r="L15" s="190">
        <v>635</v>
      </c>
      <c r="M15" s="5"/>
      <c r="N15" s="59"/>
    </row>
    <row r="16" ht="16.5" customHeight="1" spans="1:14">
      <c r="A16" s="5"/>
      <c r="B16" s="5"/>
      <c r="C16" s="5"/>
      <c r="D16" s="189" t="s">
        <v>13</v>
      </c>
      <c r="E16" s="186"/>
      <c r="F16" s="186"/>
      <c r="G16" s="186"/>
      <c r="H16" s="190">
        <v>303.8</v>
      </c>
      <c r="I16" s="190">
        <v>282.5</v>
      </c>
      <c r="J16" s="190">
        <v>275</v>
      </c>
      <c r="K16" s="190">
        <v>283</v>
      </c>
      <c r="L16" s="190">
        <v>289</v>
      </c>
      <c r="M16" s="5"/>
      <c r="N16" s="59"/>
    </row>
    <row r="17" ht="16.5" customHeight="1" spans="1:14">
      <c r="A17" s="5"/>
      <c r="B17" s="5"/>
      <c r="C17" s="5"/>
      <c r="D17" s="189" t="s">
        <v>14</v>
      </c>
      <c r="E17" s="186"/>
      <c r="F17" s="186"/>
      <c r="G17" s="186"/>
      <c r="H17" s="190">
        <v>694.9</v>
      </c>
      <c r="I17" s="190">
        <v>921.8</v>
      </c>
      <c r="J17" s="190">
        <v>1048</v>
      </c>
      <c r="K17" s="190">
        <v>1130</v>
      </c>
      <c r="L17" s="190">
        <v>1295</v>
      </c>
      <c r="M17" s="5"/>
      <c r="N17" s="59"/>
    </row>
    <row r="18" ht="16.5" customHeight="1" spans="1:14">
      <c r="A18" s="5"/>
      <c r="B18" s="5"/>
      <c r="C18" s="5"/>
      <c r="D18" s="189" t="s">
        <v>15</v>
      </c>
      <c r="E18" s="186"/>
      <c r="F18" s="186"/>
      <c r="G18" s="186"/>
      <c r="H18" s="190">
        <v>-12.9</v>
      </c>
      <c r="I18" s="190">
        <v>-12</v>
      </c>
      <c r="J18" s="190"/>
      <c r="K18" s="190"/>
      <c r="L18" s="190"/>
      <c r="M18" s="5"/>
      <c r="N18" s="59"/>
    </row>
    <row r="19" ht="16.5" customHeight="1" spans="1:14">
      <c r="A19" s="5"/>
      <c r="B19" s="5"/>
      <c r="C19" s="5"/>
      <c r="D19" s="189" t="s">
        <v>16</v>
      </c>
      <c r="E19" s="186"/>
      <c r="F19" s="186"/>
      <c r="G19" s="186"/>
      <c r="H19" s="190">
        <v>1477.7</v>
      </c>
      <c r="I19" s="190">
        <v>1610.8</v>
      </c>
      <c r="J19" s="190">
        <v>1677</v>
      </c>
      <c r="K19" s="190">
        <v>1690</v>
      </c>
      <c r="L19" s="190">
        <v>1577</v>
      </c>
      <c r="M19" s="5"/>
      <c r="N19" s="59"/>
    </row>
    <row r="20" ht="16.5" customHeight="1" spans="1:14">
      <c r="A20" s="5"/>
      <c r="B20" s="5"/>
      <c r="C20" s="5"/>
      <c r="D20" s="189" t="s">
        <v>17</v>
      </c>
      <c r="E20" s="186"/>
      <c r="F20" s="186"/>
      <c r="G20" s="186"/>
      <c r="H20" s="190">
        <v>88</v>
      </c>
      <c r="I20" s="190">
        <v>103.9</v>
      </c>
      <c r="J20" s="190">
        <v>76</v>
      </c>
      <c r="K20" s="190">
        <v>89</v>
      </c>
      <c r="L20" s="190">
        <v>158</v>
      </c>
      <c r="M20" s="5"/>
      <c r="N20" s="59"/>
    </row>
    <row r="21" ht="16.5" customHeight="1" spans="1:14">
      <c r="A21" s="5"/>
      <c r="B21" s="5"/>
      <c r="C21" s="5"/>
      <c r="D21" s="188" t="s">
        <v>18</v>
      </c>
      <c r="E21" s="186"/>
      <c r="F21" s="186"/>
      <c r="G21" s="186"/>
      <c r="H21" s="191">
        <v>29845.5</v>
      </c>
      <c r="I21" s="191">
        <v>26784.9</v>
      </c>
      <c r="J21" s="191">
        <v>24368</v>
      </c>
      <c r="K21" s="191">
        <v>25405</v>
      </c>
      <c r="L21" s="191">
        <v>25977</v>
      </c>
      <c r="M21" s="5"/>
      <c r="N21" s="59"/>
    </row>
    <row r="22" ht="16.5" customHeight="1" spans="1:14">
      <c r="A22" s="5"/>
      <c r="B22" s="5"/>
      <c r="C22" s="5"/>
      <c r="D22" s="188"/>
      <c r="E22" s="186"/>
      <c r="F22" s="186"/>
      <c r="G22" s="186"/>
      <c r="H22" s="191"/>
      <c r="I22" s="191"/>
      <c r="J22" s="191"/>
      <c r="K22" s="191"/>
      <c r="L22" s="191"/>
      <c r="M22" s="5"/>
      <c r="N22" s="59"/>
    </row>
    <row r="23" ht="16.5" customHeight="1" spans="1:14">
      <c r="A23" s="5"/>
      <c r="B23" s="192" t="s">
        <v>19</v>
      </c>
      <c r="C23" s="5"/>
      <c r="D23" s="5"/>
      <c r="E23" s="186"/>
      <c r="F23" s="186"/>
      <c r="G23" s="186"/>
      <c r="H23" s="191">
        <v>1251.8</v>
      </c>
      <c r="I23" s="191">
        <v>1103.6</v>
      </c>
      <c r="J23" s="191">
        <v>1875</v>
      </c>
      <c r="K23" s="191">
        <v>2207</v>
      </c>
      <c r="L23" s="191">
        <v>2317</v>
      </c>
      <c r="M23" s="5"/>
      <c r="N23" s="59"/>
    </row>
    <row r="24" ht="16.5" customHeight="1" spans="1:14">
      <c r="A24" s="5"/>
      <c r="B24" s="5"/>
      <c r="C24" s="5"/>
      <c r="D24" s="189" t="s">
        <v>20</v>
      </c>
      <c r="E24" s="186"/>
      <c r="F24" s="186"/>
      <c r="G24" s="186"/>
      <c r="H24" s="190">
        <v>0</v>
      </c>
      <c r="I24" s="190">
        <v>-1.4</v>
      </c>
      <c r="J24" s="190">
        <v>-1</v>
      </c>
      <c r="K24" s="190">
        <v>-7</v>
      </c>
      <c r="L24" s="190">
        <v>-7</v>
      </c>
      <c r="M24" s="5"/>
      <c r="N24" s="59"/>
    </row>
    <row r="25" ht="16.5" customHeight="1" spans="1:14">
      <c r="A25" s="5"/>
      <c r="B25" s="5"/>
      <c r="C25" s="5"/>
      <c r="D25" s="188" t="s">
        <v>21</v>
      </c>
      <c r="E25" s="186"/>
      <c r="F25" s="186"/>
      <c r="G25" s="186"/>
      <c r="H25" s="191">
        <v>1251.8</v>
      </c>
      <c r="I25" s="191">
        <v>1102.2</v>
      </c>
      <c r="J25" s="191">
        <v>1874</v>
      </c>
      <c r="K25" s="191">
        <v>2200</v>
      </c>
      <c r="L25" s="191">
        <v>2310</v>
      </c>
      <c r="M25" s="5"/>
      <c r="N25" s="59"/>
    </row>
    <row r="26" ht="16.5" customHeight="1" spans="1:14">
      <c r="A26" s="5"/>
      <c r="B26" s="5"/>
      <c r="C26" s="5"/>
      <c r="D26" s="189" t="s">
        <v>22</v>
      </c>
      <c r="E26" s="186"/>
      <c r="F26" s="186"/>
      <c r="G26" s="186"/>
      <c r="H26" s="190">
        <v>-165.2</v>
      </c>
      <c r="I26" s="190">
        <v>176.4</v>
      </c>
      <c r="J26" s="190">
        <v>-17</v>
      </c>
      <c r="K26" s="190">
        <v>-65</v>
      </c>
      <c r="L26" s="190">
        <v>-91</v>
      </c>
      <c r="M26" s="5"/>
      <c r="N26" s="59"/>
    </row>
    <row r="27" ht="16.5" customHeight="1" spans="1:14">
      <c r="A27" s="5"/>
      <c r="B27" s="5"/>
      <c r="C27" s="5"/>
      <c r="D27" s="188" t="s">
        <v>23</v>
      </c>
      <c r="E27" s="186"/>
      <c r="F27" s="186"/>
      <c r="G27" s="186"/>
      <c r="H27" s="191">
        <v>1086.6</v>
      </c>
      <c r="I27" s="191">
        <v>1278.6</v>
      </c>
      <c r="J27" s="191">
        <v>1857</v>
      </c>
      <c r="K27" s="191">
        <v>2135</v>
      </c>
      <c r="L27" s="191">
        <v>2219</v>
      </c>
      <c r="M27" s="5"/>
      <c r="N27" s="59"/>
    </row>
    <row r="28" ht="16.5" customHeight="1" spans="1:14">
      <c r="A28" s="5"/>
      <c r="B28" s="5"/>
      <c r="C28" s="5"/>
      <c r="D28" s="188" t="s">
        <v>24</v>
      </c>
      <c r="E28" s="186"/>
      <c r="F28" s="186"/>
      <c r="G28" s="186"/>
      <c r="H28" s="191"/>
      <c r="I28" s="191"/>
      <c r="J28" s="191"/>
      <c r="K28" s="191"/>
      <c r="L28" s="191"/>
      <c r="M28" s="5"/>
      <c r="N28" s="59"/>
    </row>
    <row r="29" ht="16.5" customHeight="1" spans="1:14">
      <c r="A29" s="5"/>
      <c r="B29" s="5"/>
      <c r="C29" s="5"/>
      <c r="D29" s="189" t="s">
        <v>25</v>
      </c>
      <c r="E29" s="186"/>
      <c r="F29" s="186"/>
      <c r="G29" s="186"/>
      <c r="H29" s="190">
        <v>259.3</v>
      </c>
      <c r="I29" s="190">
        <v>281.4</v>
      </c>
      <c r="J29" s="190">
        <v>450</v>
      </c>
      <c r="K29" s="190">
        <v>555</v>
      </c>
      <c r="L29" s="190">
        <v>637</v>
      </c>
      <c r="M29" s="5"/>
      <c r="N29" s="59"/>
    </row>
    <row r="30" ht="16.5" customHeight="1" spans="1:14">
      <c r="A30" s="5"/>
      <c r="B30" s="5"/>
      <c r="C30" s="5"/>
      <c r="D30" s="189" t="s">
        <v>26</v>
      </c>
      <c r="E30" s="186"/>
      <c r="F30" s="186"/>
      <c r="G30" s="186"/>
      <c r="H30" s="190">
        <v>-24.7</v>
      </c>
      <c r="I30" s="190">
        <v>-115.9</v>
      </c>
      <c r="J30" s="190">
        <v>-10</v>
      </c>
      <c r="K30" s="190">
        <v>-11</v>
      </c>
      <c r="L30" s="190">
        <v>2</v>
      </c>
      <c r="M30" s="5"/>
      <c r="N30" s="59"/>
    </row>
    <row r="31" ht="16.5" customHeight="1" spans="1:14">
      <c r="A31" s="5"/>
      <c r="B31" s="5"/>
      <c r="C31" s="5"/>
      <c r="D31" s="189" t="s">
        <v>27</v>
      </c>
      <c r="E31" s="186"/>
      <c r="F31" s="186"/>
      <c r="G31" s="186"/>
      <c r="H31" s="190">
        <v>41.4</v>
      </c>
      <c r="I31" s="190">
        <v>-12.7</v>
      </c>
      <c r="J31" s="190">
        <v>9</v>
      </c>
      <c r="K31" s="190">
        <v>9</v>
      </c>
      <c r="L31" s="190">
        <v>-129</v>
      </c>
      <c r="M31" s="5"/>
      <c r="N31" s="59"/>
    </row>
    <row r="32" ht="16.5" customHeight="1" spans="1:14">
      <c r="A32" s="5"/>
      <c r="B32" s="5"/>
      <c r="C32" s="5"/>
      <c r="D32" s="188" t="s">
        <v>28</v>
      </c>
      <c r="E32" s="186"/>
      <c r="F32" s="186"/>
      <c r="G32" s="186"/>
      <c r="H32" s="191">
        <v>276</v>
      </c>
      <c r="I32" s="191">
        <v>152.8</v>
      </c>
      <c r="J32" s="191">
        <v>449</v>
      </c>
      <c r="K32" s="191">
        <v>553</v>
      </c>
      <c r="L32" s="191">
        <v>510</v>
      </c>
      <c r="M32" s="5"/>
      <c r="N32" s="59"/>
    </row>
    <row r="33" ht="16.5" customHeight="1" spans="1:14">
      <c r="A33" s="5"/>
      <c r="B33" s="5"/>
      <c r="C33" s="5"/>
      <c r="D33" s="188"/>
      <c r="E33" s="186"/>
      <c r="F33" s="186"/>
      <c r="G33" s="186"/>
      <c r="H33" s="191"/>
      <c r="I33" s="191"/>
      <c r="J33" s="191"/>
      <c r="K33" s="191"/>
      <c r="L33" s="191"/>
      <c r="M33" s="5"/>
      <c r="N33" s="59"/>
    </row>
    <row r="34" ht="16.5" customHeight="1" spans="1:14">
      <c r="A34" s="5"/>
      <c r="B34" s="188" t="s">
        <v>29</v>
      </c>
      <c r="C34" s="5"/>
      <c r="D34" s="5"/>
      <c r="E34" s="186"/>
      <c r="F34" s="186"/>
      <c r="G34" s="186"/>
      <c r="H34" s="191">
        <v>810.6</v>
      </c>
      <c r="I34" s="191">
        <v>1125.8</v>
      </c>
      <c r="J34" s="191">
        <v>1408</v>
      </c>
      <c r="K34" s="191">
        <v>1582</v>
      </c>
      <c r="L34" s="191">
        <v>1709</v>
      </c>
      <c r="M34" s="5"/>
      <c r="N34" s="59"/>
    </row>
    <row r="35" ht="16.5" customHeight="1" spans="1:14">
      <c r="A35" s="5"/>
      <c r="B35" s="5"/>
      <c r="C35" s="5"/>
      <c r="D35" s="189" t="s">
        <v>30</v>
      </c>
      <c r="E35" s="186"/>
      <c r="F35" s="186"/>
      <c r="G35" s="186"/>
      <c r="H35" s="190"/>
      <c r="I35" s="190"/>
      <c r="J35" s="190"/>
      <c r="K35" s="190"/>
      <c r="L35" s="190">
        <v>129</v>
      </c>
      <c r="M35" s="5"/>
      <c r="N35" s="59"/>
    </row>
    <row r="36" ht="16.5" customHeight="1" spans="1:14">
      <c r="A36" s="5"/>
      <c r="B36" s="5"/>
      <c r="C36" s="5"/>
      <c r="D36" s="188" t="s">
        <v>31</v>
      </c>
      <c r="E36" s="186"/>
      <c r="F36" s="186"/>
      <c r="G36" s="186"/>
      <c r="H36" s="191">
        <v>810.6</v>
      </c>
      <c r="I36" s="191">
        <v>1125.8</v>
      </c>
      <c r="J36" s="191">
        <v>1408</v>
      </c>
      <c r="K36" s="191">
        <v>1582</v>
      </c>
      <c r="L36" s="191">
        <v>1838</v>
      </c>
      <c r="M36" s="5"/>
      <c r="N36" s="59"/>
    </row>
    <row r="37" ht="16.5" customHeight="1" spans="1:14">
      <c r="A37" s="5"/>
      <c r="B37" s="5"/>
      <c r="C37" s="5"/>
      <c r="D37" s="189" t="s">
        <v>32</v>
      </c>
      <c r="E37" s="186"/>
      <c r="F37" s="186"/>
      <c r="G37" s="186"/>
      <c r="H37" s="190">
        <v>12.4</v>
      </c>
      <c r="I37" s="190">
        <v>-2.2</v>
      </c>
      <c r="J37" s="190">
        <v>-3</v>
      </c>
      <c r="K37" s="190">
        <v>0</v>
      </c>
      <c r="L37" s="190">
        <v>9</v>
      </c>
      <c r="M37" s="5"/>
      <c r="N37" s="59"/>
    </row>
    <row r="38" ht="16.5" customHeight="1" spans="1:14">
      <c r="A38" s="5"/>
      <c r="B38" s="188" t="s">
        <v>33</v>
      </c>
      <c r="C38" s="5"/>
      <c r="D38" s="5"/>
      <c r="E38" s="186"/>
      <c r="F38" s="186"/>
      <c r="G38" s="186"/>
      <c r="H38" s="191">
        <v>823</v>
      </c>
      <c r="I38" s="191">
        <v>1123.6</v>
      </c>
      <c r="J38" s="191">
        <v>1405</v>
      </c>
      <c r="K38" s="191">
        <v>1582</v>
      </c>
      <c r="L38" s="191">
        <v>1847</v>
      </c>
      <c r="M38" s="5"/>
      <c r="N38" s="59"/>
    </row>
    <row r="39" ht="16.5" customHeight="1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N39" s="59"/>
    </row>
    <row r="40" ht="16.5" customHeight="1" spans="1:14">
      <c r="A40" s="88" t="s">
        <v>34</v>
      </c>
      <c r="B40" s="5"/>
      <c r="C40" s="5"/>
      <c r="D40" s="186"/>
      <c r="E40" s="186"/>
      <c r="F40" s="186"/>
      <c r="G40" s="186"/>
      <c r="H40" s="186"/>
      <c r="I40" s="186"/>
      <c r="J40" s="186"/>
      <c r="K40" s="186"/>
      <c r="L40" s="186"/>
      <c r="M40" s="59"/>
      <c r="N40" s="59"/>
    </row>
    <row r="41" ht="16.5" customHeight="1" spans="1:14">
      <c r="A41" s="186"/>
      <c r="B41" s="193" t="s">
        <v>35</v>
      </c>
      <c r="C41" s="186"/>
      <c r="D41" s="186"/>
      <c r="E41" s="186"/>
      <c r="F41" s="5"/>
      <c r="G41" s="5"/>
      <c r="H41" s="5"/>
      <c r="I41" s="5"/>
      <c r="J41" s="5"/>
      <c r="K41" s="5"/>
      <c r="L41" s="5"/>
    </row>
    <row r="42" ht="16.5" customHeight="1" spans="1:14">
      <c r="A42" s="186"/>
      <c r="B42" s="186"/>
      <c r="C42" s="193" t="s">
        <v>36</v>
      </c>
      <c r="D42" s="186"/>
      <c r="E42" s="186"/>
      <c r="F42" s="5"/>
      <c r="G42" s="5"/>
      <c r="H42" s="5"/>
      <c r="I42" s="5"/>
      <c r="J42" s="5"/>
      <c r="K42" s="5"/>
      <c r="L42" s="5"/>
    </row>
    <row r="43" ht="16.5" customHeight="1" spans="1:14">
      <c r="A43" s="186"/>
      <c r="B43" s="186"/>
      <c r="C43" s="186"/>
      <c r="D43" s="194" t="s">
        <v>37</v>
      </c>
      <c r="E43" s="186"/>
      <c r="F43" s="5"/>
      <c r="G43" s="5"/>
      <c r="H43" s="190">
        <v>1215.2</v>
      </c>
      <c r="I43" s="190">
        <v>978.3</v>
      </c>
      <c r="J43" s="190">
        <v>844</v>
      </c>
      <c r="K43" s="190">
        <v>850</v>
      </c>
      <c r="L43" s="190">
        <v>832</v>
      </c>
    </row>
    <row r="44" ht="16.5" customHeight="1" spans="1:14">
      <c r="A44" s="186"/>
      <c r="B44" s="186"/>
      <c r="C44" s="186"/>
      <c r="D44" s="194" t="s">
        <v>38</v>
      </c>
      <c r="E44" s="186"/>
      <c r="F44" s="5"/>
      <c r="G44" s="5"/>
      <c r="H44" s="190">
        <v>260.6</v>
      </c>
      <c r="I44" s="190">
        <v>172.6</v>
      </c>
      <c r="J44" s="190">
        <v>227</v>
      </c>
      <c r="K44" s="190">
        <v>457</v>
      </c>
      <c r="L44" s="190">
        <v>383</v>
      </c>
    </row>
    <row r="45" ht="16.5" customHeight="1" spans="1:14">
      <c r="A45" s="186"/>
      <c r="B45" s="186"/>
      <c r="C45" s="186"/>
      <c r="D45" s="194" t="s">
        <v>39</v>
      </c>
      <c r="E45" s="186"/>
      <c r="F45" s="5"/>
      <c r="G45" s="5"/>
      <c r="H45" s="190">
        <v>87.7</v>
      </c>
      <c r="I45" s="190">
        <v>66.8</v>
      </c>
      <c r="J45" s="190">
        <v>37</v>
      </c>
      <c r="K45" s="190">
        <v>72</v>
      </c>
      <c r="L45" s="190">
        <v>77</v>
      </c>
    </row>
    <row r="46" ht="16.5" customHeight="1" spans="1:14">
      <c r="A46" s="186"/>
      <c r="B46" s="186"/>
      <c r="C46" s="186"/>
      <c r="D46" s="194" t="s">
        <v>40</v>
      </c>
      <c r="E46" s="186"/>
      <c r="F46" s="5"/>
      <c r="G46" s="5"/>
      <c r="H46" s="190">
        <v>21</v>
      </c>
      <c r="I46" s="190">
        <v>1.3</v>
      </c>
      <c r="J46" s="190">
        <v>1</v>
      </c>
      <c r="K46" s="190">
        <v>1</v>
      </c>
      <c r="L46" s="190">
        <v>55</v>
      </c>
    </row>
    <row r="47" ht="16.5" customHeight="1" spans="1:14">
      <c r="A47" s="186"/>
      <c r="B47" s="186"/>
      <c r="C47" s="186"/>
      <c r="D47" s="194" t="s">
        <v>41</v>
      </c>
      <c r="E47" s="186"/>
      <c r="F47" s="5"/>
      <c r="G47" s="5"/>
      <c r="H47" s="190">
        <v>358</v>
      </c>
      <c r="I47" s="190">
        <v>356.7</v>
      </c>
      <c r="J47" s="190">
        <v>349</v>
      </c>
      <c r="K47" s="190">
        <v>329</v>
      </c>
      <c r="L47" s="190">
        <v>76</v>
      </c>
    </row>
    <row r="48" ht="16.5" customHeight="1" spans="1:14">
      <c r="A48" s="186"/>
      <c r="B48" s="186"/>
      <c r="C48" s="186"/>
      <c r="D48" s="194" t="s">
        <v>42</v>
      </c>
      <c r="E48" s="186"/>
      <c r="F48" s="5"/>
      <c r="G48" s="5"/>
      <c r="H48" s="190">
        <v>8</v>
      </c>
      <c r="I48" s="190">
        <v>16</v>
      </c>
      <c r="J48" s="190">
        <v>0</v>
      </c>
      <c r="K48" s="190"/>
      <c r="L48" s="190"/>
    </row>
    <row r="49" ht="16.5" customHeight="1" spans="1:12">
      <c r="A49" s="186"/>
      <c r="B49" s="186"/>
      <c r="C49" s="186"/>
      <c r="D49" s="194" t="s">
        <v>43</v>
      </c>
      <c r="E49" s="186"/>
      <c r="F49" s="5"/>
      <c r="G49" s="5"/>
      <c r="H49" s="190">
        <v>0</v>
      </c>
      <c r="I49" s="190">
        <v>25.3</v>
      </c>
      <c r="J49" s="190">
        <v>139</v>
      </c>
      <c r="K49" s="190">
        <v>75</v>
      </c>
      <c r="L49" s="190">
        <v>58</v>
      </c>
    </row>
    <row r="50" ht="16.5" customHeight="1" spans="1:12">
      <c r="A50" s="186"/>
      <c r="B50" s="186"/>
      <c r="C50" s="186"/>
      <c r="D50" s="194" t="s">
        <v>44</v>
      </c>
      <c r="E50" s="186"/>
      <c r="F50" s="5"/>
      <c r="G50" s="5"/>
      <c r="H50" s="190"/>
      <c r="I50" s="190">
        <v>10.1</v>
      </c>
      <c r="J50" s="190">
        <v>9</v>
      </c>
      <c r="K50" s="190">
        <v>50</v>
      </c>
      <c r="L50" s="190">
        <v>14</v>
      </c>
    </row>
    <row r="51" ht="16.5" customHeight="1" spans="1:12">
      <c r="A51" s="186"/>
      <c r="B51" s="186"/>
      <c r="C51" s="186"/>
      <c r="D51" s="194" t="s">
        <v>45</v>
      </c>
      <c r="E51" s="186"/>
      <c r="F51" s="5"/>
      <c r="G51" s="5"/>
      <c r="H51" s="190"/>
      <c r="I51" s="190">
        <v>20</v>
      </c>
      <c r="J51" s="190">
        <v>37</v>
      </c>
      <c r="K51" s="190"/>
      <c r="L51" s="190"/>
    </row>
    <row r="52" ht="16.5" customHeight="1" spans="1:12">
      <c r="A52" s="186"/>
      <c r="B52" s="186"/>
      <c r="C52" s="186"/>
      <c r="D52" s="194" t="s">
        <v>46</v>
      </c>
      <c r="E52" s="186"/>
      <c r="F52" s="5"/>
      <c r="G52" s="5"/>
      <c r="H52" s="190"/>
      <c r="I52" s="190"/>
      <c r="J52" s="190">
        <v>365</v>
      </c>
      <c r="K52" s="190">
        <v>340</v>
      </c>
      <c r="L52" s="190">
        <v>351</v>
      </c>
    </row>
    <row r="53" ht="16.5" customHeight="1" spans="1:12">
      <c r="A53" s="186"/>
      <c r="B53" s="186"/>
      <c r="C53" s="186"/>
      <c r="D53" s="194" t="s">
        <v>47</v>
      </c>
      <c r="E53" s="186"/>
      <c r="F53" s="5"/>
      <c r="G53" s="5"/>
      <c r="H53" s="190"/>
      <c r="I53" s="190"/>
      <c r="J53" s="190">
        <v>0</v>
      </c>
      <c r="K53" s="190">
        <v>0</v>
      </c>
      <c r="L53" s="190"/>
    </row>
    <row r="54" ht="16.5" customHeight="1" spans="1:12">
      <c r="A54" s="186"/>
      <c r="B54" s="186"/>
      <c r="C54" s="186"/>
      <c r="D54" s="194" t="s">
        <v>48</v>
      </c>
      <c r="E54" s="186"/>
      <c r="F54" s="5"/>
      <c r="G54" s="5"/>
      <c r="H54" s="190">
        <v>148.5</v>
      </c>
      <c r="I54" s="190">
        <v>146.2</v>
      </c>
      <c r="J54" s="190">
        <v>111</v>
      </c>
      <c r="K54" s="190">
        <v>384</v>
      </c>
      <c r="L54" s="190">
        <v>311</v>
      </c>
    </row>
    <row r="55" ht="16.5" customHeight="1" spans="1:12">
      <c r="A55" s="186"/>
      <c r="B55" s="186"/>
      <c r="C55" s="186"/>
      <c r="D55" s="194" t="s">
        <v>49</v>
      </c>
      <c r="E55" s="186"/>
      <c r="F55" s="5"/>
      <c r="G55" s="5"/>
      <c r="H55" s="190">
        <v>147.8</v>
      </c>
      <c r="I55" s="190">
        <v>157.3</v>
      </c>
      <c r="J55" s="190">
        <v>177</v>
      </c>
      <c r="K55" s="190">
        <v>155</v>
      </c>
      <c r="L55" s="190">
        <v>284</v>
      </c>
    </row>
    <row r="56" ht="16.5" customHeight="1" spans="1:12">
      <c r="A56" s="186"/>
      <c r="B56" s="186"/>
      <c r="C56" s="186"/>
      <c r="D56" s="194" t="s">
        <v>50</v>
      </c>
      <c r="E56" s="186"/>
      <c r="F56" s="5"/>
      <c r="G56" s="5"/>
      <c r="H56" s="190">
        <v>1261.4</v>
      </c>
      <c r="I56" s="190">
        <v>1335.6</v>
      </c>
      <c r="J56" s="190">
        <v>1358</v>
      </c>
      <c r="K56" s="190">
        <v>1115</v>
      </c>
      <c r="L56" s="190">
        <v>1191</v>
      </c>
    </row>
    <row r="57" ht="16.5" customHeight="1" spans="1:12">
      <c r="A57" s="186"/>
      <c r="B57" s="186"/>
      <c r="C57" s="186"/>
      <c r="D57" s="194" t="s">
        <v>51</v>
      </c>
      <c r="E57" s="186"/>
      <c r="F57" s="5"/>
      <c r="G57" s="5"/>
      <c r="H57" s="190">
        <v>239.7</v>
      </c>
      <c r="I57" s="190">
        <v>240.7</v>
      </c>
      <c r="J57" s="190">
        <v>218</v>
      </c>
      <c r="K57" s="190">
        <v>218</v>
      </c>
      <c r="L57" s="190">
        <v>274</v>
      </c>
    </row>
    <row r="58" ht="16.5" customHeight="1" spans="1:12">
      <c r="A58" s="186"/>
      <c r="B58" s="186"/>
      <c r="C58" s="193" t="s">
        <v>52</v>
      </c>
      <c r="D58" s="5"/>
      <c r="E58" s="186"/>
      <c r="F58" s="5"/>
      <c r="G58" s="5"/>
      <c r="H58" s="191">
        <v>3747.9</v>
      </c>
      <c r="I58" s="191">
        <v>3526.9</v>
      </c>
      <c r="J58" s="191">
        <v>3872</v>
      </c>
      <c r="K58" s="191">
        <v>4046</v>
      </c>
      <c r="L58" s="191">
        <v>3906</v>
      </c>
    </row>
    <row r="59" ht="16.5" customHeight="1" spans="1:12">
      <c r="A59" s="186"/>
      <c r="B59" s="186"/>
      <c r="C59" s="193"/>
      <c r="D59" s="5"/>
      <c r="E59" s="186"/>
      <c r="F59" s="5"/>
      <c r="G59" s="5"/>
      <c r="H59" s="191"/>
      <c r="I59" s="191"/>
      <c r="J59" s="191"/>
      <c r="K59" s="191"/>
      <c r="L59" s="191"/>
    </row>
    <row r="60" ht="16.5" customHeight="1" spans="1:12">
      <c r="A60" s="186"/>
      <c r="B60" s="186"/>
      <c r="C60" s="193" t="s">
        <v>53</v>
      </c>
      <c r="D60" s="5"/>
      <c r="E60" s="186"/>
      <c r="F60" s="5"/>
      <c r="G60" s="5"/>
      <c r="H60" s="191"/>
      <c r="I60" s="191"/>
      <c r="J60" s="191"/>
      <c r="K60" s="191"/>
      <c r="L60" s="191"/>
    </row>
    <row r="61" ht="16.5" customHeight="1" spans="1:12">
      <c r="A61" s="186"/>
      <c r="B61" s="186"/>
      <c r="C61" s="186"/>
      <c r="D61" s="194" t="s">
        <v>54</v>
      </c>
      <c r="E61" s="186"/>
      <c r="F61" s="5"/>
      <c r="G61" s="5"/>
      <c r="H61" s="190">
        <v>2156.7</v>
      </c>
      <c r="I61" s="190">
        <v>2230</v>
      </c>
      <c r="J61" s="190">
        <v>2063</v>
      </c>
      <c r="K61" s="190">
        <v>2305</v>
      </c>
      <c r="L61" s="190">
        <v>2668</v>
      </c>
    </row>
    <row r="62" ht="16.5" customHeight="1" spans="1:12">
      <c r="A62" s="186"/>
      <c r="B62" s="186"/>
      <c r="C62" s="186"/>
      <c r="D62" s="194" t="s">
        <v>55</v>
      </c>
      <c r="E62" s="186"/>
      <c r="F62" s="5"/>
      <c r="G62" s="5"/>
      <c r="H62" s="190">
        <v>222.1</v>
      </c>
      <c r="I62" s="190">
        <v>255.8</v>
      </c>
      <c r="J62" s="190">
        <v>599</v>
      </c>
      <c r="K62" s="190">
        <v>873</v>
      </c>
      <c r="L62" s="190">
        <v>1157</v>
      </c>
    </row>
    <row r="63" ht="16.5" customHeight="1" spans="1:12">
      <c r="A63" s="186"/>
      <c r="B63" s="186"/>
      <c r="C63" s="186"/>
      <c r="D63" s="194" t="s">
        <v>56</v>
      </c>
      <c r="E63" s="186"/>
      <c r="F63" s="5"/>
      <c r="G63" s="5"/>
      <c r="H63" s="190">
        <v>2373.6</v>
      </c>
      <c r="I63" s="190">
        <v>2434</v>
      </c>
      <c r="J63" s="190">
        <v>3056</v>
      </c>
      <c r="K63" s="190">
        <v>3410</v>
      </c>
      <c r="L63" s="190">
        <v>3609</v>
      </c>
    </row>
    <row r="64" ht="16.5" customHeight="1" spans="1:12">
      <c r="A64" s="186"/>
      <c r="B64" s="186"/>
      <c r="C64" s="186"/>
      <c r="D64" s="194" t="s">
        <v>57</v>
      </c>
      <c r="E64" s="186"/>
      <c r="F64" s="5"/>
      <c r="G64" s="5"/>
      <c r="H64" s="190">
        <v>54.5</v>
      </c>
      <c r="I64" s="190">
        <v>115.1</v>
      </c>
      <c r="J64" s="190">
        <v>1052</v>
      </c>
      <c r="K64" s="190">
        <v>1328</v>
      </c>
      <c r="L64" s="190">
        <v>859</v>
      </c>
    </row>
    <row r="65" ht="16.5" customHeight="1" spans="1:12">
      <c r="A65" s="186"/>
      <c r="B65" s="186"/>
      <c r="C65" s="186"/>
      <c r="D65" s="194" t="s">
        <v>58</v>
      </c>
      <c r="E65" s="186"/>
      <c r="F65" s="5"/>
      <c r="G65" s="5"/>
      <c r="H65" s="190">
        <v>5.8</v>
      </c>
      <c r="I65" s="190">
        <v>768.2</v>
      </c>
      <c r="J65" s="190">
        <v>217</v>
      </c>
      <c r="K65" s="190">
        <v>702</v>
      </c>
      <c r="L65" s="190">
        <v>1118</v>
      </c>
    </row>
    <row r="66" ht="16.5" customHeight="1" spans="1:12">
      <c r="A66" s="186"/>
      <c r="B66" s="186"/>
      <c r="C66" s="186"/>
      <c r="D66" s="194" t="s">
        <v>59</v>
      </c>
      <c r="E66" s="186"/>
      <c r="F66" s="5"/>
      <c r="G66" s="5"/>
      <c r="H66" s="190">
        <v>11.3</v>
      </c>
      <c r="I66" s="190">
        <v>16.3</v>
      </c>
      <c r="J66" s="190">
        <v>10</v>
      </c>
      <c r="K66" s="190">
        <v>22</v>
      </c>
      <c r="L66" s="190">
        <v>1</v>
      </c>
    </row>
    <row r="67" ht="16.5" customHeight="1" spans="1:12">
      <c r="A67" s="186"/>
      <c r="B67" s="186"/>
      <c r="C67" s="186"/>
      <c r="D67" s="194" t="s">
        <v>60</v>
      </c>
      <c r="E67" s="186"/>
      <c r="F67" s="5"/>
      <c r="G67" s="5"/>
      <c r="H67" s="190">
        <v>77.2</v>
      </c>
      <c r="I67" s="190">
        <v>136</v>
      </c>
      <c r="J67" s="190">
        <v>37</v>
      </c>
      <c r="K67" s="190">
        <v>256</v>
      </c>
      <c r="L67" s="190">
        <v>57</v>
      </c>
    </row>
    <row r="68" ht="16.5" customHeight="1" spans="1:12">
      <c r="A68" s="186"/>
      <c r="B68" s="186"/>
      <c r="C68" s="186"/>
      <c r="D68" s="194" t="s">
        <v>61</v>
      </c>
      <c r="E68" s="186"/>
      <c r="F68" s="5"/>
      <c r="G68" s="5"/>
      <c r="H68" s="190">
        <v>262.2</v>
      </c>
      <c r="I68" s="190">
        <v>279.2</v>
      </c>
      <c r="J68" s="190">
        <v>343</v>
      </c>
      <c r="K68" s="190">
        <v>306</v>
      </c>
      <c r="L68" s="190">
        <v>393</v>
      </c>
    </row>
    <row r="69" ht="16.5" customHeight="1" spans="1:12">
      <c r="A69" s="186"/>
      <c r="B69" s="186"/>
      <c r="C69" s="186"/>
      <c r="D69" s="194" t="s">
        <v>62</v>
      </c>
      <c r="E69" s="186"/>
      <c r="F69" s="5"/>
      <c r="G69" s="5"/>
      <c r="H69" s="190"/>
      <c r="I69" s="190"/>
      <c r="J69" s="190"/>
      <c r="K69" s="190"/>
      <c r="L69" s="190">
        <v>701</v>
      </c>
    </row>
    <row r="70" ht="16.5" customHeight="1" spans="1:12">
      <c r="A70" s="186"/>
      <c r="B70" s="186"/>
      <c r="C70" s="186"/>
      <c r="D70" s="193" t="s">
        <v>63</v>
      </c>
      <c r="E70" s="186"/>
      <c r="F70" s="5"/>
      <c r="G70" s="5"/>
      <c r="H70" s="191">
        <v>5163.4</v>
      </c>
      <c r="I70" s="191">
        <v>6234.6</v>
      </c>
      <c r="J70" s="191">
        <v>7377</v>
      </c>
      <c r="K70" s="191">
        <v>9202</v>
      </c>
      <c r="L70" s="191">
        <v>10563</v>
      </c>
    </row>
    <row r="71" ht="16.5" customHeight="1" spans="1:12">
      <c r="A71" s="186"/>
      <c r="B71" s="186"/>
      <c r="C71" s="186"/>
      <c r="D71" s="193" t="s">
        <v>64</v>
      </c>
      <c r="E71" s="186"/>
      <c r="F71" s="5"/>
      <c r="G71" s="5"/>
      <c r="H71" s="191">
        <v>8911.3</v>
      </c>
      <c r="I71" s="191">
        <v>9761.5</v>
      </c>
      <c r="J71" s="191">
        <v>11249</v>
      </c>
      <c r="K71" s="191">
        <v>13248</v>
      </c>
      <c r="L71" s="191">
        <v>14469</v>
      </c>
    </row>
    <row r="72" ht="16.5" customHeight="1" spans="1:12">
      <c r="A72" s="186"/>
      <c r="B72" s="186"/>
      <c r="C72" s="186"/>
      <c r="D72" s="69"/>
      <c r="E72" s="186"/>
      <c r="F72" s="5"/>
      <c r="G72" s="5"/>
      <c r="H72" s="195"/>
      <c r="I72" s="195"/>
      <c r="J72" s="195"/>
      <c r="K72" s="195"/>
      <c r="L72" s="195"/>
    </row>
    <row r="73" ht="16.5" customHeight="1" spans="1:12">
      <c r="A73" s="5"/>
      <c r="B73" s="193" t="s">
        <v>65</v>
      </c>
      <c r="C73" s="5"/>
      <c r="D73" s="5"/>
      <c r="E73" s="186"/>
      <c r="F73" s="5"/>
      <c r="G73" s="5"/>
      <c r="H73" s="196"/>
      <c r="I73" s="196"/>
      <c r="J73" s="196"/>
      <c r="K73" s="196"/>
      <c r="L73" s="196"/>
    </row>
    <row r="74" ht="16.5" customHeight="1" spans="1:12">
      <c r="A74" s="186"/>
      <c r="B74" s="186"/>
      <c r="C74" s="193" t="s">
        <v>66</v>
      </c>
      <c r="D74" s="5"/>
      <c r="E74" s="186"/>
      <c r="F74" s="5"/>
      <c r="G74" s="5"/>
      <c r="H74" s="191"/>
      <c r="I74" s="191"/>
      <c r="J74" s="191"/>
      <c r="K74" s="191"/>
      <c r="L74" s="191"/>
    </row>
    <row r="75" ht="16.5" customHeight="1" spans="1:12">
      <c r="A75" s="186"/>
      <c r="B75" s="186"/>
      <c r="C75" s="186"/>
      <c r="D75" s="194" t="s">
        <v>67</v>
      </c>
      <c r="E75" s="186"/>
      <c r="F75" s="5"/>
      <c r="G75" s="5"/>
      <c r="H75" s="190">
        <v>145.3</v>
      </c>
      <c r="I75" s="190">
        <v>145.5</v>
      </c>
      <c r="J75" s="190">
        <v>145</v>
      </c>
      <c r="K75" s="190">
        <v>145</v>
      </c>
      <c r="L75" s="190">
        <v>145</v>
      </c>
    </row>
    <row r="76" ht="16.5" customHeight="1" spans="1:12">
      <c r="A76" s="186"/>
      <c r="B76" s="186"/>
      <c r="C76" s="186"/>
      <c r="D76" s="194" t="s">
        <v>68</v>
      </c>
      <c r="E76" s="186"/>
      <c r="F76" s="5"/>
      <c r="G76" s="5"/>
      <c r="H76" s="190">
        <v>4808.4</v>
      </c>
      <c r="I76" s="190">
        <v>5854</v>
      </c>
      <c r="J76" s="190">
        <v>6976</v>
      </c>
      <c r="K76" s="190">
        <v>7959</v>
      </c>
      <c r="L76" s="190">
        <v>8808</v>
      </c>
    </row>
    <row r="77" ht="16.5" customHeight="1" spans="1:12">
      <c r="A77" s="186"/>
      <c r="B77" s="186"/>
      <c r="C77" s="186"/>
      <c r="D77" s="194" t="s">
        <v>69</v>
      </c>
      <c r="E77" s="186"/>
      <c r="F77" s="5"/>
      <c r="G77" s="5"/>
      <c r="H77" s="190">
        <v>4953.7</v>
      </c>
      <c r="I77" s="190">
        <v>5999.5</v>
      </c>
      <c r="J77" s="190"/>
      <c r="K77" s="190"/>
      <c r="L77" s="190">
        <v>8953</v>
      </c>
    </row>
    <row r="78" ht="16.5" customHeight="1" spans="1:12">
      <c r="A78" s="186"/>
      <c r="B78" s="186"/>
      <c r="C78" s="186"/>
      <c r="D78" s="194" t="s">
        <v>70</v>
      </c>
      <c r="E78" s="186"/>
      <c r="F78" s="5"/>
      <c r="G78" s="5"/>
      <c r="H78" s="190">
        <v>-78.9</v>
      </c>
      <c r="I78" s="190">
        <v>0</v>
      </c>
      <c r="J78" s="190"/>
      <c r="K78" s="190"/>
      <c r="L78" s="190">
        <v>4</v>
      </c>
    </row>
    <row r="79" ht="16.5" customHeight="1" spans="1:12">
      <c r="A79" s="186"/>
      <c r="B79" s="186"/>
      <c r="C79" s="186"/>
      <c r="D79" s="193" t="s">
        <v>71</v>
      </c>
      <c r="E79" s="186"/>
      <c r="F79" s="5"/>
      <c r="G79" s="5"/>
      <c r="H79" s="191">
        <v>4874.8</v>
      </c>
      <c r="I79" s="191">
        <v>5999.5</v>
      </c>
      <c r="J79" s="191">
        <v>7121</v>
      </c>
      <c r="K79" s="191">
        <v>8104</v>
      </c>
      <c r="L79" s="191">
        <v>8957</v>
      </c>
    </row>
    <row r="80" ht="16.5" customHeight="1" spans="1:12">
      <c r="A80" s="186"/>
      <c r="B80" s="186"/>
      <c r="C80" s="186"/>
      <c r="D80" s="193"/>
      <c r="E80" s="186"/>
      <c r="F80" s="5"/>
      <c r="G80" s="5"/>
      <c r="H80" s="191"/>
      <c r="I80" s="191"/>
      <c r="J80" s="191"/>
      <c r="K80" s="191"/>
      <c r="L80" s="191"/>
    </row>
    <row r="81" ht="16.5" customHeight="1" spans="1:12">
      <c r="A81" s="5"/>
      <c r="B81" s="193" t="s">
        <v>72</v>
      </c>
      <c r="C81" s="186"/>
      <c r="D81" s="5"/>
      <c r="E81" s="186"/>
      <c r="F81" s="5"/>
      <c r="G81" s="5"/>
      <c r="H81" s="191"/>
      <c r="I81" s="191"/>
      <c r="J81" s="191"/>
      <c r="K81" s="191"/>
      <c r="L81" s="191"/>
    </row>
    <row r="82" ht="16.5" customHeight="1" spans="1:12">
      <c r="A82" s="186"/>
      <c r="B82" s="186"/>
      <c r="C82" s="193" t="s">
        <v>73</v>
      </c>
      <c r="D82" s="5"/>
      <c r="E82" s="186"/>
      <c r="F82" s="5"/>
      <c r="G82" s="5"/>
      <c r="H82" s="191"/>
      <c r="I82" s="191"/>
      <c r="J82" s="191"/>
      <c r="K82" s="191"/>
      <c r="L82" s="191"/>
    </row>
    <row r="83" ht="16.5" customHeight="1" spans="1:12">
      <c r="A83" s="186"/>
      <c r="B83" s="186"/>
      <c r="C83" s="186"/>
      <c r="D83" s="194" t="s">
        <v>74</v>
      </c>
      <c r="E83" s="186"/>
      <c r="F83" s="5"/>
      <c r="G83" s="5"/>
      <c r="H83" s="190">
        <v>0.9</v>
      </c>
      <c r="I83" s="190">
        <v>0.3</v>
      </c>
      <c r="J83" s="190">
        <v>0</v>
      </c>
      <c r="K83" s="190"/>
      <c r="L83" s="190"/>
    </row>
    <row r="84" ht="16.5" customHeight="1" spans="1:12">
      <c r="A84" s="186"/>
      <c r="B84" s="186"/>
      <c r="C84" s="186"/>
      <c r="D84" s="194" t="s">
        <v>75</v>
      </c>
      <c r="E84" s="186"/>
      <c r="F84" s="5"/>
      <c r="G84" s="5"/>
      <c r="H84" s="190">
        <v>134.1</v>
      </c>
      <c r="I84" s="190">
        <v>80</v>
      </c>
      <c r="J84" s="190">
        <v>137</v>
      </c>
      <c r="K84" s="190">
        <v>334</v>
      </c>
      <c r="L84" s="190">
        <v>308</v>
      </c>
    </row>
    <row r="85" ht="16.5" customHeight="1" spans="1:12">
      <c r="A85" s="186"/>
      <c r="B85" s="186"/>
      <c r="C85" s="186"/>
      <c r="D85" s="194" t="s">
        <v>76</v>
      </c>
      <c r="E85" s="186"/>
      <c r="F85" s="5"/>
      <c r="G85" s="5"/>
      <c r="H85" s="190">
        <v>48.3</v>
      </c>
      <c r="I85" s="190">
        <v>45.1</v>
      </c>
      <c r="J85" s="190">
        <v>73</v>
      </c>
      <c r="K85" s="190">
        <v>72</v>
      </c>
      <c r="L85" s="190">
        <v>18</v>
      </c>
    </row>
    <row r="86" ht="16.5" customHeight="1" spans="1:12">
      <c r="A86" s="186"/>
      <c r="B86" s="186"/>
      <c r="C86" s="186"/>
      <c r="D86" s="194" t="s">
        <v>77</v>
      </c>
      <c r="E86" s="186"/>
      <c r="F86" s="5"/>
      <c r="G86" s="5"/>
      <c r="H86" s="190">
        <v>14.9</v>
      </c>
      <c r="I86" s="190">
        <v>12.3</v>
      </c>
      <c r="J86" s="190">
        <v>15</v>
      </c>
      <c r="K86" s="190">
        <v>16</v>
      </c>
      <c r="L86" s="190">
        <v>41</v>
      </c>
    </row>
    <row r="87" ht="16.5" customHeight="1" spans="1:12">
      <c r="A87" s="186"/>
      <c r="B87" s="186"/>
      <c r="C87" s="186"/>
      <c r="D87" s="194" t="s">
        <v>78</v>
      </c>
      <c r="E87" s="186"/>
      <c r="F87" s="5"/>
      <c r="G87" s="5"/>
      <c r="H87" s="190">
        <v>0</v>
      </c>
      <c r="I87" s="190"/>
      <c r="J87" s="190"/>
      <c r="K87" s="190"/>
      <c r="L87" s="190"/>
    </row>
    <row r="88" ht="16.5" customHeight="1" spans="1:12">
      <c r="A88" s="186"/>
      <c r="B88" s="186"/>
      <c r="C88" s="186"/>
      <c r="D88" s="193" t="s">
        <v>79</v>
      </c>
      <c r="E88" s="186"/>
      <c r="F88" s="5"/>
      <c r="G88" s="5"/>
      <c r="H88" s="191">
        <v>198.2</v>
      </c>
      <c r="I88" s="191">
        <v>137.7</v>
      </c>
      <c r="J88" s="191">
        <v>225</v>
      </c>
      <c r="K88" s="191">
        <v>422</v>
      </c>
      <c r="L88" s="191">
        <v>367</v>
      </c>
    </row>
    <row r="89" ht="16.5" customHeight="1" spans="1:12">
      <c r="A89" s="186"/>
      <c r="B89" s="186"/>
      <c r="C89" s="186"/>
      <c r="D89" s="193"/>
      <c r="E89" s="186"/>
      <c r="F89" s="5"/>
      <c r="G89" s="5"/>
      <c r="H89" s="191"/>
      <c r="I89" s="191"/>
      <c r="J89" s="191"/>
      <c r="K89" s="191"/>
      <c r="L89" s="191"/>
    </row>
    <row r="90" ht="16.5" customHeight="1" spans="1:12">
      <c r="A90" s="186"/>
      <c r="B90" s="186"/>
      <c r="C90" s="193" t="s">
        <v>80</v>
      </c>
      <c r="D90" s="5"/>
      <c r="E90" s="186"/>
      <c r="F90" s="5"/>
      <c r="G90" s="5"/>
      <c r="H90" s="191"/>
      <c r="I90" s="191"/>
      <c r="J90" s="191"/>
      <c r="K90" s="191"/>
      <c r="L90" s="191"/>
    </row>
    <row r="91" ht="16.5" customHeight="1" spans="1:12">
      <c r="A91" s="186"/>
      <c r="B91" s="186"/>
      <c r="C91" s="186"/>
      <c r="D91" s="194" t="s">
        <v>81</v>
      </c>
      <c r="E91" s="186"/>
      <c r="F91" s="5"/>
      <c r="G91" s="5"/>
      <c r="H91" s="190">
        <v>340.8</v>
      </c>
      <c r="I91" s="190">
        <v>0.8</v>
      </c>
      <c r="J91" s="190">
        <v>25</v>
      </c>
      <c r="K91" s="190">
        <v>0</v>
      </c>
      <c r="L91" s="190">
        <v>6</v>
      </c>
    </row>
    <row r="92" ht="16.5" customHeight="1" spans="1:12">
      <c r="A92" s="186"/>
      <c r="B92" s="186"/>
      <c r="C92" s="186"/>
      <c r="D92" s="194" t="s">
        <v>82</v>
      </c>
      <c r="E92" s="186"/>
      <c r="F92" s="5"/>
      <c r="G92" s="5"/>
      <c r="H92" s="190">
        <v>129.6</v>
      </c>
      <c r="I92" s="190">
        <v>102.2</v>
      </c>
      <c r="J92" s="190">
        <v>103</v>
      </c>
      <c r="K92" s="190">
        <v>146</v>
      </c>
      <c r="L92" s="190">
        <v>99</v>
      </c>
    </row>
    <row r="93" ht="16.5" customHeight="1" spans="1:12">
      <c r="A93" s="186"/>
      <c r="B93" s="186"/>
      <c r="C93" s="186"/>
      <c r="D93" s="194" t="s">
        <v>83</v>
      </c>
      <c r="E93" s="186"/>
      <c r="F93" s="5"/>
      <c r="G93" s="5"/>
      <c r="H93" s="190">
        <v>79.3</v>
      </c>
      <c r="I93" s="190">
        <v>50.3</v>
      </c>
      <c r="J93" s="190">
        <v>70</v>
      </c>
      <c r="K93" s="190">
        <v>75</v>
      </c>
      <c r="L93" s="190">
        <v>142</v>
      </c>
    </row>
    <row r="94" ht="16.5" customHeight="1" spans="1:12">
      <c r="A94" s="186"/>
      <c r="B94" s="186"/>
      <c r="C94" s="186"/>
      <c r="D94" s="194" t="s">
        <v>84</v>
      </c>
      <c r="E94" s="186"/>
      <c r="F94" s="5"/>
      <c r="G94" s="5"/>
      <c r="H94" s="190">
        <v>1502.8</v>
      </c>
      <c r="I94" s="190">
        <v>1732.2</v>
      </c>
      <c r="J94" s="190">
        <v>1884</v>
      </c>
      <c r="K94" s="190">
        <v>2164</v>
      </c>
      <c r="L94" s="190">
        <v>2241</v>
      </c>
    </row>
    <row r="95" ht="16.5" customHeight="1" spans="1:12">
      <c r="A95" s="186"/>
      <c r="B95" s="186"/>
      <c r="C95" s="186"/>
      <c r="D95" s="194" t="s">
        <v>85</v>
      </c>
      <c r="E95" s="186"/>
      <c r="F95" s="5"/>
      <c r="G95" s="5"/>
      <c r="H95" s="190">
        <v>182.3</v>
      </c>
      <c r="I95" s="190">
        <v>284.6</v>
      </c>
      <c r="J95" s="190">
        <v>276</v>
      </c>
      <c r="K95" s="190">
        <v>477</v>
      </c>
      <c r="L95" s="190">
        <v>273</v>
      </c>
    </row>
    <row r="96" ht="16.5" customHeight="1" spans="1:12">
      <c r="A96" s="186"/>
      <c r="B96" s="186"/>
      <c r="C96" s="186"/>
      <c r="D96" s="194" t="s">
        <v>86</v>
      </c>
      <c r="E96" s="186"/>
      <c r="F96" s="5"/>
      <c r="G96" s="5"/>
      <c r="H96" s="190">
        <v>488</v>
      </c>
      <c r="I96" s="190">
        <v>373.1</v>
      </c>
      <c r="J96" s="190">
        <v>368</v>
      </c>
      <c r="K96" s="190">
        <v>375</v>
      </c>
      <c r="L96" s="190">
        <v>500</v>
      </c>
    </row>
    <row r="97" ht="16.5" customHeight="1" spans="1:12">
      <c r="A97" s="186"/>
      <c r="B97" s="186"/>
      <c r="C97" s="186"/>
      <c r="D97" s="194" t="s">
        <v>87</v>
      </c>
      <c r="E97" s="186"/>
      <c r="F97" s="5"/>
      <c r="G97" s="5"/>
      <c r="H97" s="190">
        <v>276.5</v>
      </c>
      <c r="I97" s="190">
        <v>282.9</v>
      </c>
      <c r="J97" s="190">
        <v>332</v>
      </c>
      <c r="K97" s="190">
        <v>380</v>
      </c>
      <c r="L97" s="190">
        <v>571</v>
      </c>
    </row>
    <row r="98" ht="16.5" customHeight="1" spans="1:12">
      <c r="A98" s="186"/>
      <c r="B98" s="186"/>
      <c r="C98" s="186"/>
      <c r="D98" s="194" t="s">
        <v>88</v>
      </c>
      <c r="E98" s="186"/>
      <c r="F98" s="5"/>
      <c r="G98" s="5"/>
      <c r="H98" s="190">
        <v>839</v>
      </c>
      <c r="I98" s="190">
        <v>798.2</v>
      </c>
      <c r="J98" s="190">
        <v>845</v>
      </c>
      <c r="K98" s="190">
        <v>1105</v>
      </c>
      <c r="L98" s="190">
        <v>986</v>
      </c>
    </row>
    <row r="99" ht="16.5" customHeight="1" spans="1:12">
      <c r="A99" s="186"/>
      <c r="B99" s="186"/>
      <c r="C99" s="186"/>
      <c r="D99" s="194" t="s">
        <v>89</v>
      </c>
      <c r="E99" s="186"/>
      <c r="F99" s="5"/>
      <c r="G99" s="5"/>
      <c r="H99" s="190"/>
      <c r="I99" s="190"/>
      <c r="J99" s="190"/>
      <c r="K99" s="190"/>
      <c r="L99" s="190">
        <v>327</v>
      </c>
    </row>
    <row r="100" ht="16.5" customHeight="1" spans="1:12">
      <c r="A100" s="186"/>
      <c r="B100" s="186"/>
      <c r="C100" s="193" t="s">
        <v>90</v>
      </c>
      <c r="D100" s="5"/>
      <c r="E100" s="186"/>
      <c r="F100" s="5"/>
      <c r="G100" s="5"/>
      <c r="H100" s="191">
        <v>3838.3</v>
      </c>
      <c r="I100" s="191">
        <v>3624.3</v>
      </c>
      <c r="J100" s="191">
        <v>3903</v>
      </c>
      <c r="K100" s="191">
        <v>4722</v>
      </c>
      <c r="L100" s="191">
        <v>5145</v>
      </c>
    </row>
    <row r="101" ht="16.5" customHeight="1" spans="1:12">
      <c r="A101" s="186"/>
      <c r="B101" s="186"/>
      <c r="C101" s="186"/>
      <c r="D101" s="193" t="s">
        <v>91</v>
      </c>
      <c r="E101" s="186"/>
      <c r="F101" s="5"/>
      <c r="G101" s="5"/>
      <c r="H101" s="191">
        <v>4036.5</v>
      </c>
      <c r="I101" s="191">
        <v>3762</v>
      </c>
      <c r="J101" s="191">
        <v>4128</v>
      </c>
      <c r="K101" s="191">
        <v>5144</v>
      </c>
      <c r="L101" s="191">
        <v>5512</v>
      </c>
    </row>
    <row r="102" ht="16.5" customHeight="1" spans="1:12">
      <c r="A102" s="186"/>
      <c r="B102" s="186"/>
      <c r="C102" s="186"/>
      <c r="D102" s="193" t="s">
        <v>92</v>
      </c>
      <c r="E102" s="186"/>
      <c r="F102" s="5"/>
      <c r="G102" s="5"/>
      <c r="H102" s="191">
        <v>8911.3</v>
      </c>
      <c r="I102" s="191">
        <v>9761.5</v>
      </c>
      <c r="J102" s="191">
        <v>11249</v>
      </c>
      <c r="K102" s="191">
        <v>13248</v>
      </c>
      <c r="L102" s="191">
        <v>14469</v>
      </c>
    </row>
    <row r="103" ht="16.5" customHeight="1" spans="1:1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6.5" customHeight="1" spans="1:12">
      <c r="A104" s="88" t="s">
        <v>93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6.5" customHeight="1" spans="1:12">
      <c r="A105" s="5"/>
      <c r="B105" s="5"/>
      <c r="C105" s="193" t="s">
        <v>94</v>
      </c>
      <c r="D105" s="186"/>
      <c r="E105" s="186"/>
      <c r="F105" s="186"/>
      <c r="G105" s="5"/>
      <c r="H105" s="5"/>
      <c r="I105" s="5"/>
      <c r="J105" s="5"/>
      <c r="K105" s="5"/>
      <c r="L105" s="5"/>
    </row>
    <row r="106" ht="16.5" customHeight="1" spans="1:12">
      <c r="C106" s="186"/>
      <c r="D106" s="189" t="s">
        <v>95</v>
      </c>
      <c r="E106" s="186"/>
      <c r="F106" s="186"/>
      <c r="G106" s="197"/>
      <c r="H106" s="191">
        <v>1086.6</v>
      </c>
      <c r="I106" s="191">
        <v>1278.6</v>
      </c>
      <c r="J106" s="191">
        <v>1857</v>
      </c>
      <c r="K106" s="191">
        <v>2135</v>
      </c>
      <c r="L106" s="191">
        <v>2219</v>
      </c>
    </row>
    <row r="107" ht="16.5" customHeight="1" spans="1:12">
      <c r="C107" s="186"/>
      <c r="D107" s="189" t="s">
        <v>96</v>
      </c>
      <c r="E107" s="186"/>
      <c r="F107" s="186"/>
      <c r="G107" s="197"/>
      <c r="H107" s="191"/>
      <c r="I107" s="191"/>
      <c r="J107" s="191"/>
      <c r="K107" s="191"/>
      <c r="L107" s="191"/>
    </row>
    <row r="108" ht="16.5" customHeight="1" spans="1:12">
      <c r="C108" s="186"/>
      <c r="D108" s="189" t="s">
        <v>13</v>
      </c>
      <c r="E108" s="186"/>
      <c r="F108" s="186"/>
      <c r="G108" s="197"/>
      <c r="H108" s="190">
        <v>303.8</v>
      </c>
      <c r="I108" s="190">
        <v>282.5</v>
      </c>
      <c r="J108" s="190">
        <v>275</v>
      </c>
      <c r="K108" s="190">
        <v>283</v>
      </c>
      <c r="L108" s="190">
        <v>289</v>
      </c>
    </row>
    <row r="109" ht="16.5" customHeight="1" spans="1:12">
      <c r="C109" s="186"/>
      <c r="D109" s="189" t="s">
        <v>97</v>
      </c>
      <c r="E109" s="186"/>
      <c r="F109" s="186"/>
      <c r="G109" s="197"/>
      <c r="H109" s="190">
        <v>25.5</v>
      </c>
      <c r="I109" s="190">
        <v>23.3</v>
      </c>
      <c r="J109" s="190">
        <v>37</v>
      </c>
      <c r="K109" s="190">
        <v>17</v>
      </c>
      <c r="L109" s="190">
        <v>22</v>
      </c>
    </row>
    <row r="110" ht="16.5" customHeight="1" spans="1:12">
      <c r="C110" s="186"/>
      <c r="D110" s="189" t="s">
        <v>98</v>
      </c>
      <c r="E110" s="186"/>
      <c r="F110" s="186"/>
      <c r="G110" s="197"/>
      <c r="H110" s="190">
        <v>-12.9</v>
      </c>
      <c r="I110" s="190">
        <v>-12</v>
      </c>
      <c r="J110" s="190">
        <v>41</v>
      </c>
      <c r="K110" s="190">
        <v>-9</v>
      </c>
      <c r="L110" s="190">
        <v>33</v>
      </c>
    </row>
    <row r="111" ht="16.5" customHeight="1" spans="1:12">
      <c r="C111" s="186"/>
      <c r="D111" s="189" t="s">
        <v>99</v>
      </c>
      <c r="E111" s="186"/>
      <c r="F111" s="186"/>
      <c r="G111" s="197"/>
      <c r="H111" s="190">
        <v>15.8</v>
      </c>
      <c r="I111" s="190">
        <v>17.3</v>
      </c>
      <c r="J111" s="190"/>
      <c r="K111" s="190"/>
      <c r="L111" s="190"/>
    </row>
    <row r="112" ht="16.5" customHeight="1" spans="1:12">
      <c r="C112" s="186"/>
      <c r="D112" s="189" t="s">
        <v>100</v>
      </c>
      <c r="E112" s="186"/>
      <c r="F112" s="186"/>
      <c r="G112" s="197"/>
      <c r="H112" s="190">
        <v>-0.6</v>
      </c>
      <c r="I112" s="190">
        <v>0</v>
      </c>
      <c r="J112" s="190"/>
      <c r="K112" s="190"/>
      <c r="L112" s="190"/>
    </row>
    <row r="113" ht="16.5" customHeight="1" spans="3:12">
      <c r="C113" s="186"/>
      <c r="D113" s="189" t="s">
        <v>101</v>
      </c>
      <c r="E113" s="186"/>
      <c r="F113" s="186"/>
      <c r="G113" s="197"/>
      <c r="H113" s="190"/>
      <c r="I113" s="190">
        <v>-16.6</v>
      </c>
      <c r="J113" s="190">
        <v>-47</v>
      </c>
      <c r="K113" s="190">
        <v>-32</v>
      </c>
      <c r="L113" s="190">
        <v>-77</v>
      </c>
    </row>
    <row r="114" ht="16.5" customHeight="1" spans="3:12">
      <c r="C114" s="186"/>
      <c r="D114" s="189" t="s">
        <v>102</v>
      </c>
      <c r="E114" s="186"/>
      <c r="F114" s="186"/>
      <c r="G114" s="197"/>
      <c r="H114" s="190"/>
      <c r="I114" s="190">
        <v>-2.5</v>
      </c>
      <c r="J114" s="190">
        <v>-18</v>
      </c>
      <c r="K114" s="190">
        <v>-16</v>
      </c>
      <c r="L114" s="190">
        <v>-31</v>
      </c>
    </row>
    <row r="115" ht="16.5" customHeight="1" spans="3:12">
      <c r="C115" s="186"/>
      <c r="D115" s="189" t="s">
        <v>103</v>
      </c>
      <c r="E115" s="186"/>
      <c r="F115" s="186"/>
      <c r="G115" s="197"/>
      <c r="H115" s="190">
        <v>0.1</v>
      </c>
      <c r="I115" s="190">
        <v>0.7</v>
      </c>
      <c r="J115" s="190">
        <v>3</v>
      </c>
      <c r="K115" s="190">
        <v>-1</v>
      </c>
      <c r="L115" s="190">
        <v>0</v>
      </c>
    </row>
    <row r="116" ht="16.5" customHeight="1" spans="3:12">
      <c r="C116" s="186"/>
      <c r="D116" s="189" t="s">
        <v>17</v>
      </c>
      <c r="E116" s="186"/>
      <c r="F116" s="186"/>
      <c r="G116" s="197"/>
      <c r="H116" s="190">
        <v>88</v>
      </c>
      <c r="I116" s="190">
        <v>103.9</v>
      </c>
      <c r="J116" s="190">
        <v>76</v>
      </c>
      <c r="K116" s="190">
        <v>89</v>
      </c>
      <c r="L116" s="190">
        <v>158</v>
      </c>
    </row>
    <row r="117" ht="16.5" customHeight="1" spans="3:12">
      <c r="C117" s="186"/>
      <c r="D117" s="189" t="s">
        <v>104</v>
      </c>
      <c r="E117" s="186"/>
      <c r="F117" s="186"/>
      <c r="G117" s="197"/>
      <c r="H117" s="190">
        <v>-13.4</v>
      </c>
      <c r="I117" s="190">
        <v>-0.4</v>
      </c>
      <c r="J117" s="190">
        <v>0</v>
      </c>
      <c r="K117" s="190"/>
      <c r="L117" s="190"/>
    </row>
    <row r="118" ht="16.5" customHeight="1" spans="3:12">
      <c r="C118" s="186"/>
      <c r="D118" s="189" t="s">
        <v>105</v>
      </c>
      <c r="E118" s="186"/>
      <c r="F118" s="186"/>
      <c r="G118" s="197"/>
      <c r="H118" s="190">
        <v>-12.3</v>
      </c>
      <c r="I118" s="190">
        <v>-20.3</v>
      </c>
      <c r="J118" s="190">
        <v>-12</v>
      </c>
      <c r="K118" s="190">
        <v>-99</v>
      </c>
      <c r="L118" s="190">
        <v>-22</v>
      </c>
    </row>
    <row r="119" ht="16.5" customHeight="1" spans="3:12">
      <c r="C119" s="186"/>
      <c r="D119" s="189" t="s">
        <v>106</v>
      </c>
      <c r="E119" s="186"/>
      <c r="F119" s="186"/>
      <c r="G119" s="197"/>
      <c r="H119" s="190">
        <v>-6.1</v>
      </c>
      <c r="I119" s="190">
        <v>-32</v>
      </c>
      <c r="J119" s="190">
        <v>-42</v>
      </c>
      <c r="K119" s="190"/>
      <c r="L119" s="190"/>
    </row>
    <row r="120" ht="16.5" customHeight="1" spans="3:12">
      <c r="C120" s="186"/>
      <c r="D120" s="189" t="s">
        <v>107</v>
      </c>
      <c r="E120" s="186"/>
      <c r="F120" s="186"/>
      <c r="G120" s="197"/>
      <c r="H120" s="190"/>
      <c r="I120" s="190"/>
      <c r="J120" s="190"/>
      <c r="K120" s="190">
        <v>-71</v>
      </c>
      <c r="L120" s="190">
        <v>-79</v>
      </c>
    </row>
    <row r="121" ht="16.5" customHeight="1" spans="3:12">
      <c r="C121" s="186"/>
      <c r="D121" s="189" t="s">
        <v>108</v>
      </c>
      <c r="E121" s="186"/>
      <c r="F121" s="186"/>
      <c r="G121" s="197"/>
      <c r="H121" s="190"/>
      <c r="I121" s="190"/>
      <c r="J121" s="190"/>
      <c r="K121" s="190">
        <v>-1</v>
      </c>
      <c r="L121" s="190">
        <v>-1</v>
      </c>
    </row>
    <row r="122" ht="16.5" customHeight="1" spans="3:12">
      <c r="C122" s="186"/>
      <c r="D122" s="189" t="s">
        <v>109</v>
      </c>
      <c r="E122" s="186"/>
      <c r="F122" s="186"/>
      <c r="G122" s="197"/>
      <c r="H122" s="190"/>
      <c r="I122" s="190"/>
      <c r="J122" s="190">
        <v>-88</v>
      </c>
      <c r="K122" s="190">
        <v>-48</v>
      </c>
      <c r="L122" s="190">
        <v>-241</v>
      </c>
    </row>
    <row r="123" ht="16.5" customHeight="1" spans="3:12">
      <c r="C123" s="186"/>
      <c r="D123" s="189" t="s">
        <v>110</v>
      </c>
      <c r="E123" s="186"/>
      <c r="F123" s="186"/>
      <c r="G123" s="197"/>
      <c r="H123" s="190">
        <v>0</v>
      </c>
      <c r="I123" s="190">
        <v>1.4</v>
      </c>
      <c r="J123" s="190">
        <v>1</v>
      </c>
      <c r="K123" s="190">
        <v>7</v>
      </c>
      <c r="L123" s="190">
        <v>7</v>
      </c>
    </row>
    <row r="124" ht="16.5" customHeight="1" spans="3:12">
      <c r="C124" s="186"/>
      <c r="D124" s="189" t="s">
        <v>111</v>
      </c>
      <c r="E124" s="186"/>
      <c r="F124" s="186"/>
      <c r="G124" s="197"/>
      <c r="H124" s="190">
        <v>165.2</v>
      </c>
      <c r="I124" s="190">
        <v>-176.4</v>
      </c>
      <c r="J124" s="190">
        <v>-31</v>
      </c>
      <c r="K124" s="190"/>
      <c r="L124" s="190">
        <v>91</v>
      </c>
    </row>
    <row r="125" ht="16.5" customHeight="1" spans="3:12">
      <c r="C125" s="186"/>
      <c r="D125" s="189" t="s">
        <v>112</v>
      </c>
      <c r="E125" s="186"/>
      <c r="F125" s="186"/>
      <c r="G125" s="197"/>
      <c r="H125" s="190"/>
      <c r="I125" s="190"/>
      <c r="J125" s="190">
        <v>48</v>
      </c>
      <c r="K125" s="190">
        <v>65</v>
      </c>
      <c r="L125" s="190"/>
    </row>
    <row r="126" ht="16.5" customHeight="1" spans="3:12">
      <c r="C126" s="186"/>
      <c r="D126" s="189" t="s">
        <v>113</v>
      </c>
      <c r="E126" s="186"/>
      <c r="F126" s="186"/>
      <c r="G126" s="197"/>
      <c r="H126" s="190"/>
      <c r="I126" s="190"/>
      <c r="J126" s="190">
        <v>0</v>
      </c>
      <c r="K126" s="190"/>
      <c r="L126" s="190"/>
    </row>
    <row r="127" ht="16.5" customHeight="1" spans="3:12">
      <c r="C127" s="186"/>
      <c r="D127" s="189" t="s">
        <v>114</v>
      </c>
      <c r="E127" s="186"/>
      <c r="F127" s="186"/>
      <c r="G127" s="197"/>
      <c r="H127" s="191">
        <v>553.1</v>
      </c>
      <c r="I127" s="191">
        <v>168.9</v>
      </c>
      <c r="J127" s="191">
        <v>243</v>
      </c>
      <c r="K127" s="191">
        <v>184</v>
      </c>
      <c r="L127" s="191">
        <v>149</v>
      </c>
    </row>
    <row r="128" ht="16.5" customHeight="1" spans="3:12">
      <c r="C128" s="186"/>
      <c r="D128" s="189" t="s">
        <v>115</v>
      </c>
      <c r="E128" s="186"/>
      <c r="F128" s="186"/>
      <c r="G128" s="197"/>
      <c r="H128" s="191">
        <v>1639.7</v>
      </c>
      <c r="I128" s="191">
        <v>1447.5</v>
      </c>
      <c r="J128" s="191">
        <v>2100</v>
      </c>
      <c r="K128" s="191">
        <v>2319</v>
      </c>
      <c r="L128" s="191">
        <v>2368</v>
      </c>
    </row>
    <row r="129" ht="16.5" customHeight="1" spans="3:12">
      <c r="C129" s="188" t="s">
        <v>116</v>
      </c>
      <c r="E129" s="186"/>
      <c r="F129" s="186"/>
      <c r="G129" s="197"/>
      <c r="H129" s="191"/>
      <c r="I129" s="191"/>
      <c r="J129" s="191"/>
      <c r="K129" s="191"/>
      <c r="L129" s="191"/>
    </row>
    <row r="130" ht="16.5" customHeight="1" spans="3:12">
      <c r="C130" s="186"/>
      <c r="D130" s="189" t="s">
        <v>117</v>
      </c>
      <c r="E130" s="186"/>
      <c r="F130" s="186"/>
      <c r="G130" s="197"/>
      <c r="H130" s="190">
        <v>-205.1</v>
      </c>
      <c r="I130" s="190">
        <v>-276.2</v>
      </c>
      <c r="J130" s="190">
        <v>-1045</v>
      </c>
      <c r="K130" s="190">
        <v>-321</v>
      </c>
      <c r="L130" s="190">
        <v>-356</v>
      </c>
    </row>
    <row r="131" ht="16.5" customHeight="1" spans="3:12">
      <c r="C131" s="186"/>
      <c r="D131" s="189" t="s">
        <v>118</v>
      </c>
      <c r="E131" s="186"/>
      <c r="F131" s="186"/>
      <c r="G131" s="197"/>
      <c r="H131" s="190">
        <v>184.9</v>
      </c>
      <c r="I131" s="190">
        <v>-96</v>
      </c>
      <c r="J131" s="190">
        <v>154</v>
      </c>
      <c r="K131" s="190">
        <v>-42</v>
      </c>
      <c r="L131" s="190">
        <v>36</v>
      </c>
    </row>
    <row r="132" ht="16.5" customHeight="1" spans="3:12">
      <c r="C132" s="186"/>
      <c r="D132" s="189" t="s">
        <v>119</v>
      </c>
      <c r="E132" s="186"/>
      <c r="F132" s="186"/>
      <c r="G132" s="197"/>
      <c r="H132" s="190">
        <v>-45.5</v>
      </c>
      <c r="I132" s="190">
        <v>-123.3</v>
      </c>
      <c r="J132" s="190">
        <v>-35</v>
      </c>
      <c r="K132" s="190">
        <v>45</v>
      </c>
      <c r="L132" s="190">
        <v>-140</v>
      </c>
    </row>
    <row r="133" ht="16.5" customHeight="1" spans="3:12">
      <c r="C133" s="186"/>
      <c r="D133" s="189" t="s">
        <v>120</v>
      </c>
      <c r="E133" s="186"/>
      <c r="F133" s="186"/>
      <c r="G133" s="197"/>
      <c r="H133" s="190">
        <v>-104.8</v>
      </c>
      <c r="I133" s="190">
        <v>-261.9</v>
      </c>
      <c r="J133" s="190">
        <v>163</v>
      </c>
      <c r="K133" s="190">
        <v>-242</v>
      </c>
      <c r="L133" s="190">
        <v>-359</v>
      </c>
    </row>
    <row r="134" ht="16.5" customHeight="1" spans="3:12">
      <c r="C134" s="186"/>
      <c r="D134" s="189" t="s">
        <v>121</v>
      </c>
      <c r="E134" s="186"/>
      <c r="F134" s="186"/>
      <c r="G134" s="197"/>
      <c r="H134" s="190">
        <v>122.7</v>
      </c>
      <c r="I134" s="190">
        <v>202.7</v>
      </c>
      <c r="J134" s="190">
        <v>132</v>
      </c>
      <c r="K134" s="190">
        <v>250</v>
      </c>
      <c r="L134" s="190">
        <v>223</v>
      </c>
    </row>
    <row r="135" ht="16.5" customHeight="1" spans="3:12">
      <c r="C135" s="186"/>
      <c r="D135" s="189" t="s">
        <v>122</v>
      </c>
      <c r="E135" s="186"/>
      <c r="F135" s="186"/>
      <c r="G135" s="197"/>
      <c r="H135" s="190">
        <v>-10.1</v>
      </c>
      <c r="I135" s="190">
        <v>18.2</v>
      </c>
      <c r="J135" s="190">
        <v>-43</v>
      </c>
      <c r="K135" s="190">
        <v>-145</v>
      </c>
      <c r="L135" s="190">
        <v>-1</v>
      </c>
    </row>
    <row r="136" ht="16.5" customHeight="1" spans="3:12">
      <c r="C136" s="186"/>
      <c r="D136" s="189" t="s">
        <v>123</v>
      </c>
      <c r="E136" s="186"/>
      <c r="F136" s="186"/>
      <c r="G136" s="197"/>
      <c r="H136" s="190">
        <v>-64.7</v>
      </c>
      <c r="I136" s="190">
        <v>111.1</v>
      </c>
      <c r="J136" s="190">
        <v>78</v>
      </c>
      <c r="K136" s="190">
        <v>260</v>
      </c>
      <c r="L136" s="190">
        <v>8</v>
      </c>
    </row>
    <row r="137" ht="16.5" customHeight="1" spans="3:12">
      <c r="C137" s="186"/>
      <c r="D137" s="189" t="s">
        <v>124</v>
      </c>
      <c r="E137" s="186"/>
      <c r="F137" s="186"/>
      <c r="G137" s="197"/>
      <c r="H137" s="190">
        <v>-82.7</v>
      </c>
      <c r="I137" s="190">
        <v>-139.9</v>
      </c>
      <c r="J137" s="190">
        <v>-49</v>
      </c>
      <c r="K137" s="190">
        <v>-14</v>
      </c>
      <c r="L137" s="190">
        <v>10</v>
      </c>
    </row>
    <row r="138" ht="16.5" customHeight="1" spans="3:12">
      <c r="C138" s="188" t="s">
        <v>125</v>
      </c>
      <c r="E138" s="186"/>
      <c r="F138" s="186"/>
      <c r="G138" s="197"/>
      <c r="H138" s="191">
        <v>-205.3</v>
      </c>
      <c r="I138" s="191">
        <v>-565.3</v>
      </c>
      <c r="J138" s="191">
        <v>-645</v>
      </c>
      <c r="K138" s="191">
        <v>-209</v>
      </c>
      <c r="L138" s="191">
        <v>-579</v>
      </c>
    </row>
    <row r="139" ht="16.5" customHeight="1" spans="3:12">
      <c r="C139" s="186"/>
      <c r="D139" s="189" t="s">
        <v>126</v>
      </c>
      <c r="E139" s="186"/>
      <c r="F139" s="186"/>
      <c r="G139" s="197"/>
      <c r="H139" s="191">
        <v>1434.4</v>
      </c>
      <c r="I139" s="191">
        <v>882.2</v>
      </c>
      <c r="J139" s="191">
        <v>1455</v>
      </c>
      <c r="K139" s="191">
        <v>2110</v>
      </c>
      <c r="L139" s="191">
        <v>1789</v>
      </c>
    </row>
    <row r="140" ht="16.5" customHeight="1" spans="3:12">
      <c r="C140" s="186"/>
      <c r="D140" s="189" t="s">
        <v>127</v>
      </c>
      <c r="E140" s="186"/>
      <c r="F140" s="186"/>
      <c r="G140" s="197"/>
      <c r="H140" s="190">
        <v>-457</v>
      </c>
      <c r="I140" s="190">
        <v>-267.5</v>
      </c>
      <c r="J140" s="190">
        <v>-337</v>
      </c>
      <c r="K140" s="190">
        <v>-163</v>
      </c>
      <c r="L140" s="190">
        <v>-334</v>
      </c>
    </row>
    <row r="141" ht="16.5" customHeight="1" spans="3:12">
      <c r="C141" s="186"/>
      <c r="D141" s="189" t="s">
        <v>128</v>
      </c>
      <c r="E141" s="186"/>
      <c r="F141" s="186"/>
      <c r="G141" s="197"/>
      <c r="H141" s="190"/>
      <c r="I141" s="190"/>
      <c r="J141" s="190"/>
      <c r="K141" s="190"/>
      <c r="L141" s="190">
        <v>1455</v>
      </c>
    </row>
    <row r="142" ht="16.5" customHeight="1" spans="3:12">
      <c r="C142" s="186"/>
      <c r="D142" s="189" t="s">
        <v>129</v>
      </c>
      <c r="E142" s="186"/>
      <c r="F142" s="186"/>
      <c r="G142" s="197"/>
      <c r="H142" s="190"/>
      <c r="I142" s="190"/>
      <c r="J142" s="190"/>
      <c r="K142" s="190"/>
      <c r="L142" s="190">
        <v>4</v>
      </c>
    </row>
    <row r="143" ht="16.5" customHeight="1" spans="3:12">
      <c r="C143" s="188" t="s">
        <v>130</v>
      </c>
      <c r="E143" s="186"/>
      <c r="F143" s="186"/>
      <c r="G143" s="197"/>
      <c r="H143" s="191">
        <v>977.4</v>
      </c>
      <c r="I143" s="191">
        <v>614.7</v>
      </c>
      <c r="J143" s="191">
        <v>1118</v>
      </c>
      <c r="K143" s="191">
        <v>1947</v>
      </c>
      <c r="L143" s="191">
        <v>1459</v>
      </c>
    </row>
    <row r="144" ht="16.5" customHeight="1" spans="3:12">
      <c r="C144" s="186"/>
    </row>
    <row r="145" ht="16.5" customHeight="1" spans="3:12">
      <c r="C145" s="186"/>
      <c r="D145" s="69"/>
      <c r="E145" s="186"/>
      <c r="F145" s="186"/>
      <c r="H145" s="195"/>
      <c r="I145" s="195"/>
      <c r="J145" s="195"/>
      <c r="K145" s="195"/>
      <c r="L145" s="195"/>
    </row>
    <row r="146" ht="16.5" customHeight="1" spans="3:12">
      <c r="C146" s="193" t="s">
        <v>131</v>
      </c>
      <c r="E146" s="186"/>
      <c r="F146" s="186"/>
      <c r="G146" s="59"/>
      <c r="H146" s="198"/>
      <c r="I146" s="198"/>
      <c r="J146" s="198"/>
      <c r="K146" s="198"/>
      <c r="L146" s="198"/>
    </row>
    <row r="147" ht="16.5" customHeight="1" spans="3:12">
      <c r="C147" s="186"/>
      <c r="D147" s="194" t="s">
        <v>132</v>
      </c>
      <c r="E147" s="186"/>
      <c r="F147" s="186"/>
      <c r="G147" s="59"/>
      <c r="H147" s="199">
        <v>-134</v>
      </c>
      <c r="I147" s="199">
        <v>-136.6</v>
      </c>
      <c r="J147" s="199">
        <v>-98</v>
      </c>
      <c r="K147" s="199">
        <v>-162</v>
      </c>
      <c r="L147" s="199">
        <v>-181</v>
      </c>
    </row>
    <row r="148" ht="16.5" customHeight="1" spans="3:12">
      <c r="C148" s="186"/>
      <c r="D148" s="194" t="s">
        <v>133</v>
      </c>
      <c r="E148" s="186"/>
      <c r="F148" s="186"/>
      <c r="G148" s="59"/>
      <c r="H148" s="199">
        <v>0</v>
      </c>
      <c r="I148" s="199"/>
      <c r="J148" s="199"/>
      <c r="K148" s="199"/>
      <c r="L148" s="199"/>
    </row>
    <row r="149" ht="16.5" customHeight="1" spans="3:12">
      <c r="C149" s="186"/>
      <c r="D149" s="194" t="s">
        <v>134</v>
      </c>
      <c r="E149" s="186"/>
      <c r="F149" s="186"/>
      <c r="G149" s="59"/>
      <c r="H149" s="199">
        <v>38.4</v>
      </c>
      <c r="I149" s="199">
        <v>26.5</v>
      </c>
      <c r="J149" s="199">
        <v>19</v>
      </c>
      <c r="K149" s="199">
        <v>1</v>
      </c>
      <c r="L149" s="199">
        <v>253</v>
      </c>
    </row>
    <row r="150" ht="16.5" customHeight="1" spans="3:12">
      <c r="C150" s="186"/>
      <c r="D150" s="194" t="s">
        <v>135</v>
      </c>
      <c r="E150" s="186"/>
      <c r="F150" s="186"/>
      <c r="G150" s="59"/>
      <c r="H150" s="199">
        <v>-222.1</v>
      </c>
      <c r="I150" s="199">
        <v>-9529.5</v>
      </c>
      <c r="J150" s="199">
        <v>-1032</v>
      </c>
      <c r="K150" s="199">
        <v>-1391</v>
      </c>
      <c r="L150" s="199">
        <v>-1879</v>
      </c>
    </row>
    <row r="151" ht="16.5" customHeight="1" spans="3:12">
      <c r="C151" s="186"/>
      <c r="D151" s="194" t="s">
        <v>136</v>
      </c>
      <c r="E151" s="186"/>
      <c r="F151" s="186"/>
      <c r="G151" s="59"/>
      <c r="H151" s="199"/>
      <c r="I151" s="199">
        <v>8752.3</v>
      </c>
      <c r="J151" s="199">
        <v>751</v>
      </c>
      <c r="K151" s="199">
        <v>1163</v>
      </c>
      <c r="L151" s="199">
        <v>1701</v>
      </c>
    </row>
    <row r="152" ht="16.5" customHeight="1" spans="3:12">
      <c r="C152" s="186"/>
      <c r="D152" s="194" t="s">
        <v>137</v>
      </c>
      <c r="E152" s="186"/>
      <c r="F152" s="186"/>
      <c r="G152" s="59"/>
      <c r="H152" s="199"/>
      <c r="I152" s="199"/>
      <c r="J152" s="199">
        <v>-427</v>
      </c>
      <c r="K152" s="199">
        <v>-1203</v>
      </c>
      <c r="L152" s="199">
        <v>-1113</v>
      </c>
    </row>
    <row r="153" ht="16.5" customHeight="1" spans="3:12">
      <c r="C153" s="186"/>
      <c r="D153" s="194" t="s">
        <v>138</v>
      </c>
      <c r="E153" s="186"/>
      <c r="F153" s="186"/>
      <c r="G153" s="59"/>
      <c r="H153" s="199"/>
      <c r="I153" s="199"/>
      <c r="J153" s="199">
        <v>980</v>
      </c>
      <c r="K153" s="199">
        <v>466</v>
      </c>
      <c r="L153" s="199">
        <v>790</v>
      </c>
    </row>
    <row r="154" ht="16.5" customHeight="1" spans="3:12">
      <c r="C154" s="186"/>
      <c r="D154" s="194" t="s">
        <v>139</v>
      </c>
      <c r="E154" s="186"/>
      <c r="F154" s="186"/>
      <c r="G154" s="59"/>
      <c r="H154" s="199"/>
      <c r="I154" s="199">
        <v>818</v>
      </c>
      <c r="J154" s="199"/>
      <c r="K154" s="199"/>
      <c r="L154" s="199"/>
    </row>
    <row r="155" ht="16.5" customHeight="1" spans="3:12">
      <c r="C155" s="186"/>
      <c r="D155" s="194" t="s">
        <v>140</v>
      </c>
      <c r="E155" s="186"/>
      <c r="F155" s="186"/>
      <c r="G155" s="59"/>
      <c r="H155" s="199"/>
      <c r="I155" s="199">
        <v>32</v>
      </c>
      <c r="J155" s="199"/>
      <c r="K155" s="199"/>
      <c r="L155" s="199"/>
    </row>
    <row r="156" ht="16.5" customHeight="1" spans="3:12">
      <c r="C156" s="186"/>
      <c r="D156" s="194" t="s">
        <v>141</v>
      </c>
      <c r="E156" s="186"/>
      <c r="F156" s="186"/>
      <c r="G156" s="59"/>
      <c r="H156" s="199">
        <v>0.5</v>
      </c>
      <c r="I156" s="199"/>
      <c r="J156" s="199"/>
      <c r="K156" s="199"/>
      <c r="L156" s="199"/>
    </row>
    <row r="157" ht="16.5" customHeight="1" spans="3:12">
      <c r="C157" s="186"/>
      <c r="D157" s="194" t="s">
        <v>142</v>
      </c>
      <c r="E157" s="186"/>
      <c r="F157" s="186"/>
      <c r="G157" s="59"/>
      <c r="H157" s="199"/>
      <c r="I157" s="199">
        <v>-31.5</v>
      </c>
      <c r="J157" s="199">
        <v>-15</v>
      </c>
      <c r="K157" s="199">
        <v>-13</v>
      </c>
      <c r="L157" s="199">
        <v>-40</v>
      </c>
    </row>
    <row r="158" ht="16.5" customHeight="1" spans="3:12">
      <c r="C158" s="186"/>
      <c r="D158" s="194" t="s">
        <v>143</v>
      </c>
      <c r="E158" s="186"/>
      <c r="F158" s="186"/>
      <c r="G158" s="59"/>
      <c r="H158" s="199">
        <v>-10</v>
      </c>
      <c r="I158" s="199">
        <v>-8</v>
      </c>
      <c r="J158" s="199"/>
      <c r="K158" s="199">
        <v>-18</v>
      </c>
      <c r="L158" s="199"/>
    </row>
    <row r="159" ht="16.5" customHeight="1" spans="3:12">
      <c r="C159" s="186"/>
      <c r="D159" s="194" t="s">
        <v>144</v>
      </c>
      <c r="E159" s="186"/>
      <c r="F159" s="186"/>
      <c r="G159" s="59"/>
      <c r="H159" s="199"/>
      <c r="I159" s="199">
        <v>3.2</v>
      </c>
      <c r="J159" s="199">
        <v>6</v>
      </c>
      <c r="K159" s="199">
        <v>7</v>
      </c>
      <c r="L159" s="199">
        <v>3</v>
      </c>
    </row>
    <row r="160" ht="16.5" customHeight="1" spans="3:12">
      <c r="C160" s="186"/>
      <c r="D160" s="194" t="s">
        <v>145</v>
      </c>
      <c r="E160" s="186"/>
      <c r="F160" s="186"/>
      <c r="G160" s="59"/>
      <c r="H160" s="199">
        <v>6.4</v>
      </c>
      <c r="I160" s="199">
        <v>20.4</v>
      </c>
      <c r="J160" s="199">
        <v>42</v>
      </c>
      <c r="K160" s="199">
        <v>36</v>
      </c>
      <c r="L160" s="199">
        <v>67</v>
      </c>
    </row>
    <row r="161" ht="16.5" customHeight="1" spans="3:12">
      <c r="C161" s="186"/>
      <c r="D161" s="194" t="s">
        <v>146</v>
      </c>
      <c r="E161" s="186"/>
      <c r="F161" s="186"/>
      <c r="G161" s="59"/>
      <c r="H161" s="199">
        <v>8.1</v>
      </c>
      <c r="I161" s="199"/>
      <c r="J161" s="199"/>
      <c r="K161" s="199"/>
      <c r="L161" s="199"/>
    </row>
    <row r="162" ht="16.5" customHeight="1" spans="3:12">
      <c r="C162" s="186"/>
      <c r="D162" s="194" t="s">
        <v>147</v>
      </c>
      <c r="E162" s="186"/>
      <c r="F162" s="186"/>
      <c r="G162" s="59"/>
      <c r="H162" s="199"/>
      <c r="I162" s="199"/>
      <c r="J162" s="199"/>
      <c r="K162" s="199"/>
      <c r="L162" s="199">
        <v>-399</v>
      </c>
    </row>
    <row r="163" ht="16.5" customHeight="1" spans="3:12">
      <c r="C163" s="186"/>
      <c r="D163" s="194" t="s">
        <v>148</v>
      </c>
      <c r="E163" s="186"/>
      <c r="F163" s="186"/>
      <c r="G163" s="59"/>
      <c r="H163" s="199"/>
      <c r="I163" s="199"/>
      <c r="J163" s="199"/>
      <c r="K163" s="199"/>
      <c r="L163" s="199">
        <v>-29</v>
      </c>
    </row>
    <row r="164" ht="16.5" customHeight="1" spans="3:12">
      <c r="C164" s="193" t="s">
        <v>149</v>
      </c>
      <c r="E164" s="186"/>
      <c r="F164" s="186"/>
      <c r="G164" s="59"/>
      <c r="H164" s="200">
        <v>-312.7</v>
      </c>
      <c r="I164" s="200">
        <v>-53.2</v>
      </c>
      <c r="J164" s="200">
        <v>226</v>
      </c>
      <c r="K164" s="200">
        <v>-1114</v>
      </c>
      <c r="L164" s="200">
        <v>-428</v>
      </c>
    </row>
    <row r="165" ht="16.5" customHeight="1" spans="3:12">
      <c r="C165" s="186"/>
      <c r="D165" s="69"/>
      <c r="E165" s="186"/>
      <c r="F165" s="186"/>
      <c r="G165" s="59"/>
      <c r="H165" s="195"/>
      <c r="I165" s="195"/>
      <c r="J165" s="195"/>
      <c r="K165" s="195"/>
      <c r="L165" s="195"/>
    </row>
    <row r="166" ht="16.5" customHeight="1" spans="3:12">
      <c r="C166" s="193" t="s">
        <v>150</v>
      </c>
      <c r="E166" s="186"/>
      <c r="F166" s="186"/>
      <c r="G166" s="59"/>
      <c r="H166" s="198"/>
      <c r="I166" s="198"/>
      <c r="J166" s="198"/>
      <c r="K166" s="198"/>
      <c r="L166" s="198"/>
    </row>
    <row r="167" ht="16.5" customHeight="1" spans="3:12">
      <c r="C167" s="186"/>
      <c r="D167" s="194" t="s">
        <v>151</v>
      </c>
      <c r="E167" s="186"/>
      <c r="F167" s="186"/>
      <c r="G167" s="59"/>
      <c r="H167" s="199">
        <v>0</v>
      </c>
      <c r="I167" s="199"/>
      <c r="J167" s="199"/>
      <c r="K167" s="199"/>
      <c r="L167" s="199"/>
    </row>
    <row r="168" ht="16.5" customHeight="1" spans="3:12">
      <c r="C168" s="186"/>
      <c r="D168" s="194" t="s">
        <v>152</v>
      </c>
      <c r="E168" s="186"/>
      <c r="F168" s="186"/>
      <c r="G168" s="59"/>
      <c r="H168" s="199"/>
      <c r="I168" s="199"/>
      <c r="J168" s="199"/>
      <c r="K168" s="199">
        <v>28</v>
      </c>
      <c r="L168" s="199">
        <v>6</v>
      </c>
    </row>
    <row r="169" ht="16.5" customHeight="1" spans="3:12">
      <c r="C169" s="186"/>
      <c r="D169" s="194" t="s">
        <v>153</v>
      </c>
      <c r="E169" s="186"/>
      <c r="F169" s="186"/>
      <c r="G169" s="59"/>
      <c r="H169" s="199">
        <v>-535.7</v>
      </c>
      <c r="I169" s="199">
        <v>-339.2</v>
      </c>
      <c r="J169" s="199">
        <v>25</v>
      </c>
      <c r="K169" s="199"/>
      <c r="L169" s="199"/>
    </row>
    <row r="170" ht="16.5" customHeight="1" spans="3:12">
      <c r="C170" s="186"/>
      <c r="D170" s="194" t="s">
        <v>154</v>
      </c>
      <c r="E170" s="186"/>
      <c r="F170" s="186"/>
      <c r="G170" s="59"/>
      <c r="H170" s="199"/>
      <c r="I170" s="199"/>
      <c r="J170" s="199"/>
      <c r="K170" s="199">
        <v>-53</v>
      </c>
      <c r="L170" s="199">
        <v>-12</v>
      </c>
    </row>
    <row r="171" ht="16.5" customHeight="1" spans="3:12">
      <c r="C171" s="186"/>
      <c r="D171" s="194" t="s">
        <v>155</v>
      </c>
      <c r="E171" s="186"/>
      <c r="F171" s="186"/>
      <c r="G171" s="59"/>
      <c r="H171" s="199">
        <v>-2</v>
      </c>
      <c r="I171" s="199">
        <v>-1.4</v>
      </c>
      <c r="J171" s="199">
        <v>-1</v>
      </c>
      <c r="K171" s="199">
        <v>0</v>
      </c>
      <c r="L171" s="199"/>
    </row>
    <row r="172" ht="16.5" customHeight="1" spans="3:12">
      <c r="C172" s="186"/>
      <c r="D172" s="194" t="s">
        <v>156</v>
      </c>
      <c r="E172" s="186"/>
      <c r="F172" s="186"/>
      <c r="G172" s="59"/>
      <c r="H172" s="199">
        <v>-38.2</v>
      </c>
      <c r="I172" s="199">
        <v>-20.3</v>
      </c>
      <c r="J172" s="199">
        <v>0</v>
      </c>
      <c r="K172" s="199">
        <v>0</v>
      </c>
      <c r="L172" s="199"/>
    </row>
    <row r="173" ht="16.5" customHeight="1" spans="3:12">
      <c r="C173" s="186"/>
      <c r="D173" s="194" t="s">
        <v>157</v>
      </c>
      <c r="E173" s="186"/>
      <c r="F173" s="186"/>
      <c r="G173" s="59"/>
      <c r="H173" s="199">
        <v>-100.2</v>
      </c>
      <c r="I173" s="199">
        <v>-124</v>
      </c>
      <c r="J173" s="199">
        <v>-126</v>
      </c>
      <c r="K173" s="199">
        <v>-137</v>
      </c>
      <c r="L173" s="199">
        <v>-144</v>
      </c>
    </row>
    <row r="174" ht="16.5" customHeight="1" spans="3:12">
      <c r="C174" s="186"/>
      <c r="D174" s="194" t="s">
        <v>158</v>
      </c>
      <c r="E174" s="186"/>
      <c r="F174" s="186"/>
      <c r="G174" s="59"/>
      <c r="H174" s="199">
        <v>-11.9</v>
      </c>
      <c r="I174" s="199">
        <v>-16</v>
      </c>
      <c r="J174" s="199">
        <v>-21</v>
      </c>
      <c r="K174" s="199">
        <v>-40</v>
      </c>
      <c r="L174" s="199">
        <v>-37</v>
      </c>
    </row>
    <row r="175" ht="16.5" customHeight="1" spans="3:12">
      <c r="C175" s="186"/>
      <c r="D175" s="194" t="s">
        <v>159</v>
      </c>
      <c r="E175" s="186"/>
      <c r="F175" s="186"/>
      <c r="G175" s="59"/>
      <c r="H175" s="199"/>
      <c r="I175" s="199"/>
      <c r="J175" s="199">
        <v>-284</v>
      </c>
      <c r="K175" s="199">
        <v>-355</v>
      </c>
      <c r="L175" s="199">
        <v>-1263</v>
      </c>
    </row>
    <row r="176" ht="16.5" customHeight="1" spans="3:12">
      <c r="C176" s="186"/>
      <c r="D176" s="194" t="s">
        <v>160</v>
      </c>
      <c r="E176" s="186"/>
      <c r="F176" s="186"/>
      <c r="G176" s="59"/>
      <c r="H176" s="199"/>
      <c r="I176" s="199"/>
      <c r="J176" s="199"/>
      <c r="K176" s="199"/>
      <c r="L176" s="199">
        <v>-1450</v>
      </c>
    </row>
    <row r="177" ht="16.5" customHeight="1" spans="3:12">
      <c r="C177" s="186"/>
      <c r="D177" s="194" t="s">
        <v>161</v>
      </c>
      <c r="E177" s="186"/>
      <c r="F177" s="186"/>
      <c r="G177" s="59"/>
      <c r="H177" s="199"/>
      <c r="I177" s="199"/>
      <c r="J177" s="199"/>
      <c r="K177" s="199"/>
      <c r="L177" s="199">
        <v>0</v>
      </c>
    </row>
    <row r="178" ht="16.5" customHeight="1" spans="3:12">
      <c r="C178" s="186"/>
      <c r="D178" s="193" t="s">
        <v>162</v>
      </c>
      <c r="E178" s="186"/>
      <c r="F178" s="186"/>
      <c r="G178" s="59"/>
      <c r="H178" s="200">
        <v>-688</v>
      </c>
      <c r="I178" s="200">
        <v>-500.9</v>
      </c>
      <c r="J178" s="200">
        <v>-407</v>
      </c>
      <c r="K178" s="200">
        <v>-557</v>
      </c>
      <c r="L178" s="200">
        <v>-1450</v>
      </c>
    </row>
    <row r="179" ht="16.5" customHeight="1" spans="3:12">
      <c r="C179" s="186"/>
      <c r="D179" s="69"/>
      <c r="E179" s="186"/>
      <c r="F179" s="186"/>
      <c r="G179" s="59"/>
      <c r="H179" s="195"/>
      <c r="I179" s="195"/>
      <c r="J179" s="195"/>
      <c r="K179" s="195"/>
      <c r="L179" s="195"/>
    </row>
    <row r="180" ht="16.5" customHeight="1" spans="3:12">
      <c r="C180" s="186"/>
      <c r="D180" s="194" t="s">
        <v>163</v>
      </c>
      <c r="E180" s="186"/>
      <c r="F180" s="186"/>
      <c r="G180" s="59"/>
      <c r="H180" s="200">
        <v>-23.3</v>
      </c>
      <c r="I180" s="200">
        <v>60.6</v>
      </c>
      <c r="J180" s="200">
        <v>937</v>
      </c>
      <c r="K180" s="200">
        <v>276</v>
      </c>
      <c r="L180" s="200">
        <v>-419</v>
      </c>
    </row>
    <row r="181" ht="16.5" customHeight="1" spans="3:12">
      <c r="C181" s="186"/>
      <c r="D181" s="194" t="s">
        <v>164</v>
      </c>
      <c r="E181" s="186"/>
      <c r="F181" s="186"/>
      <c r="G181" s="59"/>
      <c r="H181" s="199">
        <v>77.8</v>
      </c>
      <c r="I181" s="199">
        <v>54.5</v>
      </c>
      <c r="J181" s="199">
        <v>115</v>
      </c>
      <c r="K181" s="199">
        <v>1052</v>
      </c>
      <c r="L181" s="199">
        <v>1328</v>
      </c>
    </row>
    <row r="182" ht="16.5" customHeight="1" spans="3:12">
      <c r="C182" s="186"/>
      <c r="D182" s="194" t="s">
        <v>165</v>
      </c>
      <c r="E182" s="186"/>
      <c r="F182" s="186"/>
      <c r="G182" s="59"/>
      <c r="H182" s="199">
        <v>0</v>
      </c>
      <c r="I182" s="199"/>
      <c r="J182" s="199">
        <v>0</v>
      </c>
      <c r="K182" s="199">
        <v>0</v>
      </c>
      <c r="L182" s="199">
        <v>0</v>
      </c>
    </row>
    <row r="183" ht="16.5" customHeight="1" spans="3:12">
      <c r="C183" s="186"/>
      <c r="D183" s="194" t="s">
        <v>166</v>
      </c>
      <c r="E183" s="186"/>
      <c r="F183" s="186"/>
      <c r="G183" s="59"/>
      <c r="H183" s="199"/>
      <c r="I183" s="199"/>
      <c r="J183" s="199"/>
      <c r="K183" s="199"/>
      <c r="L183" s="199">
        <v>-394</v>
      </c>
    </row>
    <row r="184" ht="16.5" customHeight="1" spans="3:12">
      <c r="C184" s="186"/>
      <c r="D184" s="194" t="s">
        <v>167</v>
      </c>
      <c r="E184" s="186"/>
      <c r="F184" s="186"/>
      <c r="G184" s="59"/>
      <c r="H184" s="199"/>
      <c r="I184" s="199"/>
      <c r="J184" s="199"/>
      <c r="K184" s="199"/>
      <c r="L184" s="199">
        <v>-25</v>
      </c>
    </row>
    <row r="185" ht="16.5" customHeight="1" spans="3:12">
      <c r="C185" s="186"/>
      <c r="D185" s="194" t="s">
        <v>168</v>
      </c>
      <c r="E185" s="186"/>
      <c r="F185" s="186"/>
      <c r="G185" s="59"/>
      <c r="H185" s="200">
        <v>54.5</v>
      </c>
      <c r="I185" s="200">
        <v>115.1</v>
      </c>
      <c r="J185" s="200">
        <v>1052</v>
      </c>
      <c r="K185" s="200">
        <v>1328</v>
      </c>
      <c r="L185" s="200">
        <v>909</v>
      </c>
    </row>
    <row r="186" ht="16.5" customHeight="1" spans="3:12">
      <c r="C186" s="186"/>
      <c r="D186" s="194" t="s">
        <v>169</v>
      </c>
      <c r="E186" s="186"/>
      <c r="F186" s="186"/>
      <c r="G186" s="59"/>
      <c r="H186" s="199"/>
      <c r="I186" s="199"/>
      <c r="J186" s="199"/>
      <c r="K186" s="199"/>
      <c r="L186" s="199">
        <v>-50</v>
      </c>
    </row>
    <row r="187" ht="16.5" customHeight="1" spans="3:12">
      <c r="C187" s="186"/>
      <c r="D187" s="194" t="s">
        <v>170</v>
      </c>
      <c r="E187" s="186"/>
      <c r="F187" s="186"/>
      <c r="G187" s="59"/>
      <c r="H187" s="200"/>
      <c r="I187" s="200"/>
      <c r="J187" s="200"/>
      <c r="K187" s="200"/>
      <c r="L187" s="200">
        <v>859</v>
      </c>
    </row>
    <row r="188" ht="16.5" customHeight="1" spans="3:12">
      <c r="D188" s="201"/>
      <c r="G188" s="59"/>
      <c r="H188" s="195"/>
      <c r="I188" s="195"/>
      <c r="J188" s="195"/>
      <c r="K188" s="195"/>
      <c r="L188" s="195"/>
    </row>
    <row r="189" ht="16.5" customHeight="1" spans="3:12">
      <c r="D189" s="202" t="s">
        <v>171</v>
      </c>
      <c r="G189" s="59"/>
      <c r="H189" s="200">
        <v>229.2</v>
      </c>
      <c r="I189" s="200">
        <v>85.8</v>
      </c>
      <c r="J189" s="200">
        <v>184</v>
      </c>
      <c r="K189" s="200">
        <v>394</v>
      </c>
      <c r="L189" s="200">
        <v>75</v>
      </c>
    </row>
    <row r="190" ht="16.5" customHeight="1" spans="3:12">
      <c r="G190" s="59"/>
      <c r="H190" s="59"/>
      <c r="I190" s="59"/>
      <c r="J190" s="59"/>
      <c r="K190" s="59"/>
      <c r="L190" s="5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0"/>
  <sheetViews>
    <sheetView showGridLines="0" tabSelected="1" zoomScale="92" zoomScaleNormal="92" workbookViewId="0">
      <pane xSplit="6" ySplit="2" topLeftCell="G130" activePane="bottomRight" state="frozen"/>
      <selection/>
      <selection pane="topRight"/>
      <selection pane="bottomLeft"/>
      <selection pane="bottomRight" activeCell="O150" sqref="O150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10.7767857142857" style="1" customWidth="1"/>
    <col min="6" max="6" width="11.4910714285714" style="1" customWidth="1"/>
    <col min="7" max="7" width="2.64285714285714" style="1" customWidth="1"/>
    <col min="8" max="12" width="10.3571428571429" style="1" customWidth="1"/>
    <col min="13" max="16" width="10.9285714285714" style="1" customWidth="1"/>
    <col min="17" max="17" width="10.3482142857143" style="1" customWidth="1"/>
  </cols>
  <sheetData>
    <row r="1" ht="33.75" customHeight="1" spans="1:17">
      <c r="A1" s="91" t="s">
        <v>0</v>
      </c>
      <c r="B1" s="92"/>
      <c r="C1" s="92"/>
      <c r="D1" s="92"/>
      <c r="E1" s="92"/>
      <c r="F1" s="92"/>
      <c r="G1" s="92"/>
      <c r="H1" s="116" t="s">
        <v>172</v>
      </c>
      <c r="I1" s="116"/>
      <c r="J1" s="116"/>
      <c r="K1" s="116"/>
      <c r="L1" s="116"/>
      <c r="M1" s="117" t="s">
        <v>173</v>
      </c>
      <c r="N1" s="117"/>
      <c r="O1" s="117"/>
      <c r="P1" s="117"/>
      <c r="Q1" s="117"/>
    </row>
    <row r="2" ht="16.5" customHeight="1" spans="1:17">
      <c r="A2" s="12" t="s">
        <v>174</v>
      </c>
      <c r="B2" s="92"/>
      <c r="C2" s="92"/>
      <c r="D2" s="92"/>
      <c r="E2" s="92"/>
      <c r="F2" s="92"/>
      <c r="G2" s="92"/>
      <c r="H2" s="118">
        <v>2022</v>
      </c>
      <c r="I2" s="118">
        <f t="shared" ref="I2:Q2" si="0">H2+1</f>
        <v>2023</v>
      </c>
      <c r="J2" s="118">
        <f t="shared" si="0"/>
        <v>2024</v>
      </c>
      <c r="K2" s="118">
        <f t="shared" si="0"/>
        <v>2025</v>
      </c>
      <c r="L2" s="118">
        <f t="shared" si="0"/>
        <v>2026</v>
      </c>
      <c r="M2" s="119">
        <f t="shared" si="0"/>
        <v>2027</v>
      </c>
      <c r="N2" s="120">
        <f t="shared" si="0"/>
        <v>2028</v>
      </c>
      <c r="O2" s="120">
        <f t="shared" si="0"/>
        <v>2029</v>
      </c>
      <c r="P2" s="120">
        <f t="shared" si="0"/>
        <v>2030</v>
      </c>
      <c r="Q2" s="120">
        <f t="shared" si="0"/>
        <v>2031</v>
      </c>
    </row>
    <row r="4" ht="16.5" customHeight="1" spans="1:17">
      <c r="A4" s="12" t="s">
        <v>175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ht="20" customHeight="1" outlineLevel="1"/>
    <row r="6" ht="16.5" customHeight="1" outlineLevel="1" spans="1:17">
      <c r="C6" s="5" t="s">
        <v>176</v>
      </c>
      <c r="D6" s="5"/>
      <c r="E6" s="121" t="s">
        <v>177</v>
      </c>
      <c r="H6" s="122">
        <f>IF(E6=Scenarios!D5,1,IF(E6=Scenarios!D6,2,3))</f>
        <v>1</v>
      </c>
    </row>
    <row r="7" ht="16.5" customHeight="1" outlineLevel="1" spans="1:17">
      <c r="C7" s="68"/>
      <c r="D7" s="123" t="s">
        <v>178</v>
      </c>
      <c r="I7" s="124">
        <f>I22/H22-1</f>
        <v>-0.104514226477538</v>
      </c>
      <c r="J7" s="124">
        <f>J22/I22-1</f>
        <v>-0.0646188801886725</v>
      </c>
      <c r="K7" s="124">
        <f>K22/J22-1</f>
        <v>0.0483511415174109</v>
      </c>
      <c r="L7" s="124">
        <f>L22/K22-1</f>
        <v>0.0197976242850857</v>
      </c>
      <c r="M7" s="124">
        <f t="array" ref="M7:Q7">CHOOSE(H6,Scenarios!H5:L5,Scenarios!H6:L6,Scenarios!H7:L7)</f>
        <v>-0.0252460852159285</v>
      </c>
      <c r="N7" s="124">
        <v>-0.0227214766943357</v>
      </c>
      <c r="O7" s="124">
        <v>-0.0204493290249021</v>
      </c>
      <c r="P7" s="124">
        <v>-0.0184043961224119</v>
      </c>
      <c r="Q7" s="124">
        <v>-0.0165639565101707</v>
      </c>
    </row>
    <row r="8" ht="16.5" customHeight="1" outlineLevel="1" spans="1:17">
      <c r="D8" s="5" t="s">
        <v>179</v>
      </c>
      <c r="H8" s="124">
        <f>-H23/H22</f>
        <v>0.17035393956564</v>
      </c>
      <c r="I8" s="124">
        <f>-I23/I22</f>
        <v>0.218012324108228</v>
      </c>
      <c r="J8" s="124">
        <f>-J23/J22</f>
        <v>0.232454454608348</v>
      </c>
      <c r="K8" s="124">
        <f>-K23/K22</f>
        <v>0.234528523243877</v>
      </c>
      <c r="L8" s="124">
        <f>-L23/L22</f>
        <v>0.239933851020995</v>
      </c>
      <c r="M8" s="124">
        <f t="shared" ref="M8:M18" si="1">AVERAGE(H8:L8)</f>
        <v>0.219056618509418</v>
      </c>
      <c r="N8" s="124">
        <f t="shared" ref="N8:N18" si="2">M8</f>
        <v>0.219056618509418</v>
      </c>
      <c r="O8" s="124">
        <f t="shared" ref="O8:O18" si="3">N8</f>
        <v>0.219056618509418</v>
      </c>
      <c r="P8" s="124">
        <f t="shared" ref="P8:P18" si="4">O8</f>
        <v>0.219056618509418</v>
      </c>
      <c r="Q8" s="124">
        <f t="shared" ref="Q8:Q18" si="5">P8</f>
        <v>0.219056618509418</v>
      </c>
    </row>
    <row r="9" ht="16.5" customHeight="1" outlineLevel="1" spans="1:17">
      <c r="D9" s="5" t="s">
        <v>180</v>
      </c>
      <c r="H9" s="124">
        <f>-H25/H22</f>
        <v>0.777875074850781</v>
      </c>
      <c r="I9" s="124">
        <f>-I25/I22</f>
        <v>0.731048268225515</v>
      </c>
      <c r="J9" s="124">
        <f>-J25/J22</f>
        <v>0.69063725113383</v>
      </c>
      <c r="K9" s="124">
        <f>-K25/K22</f>
        <v>0.683238011438627</v>
      </c>
      <c r="L9" s="124">
        <f>-L25/L22</f>
        <v>0.677883232671844</v>
      </c>
      <c r="M9" s="124">
        <f t="shared" si="1"/>
        <v>0.71213636766412</v>
      </c>
      <c r="N9" s="124">
        <f t="shared" si="2"/>
        <v>0.71213636766412</v>
      </c>
      <c r="O9" s="124">
        <f t="shared" si="3"/>
        <v>0.71213636766412</v>
      </c>
      <c r="P9" s="124">
        <f t="shared" si="4"/>
        <v>0.71213636766412</v>
      </c>
      <c r="Q9" s="124">
        <f t="shared" si="5"/>
        <v>0.71213636766412</v>
      </c>
    </row>
    <row r="10" ht="16.5" customHeight="1" outlineLevel="1" spans="1:17">
      <c r="D10" s="5" t="s">
        <v>181</v>
      </c>
      <c r="H10" s="124">
        <f>-H27/(H45+H46)</f>
        <v>0.18203607166397</v>
      </c>
      <c r="I10" s="124">
        <f>-I27/(I45+I46)</f>
        <v>0.19925236281563</v>
      </c>
      <c r="J10" s="124">
        <f>-J27/(J45+J46)</f>
        <v>0.223577235772358</v>
      </c>
      <c r="K10" s="124">
        <f>-K27/(K45+K46)</f>
        <v>0.226219024780176</v>
      </c>
      <c r="L10" s="124">
        <f>-L27/(L45+L46)</f>
        <v>0.293401015228426</v>
      </c>
      <c r="M10" s="124">
        <f t="shared" si="1"/>
        <v>0.224897142052112</v>
      </c>
      <c r="N10" s="124">
        <f t="shared" si="2"/>
        <v>0.224897142052112</v>
      </c>
      <c r="O10" s="124">
        <f t="shared" si="3"/>
        <v>0.224897142052112</v>
      </c>
      <c r="P10" s="124">
        <f t="shared" si="4"/>
        <v>0.224897142052112</v>
      </c>
      <c r="Q10" s="124">
        <f t="shared" si="5"/>
        <v>0.224897142052112</v>
      </c>
    </row>
    <row r="11" ht="16.5" customHeight="1" outlineLevel="1" spans="1:17">
      <c r="D11" s="5" t="s">
        <v>182</v>
      </c>
      <c r="H11" s="124">
        <f>-H29/H58</f>
        <v>0.145358440700363</v>
      </c>
      <c r="I11" s="124">
        <f>-I29/I58</f>
        <v>0.56683033278778</v>
      </c>
      <c r="J11" s="124">
        <f>-J29/J58</f>
        <v>0.286792452830189</v>
      </c>
      <c r="K11" s="124">
        <f>-K29/K58</f>
        <v>0.185416666666667</v>
      </c>
      <c r="L11" s="124">
        <f>-L29/L58</f>
        <v>0.382566585956416</v>
      </c>
      <c r="M11" s="124">
        <f t="shared" si="1"/>
        <v>0.313392895788283</v>
      </c>
      <c r="N11" s="124">
        <f t="shared" si="2"/>
        <v>0.313392895788283</v>
      </c>
      <c r="O11" s="124">
        <f t="shared" si="3"/>
        <v>0.313392895788283</v>
      </c>
      <c r="P11" s="124">
        <f t="shared" si="4"/>
        <v>0.313392895788283</v>
      </c>
      <c r="Q11" s="124">
        <f t="shared" si="5"/>
        <v>0.313392895788283</v>
      </c>
    </row>
    <row r="12" ht="16.5" customHeight="1" outlineLevel="1" spans="1:17">
      <c r="D12" s="5" t="s">
        <v>183</v>
      </c>
      <c r="H12" s="124">
        <f>H30/H22</f>
        <v>-0.00377634264595097</v>
      </c>
      <c r="I12" s="124">
        <f>I30/I22</f>
        <v>0.00884042652631276</v>
      </c>
      <c r="J12" s="124">
        <f>J30/J22</f>
        <v>0.00784072565147206</v>
      </c>
      <c r="K12" s="124">
        <f>K30/K22</f>
        <v>0.00967883853937528</v>
      </c>
      <c r="L12" s="124">
        <f>L30/L22</f>
        <v>0.018622375611159</v>
      </c>
      <c r="M12" s="124">
        <f t="shared" si="1"/>
        <v>0.00824120473647363</v>
      </c>
      <c r="N12" s="124">
        <f t="shared" si="2"/>
        <v>0.00824120473647363</v>
      </c>
      <c r="O12" s="124">
        <f t="shared" si="3"/>
        <v>0.00824120473647363</v>
      </c>
      <c r="P12" s="124">
        <f t="shared" si="4"/>
        <v>0.00824120473647363</v>
      </c>
      <c r="Q12" s="124">
        <f t="shared" si="5"/>
        <v>0.00824120473647363</v>
      </c>
    </row>
    <row r="13" ht="16.5" customHeight="1" outlineLevel="1" spans="1:17">
      <c r="D13" s="5" t="s">
        <v>184</v>
      </c>
      <c r="H13" s="124">
        <f>-H32/H31</f>
        <v>0.251137397634213</v>
      </c>
      <c r="I13" s="124">
        <f>-I32/I31</f>
        <v>0.119711689125665</v>
      </c>
      <c r="J13" s="124">
        <f>-J32/J31</f>
        <v>0.24217907227616</v>
      </c>
      <c r="K13" s="124">
        <f>-K32/K31</f>
        <v>0.259016393442623</v>
      </c>
      <c r="L13" s="124">
        <f>-L32/L31</f>
        <v>0.216376750106067</v>
      </c>
      <c r="M13" s="124">
        <f t="shared" si="1"/>
        <v>0.217684260516946</v>
      </c>
      <c r="N13" s="124">
        <f t="shared" si="2"/>
        <v>0.217684260516946</v>
      </c>
      <c r="O13" s="124">
        <f t="shared" si="3"/>
        <v>0.217684260516946</v>
      </c>
      <c r="P13" s="124">
        <f t="shared" si="4"/>
        <v>0.217684260516946</v>
      </c>
      <c r="Q13" s="124">
        <f t="shared" si="5"/>
        <v>0.217684260516946</v>
      </c>
    </row>
    <row r="14" ht="16.5" customHeight="1" outlineLevel="1" spans="1:17">
      <c r="D14" s="5" t="s">
        <v>185</v>
      </c>
      <c r="H14" s="124">
        <f>-H90/H33</f>
        <v>0</v>
      </c>
      <c r="I14" s="124">
        <f>-I90/I33</f>
        <v>0</v>
      </c>
      <c r="J14" s="124">
        <f>-J90/J33</f>
        <v>0.202135231316726</v>
      </c>
      <c r="K14" s="124">
        <f>-K90/K33</f>
        <v>0.224399494310999</v>
      </c>
      <c r="L14" s="124">
        <f>-L90/L33</f>
        <v>0.683811586356253</v>
      </c>
      <c r="M14" s="124">
        <f t="shared" si="1"/>
        <v>0.222069262396796</v>
      </c>
      <c r="N14" s="124">
        <f t="shared" si="2"/>
        <v>0.222069262396796</v>
      </c>
      <c r="O14" s="124">
        <f t="shared" si="3"/>
        <v>0.222069262396796</v>
      </c>
      <c r="P14" s="124">
        <f t="shared" si="4"/>
        <v>0.222069262396796</v>
      </c>
      <c r="Q14" s="124">
        <f t="shared" si="5"/>
        <v>0.222069262396796</v>
      </c>
    </row>
    <row r="15" ht="16.5" customHeight="1" outlineLevel="1" spans="1:17">
      <c r="D15" s="5" t="s">
        <v>186</v>
      </c>
      <c r="H15" s="125">
        <f>H40/H22*365</f>
        <v>27.8916225073885</v>
      </c>
      <c r="I15" s="125">
        <f>I40/I22*365</f>
        <v>31.9395011396564</v>
      </c>
      <c r="J15" s="125">
        <f>J40/J22*365</f>
        <v>42.8718579445</v>
      </c>
      <c r="K15" s="125">
        <f>K40/K22*365</f>
        <v>45.631690863763</v>
      </c>
      <c r="L15" s="125">
        <f>L40/L22*365</f>
        <v>47.3570966350302</v>
      </c>
      <c r="M15" s="125">
        <f t="shared" si="1"/>
        <v>39.1383538180676</v>
      </c>
      <c r="N15" s="125">
        <f t="shared" si="2"/>
        <v>39.1383538180676</v>
      </c>
      <c r="O15" s="125">
        <f t="shared" si="3"/>
        <v>39.1383538180676</v>
      </c>
      <c r="P15" s="125">
        <f t="shared" si="4"/>
        <v>39.1383538180676</v>
      </c>
      <c r="Q15" s="125">
        <f t="shared" si="5"/>
        <v>39.1383538180676</v>
      </c>
    </row>
    <row r="16" ht="16.5" customHeight="1" outlineLevel="1" spans="1:17">
      <c r="D16" s="5" t="s">
        <v>187</v>
      </c>
      <c r="H16" s="125">
        <f>-H41/H23*365</f>
        <v>148.766039875272</v>
      </c>
      <c r="I16" s="125">
        <f>-I41/I23*365</f>
        <v>134.224369650896</v>
      </c>
      <c r="J16" s="125">
        <f>-J41/J23*365</f>
        <v>124.503141534392</v>
      </c>
      <c r="K16" s="125">
        <f>-K41/K23*365</f>
        <v>131.518680631546</v>
      </c>
      <c r="L16" s="125">
        <f>-L41/L23*365</f>
        <v>145.91249625412</v>
      </c>
      <c r="M16" s="125">
        <f t="shared" si="1"/>
        <v>136.984945589245</v>
      </c>
      <c r="N16" s="125">
        <f t="shared" si="2"/>
        <v>136.984945589245</v>
      </c>
      <c r="O16" s="125">
        <f t="shared" si="3"/>
        <v>136.984945589245</v>
      </c>
      <c r="P16" s="125">
        <f t="shared" si="4"/>
        <v>136.984945589245</v>
      </c>
      <c r="Q16" s="125">
        <f t="shared" si="5"/>
        <v>136.984945589245</v>
      </c>
    </row>
    <row r="17" ht="16.5" customHeight="1" outlineLevel="1" spans="1:17">
      <c r="D17" s="5" t="s">
        <v>188</v>
      </c>
      <c r="H17" s="125">
        <f>-H54/H23*365</f>
        <v>109.130964754795</v>
      </c>
      <c r="I17" s="125">
        <f>-I54/I23*365</f>
        <v>107.289210270279</v>
      </c>
      <c r="J17" s="125">
        <f>-J54/J23*365</f>
        <v>117.924933862434</v>
      </c>
      <c r="K17" s="125">
        <f>-K54/K23*365</f>
        <v>127.752852899797</v>
      </c>
      <c r="L17" s="125">
        <f>-L54/L23*365</f>
        <v>130.325891519329</v>
      </c>
      <c r="M17" s="125">
        <f t="shared" si="1"/>
        <v>118.484770661327</v>
      </c>
      <c r="N17" s="125">
        <f t="shared" si="2"/>
        <v>118.484770661327</v>
      </c>
      <c r="O17" s="125">
        <f t="shared" si="3"/>
        <v>118.484770661327</v>
      </c>
      <c r="P17" s="125">
        <f t="shared" si="4"/>
        <v>118.484770661327</v>
      </c>
      <c r="Q17" s="125">
        <f t="shared" si="5"/>
        <v>118.484770661327</v>
      </c>
    </row>
    <row r="18" ht="16.5" customHeight="1" outlineLevel="1" spans="1:17">
      <c r="D18" s="5" t="s">
        <v>189</v>
      </c>
      <c r="H18" s="126">
        <f>H22/(H45+H46)</f>
        <v>18.6121397327581</v>
      </c>
      <c r="I18" s="126">
        <f>I22/(I45+I46)</f>
        <v>19.6187050359712</v>
      </c>
      <c r="J18" s="126">
        <f>J22/(J45+J46)</f>
        <v>21.1528455284553</v>
      </c>
      <c r="K18" s="126">
        <f>K22/(K45+K46)</f>
        <v>21.8033573141487</v>
      </c>
      <c r="L18" s="126">
        <f>L22/(L45+L46)</f>
        <v>28.2395939086294</v>
      </c>
      <c r="M18" s="126">
        <f t="shared" si="1"/>
        <v>21.8853283039925</v>
      </c>
      <c r="N18" s="126">
        <f t="shared" si="2"/>
        <v>21.8853283039925</v>
      </c>
      <c r="O18" s="126">
        <f t="shared" si="3"/>
        <v>21.8853283039925</v>
      </c>
      <c r="P18" s="126">
        <f t="shared" si="4"/>
        <v>21.8853283039925</v>
      </c>
      <c r="Q18" s="126">
        <f t="shared" si="5"/>
        <v>21.8853283039925</v>
      </c>
    </row>
    <row r="19" ht="16.5" customHeight="1" spans="1:17">
      <c r="D19" s="5"/>
    </row>
    <row r="20" ht="16.5" customHeight="1" spans="1:17">
      <c r="A20" s="12" t="s">
        <v>190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</row>
    <row r="21" ht="16.5" customHeight="1" outlineLevel="1" spans="1:17">
      <c r="B21" s="5"/>
      <c r="C21" s="5"/>
      <c r="D21" s="5"/>
      <c r="E21" s="5"/>
      <c r="F21" s="5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</row>
    <row r="22" ht="16.5" customHeight="1" outlineLevel="1" spans="1:17">
      <c r="B22" s="5"/>
      <c r="C22" s="5" t="s">
        <v>191</v>
      </c>
      <c r="D22" s="5"/>
      <c r="E22" s="5"/>
      <c r="F22" s="5"/>
      <c r="G22" s="127"/>
      <c r="H22" s="127">
        <f>'Historical Data'!H6</f>
        <v>31061.8</v>
      </c>
      <c r="I22" s="127">
        <f>'Historical Data'!I6</f>
        <v>27815.4</v>
      </c>
      <c r="J22" s="127">
        <f>'Historical Data'!J6</f>
        <v>26018</v>
      </c>
      <c r="K22" s="127">
        <f>'Historical Data'!K6</f>
        <v>27276</v>
      </c>
      <c r="L22" s="127">
        <f>'Historical Data'!L6</f>
        <v>27816</v>
      </c>
      <c r="M22" s="128">
        <f>L22*(1+M7)</f>
        <v>27113.7548936337</v>
      </c>
      <c r="N22" s="128">
        <f>M22*(1+N7)</f>
        <v>26497.6903437221</v>
      </c>
      <c r="O22" s="128">
        <f>N22*(1+O7)</f>
        <v>25955.8303554834</v>
      </c>
      <c r="P22" s="128">
        <f>O22*(1+P7)</f>
        <v>25478.1289719349</v>
      </c>
      <c r="Q22" s="128">
        <f>P22*(1+Q7)</f>
        <v>25056.1103516833</v>
      </c>
    </row>
    <row r="23" ht="16.5" customHeight="1" outlineLevel="1" spans="1:17">
      <c r="B23" s="5"/>
      <c r="C23" s="5" t="s">
        <v>192</v>
      </c>
      <c r="D23" s="5"/>
      <c r="E23" s="5"/>
      <c r="F23" s="5"/>
      <c r="G23" s="127"/>
      <c r="H23" s="127">
        <f>-SUM('Historical Data'!H11:H13)</f>
        <v>-5291.5</v>
      </c>
      <c r="I23" s="127">
        <f>-SUM('Historical Data'!I11:I13)</f>
        <v>-6064.1</v>
      </c>
      <c r="J23" s="127">
        <f>-SUM('Historical Data'!J11:J13)</f>
        <v>-6048</v>
      </c>
      <c r="K23" s="127">
        <f>-SUM('Historical Data'!K11:K13)</f>
        <v>-6397</v>
      </c>
      <c r="L23" s="127">
        <f>-SUM('Historical Data'!L11:L13)</f>
        <v>-6674</v>
      </c>
      <c r="M23" s="128">
        <f>-M22*M8</f>
        <v>-5939.44746209259</v>
      </c>
      <c r="N23" s="128">
        <f>-N22*N8</f>
        <v>-5804.49444500542</v>
      </c>
      <c r="O23" s="128">
        <f>-O22*O8</f>
        <v>-5685.79642827629</v>
      </c>
      <c r="P23" s="128">
        <f>-P22*P8</f>
        <v>-5581.1527785389</v>
      </c>
      <c r="Q23" s="128">
        <f>-Q22*Q8</f>
        <v>-5488.70680663856</v>
      </c>
    </row>
    <row r="24" ht="16.5" customHeight="1" outlineLevel="1" spans="1:17">
      <c r="B24" s="5"/>
      <c r="C24" s="123" t="s">
        <v>193</v>
      </c>
      <c r="D24" s="123"/>
      <c r="E24" s="123"/>
      <c r="F24" s="123"/>
      <c r="G24" s="129"/>
      <c r="H24" s="130">
        <f t="shared" ref="H24:Q24" si="6">SUM(H22:H23)</f>
        <v>25770.3</v>
      </c>
      <c r="I24" s="130">
        <f t="shared" si="6"/>
        <v>21751.3</v>
      </c>
      <c r="J24" s="130">
        <f t="shared" si="6"/>
        <v>19970</v>
      </c>
      <c r="K24" s="130">
        <f t="shared" si="6"/>
        <v>20879</v>
      </c>
      <c r="L24" s="130">
        <f t="shared" si="6"/>
        <v>21142</v>
      </c>
      <c r="M24" s="131">
        <f t="shared" si="6"/>
        <v>21174.3074315411</v>
      </c>
      <c r="N24" s="131">
        <f t="shared" si="6"/>
        <v>20693.1958987167</v>
      </c>
      <c r="O24" s="131">
        <f t="shared" si="6"/>
        <v>20270.0339272071</v>
      </c>
      <c r="P24" s="131">
        <f t="shared" si="6"/>
        <v>19896.976193396</v>
      </c>
      <c r="Q24" s="131">
        <f t="shared" si="6"/>
        <v>19567.4035450447</v>
      </c>
    </row>
    <row r="25" ht="16.5" customHeight="1" outlineLevel="1" spans="1:17">
      <c r="B25" s="5"/>
      <c r="C25" s="5" t="s">
        <v>194</v>
      </c>
      <c r="D25" s="5"/>
      <c r="E25" s="5"/>
      <c r="F25" s="5"/>
      <c r="G25" s="127"/>
      <c r="H25" s="127">
        <f>-SUM('Historical Data'!H14:H15,'Historical Data'!H17:H19)</f>
        <v>-24162.2</v>
      </c>
      <c r="I25" s="127">
        <f>-SUM('Historical Data'!I14:I15,'Historical Data'!I17:I19)</f>
        <v>-20334.4</v>
      </c>
      <c r="J25" s="127">
        <f>-SUM('Historical Data'!J14:J15,'Historical Data'!J17:J19)</f>
        <v>-17969</v>
      </c>
      <c r="K25" s="127">
        <f>-SUM('Historical Data'!K14:K15,'Historical Data'!K17:K19)</f>
        <v>-18636</v>
      </c>
      <c r="L25" s="127">
        <f>-SUM('Historical Data'!L14:L15,'Historical Data'!L17:L19)</f>
        <v>-18856</v>
      </c>
      <c r="M25" s="128">
        <f>M22*-M9</f>
        <v>-19308.6909236876</v>
      </c>
      <c r="N25" s="128">
        <f>N22*-N9</f>
        <v>-18869.9689528669</v>
      </c>
      <c r="O25" s="128">
        <f>O22*-O9</f>
        <v>-18484.09074906</v>
      </c>
      <c r="P25" s="128">
        <f>P22*-P9</f>
        <v>-18143.9022209517</v>
      </c>
      <c r="Q25" s="128">
        <f>Q22*-Q9</f>
        <v>-17843.3674136391</v>
      </c>
    </row>
    <row r="26" ht="16.5" customHeight="1" outlineLevel="1" spans="1:17">
      <c r="B26" s="5"/>
      <c r="C26" s="123" t="s">
        <v>195</v>
      </c>
      <c r="D26" s="123"/>
      <c r="E26" s="123"/>
      <c r="F26" s="123"/>
      <c r="G26" s="129"/>
      <c r="H26" s="129">
        <f t="shared" ref="H26:Q26" si="7">SUM(H24:H25)</f>
        <v>1608.1</v>
      </c>
      <c r="I26" s="129">
        <f t="shared" si="7"/>
        <v>1416.90000000001</v>
      </c>
      <c r="J26" s="129">
        <f t="shared" si="7"/>
        <v>2001</v>
      </c>
      <c r="K26" s="129">
        <f t="shared" si="7"/>
        <v>2243</v>
      </c>
      <c r="L26" s="129">
        <f t="shared" si="7"/>
        <v>2286</v>
      </c>
      <c r="M26" s="131">
        <f t="shared" si="7"/>
        <v>1865.61650785356</v>
      </c>
      <c r="N26" s="131">
        <f t="shared" si="7"/>
        <v>1823.2269458498</v>
      </c>
      <c r="O26" s="131">
        <f t="shared" si="7"/>
        <v>1785.94317814704</v>
      </c>
      <c r="P26" s="131">
        <f t="shared" si="7"/>
        <v>1753.07397244431</v>
      </c>
      <c r="Q26" s="131">
        <f t="shared" si="7"/>
        <v>1724.03613140563</v>
      </c>
    </row>
    <row r="27" ht="16.5" customHeight="1" outlineLevel="1" spans="1:17">
      <c r="B27" s="5"/>
      <c r="C27" s="5" t="s">
        <v>196</v>
      </c>
      <c r="D27" s="5"/>
      <c r="E27" s="5"/>
      <c r="F27" s="5"/>
      <c r="G27" s="127"/>
      <c r="H27" s="127">
        <f>-'Historical Data'!H16</f>
        <v>-303.8</v>
      </c>
      <c r="I27" s="127">
        <f>-'Historical Data'!I16</f>
        <v>-282.5</v>
      </c>
      <c r="J27" s="127">
        <f>-'Historical Data'!J16</f>
        <v>-275</v>
      </c>
      <c r="K27" s="127">
        <f>-'Historical Data'!K16</f>
        <v>-283</v>
      </c>
      <c r="L27" s="127">
        <f>-'Historical Data'!L16</f>
        <v>-289</v>
      </c>
      <c r="M27" s="128">
        <f>M110</f>
        <v>-221.52368492133</v>
      </c>
      <c r="N27" s="128">
        <f>N110</f>
        <v>-164.487257996915</v>
      </c>
      <c r="O27" s="128">
        <f>O110</f>
        <v>-121.163765694254</v>
      </c>
      <c r="P27" s="128">
        <f>P110</f>
        <v>-88.3461409655368</v>
      </c>
      <c r="Q27" s="128">
        <f>Q110</f>
        <v>-63.568410354203</v>
      </c>
    </row>
    <row r="28" ht="16.5" customHeight="1" outlineLevel="1" spans="1:17">
      <c r="B28" s="5"/>
      <c r="C28" s="123" t="s">
        <v>197</v>
      </c>
      <c r="D28" s="123"/>
      <c r="E28" s="123"/>
      <c r="F28" s="123"/>
      <c r="G28" s="129"/>
      <c r="H28" s="130">
        <f t="shared" ref="H28:Q28" si="8">SUM(H26:H27)</f>
        <v>1304.3</v>
      </c>
      <c r="I28" s="130">
        <f t="shared" si="8"/>
        <v>1134.40000000001</v>
      </c>
      <c r="J28" s="130">
        <f t="shared" si="8"/>
        <v>1726</v>
      </c>
      <c r="K28" s="130">
        <f t="shared" si="8"/>
        <v>1960</v>
      </c>
      <c r="L28" s="130">
        <f t="shared" si="8"/>
        <v>1997</v>
      </c>
      <c r="M28" s="131">
        <f t="shared" si="8"/>
        <v>1644.09282293223</v>
      </c>
      <c r="N28" s="131">
        <f t="shared" si="8"/>
        <v>1658.73968785288</v>
      </c>
      <c r="O28" s="131">
        <f t="shared" si="8"/>
        <v>1664.77941245279</v>
      </c>
      <c r="P28" s="131">
        <f t="shared" si="8"/>
        <v>1664.72783147877</v>
      </c>
      <c r="Q28" s="131">
        <f t="shared" si="8"/>
        <v>1660.46772105143</v>
      </c>
    </row>
    <row r="29" ht="16.5" customHeight="1" outlineLevel="1" spans="1:17">
      <c r="B29" s="5"/>
      <c r="C29" s="5" t="s">
        <v>198</v>
      </c>
      <c r="D29" s="5"/>
      <c r="E29" s="5"/>
      <c r="F29" s="5"/>
      <c r="G29" s="127"/>
      <c r="H29" s="127">
        <f>-'Historical Data'!H20</f>
        <v>-88</v>
      </c>
      <c r="I29" s="127">
        <f>-'Historical Data'!I20</f>
        <v>-103.9</v>
      </c>
      <c r="J29" s="127">
        <f>-'Historical Data'!J20</f>
        <v>-76</v>
      </c>
      <c r="K29" s="127">
        <f>-'Historical Data'!K20</f>
        <v>-89</v>
      </c>
      <c r="L29" s="127">
        <f>-'Historical Data'!L20</f>
        <v>-158</v>
      </c>
      <c r="M29" s="128">
        <f>M117</f>
        <v>-129.431265960561</v>
      </c>
      <c r="N29" s="128">
        <f>N117</f>
        <v>-62.3657085833613</v>
      </c>
      <c r="O29" s="128">
        <f>O117</f>
        <v>0</v>
      </c>
      <c r="P29" s="128">
        <f>P117</f>
        <v>0</v>
      </c>
      <c r="Q29" s="128">
        <f>Q117</f>
        <v>0</v>
      </c>
    </row>
    <row r="30" ht="16.5" customHeight="1" outlineLevel="1" spans="1:17">
      <c r="B30" s="5"/>
      <c r="C30" s="5" t="s">
        <v>199</v>
      </c>
      <c r="D30" s="5"/>
      <c r="E30" s="5"/>
      <c r="F30" s="5"/>
      <c r="G30" s="127"/>
      <c r="H30" s="127">
        <f>'Historical Data'!H7+'Historical Data'!H26+'Historical Data'!H24+'Historical Data'!H35+'Historical Data'!H37</f>
        <v>-117.3</v>
      </c>
      <c r="I30" s="127">
        <f>'Historical Data'!I7+'Historical Data'!I26+'Historical Data'!I24+'Historical Data'!I35+'Historical Data'!I37</f>
        <v>245.9</v>
      </c>
      <c r="J30" s="127">
        <f>'Historical Data'!J7+'Historical Data'!J26+'Historical Data'!J24+'Historical Data'!J35+'Historical Data'!J37</f>
        <v>204</v>
      </c>
      <c r="K30" s="127">
        <f>'Historical Data'!K7+'Historical Data'!K26+'Historical Data'!K24+'Historical Data'!K35+'Historical Data'!K37</f>
        <v>264</v>
      </c>
      <c r="L30" s="127">
        <f>'Historical Data'!L7+'Historical Data'!L26+'Historical Data'!L24+'Historical Data'!L35+'Historical Data'!L37</f>
        <v>518</v>
      </c>
      <c r="M30" s="128">
        <f>M22*M12</f>
        <v>223.450005252999</v>
      </c>
      <c r="N30" s="128">
        <f>N22*N12</f>
        <v>218.372891166294</v>
      </c>
      <c r="O30" s="128">
        <f>O22*O12</f>
        <v>213.907312064715</v>
      </c>
      <c r="P30" s="128">
        <f>P22*P12</f>
        <v>209.970477159996</v>
      </c>
      <c r="Q30" s="128">
        <f>Q22*Q12</f>
        <v>206.492535307898</v>
      </c>
    </row>
    <row r="31" ht="16.5" customHeight="1" outlineLevel="1" spans="1:17">
      <c r="B31" s="5"/>
      <c r="C31" s="123" t="s">
        <v>200</v>
      </c>
      <c r="D31" s="123"/>
      <c r="E31" s="123"/>
      <c r="F31" s="123"/>
      <c r="G31" s="129"/>
      <c r="H31" s="130">
        <f t="shared" ref="H31:Q31" si="9">SUM(H28:H30)</f>
        <v>1099</v>
      </c>
      <c r="I31" s="130">
        <f t="shared" si="9"/>
        <v>1276.40000000001</v>
      </c>
      <c r="J31" s="130">
        <f t="shared" si="9"/>
        <v>1854</v>
      </c>
      <c r="K31" s="130">
        <f t="shared" si="9"/>
        <v>2135</v>
      </c>
      <c r="L31" s="130">
        <f t="shared" si="9"/>
        <v>2357</v>
      </c>
      <c r="M31" s="131">
        <f t="shared" si="9"/>
        <v>1738.11156222466</v>
      </c>
      <c r="N31" s="131">
        <f t="shared" si="9"/>
        <v>1814.74687043582</v>
      </c>
      <c r="O31" s="131">
        <f t="shared" si="9"/>
        <v>1878.68672451751</v>
      </c>
      <c r="P31" s="131">
        <f t="shared" si="9"/>
        <v>1874.69830863877</v>
      </c>
      <c r="Q31" s="131">
        <f t="shared" si="9"/>
        <v>1866.96025635932</v>
      </c>
    </row>
    <row r="32" ht="16.5" customHeight="1" outlineLevel="1" spans="1:17">
      <c r="B32" s="5"/>
      <c r="C32" s="5" t="s">
        <v>201</v>
      </c>
      <c r="D32" s="5"/>
      <c r="E32" s="5"/>
      <c r="F32" s="5"/>
      <c r="G32" s="127"/>
      <c r="H32" s="127">
        <f>-'Historical Data'!H32</f>
        <v>-276</v>
      </c>
      <c r="I32" s="127">
        <f>-'Historical Data'!I32</f>
        <v>-152.8</v>
      </c>
      <c r="J32" s="127">
        <f>-'Historical Data'!J32</f>
        <v>-449</v>
      </c>
      <c r="K32" s="127">
        <f>-'Historical Data'!K32</f>
        <v>-553</v>
      </c>
      <c r="L32" s="127">
        <f>-'Historical Data'!L32</f>
        <v>-510</v>
      </c>
      <c r="M32" s="128">
        <f>M31*-M13</f>
        <v>-378.35953011883</v>
      </c>
      <c r="N32" s="128">
        <f>N31*-N13</f>
        <v>-395.041830516262</v>
      </c>
      <c r="O32" s="128">
        <f>O31*-O13</f>
        <v>-408.960530369597</v>
      </c>
      <c r="P32" s="128">
        <f>P31*-P13</f>
        <v>-408.0923150084</v>
      </c>
      <c r="Q32" s="128">
        <f>Q31*-Q13</f>
        <v>-406.407862820107</v>
      </c>
    </row>
    <row r="33" ht="16.5" customHeight="1" outlineLevel="1" spans="1:17">
      <c r="B33" s="5"/>
      <c r="C33" s="123" t="s">
        <v>202</v>
      </c>
      <c r="D33" s="123"/>
      <c r="E33" s="123"/>
      <c r="F33" s="123"/>
      <c r="G33" s="129"/>
      <c r="H33" s="130">
        <f t="shared" ref="H33:Q33" si="10">SUM(H31:H32)</f>
        <v>822.999999999999</v>
      </c>
      <c r="I33" s="130">
        <f t="shared" si="10"/>
        <v>1123.60000000001</v>
      </c>
      <c r="J33" s="130">
        <f t="shared" si="10"/>
        <v>1405</v>
      </c>
      <c r="K33" s="130">
        <f t="shared" si="10"/>
        <v>1582</v>
      </c>
      <c r="L33" s="130">
        <f t="shared" si="10"/>
        <v>1847</v>
      </c>
      <c r="M33" s="131">
        <f t="shared" si="10"/>
        <v>1359.75203210583</v>
      </c>
      <c r="N33" s="131">
        <f t="shared" si="10"/>
        <v>1419.70503991955</v>
      </c>
      <c r="O33" s="131">
        <f t="shared" si="10"/>
        <v>1469.72619414791</v>
      </c>
      <c r="P33" s="131">
        <f t="shared" si="10"/>
        <v>1466.60599363037</v>
      </c>
      <c r="Q33" s="131">
        <f t="shared" si="10"/>
        <v>1460.55239353922</v>
      </c>
    </row>
    <row r="34" ht="16.5" customHeight="1" spans="1:17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ht="16.5" customHeight="1" spans="1:17">
      <c r="A35" s="12" t="s">
        <v>34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 ht="17" customHeight="1" outlineLevel="1" spans="1:17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ht="16.5" customHeight="1" outlineLevel="1" spans="1:17">
      <c r="B37" s="132" t="s">
        <v>203</v>
      </c>
      <c r="C37" s="133"/>
      <c r="D37" s="13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ht="16.5" customHeight="1" outlineLevel="1" spans="1:17">
      <c r="B38" s="133"/>
      <c r="C38" s="132" t="s">
        <v>204</v>
      </c>
      <c r="D38" s="133"/>
      <c r="H38" s="5"/>
      <c r="I38" s="5"/>
      <c r="J38" s="5"/>
      <c r="K38" s="5"/>
      <c r="L38" s="5"/>
      <c r="M38" s="5"/>
    </row>
    <row r="39" ht="16.5" customHeight="1" outlineLevel="1" spans="1:17">
      <c r="B39" s="133"/>
      <c r="C39" s="133"/>
      <c r="D39" s="133" t="s">
        <v>205</v>
      </c>
      <c r="H39" s="5">
        <f>'Historical Data'!H64+'Historical Data'!H65</f>
        <v>60.3</v>
      </c>
      <c r="I39" s="5">
        <f>'Historical Data'!I64+'Historical Data'!I65</f>
        <v>883.3</v>
      </c>
      <c r="J39" s="5">
        <f>'Historical Data'!J64+'Historical Data'!J65</f>
        <v>1269</v>
      </c>
      <c r="K39" s="5">
        <f>'Historical Data'!K64+'Historical Data'!K65</f>
        <v>2030</v>
      </c>
      <c r="L39" s="5">
        <f>'Historical Data'!L64+'Historical Data'!L65</f>
        <v>1977</v>
      </c>
      <c r="M39" s="128">
        <f>M96</f>
        <v>3759.99875155412</v>
      </c>
      <c r="N39" s="134">
        <f>N96</f>
        <v>4930.96593625691</v>
      </c>
      <c r="O39" s="134">
        <f>O96</f>
        <v>6284.35295575927</v>
      </c>
      <c r="P39" s="134">
        <f>P96</f>
        <v>7591.971496256</v>
      </c>
      <c r="Q39" s="134">
        <f>Q96</f>
        <v>8860.96971202986</v>
      </c>
    </row>
    <row r="40" ht="16.5" customHeight="1" outlineLevel="1" spans="1:17">
      <c r="B40" s="133"/>
      <c r="C40" s="133"/>
      <c r="D40" s="133" t="s">
        <v>206</v>
      </c>
      <c r="H40" s="135">
        <f>'Historical Data'!H63</f>
        <v>2373.6</v>
      </c>
      <c r="I40" s="135">
        <f>'Historical Data'!I63</f>
        <v>2434</v>
      </c>
      <c r="J40" s="135">
        <f>'Historical Data'!J63</f>
        <v>3056</v>
      </c>
      <c r="K40" s="135">
        <f>'Historical Data'!K63</f>
        <v>3410</v>
      </c>
      <c r="L40" s="135">
        <f>'Historical Data'!L63</f>
        <v>3609</v>
      </c>
      <c r="M40" s="128">
        <f>M22/365*M15</f>
        <v>2907.36365031068</v>
      </c>
      <c r="N40" s="134">
        <f>N22/365*N15</f>
        <v>2841.30405488819</v>
      </c>
      <c r="O40" s="134">
        <f>O22/365*O15</f>
        <v>2783.20129340999</v>
      </c>
      <c r="P40" s="134">
        <f>P22/365*P15</f>
        <v>2731.97815431767</v>
      </c>
      <c r="Q40" s="134">
        <f>Q22/365*Q15</f>
        <v>2686.72578698281</v>
      </c>
    </row>
    <row r="41" ht="16.5" customHeight="1" outlineLevel="1" spans="1:17">
      <c r="B41" s="133"/>
      <c r="C41" s="133"/>
      <c r="D41" s="133" t="s">
        <v>207</v>
      </c>
      <c r="H41" s="135">
        <f>'Historical Data'!H61</f>
        <v>2156.7</v>
      </c>
      <c r="I41" s="135">
        <f>'Historical Data'!I61</f>
        <v>2230</v>
      </c>
      <c r="J41" s="135">
        <f>'Historical Data'!J61</f>
        <v>2063</v>
      </c>
      <c r="K41" s="135">
        <f>'Historical Data'!K61</f>
        <v>2305</v>
      </c>
      <c r="L41" s="135">
        <f>'Historical Data'!L61</f>
        <v>2668</v>
      </c>
      <c r="M41" s="128">
        <f>-M23/365*M16</f>
        <v>2229.08188335598</v>
      </c>
      <c r="N41" s="134">
        <f>-N23/365*N16</f>
        <v>2178.43385129354</v>
      </c>
      <c r="O41" s="134">
        <f>-O23/365*O16</f>
        <v>2133.88634070945</v>
      </c>
      <c r="P41" s="134">
        <f>-P23/365*P16</f>
        <v>2094.61345121483</v>
      </c>
      <c r="Q41" s="134">
        <f>-Q23/365*Q16</f>
        <v>2059.91836510329</v>
      </c>
    </row>
    <row r="42" ht="16.5" customHeight="1" outlineLevel="1" spans="1:17">
      <c r="B42" s="133"/>
      <c r="C42" s="133"/>
      <c r="D42" s="133" t="s">
        <v>208</v>
      </c>
      <c r="H42" s="128">
        <f>SUM('Historical Data'!H62,'Historical Data'!H66:H69)</f>
        <v>572.8</v>
      </c>
      <c r="I42" s="128">
        <f>SUM('Historical Data'!I62,'Historical Data'!I66:I69)</f>
        <v>687.3</v>
      </c>
      <c r="J42" s="128">
        <f>SUM('Historical Data'!J62,'Historical Data'!J66:J69)</f>
        <v>989</v>
      </c>
      <c r="K42" s="128">
        <f>SUM('Historical Data'!K62,'Historical Data'!K66:K69)</f>
        <v>1457</v>
      </c>
      <c r="L42" s="128">
        <f>SUM('Historical Data'!L62,'Historical Data'!L66:L69)</f>
        <v>2309</v>
      </c>
      <c r="M42" s="128">
        <f>L42</f>
        <v>2309</v>
      </c>
      <c r="N42" s="134">
        <f>M42</f>
        <v>2309</v>
      </c>
      <c r="O42" s="134">
        <f>N42</f>
        <v>2309</v>
      </c>
      <c r="P42" s="134">
        <f>O42</f>
        <v>2309</v>
      </c>
      <c r="Q42" s="134">
        <f>P42</f>
        <v>2309</v>
      </c>
    </row>
    <row r="43" ht="16.5" customHeight="1" outlineLevel="1" spans="1:17">
      <c r="B43" s="133"/>
      <c r="C43" s="133"/>
      <c r="D43" s="133"/>
      <c r="H43" s="5"/>
      <c r="I43" s="5"/>
      <c r="J43" s="5"/>
      <c r="K43" s="5"/>
      <c r="L43" s="5"/>
      <c r="M43" s="5"/>
    </row>
    <row r="44" ht="16.5" customHeight="1" outlineLevel="1" spans="1:17">
      <c r="B44" s="133"/>
      <c r="C44" s="132" t="s">
        <v>209</v>
      </c>
      <c r="D44" s="133"/>
      <c r="H44" s="5"/>
      <c r="I44" s="5"/>
      <c r="J44" s="5"/>
      <c r="K44" s="5"/>
      <c r="L44" s="5"/>
      <c r="M44" s="5"/>
    </row>
    <row r="45" ht="16.5" customHeight="1" outlineLevel="1" spans="1:17">
      <c r="B45" s="133"/>
      <c r="C45" s="133"/>
      <c r="D45" s="133" t="s">
        <v>210</v>
      </c>
      <c r="H45" s="5">
        <f>'Historical Data'!H43+'Historical Data'!H45</f>
        <v>1302.9</v>
      </c>
      <c r="I45" s="5">
        <f>'Historical Data'!I43+'Historical Data'!I45</f>
        <v>1045.1</v>
      </c>
      <c r="J45" s="5">
        <f>'Historical Data'!J43+'Historical Data'!J45</f>
        <v>881</v>
      </c>
      <c r="K45" s="5">
        <f>'Historical Data'!K43+'Historical Data'!K45</f>
        <v>922</v>
      </c>
      <c r="L45" s="5">
        <f>'Historical Data'!L43+'Historical Data'!L45</f>
        <v>909</v>
      </c>
      <c r="M45" s="128">
        <f>M111-M46</f>
        <v>655.388831783381</v>
      </c>
      <c r="N45" s="134">
        <f>N111-N46</f>
        <v>462.75191382458</v>
      </c>
      <c r="O45" s="134">
        <f>O111-O46</f>
        <v>316.829095823128</v>
      </c>
      <c r="P45" s="134">
        <f>P111-P46</f>
        <v>206.655483187391</v>
      </c>
      <c r="Q45" s="134">
        <f>Q111-Q46</f>
        <v>123.803897621479</v>
      </c>
    </row>
    <row r="46" ht="16.5" customHeight="1" outlineLevel="1" spans="1:17">
      <c r="B46" s="133"/>
      <c r="C46" s="133"/>
      <c r="D46" s="133" t="s">
        <v>211</v>
      </c>
      <c r="H46" s="5">
        <f>'Historical Data'!H47+'Historical Data'!H48</f>
        <v>366</v>
      </c>
      <c r="I46" s="5">
        <f>'Historical Data'!I47+'Historical Data'!I48</f>
        <v>372.7</v>
      </c>
      <c r="J46" s="5">
        <f>'Historical Data'!J47+'Historical Data'!J48</f>
        <v>349</v>
      </c>
      <c r="K46" s="5">
        <f>'Historical Data'!K47+'Historical Data'!K48</f>
        <v>329</v>
      </c>
      <c r="L46" s="5">
        <f>'Historical Data'!L47+'Historical Data'!L48</f>
        <v>76</v>
      </c>
      <c r="M46" s="128">
        <f>L46</f>
        <v>76</v>
      </c>
      <c r="N46" s="134">
        <f>M46</f>
        <v>76</v>
      </c>
      <c r="O46" s="134">
        <f>N46</f>
        <v>76</v>
      </c>
      <c r="P46" s="134">
        <f>O46</f>
        <v>76</v>
      </c>
      <c r="Q46" s="134">
        <f>P46</f>
        <v>76</v>
      </c>
    </row>
    <row r="47" ht="16.5" customHeight="1" outlineLevel="1" spans="1:17">
      <c r="B47" s="133"/>
      <c r="C47" s="133"/>
      <c r="D47" s="133" t="s">
        <v>40</v>
      </c>
      <c r="H47" s="135">
        <f>'Historical Data'!H46</f>
        <v>21</v>
      </c>
      <c r="I47" s="135">
        <f>'Historical Data'!I46</f>
        <v>1.3</v>
      </c>
      <c r="J47" s="135">
        <f>'Historical Data'!J46</f>
        <v>1</v>
      </c>
      <c r="K47" s="135">
        <f>'Historical Data'!K46</f>
        <v>1</v>
      </c>
      <c r="L47" s="135">
        <f>'Historical Data'!L46</f>
        <v>55</v>
      </c>
      <c r="M47" s="128">
        <f>L47</f>
        <v>55</v>
      </c>
      <c r="N47" s="134">
        <f>M47</f>
        <v>55</v>
      </c>
      <c r="O47" s="134">
        <f>N47</f>
        <v>55</v>
      </c>
      <c r="P47" s="134">
        <f>O47</f>
        <v>55</v>
      </c>
      <c r="Q47" s="134">
        <f>P47</f>
        <v>55</v>
      </c>
    </row>
    <row r="48" ht="16.5" customHeight="1" outlineLevel="1" spans="1:17">
      <c r="B48" s="133"/>
      <c r="C48" s="133"/>
      <c r="D48" s="133" t="s">
        <v>212</v>
      </c>
      <c r="H48" s="5">
        <f>SUM('Historical Data'!H49:H54)</f>
        <v>148.5</v>
      </c>
      <c r="I48" s="5">
        <f>SUM('Historical Data'!I49:I54)</f>
        <v>201.6</v>
      </c>
      <c r="J48" s="5">
        <f>SUM('Historical Data'!J49:J54)</f>
        <v>661</v>
      </c>
      <c r="K48" s="5">
        <f>SUM('Historical Data'!K49:K54)</f>
        <v>849</v>
      </c>
      <c r="L48" s="5">
        <f>SUM('Historical Data'!L49:L54)</f>
        <v>734</v>
      </c>
      <c r="M48" s="128">
        <f>L48</f>
        <v>734</v>
      </c>
      <c r="N48" s="134">
        <f>M48</f>
        <v>734</v>
      </c>
      <c r="O48" s="134">
        <f>N48</f>
        <v>734</v>
      </c>
      <c r="P48" s="134">
        <f>O48</f>
        <v>734</v>
      </c>
      <c r="Q48" s="134">
        <f>P48</f>
        <v>734</v>
      </c>
    </row>
    <row r="49" ht="16.5" customHeight="1" outlineLevel="1" spans="2:17">
      <c r="B49" s="133"/>
      <c r="C49" s="133"/>
      <c r="D49" s="133" t="s">
        <v>213</v>
      </c>
      <c r="H49" s="5">
        <f>SUM('Historical Data'!H55:H57,'Historical Data'!H44)</f>
        <v>1909.5</v>
      </c>
      <c r="I49" s="5">
        <f>SUM('Historical Data'!I55:I57,'Historical Data'!I44)</f>
        <v>1906.2</v>
      </c>
      <c r="J49" s="5">
        <f>SUM('Historical Data'!J55:J57,'Historical Data'!J44)</f>
        <v>1980</v>
      </c>
      <c r="K49" s="5">
        <f>SUM('Historical Data'!K55:K57,'Historical Data'!K44)</f>
        <v>1945</v>
      </c>
      <c r="L49" s="5">
        <f>SUM('Historical Data'!L55:L57,'Historical Data'!L44)</f>
        <v>2132</v>
      </c>
      <c r="M49" s="128">
        <f>L49</f>
        <v>2132</v>
      </c>
      <c r="N49" s="134">
        <f>M49</f>
        <v>2132</v>
      </c>
      <c r="O49" s="134">
        <f>N49</f>
        <v>2132</v>
      </c>
      <c r="P49" s="134">
        <f>O49</f>
        <v>2132</v>
      </c>
      <c r="Q49" s="134">
        <f>P49</f>
        <v>2132</v>
      </c>
    </row>
    <row r="50" ht="16.5" customHeight="1" outlineLevel="1" spans="2:17">
      <c r="B50" s="133"/>
      <c r="C50" s="136"/>
      <c r="D50" s="137" t="s">
        <v>214</v>
      </c>
      <c r="E50" s="68"/>
      <c r="F50" s="68"/>
      <c r="G50" s="68"/>
      <c r="H50" s="68">
        <f t="shared" ref="H50:Q50" si="11">SUM(H39:H49)</f>
        <v>8911.3</v>
      </c>
      <c r="I50" s="68">
        <f t="shared" si="11"/>
        <v>9761.5</v>
      </c>
      <c r="J50" s="68">
        <f t="shared" si="11"/>
        <v>11249</v>
      </c>
      <c r="K50" s="68">
        <f t="shared" si="11"/>
        <v>13248</v>
      </c>
      <c r="L50" s="68">
        <f t="shared" si="11"/>
        <v>14469</v>
      </c>
      <c r="M50" s="131">
        <f t="shared" si="11"/>
        <v>14857.8331170042</v>
      </c>
      <c r="N50" s="131">
        <f t="shared" si="11"/>
        <v>15719.4557562632</v>
      </c>
      <c r="O50" s="131">
        <f t="shared" si="11"/>
        <v>16824.2696857018</v>
      </c>
      <c r="P50" s="131">
        <f t="shared" si="11"/>
        <v>17931.2185849759</v>
      </c>
      <c r="Q50" s="131">
        <f t="shared" si="11"/>
        <v>19037.4177617374</v>
      </c>
    </row>
    <row r="51" ht="16.5" customHeight="1" outlineLevel="1" spans="2:17">
      <c r="B51" s="133"/>
      <c r="C51" s="133"/>
      <c r="D51" s="133"/>
    </row>
    <row r="52" ht="16.5" customHeight="1" outlineLevel="1" spans="2:17">
      <c r="B52" s="132" t="s">
        <v>215</v>
      </c>
      <c r="C52" s="133"/>
      <c r="D52" s="133"/>
    </row>
    <row r="53" ht="16.5" customHeight="1" outlineLevel="1" spans="2:17">
      <c r="B53" s="133"/>
      <c r="C53" s="132" t="s">
        <v>216</v>
      </c>
      <c r="D53" s="133"/>
    </row>
    <row r="54" ht="16.5" customHeight="1" outlineLevel="1" spans="2:17">
      <c r="B54" s="133"/>
      <c r="C54" s="133"/>
      <c r="D54" s="133" t="s">
        <v>217</v>
      </c>
      <c r="H54" s="134">
        <f>SUM('Historical Data'!H93:H94)</f>
        <v>1582.1</v>
      </c>
      <c r="I54" s="134">
        <f>SUM('Historical Data'!I93:I94)</f>
        <v>1782.5</v>
      </c>
      <c r="J54" s="134">
        <f>SUM('Historical Data'!J93:J94)</f>
        <v>1954</v>
      </c>
      <c r="K54" s="134">
        <f>SUM('Historical Data'!K93:K94)</f>
        <v>2239</v>
      </c>
      <c r="L54" s="134">
        <f>SUM('Historical Data'!L93:L94)</f>
        <v>2383</v>
      </c>
      <c r="M54" s="134">
        <f>-M23/365*M17</f>
        <v>1928.03854904395</v>
      </c>
      <c r="N54" s="134">
        <f>-N23/365*N17</f>
        <v>1884.23066608607</v>
      </c>
      <c r="O54" s="134">
        <f>-O23/365*O17</f>
        <v>1845.69941323646</v>
      </c>
      <c r="P54" s="134">
        <f>-P23/365*P17</f>
        <v>1811.73043011235</v>
      </c>
      <c r="Q54" s="134">
        <f>-Q23/365*Q17</f>
        <v>1781.72100605982</v>
      </c>
    </row>
    <row r="55" ht="16.5" customHeight="1" outlineLevel="1" spans="2:17">
      <c r="B55" s="133"/>
      <c r="C55" s="133"/>
      <c r="D55" s="133" t="s">
        <v>218</v>
      </c>
      <c r="H55" s="134">
        <f>SUM('Historical Data'!H95:H99)</f>
        <v>1785.8</v>
      </c>
      <c r="I55" s="134">
        <f>SUM('Historical Data'!I95:I99)</f>
        <v>1738.8</v>
      </c>
      <c r="J55" s="134">
        <f>SUM('Historical Data'!J95:J99)</f>
        <v>1821</v>
      </c>
      <c r="K55" s="134">
        <f>SUM('Historical Data'!K95:K99)</f>
        <v>2337</v>
      </c>
      <c r="L55" s="134">
        <f>SUM('Historical Data'!L95:L99)</f>
        <v>2657</v>
      </c>
      <c r="M55" s="134">
        <f>L55</f>
        <v>2657</v>
      </c>
      <c r="N55" s="134">
        <f>M55</f>
        <v>2657</v>
      </c>
      <c r="O55" s="134">
        <f>N55</f>
        <v>2657</v>
      </c>
      <c r="P55" s="134">
        <f>O55</f>
        <v>2657</v>
      </c>
      <c r="Q55" s="134">
        <f>P55</f>
        <v>2657</v>
      </c>
    </row>
    <row r="56" ht="16.5" customHeight="1" outlineLevel="1" spans="2:17">
      <c r="B56" s="133"/>
      <c r="C56" s="133"/>
      <c r="D56" s="133"/>
    </row>
    <row r="57" ht="16.5" customHeight="1" outlineLevel="1" spans="2:17">
      <c r="B57" s="133"/>
      <c r="C57" s="132" t="s">
        <v>219</v>
      </c>
      <c r="D57" s="133"/>
    </row>
    <row r="58" ht="16.5" customHeight="1" outlineLevel="1" spans="2:17">
      <c r="B58" s="133"/>
      <c r="C58" s="133"/>
      <c r="D58" s="133" t="s">
        <v>220</v>
      </c>
      <c r="H58" s="134">
        <f>SUM('Historical Data'!H83:H84,'Historical Data'!H91:H92)</f>
        <v>605.4</v>
      </c>
      <c r="I58" s="134">
        <f>SUM('Historical Data'!I83:I84,'Historical Data'!I91:I92)</f>
        <v>183.3</v>
      </c>
      <c r="J58" s="134">
        <f>SUM('Historical Data'!J83:J84,'Historical Data'!J91:J92)</f>
        <v>265</v>
      </c>
      <c r="K58" s="134">
        <f>SUM('Historical Data'!K83:K84,'Historical Data'!K91:K92)</f>
        <v>480</v>
      </c>
      <c r="L58" s="134">
        <f>SUM('Historical Data'!L83:L84,'Historical Data'!L91:L92)</f>
        <v>413</v>
      </c>
      <c r="M58" s="134">
        <f>M116</f>
        <v>199.001666666667</v>
      </c>
      <c r="N58" s="134">
        <f>N116</f>
        <v>0</v>
      </c>
      <c r="O58" s="134">
        <f>O116</f>
        <v>0</v>
      </c>
      <c r="P58" s="134">
        <f>P116</f>
        <v>0</v>
      </c>
      <c r="Q58" s="134">
        <f>Q116</f>
        <v>0</v>
      </c>
    </row>
    <row r="59" ht="16.5" customHeight="1" outlineLevel="1" spans="2:17">
      <c r="B59" s="133"/>
      <c r="C59" s="133"/>
      <c r="D59" s="133" t="s">
        <v>221</v>
      </c>
      <c r="H59" s="134">
        <f>SUM('Historical Data'!H85:H87)</f>
        <v>63.2</v>
      </c>
      <c r="I59" s="134">
        <f>SUM('Historical Data'!I85:I87)</f>
        <v>57.4</v>
      </c>
      <c r="J59" s="134">
        <f>SUM('Historical Data'!J85:J87)</f>
        <v>88</v>
      </c>
      <c r="K59" s="134">
        <f>SUM('Historical Data'!K85:K87)</f>
        <v>88</v>
      </c>
      <c r="L59" s="134">
        <f>SUM('Historical Data'!L85:L87)</f>
        <v>59</v>
      </c>
      <c r="M59" s="134">
        <f>L59</f>
        <v>59</v>
      </c>
      <c r="N59" s="134">
        <f>M59</f>
        <v>59</v>
      </c>
      <c r="O59" s="134">
        <f>N59</f>
        <v>59</v>
      </c>
      <c r="P59" s="134">
        <f>O59</f>
        <v>59</v>
      </c>
      <c r="Q59" s="134">
        <f>P59</f>
        <v>59</v>
      </c>
    </row>
    <row r="60" ht="16.5" customHeight="1" outlineLevel="1" spans="2:17">
      <c r="B60" s="133"/>
      <c r="C60" s="136"/>
      <c r="D60" s="137" t="s">
        <v>222</v>
      </c>
      <c r="E60" s="68"/>
      <c r="F60" s="68"/>
      <c r="G60" s="68"/>
      <c r="H60" s="131">
        <f t="shared" ref="H60:Q60" si="12">SUM(H54:H59)</f>
        <v>4036.5</v>
      </c>
      <c r="I60" s="131">
        <f t="shared" si="12"/>
        <v>3762</v>
      </c>
      <c r="J60" s="131">
        <f t="shared" si="12"/>
        <v>4128</v>
      </c>
      <c r="K60" s="131">
        <f t="shared" si="12"/>
        <v>5144</v>
      </c>
      <c r="L60" s="131">
        <f t="shared" si="12"/>
        <v>5512</v>
      </c>
      <c r="M60" s="131">
        <f t="shared" si="12"/>
        <v>4843.04021571062</v>
      </c>
      <c r="N60" s="131">
        <f t="shared" si="12"/>
        <v>4600.23066608607</v>
      </c>
      <c r="O60" s="131">
        <f t="shared" si="12"/>
        <v>4561.69941323646</v>
      </c>
      <c r="P60" s="131">
        <f t="shared" si="12"/>
        <v>4527.73043011235</v>
      </c>
      <c r="Q60" s="131">
        <f t="shared" si="12"/>
        <v>4497.72100605982</v>
      </c>
    </row>
    <row r="61" ht="16.5" customHeight="1" outlineLevel="1" spans="2:17">
      <c r="B61" s="133"/>
      <c r="C61" s="133"/>
      <c r="D61" s="133"/>
    </row>
    <row r="62" ht="16.5" customHeight="1" outlineLevel="1" spans="2:17">
      <c r="B62" s="133"/>
      <c r="C62" s="133"/>
      <c r="D62" s="133" t="s">
        <v>223</v>
      </c>
      <c r="H62" s="134">
        <f>'Historical Data'!H75</f>
        <v>145.3</v>
      </c>
      <c r="I62" s="134">
        <f>'Historical Data'!I75</f>
        <v>145.5</v>
      </c>
      <c r="J62" s="134">
        <f>'Historical Data'!J75</f>
        <v>145</v>
      </c>
      <c r="K62" s="134">
        <f>'Historical Data'!K75</f>
        <v>145</v>
      </c>
      <c r="L62" s="134">
        <f>'Historical Data'!L75</f>
        <v>145</v>
      </c>
      <c r="M62" s="134">
        <f>L62</f>
        <v>145</v>
      </c>
      <c r="N62" s="134">
        <f>M62</f>
        <v>145</v>
      </c>
      <c r="O62" s="134">
        <f>N62</f>
        <v>145</v>
      </c>
      <c r="P62" s="134">
        <f>O62</f>
        <v>145</v>
      </c>
      <c r="Q62" s="134">
        <f>P62</f>
        <v>145</v>
      </c>
    </row>
    <row r="63" ht="16.5" customHeight="1" outlineLevel="1" spans="2:17">
      <c r="B63" s="133"/>
      <c r="C63" s="133"/>
      <c r="D63" s="133" t="s">
        <v>224</v>
      </c>
      <c r="H63" s="134">
        <f>'Historical Data'!H76</f>
        <v>4808.4</v>
      </c>
      <c r="I63" s="134">
        <f>'Historical Data'!I76</f>
        <v>5854</v>
      </c>
      <c r="J63" s="134">
        <f>'Historical Data'!J76</f>
        <v>6976</v>
      </c>
      <c r="K63" s="134">
        <f>'Historical Data'!K76</f>
        <v>7959</v>
      </c>
      <c r="L63" s="134">
        <f>'Historical Data'!L76</f>
        <v>8808</v>
      </c>
      <c r="M63" s="134">
        <f>L63+M33+M90</f>
        <v>9865.79290129355</v>
      </c>
      <c r="N63" s="134">
        <f>M63+N33+N90</f>
        <v>10970.2250901772</v>
      </c>
      <c r="O63" s="134">
        <f>N63+O33+O90</f>
        <v>12113.5702724654</v>
      </c>
      <c r="P63" s="134">
        <f>O63+P33+P90</f>
        <v>13254.4881548635</v>
      </c>
      <c r="Q63" s="134">
        <f>P63+Q33+Q90</f>
        <v>14390.6967556776</v>
      </c>
    </row>
    <row r="64" ht="16.5" customHeight="1" outlineLevel="1" spans="2:17">
      <c r="B64" s="133"/>
      <c r="C64" s="136"/>
      <c r="D64" s="137" t="s">
        <v>225</v>
      </c>
      <c r="E64" s="68"/>
      <c r="F64" s="68"/>
      <c r="G64" s="68"/>
      <c r="H64" s="131">
        <f t="shared" ref="H64:Q64" si="13">H62+H63</f>
        <v>4953.7</v>
      </c>
      <c r="I64" s="131">
        <f t="shared" si="13"/>
        <v>5999.5</v>
      </c>
      <c r="J64" s="131">
        <f t="shared" si="13"/>
        <v>7121</v>
      </c>
      <c r="K64" s="131">
        <f t="shared" si="13"/>
        <v>8104</v>
      </c>
      <c r="L64" s="131">
        <f t="shared" si="13"/>
        <v>8953</v>
      </c>
      <c r="M64" s="131">
        <f t="shared" si="13"/>
        <v>10010.7929012935</v>
      </c>
      <c r="N64" s="131">
        <f t="shared" si="13"/>
        <v>11115.2250901772</v>
      </c>
      <c r="O64" s="131">
        <f t="shared" si="13"/>
        <v>12258.5702724654</v>
      </c>
      <c r="P64" s="131">
        <f t="shared" si="13"/>
        <v>13399.4881548635</v>
      </c>
      <c r="Q64" s="131">
        <f t="shared" si="13"/>
        <v>14535.6967556776</v>
      </c>
    </row>
    <row r="65" ht="16.5" customHeight="1" outlineLevel="1" spans="1:17">
      <c r="B65" s="133"/>
      <c r="C65" s="133"/>
      <c r="D65" s="133" t="s">
        <v>226</v>
      </c>
      <c r="H65" s="134">
        <f>'Historical Data'!H78</f>
        <v>-78.9</v>
      </c>
      <c r="I65" s="134">
        <f>'Historical Data'!I78</f>
        <v>0</v>
      </c>
      <c r="J65" s="134">
        <f>'Historical Data'!J78</f>
        <v>0</v>
      </c>
      <c r="K65" s="134">
        <f>'Historical Data'!K78</f>
        <v>0</v>
      </c>
      <c r="L65" s="134">
        <f>'Historical Data'!L78</f>
        <v>4</v>
      </c>
      <c r="M65" s="134">
        <f>L65</f>
        <v>4</v>
      </c>
      <c r="N65" s="134">
        <f>M65</f>
        <v>4</v>
      </c>
      <c r="O65" s="134">
        <f>N65</f>
        <v>4</v>
      </c>
      <c r="P65" s="134">
        <f>O65</f>
        <v>4</v>
      </c>
      <c r="Q65" s="134">
        <f>P65</f>
        <v>4</v>
      </c>
    </row>
    <row r="66" ht="16.5" customHeight="1" outlineLevel="1" spans="1:17">
      <c r="B66" s="133"/>
      <c r="C66" s="136"/>
      <c r="D66" s="137" t="s">
        <v>227</v>
      </c>
      <c r="E66" s="68"/>
      <c r="F66" s="68"/>
      <c r="G66" s="68"/>
      <c r="H66" s="131">
        <f t="shared" ref="H66:Q66" si="14">SUM(H60,H64:H65)</f>
        <v>8911.3</v>
      </c>
      <c r="I66" s="131">
        <f t="shared" si="14"/>
        <v>9761.5</v>
      </c>
      <c r="J66" s="131">
        <f t="shared" si="14"/>
        <v>11249</v>
      </c>
      <c r="K66" s="131">
        <f t="shared" si="14"/>
        <v>13248</v>
      </c>
      <c r="L66" s="131">
        <f t="shared" si="14"/>
        <v>14469</v>
      </c>
      <c r="M66" s="131">
        <f t="shared" si="14"/>
        <v>14857.8331170042</v>
      </c>
      <c r="N66" s="131">
        <f t="shared" si="14"/>
        <v>15719.4557562632</v>
      </c>
      <c r="O66" s="131">
        <f t="shared" si="14"/>
        <v>16824.2696857018</v>
      </c>
      <c r="P66" s="131">
        <f t="shared" si="14"/>
        <v>17931.2185849759</v>
      </c>
      <c r="Q66" s="131">
        <f t="shared" si="14"/>
        <v>19037.4177617374</v>
      </c>
    </row>
    <row r="67" ht="16.5" customHeight="1" outlineLevel="1" spans="1:17">
      <c r="B67" s="133"/>
      <c r="C67" s="133"/>
      <c r="D67" s="132"/>
    </row>
    <row r="68" ht="16.5" customHeight="1" outlineLevel="1" spans="1:17">
      <c r="B68" s="133"/>
      <c r="C68" s="133"/>
      <c r="D68" s="138" t="s">
        <v>228</v>
      </c>
      <c r="E68" s="139"/>
      <c r="F68" s="139"/>
      <c r="G68" s="140"/>
      <c r="H68" s="141" t="str">
        <f t="shared" ref="H68:Q68" si="15">IF(H50=H66,"TALLIED","ERROR")</f>
        <v>TALLIED</v>
      </c>
      <c r="I68" s="141" t="str">
        <f t="shared" si="15"/>
        <v>TALLIED</v>
      </c>
      <c r="J68" s="141" t="str">
        <f t="shared" si="15"/>
        <v>TALLIED</v>
      </c>
      <c r="K68" s="141" t="str">
        <f t="shared" si="15"/>
        <v>TALLIED</v>
      </c>
      <c r="L68" s="141" t="str">
        <f t="shared" si="15"/>
        <v>TALLIED</v>
      </c>
      <c r="M68" s="141" t="str">
        <f t="shared" si="15"/>
        <v>TALLIED</v>
      </c>
      <c r="N68" s="141" t="str">
        <f t="shared" si="15"/>
        <v>TALLIED</v>
      </c>
      <c r="O68" s="141" t="str">
        <f t="shared" si="15"/>
        <v>TALLIED</v>
      </c>
      <c r="P68" s="141" t="str">
        <f t="shared" si="15"/>
        <v>TALLIED</v>
      </c>
      <c r="Q68" s="141" t="str">
        <f t="shared" si="15"/>
        <v>TALLIED</v>
      </c>
    </row>
    <row r="70" ht="17.25" customHeight="1" spans="1:17">
      <c r="A70" s="142" t="s">
        <v>229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</row>
    <row r="71" ht="18" customHeight="1" outlineLevel="1"/>
    <row r="72" ht="16.5" customHeight="1" outlineLevel="1" spans="1:17">
      <c r="C72" s="84" t="s">
        <v>230</v>
      </c>
    </row>
    <row r="73" ht="16.5" customHeight="1" outlineLevel="1" spans="1:17">
      <c r="D73" s="47" t="s">
        <v>231</v>
      </c>
      <c r="H73" s="134">
        <f>'Historical Data'!H106</f>
        <v>1086.6</v>
      </c>
      <c r="I73" s="134">
        <f>'Historical Data'!I106</f>
        <v>1278.6</v>
      </c>
      <c r="J73" s="134">
        <f>'Historical Data'!J106</f>
        <v>1857</v>
      </c>
      <c r="K73" s="134">
        <f>'Historical Data'!K106</f>
        <v>2135</v>
      </c>
      <c r="L73" s="134">
        <f>'Historical Data'!L106</f>
        <v>2219</v>
      </c>
      <c r="M73" s="134">
        <f>M33</f>
        <v>1359.75203210583</v>
      </c>
      <c r="N73" s="134">
        <f>N33</f>
        <v>1419.70503991955</v>
      </c>
      <c r="O73" s="134">
        <f>O33</f>
        <v>1469.72619414791</v>
      </c>
      <c r="P73" s="134">
        <f>P33</f>
        <v>1466.60599363037</v>
      </c>
      <c r="Q73" s="134">
        <f>Q33</f>
        <v>1460.55239353922</v>
      </c>
    </row>
    <row r="74" ht="16.5" customHeight="1" outlineLevel="1" spans="1:17">
      <c r="D74" s="47" t="s">
        <v>232</v>
      </c>
      <c r="H74" s="134">
        <f>'Historical Data'!H108</f>
        <v>303.8</v>
      </c>
      <c r="I74" s="134">
        <f>'Historical Data'!I108</f>
        <v>282.5</v>
      </c>
      <c r="J74" s="134">
        <f>'Historical Data'!J108</f>
        <v>275</v>
      </c>
      <c r="K74" s="134">
        <f>'Historical Data'!K108</f>
        <v>283</v>
      </c>
      <c r="L74" s="134">
        <f>'Historical Data'!L108</f>
        <v>289</v>
      </c>
      <c r="M74" s="134">
        <f>-M110</f>
        <v>221.52368492133</v>
      </c>
      <c r="N74" s="134">
        <f>-N110</f>
        <v>164.487257996915</v>
      </c>
      <c r="O74" s="134">
        <f>-O110</f>
        <v>121.163765694254</v>
      </c>
      <c r="P74" s="134">
        <f>-P110</f>
        <v>88.3461409655368</v>
      </c>
      <c r="Q74" s="134">
        <f>-Q110</f>
        <v>63.568410354203</v>
      </c>
    </row>
    <row r="75" ht="16.5" customHeight="1" outlineLevel="1" spans="1:17">
      <c r="D75" s="47" t="s">
        <v>233</v>
      </c>
      <c r="H75" s="134">
        <f>('Historical Data'!H127-'Historical Data'!H108)+'Historical Data'!H140+'Historical Data'!H142</f>
        <v>-207.7</v>
      </c>
      <c r="I75" s="134">
        <f>('Historical Data'!I127-'Historical Data'!I108)+'Historical Data'!I140+'Historical Data'!I142</f>
        <v>-381.1</v>
      </c>
      <c r="J75" s="134">
        <f>('Historical Data'!J127-'Historical Data'!J108)+'Historical Data'!J140+'Historical Data'!J142</f>
        <v>-369</v>
      </c>
      <c r="K75" s="134">
        <f>('Historical Data'!K127-'Historical Data'!K108)+'Historical Data'!K140+'Historical Data'!K142</f>
        <v>-262</v>
      </c>
      <c r="L75" s="134">
        <f>('Historical Data'!L127-'Historical Data'!L108)+'Historical Data'!L140+'Historical Data'!L142</f>
        <v>-470</v>
      </c>
      <c r="M75" s="134">
        <f>-SUM(M29:M30)</f>
        <v>-94.0187392924384</v>
      </c>
      <c r="N75" s="134">
        <f>-SUM(N29:N30)</f>
        <v>-156.007182582933</v>
      </c>
      <c r="O75" s="134">
        <f>-SUM(O29:O30)</f>
        <v>-213.907312064715</v>
      </c>
      <c r="P75" s="134">
        <f>-SUM(P29:P30)</f>
        <v>-209.970477159996</v>
      </c>
      <c r="Q75" s="134">
        <f>-SUM(Q29:Q30)</f>
        <v>-206.492535307898</v>
      </c>
    </row>
    <row r="76" ht="16.5" customHeight="1" outlineLevel="1" spans="1:17">
      <c r="D76" s="47" t="s">
        <v>234</v>
      </c>
      <c r="H76" s="134">
        <f>'Historical Data'!H138</f>
        <v>-205.3</v>
      </c>
      <c r="I76" s="134">
        <f>'Historical Data'!I138</f>
        <v>-565.3</v>
      </c>
      <c r="J76" s="134">
        <f>'Historical Data'!J138</f>
        <v>-645</v>
      </c>
      <c r="K76" s="134">
        <f>'Historical Data'!K138</f>
        <v>-209</v>
      </c>
      <c r="L76" s="134">
        <f>'Historical Data'!L138</f>
        <v>-579</v>
      </c>
      <c r="M76" s="134">
        <f>M105</f>
        <v>685.593015377287</v>
      </c>
      <c r="N76" s="134">
        <f>N105</f>
        <v>72.8997445270486</v>
      </c>
      <c r="O76" s="134">
        <f>O105</f>
        <v>64.1190192126796</v>
      </c>
      <c r="P76" s="134">
        <f>P105</f>
        <v>56.5270454628394</v>
      </c>
      <c r="Q76" s="134">
        <f>Q105</f>
        <v>49.9380293938616</v>
      </c>
    </row>
    <row r="77" ht="16.5" customHeight="1" outlineLevel="1" spans="1:17">
      <c r="C77" s="109"/>
      <c r="D77" s="143" t="s">
        <v>235</v>
      </c>
      <c r="E77" s="68"/>
      <c r="F77" s="68"/>
      <c r="G77" s="109"/>
      <c r="H77" s="144">
        <f t="shared" ref="H77:Q77" si="16">SUM(H73:H76)</f>
        <v>977.4</v>
      </c>
      <c r="I77" s="144">
        <f t="shared" si="16"/>
        <v>614.7</v>
      </c>
      <c r="J77" s="144">
        <f t="shared" si="16"/>
        <v>1118</v>
      </c>
      <c r="K77" s="144">
        <f t="shared" si="16"/>
        <v>1947</v>
      </c>
      <c r="L77" s="144">
        <f t="shared" si="16"/>
        <v>1459</v>
      </c>
      <c r="M77" s="144">
        <f t="shared" si="16"/>
        <v>2172.84999311201</v>
      </c>
      <c r="N77" s="144">
        <f t="shared" si="16"/>
        <v>1501.08485986058</v>
      </c>
      <c r="O77" s="144">
        <f t="shared" si="16"/>
        <v>1441.10166699013</v>
      </c>
      <c r="P77" s="144">
        <f t="shared" si="16"/>
        <v>1401.50870289875</v>
      </c>
      <c r="Q77" s="144">
        <f t="shared" si="16"/>
        <v>1367.56629797938</v>
      </c>
    </row>
    <row r="78" outlineLevel="1"/>
    <row r="79" ht="16.5" customHeight="1" outlineLevel="1" spans="1:17">
      <c r="C79" s="84" t="s">
        <v>236</v>
      </c>
    </row>
    <row r="80" ht="16.5" customHeight="1" outlineLevel="1" spans="1:17">
      <c r="D80" s="47" t="s">
        <v>237</v>
      </c>
      <c r="H80" s="134">
        <f>'Historical Data'!H147+'Historical Data'!H148</f>
        <v>-134</v>
      </c>
      <c r="I80" s="134">
        <f>'Historical Data'!I147+'Historical Data'!I148</f>
        <v>-136.6</v>
      </c>
      <c r="J80" s="134">
        <f>'Historical Data'!J147+'Historical Data'!J148</f>
        <v>-98</v>
      </c>
      <c r="K80" s="134">
        <f>'Historical Data'!K147+'Historical Data'!K148</f>
        <v>-162</v>
      </c>
      <c r="L80" s="134">
        <f>'Historical Data'!L147+'Historical Data'!L148</f>
        <v>-181</v>
      </c>
      <c r="M80" s="134">
        <f>-M109</f>
        <v>32.0874832952886</v>
      </c>
      <c r="N80" s="134">
        <f>-N109</f>
        <v>28.149659961886</v>
      </c>
      <c r="O80" s="134">
        <f>-O109</f>
        <v>24.7590523071978</v>
      </c>
      <c r="P80" s="134">
        <f>-P109</f>
        <v>21.8274716702006</v>
      </c>
      <c r="Q80" s="134">
        <f>-Q109</f>
        <v>19.2831752117086</v>
      </c>
    </row>
    <row r="81" ht="16.5" customHeight="1" outlineLevel="1" spans="3:17">
      <c r="D81" s="47" t="s">
        <v>238</v>
      </c>
      <c r="H81" s="134">
        <f>'Historical Data'!H149+'Historical Data'!H161</f>
        <v>46.5</v>
      </c>
      <c r="I81" s="134">
        <f>'Historical Data'!I149+'Historical Data'!I161</f>
        <v>26.5</v>
      </c>
      <c r="J81" s="134">
        <f>'Historical Data'!J149+'Historical Data'!J161</f>
        <v>19</v>
      </c>
      <c r="K81" s="134">
        <f>'Historical Data'!K149+'Historical Data'!K161</f>
        <v>1</v>
      </c>
      <c r="L81" s="134">
        <f>'Historical Data'!L149+'Historical Data'!L161</f>
        <v>253</v>
      </c>
      <c r="M81" s="134">
        <v>0</v>
      </c>
      <c r="N81" s="134">
        <v>0</v>
      </c>
      <c r="O81" s="134">
        <v>0</v>
      </c>
      <c r="P81" s="134">
        <v>0</v>
      </c>
      <c r="Q81" s="134">
        <v>0</v>
      </c>
    </row>
    <row r="82" ht="16.5" customHeight="1" outlineLevel="1" spans="3:17">
      <c r="D82" s="47" t="s">
        <v>239</v>
      </c>
      <c r="H82" s="134">
        <f>SUM('Historical Data'!H150:H159)+'Historical Data'!H163</f>
        <v>-231.6</v>
      </c>
      <c r="I82" s="134">
        <f>SUM('Historical Data'!I150:I159)+'Historical Data'!I163</f>
        <v>36.4999999999993</v>
      </c>
      <c r="J82" s="134">
        <f>SUM('Historical Data'!J150:J159)+'Historical Data'!J163</f>
        <v>263</v>
      </c>
      <c r="K82" s="134">
        <f>SUM('Historical Data'!K150:K159)+'Historical Data'!K163</f>
        <v>-989</v>
      </c>
      <c r="L82" s="134">
        <f>SUM('Historical Data'!L150:L159)+'Historical Data'!L163</f>
        <v>-567</v>
      </c>
      <c r="M82" s="134">
        <f>L48-M48</f>
        <v>0</v>
      </c>
      <c r="N82" s="134">
        <f>M48-N48</f>
        <v>0</v>
      </c>
      <c r="O82" s="134">
        <f>N48-O48</f>
        <v>0</v>
      </c>
      <c r="P82" s="134">
        <f>O48-P48</f>
        <v>0</v>
      </c>
      <c r="Q82" s="134">
        <f>P48-Q48</f>
        <v>0</v>
      </c>
    </row>
    <row r="83" ht="16.5" customHeight="1" outlineLevel="1" spans="3:17">
      <c r="D83" s="47" t="s">
        <v>240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4">
        <v>0</v>
      </c>
      <c r="N83" s="134">
        <v>0</v>
      </c>
      <c r="O83" s="134">
        <v>0</v>
      </c>
      <c r="P83" s="134">
        <v>0</v>
      </c>
      <c r="Q83" s="134">
        <v>0</v>
      </c>
    </row>
    <row r="84" ht="16.5" customHeight="1" outlineLevel="1" spans="3:17">
      <c r="D84" s="47" t="s">
        <v>106</v>
      </c>
      <c r="H84" s="134">
        <f>'Historical Data'!H160</f>
        <v>6.4</v>
      </c>
      <c r="I84" s="134">
        <f>'Historical Data'!I160</f>
        <v>20.4</v>
      </c>
      <c r="J84" s="134">
        <f>'Historical Data'!J160</f>
        <v>42</v>
      </c>
      <c r="K84" s="134">
        <f>'Historical Data'!K160</f>
        <v>36</v>
      </c>
      <c r="L84" s="134">
        <f>'Historical Data'!L160</f>
        <v>67</v>
      </c>
      <c r="M84" s="134">
        <f>M30</f>
        <v>223.450005252999</v>
      </c>
      <c r="N84" s="134">
        <f>N30</f>
        <v>218.372891166294</v>
      </c>
      <c r="O84" s="134">
        <f>O30</f>
        <v>213.907312064715</v>
      </c>
      <c r="P84" s="134">
        <f>P30</f>
        <v>209.970477159996</v>
      </c>
      <c r="Q84" s="134">
        <f>Q30</f>
        <v>206.492535307898</v>
      </c>
    </row>
    <row r="85" ht="16.5" customHeight="1" outlineLevel="1" spans="3:17">
      <c r="D85" s="143" t="s">
        <v>236</v>
      </c>
      <c r="E85" s="68"/>
      <c r="F85" s="68"/>
      <c r="G85" s="109"/>
      <c r="H85" s="144">
        <f t="shared" ref="H85:Q85" si="17">SUM(H80:H84)</f>
        <v>-312.7</v>
      </c>
      <c r="I85" s="144">
        <f t="shared" si="17"/>
        <v>-53.2000000000007</v>
      </c>
      <c r="J85" s="144">
        <f t="shared" si="17"/>
        <v>226</v>
      </c>
      <c r="K85" s="144">
        <f t="shared" si="17"/>
        <v>-1114</v>
      </c>
      <c r="L85" s="144">
        <f t="shared" si="17"/>
        <v>-428</v>
      </c>
      <c r="M85" s="144">
        <f t="shared" si="17"/>
        <v>255.537488548288</v>
      </c>
      <c r="N85" s="144">
        <f t="shared" si="17"/>
        <v>246.52255112818</v>
      </c>
      <c r="O85" s="144">
        <f t="shared" si="17"/>
        <v>238.666364371913</v>
      </c>
      <c r="P85" s="144">
        <f t="shared" si="17"/>
        <v>231.797948830197</v>
      </c>
      <c r="Q85" s="144">
        <f t="shared" si="17"/>
        <v>225.775710519607</v>
      </c>
    </row>
    <row r="86" outlineLevel="1"/>
    <row r="87" ht="16.5" customHeight="1" outlineLevel="1" spans="3:17">
      <c r="C87" s="84" t="s">
        <v>241</v>
      </c>
    </row>
    <row r="88" ht="16.5" customHeight="1" outlineLevel="1" spans="3:17">
      <c r="D88" s="47" t="s">
        <v>242</v>
      </c>
      <c r="H88" s="134">
        <f>SUM('Historical Data'!H167:H171,'Historical Data'!H173,'Historical Data'!H177)</f>
        <v>-637.9</v>
      </c>
      <c r="I88" s="134">
        <f>SUM('Historical Data'!I167:I171,'Historical Data'!I173,'Historical Data'!I177)</f>
        <v>-464.6</v>
      </c>
      <c r="J88" s="134">
        <f>SUM('Historical Data'!J167:J171,'Historical Data'!J173,'Historical Data'!J177)</f>
        <v>-102</v>
      </c>
      <c r="K88" s="134">
        <f>SUM('Historical Data'!K167:K171,'Historical Data'!K173,'Historical Data'!K177)</f>
        <v>-162</v>
      </c>
      <c r="L88" s="134">
        <f>SUM('Historical Data'!L167:L171,'Historical Data'!L173,'Historical Data'!L177)</f>
        <v>-150</v>
      </c>
      <c r="M88" s="134">
        <f>M115</f>
        <v>-213.998333333333</v>
      </c>
      <c r="N88" s="134">
        <f>N115</f>
        <v>-199.001666666667</v>
      </c>
      <c r="O88" s="134">
        <f>O115</f>
        <v>0</v>
      </c>
      <c r="P88" s="134">
        <f>P115</f>
        <v>0</v>
      </c>
      <c r="Q88" s="134">
        <f>Q115</f>
        <v>0</v>
      </c>
    </row>
    <row r="89" ht="16.5" customHeight="1" outlineLevel="1" spans="3:17">
      <c r="D89" s="47" t="s">
        <v>243</v>
      </c>
      <c r="H89" s="134">
        <v>0</v>
      </c>
      <c r="I89" s="134">
        <v>0</v>
      </c>
      <c r="J89" s="134">
        <v>0</v>
      </c>
      <c r="K89" s="134">
        <v>0</v>
      </c>
      <c r="L89" s="134">
        <v>0</v>
      </c>
      <c r="M89" s="134">
        <v>0</v>
      </c>
      <c r="N89" s="134">
        <v>0</v>
      </c>
      <c r="O89" s="134">
        <v>0</v>
      </c>
      <c r="P89" s="134">
        <v>0</v>
      </c>
      <c r="Q89" s="134">
        <v>0</v>
      </c>
    </row>
    <row r="90" ht="16.5" customHeight="1" outlineLevel="1" spans="3:17">
      <c r="D90" s="47" t="s">
        <v>244</v>
      </c>
      <c r="H90" s="134">
        <f>'Historical Data'!H175</f>
        <v>0</v>
      </c>
      <c r="I90" s="134">
        <f>'Historical Data'!I175</f>
        <v>0</v>
      </c>
      <c r="J90" s="134">
        <f>'Historical Data'!J175</f>
        <v>-284</v>
      </c>
      <c r="K90" s="134">
        <f>'Historical Data'!K175</f>
        <v>-355</v>
      </c>
      <c r="L90" s="134">
        <f>'Historical Data'!L175</f>
        <v>-1263</v>
      </c>
      <c r="M90" s="134">
        <f>M33*-M14</f>
        <v>-301.959130812287</v>
      </c>
      <c r="N90" s="134">
        <f>N33*-N14</f>
        <v>-315.272851035949</v>
      </c>
      <c r="O90" s="134">
        <f>O33*-O14</f>
        <v>-326.381011859677</v>
      </c>
      <c r="P90" s="134">
        <f>P33*-P14</f>
        <v>-325.688111232216</v>
      </c>
      <c r="Q90" s="134">
        <f>Q33*-Q14</f>
        <v>-324.343792725129</v>
      </c>
    </row>
    <row r="91" ht="16.5" customHeight="1" outlineLevel="1" spans="3:17">
      <c r="D91" s="47" t="s">
        <v>245</v>
      </c>
      <c r="H91" s="134">
        <f>'Historical Data'!H172+'Historical Data'!H174</f>
        <v>-50.1</v>
      </c>
      <c r="I91" s="134">
        <f>'Historical Data'!I172+'Historical Data'!I174</f>
        <v>-36.3</v>
      </c>
      <c r="J91" s="134">
        <f>'Historical Data'!J172+'Historical Data'!J174</f>
        <v>-21</v>
      </c>
      <c r="K91" s="134">
        <f>'Historical Data'!K172+'Historical Data'!K174</f>
        <v>-40</v>
      </c>
      <c r="L91" s="134">
        <f>'Historical Data'!L172+'Historical Data'!L174</f>
        <v>-37</v>
      </c>
      <c r="M91" s="134">
        <f>M117</f>
        <v>-129.431265960561</v>
      </c>
      <c r="N91" s="134">
        <f>N117</f>
        <v>-62.3657085833613</v>
      </c>
      <c r="O91" s="134">
        <f>O117</f>
        <v>0</v>
      </c>
      <c r="P91" s="134">
        <f>P117</f>
        <v>0</v>
      </c>
      <c r="Q91" s="134">
        <f>Q117</f>
        <v>0</v>
      </c>
    </row>
    <row r="92" ht="16.5" customHeight="1" outlineLevel="1" spans="3:17">
      <c r="D92" s="143" t="s">
        <v>241</v>
      </c>
      <c r="E92" s="68"/>
      <c r="F92" s="68"/>
      <c r="G92" s="109"/>
      <c r="H92" s="144">
        <f t="shared" ref="H92:Q92" si="18">SUM(H88:H91)</f>
        <v>-688</v>
      </c>
      <c r="I92" s="144">
        <f t="shared" si="18"/>
        <v>-500.9</v>
      </c>
      <c r="J92" s="144">
        <f t="shared" si="18"/>
        <v>-407</v>
      </c>
      <c r="K92" s="144">
        <f t="shared" si="18"/>
        <v>-557</v>
      </c>
      <c r="L92" s="144">
        <f t="shared" si="18"/>
        <v>-1450</v>
      </c>
      <c r="M92" s="144">
        <f t="shared" si="18"/>
        <v>-645.388730106181</v>
      </c>
      <c r="N92" s="144">
        <f t="shared" si="18"/>
        <v>-576.640226285977</v>
      </c>
      <c r="O92" s="144">
        <f t="shared" si="18"/>
        <v>-326.381011859677</v>
      </c>
      <c r="P92" s="144">
        <f t="shared" si="18"/>
        <v>-325.688111232216</v>
      </c>
      <c r="Q92" s="144">
        <f t="shared" si="18"/>
        <v>-324.343792725129</v>
      </c>
    </row>
    <row r="93" outlineLevel="1"/>
    <row r="94" ht="16.5" customHeight="1" outlineLevel="1" spans="3:17">
      <c r="C94" s="84" t="s">
        <v>246</v>
      </c>
      <c r="H94" s="145">
        <f t="shared" ref="H94:Q94" si="19">H77+H85+H92</f>
        <v>-23.3000000000003</v>
      </c>
      <c r="I94" s="145">
        <f t="shared" si="19"/>
        <v>60.5999999999993</v>
      </c>
      <c r="J94" s="145">
        <f t="shared" si="19"/>
        <v>937</v>
      </c>
      <c r="K94" s="145">
        <f t="shared" si="19"/>
        <v>276</v>
      </c>
      <c r="L94" s="145">
        <f t="shared" si="19"/>
        <v>-419</v>
      </c>
      <c r="M94" s="145">
        <f t="shared" si="19"/>
        <v>1782.99875155412</v>
      </c>
      <c r="N94" s="145">
        <f t="shared" si="19"/>
        <v>1170.96718470279</v>
      </c>
      <c r="O94" s="145">
        <f t="shared" si="19"/>
        <v>1353.38701950236</v>
      </c>
      <c r="P94" s="145">
        <f t="shared" si="19"/>
        <v>1307.61854049673</v>
      </c>
      <c r="Q94" s="145">
        <f t="shared" si="19"/>
        <v>1268.99821577386</v>
      </c>
    </row>
    <row r="95" ht="16.5" customHeight="1" outlineLevel="1" spans="3:17">
      <c r="D95" s="47" t="s">
        <v>247</v>
      </c>
      <c r="H95" s="134">
        <f>'Historical Data'!H181</f>
        <v>77.8</v>
      </c>
      <c r="I95" s="134">
        <f>'Historical Data'!I181</f>
        <v>54.5</v>
      </c>
      <c r="J95" s="134">
        <f>'Historical Data'!J181</f>
        <v>115</v>
      </c>
      <c r="K95" s="134">
        <f>'Historical Data'!K181</f>
        <v>1052</v>
      </c>
      <c r="L95" s="134">
        <f>'Historical Data'!L181</f>
        <v>1328</v>
      </c>
      <c r="M95" s="134">
        <f>L39</f>
        <v>1977</v>
      </c>
      <c r="N95" s="134">
        <f>M39</f>
        <v>3759.99875155412</v>
      </c>
      <c r="O95" s="134">
        <f>N39</f>
        <v>4930.96593625691</v>
      </c>
      <c r="P95" s="134">
        <f>O39</f>
        <v>6284.35295575927</v>
      </c>
      <c r="Q95" s="134">
        <f>P39</f>
        <v>7591.971496256</v>
      </c>
    </row>
    <row r="96" ht="16.5" customHeight="1" outlineLevel="1" spans="3:17">
      <c r="D96" s="143" t="s">
        <v>248</v>
      </c>
      <c r="E96" s="68"/>
      <c r="F96" s="68"/>
      <c r="G96" s="109"/>
      <c r="H96" s="144">
        <f t="shared" ref="H96:Q96" si="20">SUM(H94:H95)</f>
        <v>54.4999999999997</v>
      </c>
      <c r="I96" s="144">
        <f t="shared" si="20"/>
        <v>115.099999999999</v>
      </c>
      <c r="J96" s="144">
        <f t="shared" si="20"/>
        <v>1052</v>
      </c>
      <c r="K96" s="144">
        <f t="shared" si="20"/>
        <v>1328</v>
      </c>
      <c r="L96" s="144">
        <f t="shared" si="20"/>
        <v>909</v>
      </c>
      <c r="M96" s="144">
        <f t="shared" si="20"/>
        <v>3759.99875155412</v>
      </c>
      <c r="N96" s="144">
        <f t="shared" si="20"/>
        <v>4930.96593625691</v>
      </c>
      <c r="O96" s="144">
        <f t="shared" si="20"/>
        <v>6284.35295575927</v>
      </c>
      <c r="P96" s="144">
        <f t="shared" si="20"/>
        <v>7591.971496256</v>
      </c>
      <c r="Q96" s="144">
        <f t="shared" si="20"/>
        <v>8860.96971202986</v>
      </c>
    </row>
    <row r="98" ht="17.25" customHeight="1" spans="1:17">
      <c r="A98" s="121" t="s">
        <v>249</v>
      </c>
      <c r="B98" s="146"/>
      <c r="C98" s="146"/>
      <c r="D98" s="146"/>
      <c r="E98" s="147"/>
      <c r="F98" s="147"/>
      <c r="G98" s="146"/>
      <c r="H98" s="146"/>
      <c r="I98" s="146"/>
      <c r="J98" s="146"/>
      <c r="K98" s="146"/>
      <c r="L98" s="146"/>
      <c r="M98" s="147"/>
      <c r="N98" s="147"/>
      <c r="O98" s="147"/>
      <c r="P98" s="147"/>
      <c r="Q98" s="147"/>
    </row>
    <row r="99" outlineLevel="1"/>
    <row r="100" ht="16.5" customHeight="1" outlineLevel="1" spans="1:17">
      <c r="C100" s="84" t="s">
        <v>250</v>
      </c>
    </row>
    <row r="101" ht="16.5" customHeight="1" outlineLevel="1" spans="1:17">
      <c r="D101" s="47" t="s">
        <v>251</v>
      </c>
      <c r="H101" s="134">
        <f>'Historical Data'!H130</f>
        <v>-205.1</v>
      </c>
      <c r="I101" s="134">
        <f>'Historical Data'!I130</f>
        <v>-276.2</v>
      </c>
      <c r="J101" s="134">
        <f>'Historical Data'!J130</f>
        <v>-1045</v>
      </c>
      <c r="K101" s="134">
        <f>'Historical Data'!K130</f>
        <v>-321</v>
      </c>
      <c r="L101" s="134">
        <f>'Historical Data'!L130</f>
        <v>-356</v>
      </c>
      <c r="M101" s="134">
        <f>L40-M40</f>
        <v>701.636349689318</v>
      </c>
      <c r="N101" s="134">
        <f>M40-N40</f>
        <v>66.0595954224927</v>
      </c>
      <c r="O101" s="134">
        <f>N40-O40</f>
        <v>58.1027614781974</v>
      </c>
      <c r="P101" s="134">
        <f>O40-P40</f>
        <v>51.2231390923257</v>
      </c>
      <c r="Q101" s="134">
        <f>P40-Q40</f>
        <v>45.2523673348546</v>
      </c>
    </row>
    <row r="102" ht="16.5" customHeight="1" outlineLevel="1" spans="1:17">
      <c r="D102" s="47" t="s">
        <v>207</v>
      </c>
      <c r="H102" s="134">
        <f>'Historical Data'!H133</f>
        <v>-104.8</v>
      </c>
      <c r="I102" s="134">
        <f>'Historical Data'!I133</f>
        <v>-261.9</v>
      </c>
      <c r="J102" s="134">
        <f>'Historical Data'!J133</f>
        <v>163</v>
      </c>
      <c r="K102" s="134">
        <f>'Historical Data'!K133</f>
        <v>-242</v>
      </c>
      <c r="L102" s="134">
        <f>'Historical Data'!L133</f>
        <v>-359</v>
      </c>
      <c r="M102" s="134">
        <f>L41-M41</f>
        <v>438.918116644019</v>
      </c>
      <c r="N102" s="134">
        <f>M41-N41</f>
        <v>50.6480320624391</v>
      </c>
      <c r="O102" s="134">
        <f>N41-O41</f>
        <v>44.5475105840869</v>
      </c>
      <c r="P102" s="134">
        <f>O41-P41</f>
        <v>39.2728894946204</v>
      </c>
      <c r="Q102" s="134">
        <f>P41-Q41</f>
        <v>34.6950861115411</v>
      </c>
    </row>
    <row r="103" ht="16.5" customHeight="1" outlineLevel="1" spans="1:17">
      <c r="D103" s="47" t="s">
        <v>252</v>
      </c>
      <c r="H103" s="134">
        <f>'Historical Data'!H134</f>
        <v>122.7</v>
      </c>
      <c r="I103" s="134">
        <f>'Historical Data'!I134</f>
        <v>202.7</v>
      </c>
      <c r="J103" s="134">
        <f>'Historical Data'!J134</f>
        <v>132</v>
      </c>
      <c r="K103" s="134">
        <f>'Historical Data'!K134</f>
        <v>250</v>
      </c>
      <c r="L103" s="134">
        <f>'Historical Data'!L134</f>
        <v>223</v>
      </c>
      <c r="M103" s="134">
        <f>M54-L54</f>
        <v>-454.961450956051</v>
      </c>
      <c r="N103" s="134">
        <f>N54-M54</f>
        <v>-43.8078829578833</v>
      </c>
      <c r="O103" s="134">
        <f>O54-N54</f>
        <v>-38.5312528496047</v>
      </c>
      <c r="P103" s="134">
        <f>P54-O54</f>
        <v>-33.9689831241067</v>
      </c>
      <c r="Q103" s="134">
        <f>Q54-P54</f>
        <v>-30.0094240525341</v>
      </c>
    </row>
    <row r="104" ht="16.5" customHeight="1" outlineLevel="1" spans="1:17">
      <c r="D104" s="47" t="s">
        <v>253</v>
      </c>
      <c r="H104" s="134">
        <f>'Historical Data'!H131+'Historical Data'!H132+'Historical Data'!H135+'Historical Data'!H136+'Historical Data'!H137</f>
        <v>-18.1</v>
      </c>
      <c r="I104" s="134">
        <f>'Historical Data'!I131+'Historical Data'!I132+'Historical Data'!I135+'Historical Data'!I136+'Historical Data'!I137</f>
        <v>-229.9</v>
      </c>
      <c r="J104" s="134">
        <f>'Historical Data'!J131+'Historical Data'!J132+'Historical Data'!J135+'Historical Data'!J136+'Historical Data'!J137</f>
        <v>105</v>
      </c>
      <c r="K104" s="134">
        <f>'Historical Data'!K131+'Historical Data'!K132+'Historical Data'!K135+'Historical Data'!K136+'Historical Data'!K137</f>
        <v>104</v>
      </c>
      <c r="L104" s="134">
        <f>'Historical Data'!L131+'Historical Data'!L132+'Historical Data'!L135+'Historical Data'!L136+'Historical Data'!L137</f>
        <v>-87</v>
      </c>
      <c r="M104" s="134">
        <f>L42-M42</f>
        <v>0</v>
      </c>
      <c r="N104" s="134">
        <f>M42-N42</f>
        <v>0</v>
      </c>
      <c r="O104" s="134">
        <f>N42-O42</f>
        <v>0</v>
      </c>
      <c r="P104" s="134">
        <f>O42-P42</f>
        <v>0</v>
      </c>
      <c r="Q104" s="134">
        <f>P42-Q42</f>
        <v>0</v>
      </c>
    </row>
    <row r="105" ht="16.5" customHeight="1" outlineLevel="1" spans="1:17">
      <c r="D105" s="143" t="s">
        <v>254</v>
      </c>
      <c r="E105" s="68"/>
      <c r="F105" s="68"/>
      <c r="G105" s="109"/>
      <c r="H105" s="144">
        <f t="shared" ref="H105:Q105" si="21">SUM(H101:H104)</f>
        <v>-205.3</v>
      </c>
      <c r="I105" s="144">
        <f t="shared" si="21"/>
        <v>-565.3</v>
      </c>
      <c r="J105" s="144">
        <f t="shared" si="21"/>
        <v>-645</v>
      </c>
      <c r="K105" s="144">
        <f t="shared" si="21"/>
        <v>-209</v>
      </c>
      <c r="L105" s="144">
        <f t="shared" si="21"/>
        <v>-579</v>
      </c>
      <c r="M105" s="144">
        <f t="shared" si="21"/>
        <v>685.593015377287</v>
      </c>
      <c r="N105" s="144">
        <f t="shared" si="21"/>
        <v>72.8997445270486</v>
      </c>
      <c r="O105" s="144">
        <f t="shared" si="21"/>
        <v>64.1190192126796</v>
      </c>
      <c r="P105" s="144">
        <f t="shared" si="21"/>
        <v>56.5270454628394</v>
      </c>
      <c r="Q105" s="144">
        <f t="shared" si="21"/>
        <v>49.9380293938616</v>
      </c>
    </row>
    <row r="106" outlineLevel="1"/>
    <row r="107" ht="16.5" customHeight="1" outlineLevel="1" spans="1:17">
      <c r="C107" s="84" t="s">
        <v>255</v>
      </c>
    </row>
    <row r="108" ht="16.5" customHeight="1" outlineLevel="1" spans="1:17">
      <c r="D108" s="47" t="s">
        <v>256</v>
      </c>
      <c r="I108" s="134">
        <f t="shared" ref="I108:Q108" si="22">H111</f>
        <v>1668.9</v>
      </c>
      <c r="J108" s="134">
        <f t="shared" si="22"/>
        <v>1417.8</v>
      </c>
      <c r="K108" s="134">
        <f t="shared" si="22"/>
        <v>1230</v>
      </c>
      <c r="L108" s="134">
        <f t="shared" si="22"/>
        <v>1251</v>
      </c>
      <c r="M108" s="134">
        <f t="shared" si="22"/>
        <v>985</v>
      </c>
      <c r="N108" s="134">
        <f t="shared" si="22"/>
        <v>731.388831783381</v>
      </c>
      <c r="O108" s="134">
        <f t="shared" si="22"/>
        <v>538.75191382458</v>
      </c>
      <c r="P108" s="134">
        <f t="shared" si="22"/>
        <v>392.829095823128</v>
      </c>
      <c r="Q108" s="134">
        <f t="shared" si="22"/>
        <v>282.655483187391</v>
      </c>
    </row>
    <row r="109" ht="16.5" customHeight="1" outlineLevel="1" spans="1:17">
      <c r="D109" s="47" t="s">
        <v>257</v>
      </c>
      <c r="I109" s="134">
        <f>I111-I108-I110</f>
        <v>31.3999999999999</v>
      </c>
      <c r="J109" s="134">
        <f>J111-J108-J110</f>
        <v>87.2</v>
      </c>
      <c r="K109" s="134">
        <f>K111-K108-K110</f>
        <v>304</v>
      </c>
      <c r="L109" s="134">
        <f>L111-L108-L110</f>
        <v>23</v>
      </c>
      <c r="M109" s="134">
        <f>(M22-L22)/M18</f>
        <v>-32.0874832952886</v>
      </c>
      <c r="N109" s="134">
        <f>(N22-M22)/N18</f>
        <v>-28.149659961886</v>
      </c>
      <c r="O109" s="134">
        <f>(O22-N22)/O18</f>
        <v>-24.7590523071978</v>
      </c>
      <c r="P109" s="134">
        <f>(P22-O22)/P18</f>
        <v>-21.8274716702006</v>
      </c>
      <c r="Q109" s="134">
        <f>(Q22-P22)/Q18</f>
        <v>-19.2831752117086</v>
      </c>
    </row>
    <row r="110" ht="16.5" customHeight="1" outlineLevel="1" spans="1:17">
      <c r="D110" s="47" t="s">
        <v>196</v>
      </c>
      <c r="H110" s="134">
        <f>H27</f>
        <v>-303.8</v>
      </c>
      <c r="I110" s="134">
        <f>I27</f>
        <v>-282.5</v>
      </c>
      <c r="J110" s="134">
        <f>J27</f>
        <v>-275</v>
      </c>
      <c r="K110" s="134">
        <f>K27</f>
        <v>-283</v>
      </c>
      <c r="L110" s="134">
        <f>L27</f>
        <v>-289</v>
      </c>
      <c r="M110" s="134">
        <f>M108*-M10</f>
        <v>-221.52368492133</v>
      </c>
      <c r="N110" s="134">
        <f>N108*-N10</f>
        <v>-164.487257996915</v>
      </c>
      <c r="O110" s="134">
        <f>O108*-O10</f>
        <v>-121.163765694254</v>
      </c>
      <c r="P110" s="134">
        <f>P108*-P10</f>
        <v>-88.3461409655368</v>
      </c>
      <c r="Q110" s="134">
        <f>Q108*-Q10</f>
        <v>-63.568410354203</v>
      </c>
    </row>
    <row r="111" ht="16.5" customHeight="1" outlineLevel="1" spans="1:17">
      <c r="D111" s="143" t="s">
        <v>258</v>
      </c>
      <c r="E111" s="68"/>
      <c r="F111" s="68"/>
      <c r="G111" s="109"/>
      <c r="H111" s="144">
        <f>H45+H46</f>
        <v>1668.9</v>
      </c>
      <c r="I111" s="144">
        <f>I45+I46</f>
        <v>1417.8</v>
      </c>
      <c r="J111" s="144">
        <f>J45+J46</f>
        <v>1230</v>
      </c>
      <c r="K111" s="144">
        <f>K45+K46</f>
        <v>1251</v>
      </c>
      <c r="L111" s="144">
        <f>L45+L46</f>
        <v>985</v>
      </c>
      <c r="M111" s="144">
        <f>SUM(M108:M110)</f>
        <v>731.388831783381</v>
      </c>
      <c r="N111" s="144">
        <f>SUM(N108:N110)</f>
        <v>538.75191382458</v>
      </c>
      <c r="O111" s="144">
        <f>SUM(O108:O110)</f>
        <v>392.829095823128</v>
      </c>
      <c r="P111" s="144">
        <f>SUM(P108:P110)</f>
        <v>282.655483187391</v>
      </c>
      <c r="Q111" s="144">
        <f>SUM(Q108:Q110)</f>
        <v>199.803897621479</v>
      </c>
    </row>
    <row r="112" outlineLevel="1"/>
    <row r="113" ht="16.5" customHeight="1" outlineLevel="1" spans="1:17">
      <c r="C113" s="84" t="s">
        <v>259</v>
      </c>
    </row>
    <row r="114" ht="16.5" customHeight="1" outlineLevel="1" spans="1:17">
      <c r="D114" s="47" t="s">
        <v>256</v>
      </c>
      <c r="I114" s="134">
        <f t="shared" ref="I114:Q114" si="23">H116</f>
        <v>605.4</v>
      </c>
      <c r="J114" s="134">
        <f t="shared" si="23"/>
        <v>183.3</v>
      </c>
      <c r="K114" s="134">
        <f t="shared" si="23"/>
        <v>265</v>
      </c>
      <c r="L114" s="134">
        <f t="shared" si="23"/>
        <v>480</v>
      </c>
      <c r="M114" s="134">
        <f t="shared" si="23"/>
        <v>413</v>
      </c>
      <c r="N114" s="134">
        <f t="shared" si="23"/>
        <v>199.001666666667</v>
      </c>
      <c r="O114" s="134">
        <f t="shared" si="23"/>
        <v>0</v>
      </c>
      <c r="P114" s="134">
        <f t="shared" si="23"/>
        <v>0</v>
      </c>
      <c r="Q114" s="134">
        <f t="shared" si="23"/>
        <v>0</v>
      </c>
    </row>
    <row r="115" ht="16.5" customHeight="1" outlineLevel="1" spans="1:17">
      <c r="D115" s="47" t="s">
        <v>260</v>
      </c>
      <c r="I115" s="134">
        <f>I116-I114</f>
        <v>-422.1</v>
      </c>
      <c r="J115" s="134">
        <f>J116-J114</f>
        <v>81.7</v>
      </c>
      <c r="K115" s="134">
        <f>K116-K114</f>
        <v>215</v>
      </c>
      <c r="L115" s="134">
        <f>L116-L114</f>
        <v>-67</v>
      </c>
      <c r="M115" s="134">
        <f>-AVERAGE(Repayment!G15:L15)</f>
        <v>-213.998333333333</v>
      </c>
      <c r="N115" s="134">
        <f>-N114</f>
        <v>-199.001666666667</v>
      </c>
      <c r="O115" s="134">
        <f>-Repayment!H9</f>
        <v>0</v>
      </c>
      <c r="P115" s="134">
        <f>-Repayment!H9</f>
        <v>0</v>
      </c>
      <c r="Q115" s="134">
        <f>-Repayment!H9</f>
        <v>0</v>
      </c>
    </row>
    <row r="116" ht="16.5" customHeight="1" outlineLevel="1" spans="1:17">
      <c r="D116" s="143" t="s">
        <v>258</v>
      </c>
      <c r="E116" s="68"/>
      <c r="F116" s="68"/>
      <c r="G116" s="109"/>
      <c r="H116" s="144">
        <f>H58</f>
        <v>605.4</v>
      </c>
      <c r="I116" s="144">
        <f>I58</f>
        <v>183.3</v>
      </c>
      <c r="J116" s="144">
        <f>J58</f>
        <v>265</v>
      </c>
      <c r="K116" s="144">
        <f>K58</f>
        <v>480</v>
      </c>
      <c r="L116" s="144">
        <f>L58</f>
        <v>413</v>
      </c>
      <c r="M116" s="144">
        <f>SUM(M114:M115)</f>
        <v>199.001666666667</v>
      </c>
      <c r="N116" s="144">
        <f>SUM(N114:N115)</f>
        <v>0</v>
      </c>
      <c r="O116" s="144">
        <f>SUM(O114:O115)</f>
        <v>0</v>
      </c>
      <c r="P116" s="144">
        <f>SUM(P114:P115)</f>
        <v>0</v>
      </c>
      <c r="Q116" s="144">
        <f>SUM(Q114:Q115)</f>
        <v>0</v>
      </c>
    </row>
    <row r="117" ht="16.5" customHeight="1" outlineLevel="1" spans="1:17">
      <c r="D117" s="47" t="s">
        <v>261</v>
      </c>
      <c r="H117" s="134">
        <f>H29</f>
        <v>-88</v>
      </c>
      <c r="I117" s="134">
        <f>I29</f>
        <v>-103.9</v>
      </c>
      <c r="J117" s="134">
        <f>J29</f>
        <v>-76</v>
      </c>
      <c r="K117" s="134">
        <f>K29</f>
        <v>-89</v>
      </c>
      <c r="L117" s="134">
        <f>L29</f>
        <v>-158</v>
      </c>
      <c r="M117" s="134">
        <f>-M114*M11</f>
        <v>-129.431265960561</v>
      </c>
      <c r="N117" s="134">
        <f>-N114*N11</f>
        <v>-62.3657085833613</v>
      </c>
      <c r="O117" s="134">
        <f>-O114*O11</f>
        <v>0</v>
      </c>
      <c r="P117" s="134">
        <f>-P114*P11</f>
        <v>0</v>
      </c>
      <c r="Q117" s="134">
        <f>-Q114*Q11</f>
        <v>0</v>
      </c>
    </row>
    <row r="119" ht="17.25" customHeight="1" spans="1:17">
      <c r="A119" s="121" t="s">
        <v>262</v>
      </c>
      <c r="B119" s="146"/>
      <c r="C119" s="146"/>
      <c r="D119" s="146"/>
      <c r="E119" s="147"/>
      <c r="F119" s="147"/>
      <c r="G119" s="146"/>
      <c r="H119" s="146"/>
      <c r="I119" s="146"/>
      <c r="J119" s="146"/>
      <c r="K119" s="146"/>
      <c r="L119" s="146"/>
      <c r="M119" s="147"/>
      <c r="N119" s="147"/>
      <c r="O119" s="147"/>
      <c r="P119" s="147"/>
      <c r="Q119" s="147"/>
    </row>
    <row r="120" outlineLevel="1"/>
    <row r="121" ht="16.5" customHeight="1" outlineLevel="1" spans="1:17">
      <c r="D121" s="84" t="s">
        <v>263</v>
      </c>
    </row>
    <row r="122" ht="16.5" customHeight="1" outlineLevel="1" spans="1:17">
      <c r="D122" s="148" t="s">
        <v>264</v>
      </c>
      <c r="E122" s="149">
        <f>DATE(2026,8,28)</f>
        <v>46262</v>
      </c>
    </row>
    <row r="123" ht="16.5" customHeight="1" outlineLevel="1" spans="1:17">
      <c r="D123" s="47" t="s">
        <v>265</v>
      </c>
      <c r="E123" s="150">
        <f>DATE(2027,3,31)</f>
        <v>46477</v>
      </c>
    </row>
    <row r="124" ht="16.5" customHeight="1" outlineLevel="1" spans="1:17">
      <c r="D124" s="47" t="s">
        <v>266</v>
      </c>
      <c r="E124" s="124">
        <f>M13</f>
        <v>0.217684260516946</v>
      </c>
    </row>
    <row r="125" ht="16.5" customHeight="1" outlineLevel="1" spans="1:17">
      <c r="D125" s="47" t="s">
        <v>267</v>
      </c>
      <c r="E125" s="126">
        <f>Comps!U14</f>
        <v>35.2989827404325</v>
      </c>
    </row>
    <row r="126" ht="16.5" customHeight="1" outlineLevel="1" spans="1:17">
      <c r="D126" s="47" t="s">
        <v>268</v>
      </c>
      <c r="E126" s="151">
        <v>0.05</v>
      </c>
    </row>
    <row r="127" ht="16.5" customHeight="1" outlineLevel="1" spans="1:17">
      <c r="D127" s="47" t="s">
        <v>269</v>
      </c>
      <c r="E127" s="124">
        <f>WACC!I43</f>
        <v>0.101072506319122</v>
      </c>
    </row>
    <row r="128" ht="16.5" customHeight="1" outlineLevel="1" spans="1:17">
      <c r="D128" s="47" t="s">
        <v>270</v>
      </c>
      <c r="E128" s="152">
        <f>Comps_Data!J5</f>
        <v>72.735</v>
      </c>
    </row>
    <row r="129" outlineLevel="1"/>
    <row r="130" ht="16.5" customHeight="1" outlineLevel="1" spans="3:17">
      <c r="D130" s="8"/>
      <c r="E130" s="5"/>
      <c r="F130" s="5"/>
      <c r="G130" s="8"/>
      <c r="H130" s="8"/>
      <c r="I130" s="8"/>
      <c r="J130" s="8"/>
      <c r="K130" s="8"/>
      <c r="L130" s="8"/>
      <c r="M130" s="5"/>
    </row>
    <row r="131" ht="16.5" customHeight="1" outlineLevel="1" spans="3:17">
      <c r="D131" s="60" t="s">
        <v>271</v>
      </c>
      <c r="E131" s="5"/>
      <c r="F131" s="5"/>
      <c r="G131" s="8"/>
      <c r="H131" s="60" t="s">
        <v>272</v>
      </c>
      <c r="I131" s="60">
        <f>YEAR(E122)</f>
        <v>2026</v>
      </c>
      <c r="J131" s="60">
        <f>I131+1</f>
        <v>2027</v>
      </c>
      <c r="K131" s="60">
        <f>J131+1</f>
        <v>2028</v>
      </c>
      <c r="L131" s="60">
        <f>K131+1</f>
        <v>2029</v>
      </c>
      <c r="M131" s="60">
        <f>L131+1</f>
        <v>2030</v>
      </c>
      <c r="N131" s="84" t="s">
        <v>273</v>
      </c>
      <c r="P131" s="84" t="s">
        <v>274</v>
      </c>
    </row>
    <row r="132" ht="16.5" customHeight="1" outlineLevel="1" spans="3:17">
      <c r="D132" s="153" t="s">
        <v>275</v>
      </c>
      <c r="E132" s="154"/>
      <c r="F132" s="154"/>
      <c r="G132" s="155"/>
      <c r="H132" s="156">
        <f>E122</f>
        <v>46262</v>
      </c>
      <c r="I132" s="156">
        <f>E123</f>
        <v>46477</v>
      </c>
      <c r="J132" s="156">
        <f>DATE(2028,3,31)</f>
        <v>46843</v>
      </c>
      <c r="K132" s="156">
        <f>DATE(2029,3,31)</f>
        <v>47208</v>
      </c>
      <c r="L132" s="156">
        <f>DATE(2030,3,31)</f>
        <v>47573</v>
      </c>
      <c r="M132" s="156">
        <f>DATE(2031,3,31)</f>
        <v>47938</v>
      </c>
      <c r="N132" s="157">
        <f>M132</f>
        <v>47938</v>
      </c>
      <c r="P132" s="148" t="s">
        <v>267</v>
      </c>
      <c r="Q132" s="158">
        <f>(M136+M139)*E125</f>
        <v>60856.7216463693</v>
      </c>
    </row>
    <row r="133" ht="16.5" customHeight="1" outlineLevel="1" spans="3:17">
      <c r="D133" s="159" t="s">
        <v>276</v>
      </c>
      <c r="E133" s="160"/>
      <c r="F133" s="160"/>
      <c r="G133" s="161"/>
      <c r="H133" s="161"/>
      <c r="I133" s="159">
        <v>0</v>
      </c>
      <c r="J133" s="159">
        <v>1</v>
      </c>
      <c r="K133" s="159">
        <v>2</v>
      </c>
      <c r="L133" s="159">
        <v>3</v>
      </c>
      <c r="M133" s="159">
        <v>4</v>
      </c>
      <c r="N133" s="162"/>
      <c r="P133" s="47" t="s">
        <v>277</v>
      </c>
      <c r="Q133" s="134">
        <f>M142*(1+E126)/(E127-E126)</f>
        <v>29436.3785683467</v>
      </c>
    </row>
    <row r="134" ht="16.5" customHeight="1" outlineLevel="1" spans="3:17">
      <c r="D134" s="159" t="s">
        <v>278</v>
      </c>
      <c r="E134" s="160"/>
      <c r="F134" s="160"/>
      <c r="G134" s="161"/>
      <c r="H134" s="161"/>
      <c r="I134" s="163">
        <f>YEARFRAC(H132,I132)</f>
        <v>0.591666666666667</v>
      </c>
      <c r="J134" s="163">
        <f>YEARFRAC(I132,J132)</f>
        <v>1</v>
      </c>
      <c r="K134" s="163">
        <f>YEARFRAC(J132,K132)</f>
        <v>1</v>
      </c>
      <c r="L134" s="163">
        <f>YEARFRAC(K132,L132)</f>
        <v>1</v>
      </c>
      <c r="M134" s="163">
        <f>YEARFRAC(L132,M132)</f>
        <v>1</v>
      </c>
      <c r="N134" s="164">
        <f>M134</f>
        <v>1</v>
      </c>
      <c r="P134" s="47" t="s">
        <v>279</v>
      </c>
      <c r="Q134" s="134">
        <f>AVERAGE(Q132:Q133)</f>
        <v>45146.550107358</v>
      </c>
    </row>
    <row r="135" ht="16.5" customHeight="1" outlineLevel="1" spans="3:17">
      <c r="D135" s="8"/>
      <c r="E135" s="5"/>
      <c r="F135" s="5"/>
      <c r="G135" s="8"/>
      <c r="H135" s="8"/>
      <c r="I135" s="8"/>
      <c r="J135" s="8"/>
      <c r="K135" s="8"/>
      <c r="L135" s="8"/>
      <c r="M135" s="5"/>
    </row>
    <row r="136" ht="16.5" customHeight="1" outlineLevel="1" spans="3:17">
      <c r="D136" s="69" t="s">
        <v>197</v>
      </c>
      <c r="E136" s="5"/>
      <c r="F136" s="5"/>
      <c r="G136" s="8"/>
      <c r="H136" s="8"/>
      <c r="I136" s="80">
        <f>M28</f>
        <v>1644.09282293223</v>
      </c>
      <c r="J136" s="80">
        <f>N28</f>
        <v>1658.73968785288</v>
      </c>
      <c r="K136" s="80">
        <f>O28</f>
        <v>1664.77941245279</v>
      </c>
      <c r="L136" s="80">
        <f>P28</f>
        <v>1664.72783147877</v>
      </c>
      <c r="M136" s="80">
        <f>Q28</f>
        <v>1660.46772105143</v>
      </c>
    </row>
    <row r="137" ht="16.5" customHeight="1" outlineLevel="1" spans="3:17">
      <c r="D137" s="69" t="s">
        <v>280</v>
      </c>
      <c r="E137" s="5"/>
      <c r="F137" s="5"/>
      <c r="G137" s="8"/>
      <c r="H137" s="8"/>
      <c r="I137" s="80">
        <f>I136*-$E$124</f>
        <v>-357.89313038122</v>
      </c>
      <c r="J137" s="80">
        <f>J136*-$E$124</f>
        <v>-361.081522340365</v>
      </c>
      <c r="K137" s="80">
        <f>K136*-$E$124</f>
        <v>-362.396275323622</v>
      </c>
      <c r="L137" s="80">
        <f>L136*-$E$124</f>
        <v>-362.385046957436</v>
      </c>
      <c r="M137" s="80">
        <f>M136*-$E$124</f>
        <v>-361.457687969338</v>
      </c>
    </row>
    <row r="138" ht="16.5" customHeight="1" outlineLevel="1" spans="3:17">
      <c r="D138" s="62" t="s">
        <v>281</v>
      </c>
      <c r="E138" s="123"/>
      <c r="F138" s="123"/>
      <c r="G138" s="61"/>
      <c r="H138" s="61"/>
      <c r="I138" s="165">
        <f>SUM(I136:I137)</f>
        <v>1286.19969255101</v>
      </c>
      <c r="J138" s="165">
        <f>SUM(J136:J137)</f>
        <v>1297.65816551252</v>
      </c>
      <c r="K138" s="165">
        <f>SUM(K136:K137)</f>
        <v>1302.38313712917</v>
      </c>
      <c r="L138" s="165">
        <f>SUM(L136:L137)</f>
        <v>1302.34278452134</v>
      </c>
      <c r="M138" s="165">
        <f>SUM(M136:M137)</f>
        <v>1299.01003308209</v>
      </c>
      <c r="N138" s="68"/>
    </row>
    <row r="139" ht="16.5" customHeight="1" outlineLevel="1" spans="3:17">
      <c r="D139" s="69" t="s">
        <v>232</v>
      </c>
      <c r="E139" s="5"/>
      <c r="F139" s="5"/>
      <c r="G139" s="8"/>
      <c r="H139" s="8"/>
      <c r="I139" s="80">
        <f>-M110</f>
        <v>221.52368492133</v>
      </c>
      <c r="J139" s="80">
        <f>-N110</f>
        <v>164.487257996915</v>
      </c>
      <c r="K139" s="80">
        <f>-O110</f>
        <v>121.163765694254</v>
      </c>
      <c r="L139" s="80">
        <f>-P110</f>
        <v>88.3461409655368</v>
      </c>
      <c r="M139" s="80">
        <f>-Q110</f>
        <v>63.568410354203</v>
      </c>
    </row>
    <row r="140" ht="16.5" customHeight="1" outlineLevel="1" spans="3:17">
      <c r="D140" s="69" t="s">
        <v>282</v>
      </c>
      <c r="E140" s="5"/>
      <c r="F140" s="5"/>
      <c r="G140" s="8"/>
      <c r="H140" s="8"/>
      <c r="I140" s="80">
        <f>-M109</f>
        <v>32.0874832952886</v>
      </c>
      <c r="J140" s="80">
        <f>-N109</f>
        <v>28.149659961886</v>
      </c>
      <c r="K140" s="80">
        <f>-O109</f>
        <v>24.7590523071978</v>
      </c>
      <c r="L140" s="80">
        <f>-P109</f>
        <v>21.8274716702006</v>
      </c>
      <c r="M140" s="80">
        <f>-Q109</f>
        <v>19.2831752117086</v>
      </c>
    </row>
    <row r="141" ht="16.5" customHeight="1" outlineLevel="1" spans="3:17">
      <c r="D141" s="69" t="s">
        <v>283</v>
      </c>
      <c r="E141" s="5"/>
      <c r="F141" s="5"/>
      <c r="G141" s="8"/>
      <c r="H141" s="8"/>
      <c r="I141" s="80">
        <f>M105</f>
        <v>685.593015377287</v>
      </c>
      <c r="J141" s="80">
        <f>N105</f>
        <v>72.8997445270486</v>
      </c>
      <c r="K141" s="80">
        <f>O105</f>
        <v>64.1190192126796</v>
      </c>
      <c r="L141" s="80">
        <f>P105</f>
        <v>56.5270454628394</v>
      </c>
      <c r="M141" s="80">
        <f>Q105</f>
        <v>49.9380293938616</v>
      </c>
    </row>
    <row r="142" ht="16.5" customHeight="1" outlineLevel="1" spans="3:17">
      <c r="C142" s="109"/>
      <c r="D142" s="166" t="s">
        <v>284</v>
      </c>
      <c r="E142" s="123"/>
      <c r="F142" s="123"/>
      <c r="G142" s="61"/>
      <c r="H142" s="61"/>
      <c r="I142" s="165">
        <f>SUM(I138:I141)</f>
        <v>2225.40387614491</v>
      </c>
      <c r="J142" s="165">
        <f>SUM(J138:J141)</f>
        <v>1563.19482799837</v>
      </c>
      <c r="K142" s="165">
        <f>SUM(K138:K141)</f>
        <v>1512.4249743433</v>
      </c>
      <c r="L142" s="165">
        <f>SUM(L138:L141)</f>
        <v>1469.04344261991</v>
      </c>
      <c r="M142" s="165">
        <f>SUM(M138:M141)</f>
        <v>1431.79964804186</v>
      </c>
      <c r="N142" s="68"/>
    </row>
    <row r="143" outlineLevel="1"/>
    <row r="144" ht="16.5" customHeight="1" outlineLevel="1" spans="3:17">
      <c r="D144" s="47" t="s">
        <v>285</v>
      </c>
      <c r="I144" s="134">
        <f>I142*I134</f>
        <v>1316.69729338574</v>
      </c>
      <c r="J144" s="134">
        <f>J142*J134</f>
        <v>1563.19482799837</v>
      </c>
      <c r="K144" s="134">
        <f>K142*K134</f>
        <v>1512.4249743433</v>
      </c>
      <c r="L144" s="134">
        <f>L142*L134</f>
        <v>1469.04344261991</v>
      </c>
      <c r="M144" s="134">
        <f>M142*M134</f>
        <v>1431.79964804186</v>
      </c>
      <c r="N144" s="134">
        <f>Q134</f>
        <v>45146.550107358</v>
      </c>
    </row>
    <row r="145" outlineLevel="1"/>
    <row r="146" ht="16.5" customHeight="1" outlineLevel="1" spans="1:17">
      <c r="D146" s="84" t="s">
        <v>286</v>
      </c>
      <c r="I146" s="47" t="s">
        <v>287</v>
      </c>
    </row>
    <row r="147" ht="16.5" customHeight="1" outlineLevel="1" spans="1:17">
      <c r="D147" s="148" t="s">
        <v>288</v>
      </c>
      <c r="E147" s="68"/>
      <c r="F147" s="144">
        <f>XNPV(E127,I144:N144,I132:N132)</f>
        <v>36764.9107086061</v>
      </c>
      <c r="I147" s="148" t="s">
        <v>289</v>
      </c>
      <c r="J147" s="109"/>
      <c r="K147" s="109"/>
      <c r="L147" s="167">
        <v>1538</v>
      </c>
    </row>
    <row r="148" ht="16.5" customHeight="1" outlineLevel="1" spans="1:17">
      <c r="D148" s="47" t="s">
        <v>290</v>
      </c>
      <c r="F148" s="134">
        <f>M39</f>
        <v>3759.99875155412</v>
      </c>
      <c r="I148" s="47" t="s">
        <v>291</v>
      </c>
      <c r="L148" s="134">
        <f>F153</f>
        <v>551.425166153299</v>
      </c>
    </row>
    <row r="149" ht="16.5" customHeight="1" outlineLevel="1" spans="1:17">
      <c r="D149" s="47" t="s">
        <v>292</v>
      </c>
      <c r="F149" s="134">
        <f>-L116</f>
        <v>-413</v>
      </c>
      <c r="I149" s="47" t="s">
        <v>293</v>
      </c>
      <c r="L149" s="124">
        <f>L148/L147-1</f>
        <v>-0.641466081824903</v>
      </c>
    </row>
    <row r="150" ht="16.5" customHeight="1" outlineLevel="1" spans="1:17">
      <c r="D150" s="47" t="s">
        <v>294</v>
      </c>
      <c r="F150" s="134">
        <f>-L65</f>
        <v>-4</v>
      </c>
    </row>
    <row r="151" ht="16.5" customHeight="1" outlineLevel="1" spans="1:17">
      <c r="D151" s="143" t="s">
        <v>295</v>
      </c>
      <c r="E151" s="68"/>
      <c r="F151" s="144">
        <f>SUM(F147:F150)</f>
        <v>40107.9094601602</v>
      </c>
    </row>
    <row r="152" outlineLevel="1"/>
    <row r="153" ht="16.5" customHeight="1" outlineLevel="1" spans="1:17">
      <c r="D153" s="84" t="s">
        <v>296</v>
      </c>
      <c r="F153" s="168">
        <f>F151/E128</f>
        <v>551.425166153299</v>
      </c>
    </row>
    <row r="155" ht="17.25" customHeight="1" spans="1:17">
      <c r="A155" s="46" t="s">
        <v>297</v>
      </c>
      <c r="B155" s="44"/>
      <c r="C155" s="44"/>
      <c r="D155" s="44"/>
      <c r="E155" s="45"/>
      <c r="F155" s="45"/>
      <c r="G155" s="44"/>
      <c r="H155" s="44"/>
      <c r="I155" s="44"/>
      <c r="J155" s="44"/>
      <c r="K155" s="44"/>
      <c r="L155" s="44"/>
      <c r="M155" s="45"/>
      <c r="N155" s="45"/>
      <c r="O155" s="45"/>
      <c r="P155" s="45"/>
      <c r="Q155" s="45"/>
    </row>
    <row r="156" outlineLevel="1"/>
    <row r="157" ht="16.5" customHeight="1" outlineLevel="1" spans="1:17">
      <c r="B157" s="50"/>
      <c r="C157" s="50"/>
      <c r="D157" s="50"/>
      <c r="E157" s="169"/>
      <c r="F157" s="169"/>
      <c r="H157" s="170"/>
      <c r="I157" s="171" t="s">
        <v>298</v>
      </c>
      <c r="J157" s="171"/>
      <c r="K157" s="171"/>
      <c r="L157" s="171"/>
      <c r="M157" s="171"/>
      <c r="N157" s="171"/>
      <c r="O157" s="171"/>
      <c r="P157" s="171"/>
      <c r="Q157" s="171"/>
    </row>
    <row r="158" ht="16.5" customHeight="1" outlineLevel="1" spans="1:17">
      <c r="B158" s="50"/>
      <c r="C158" s="50"/>
      <c r="D158" s="50"/>
      <c r="E158" s="169"/>
      <c r="F158" s="169"/>
    </row>
    <row r="159" ht="16.5" customHeight="1" outlineLevel="1" spans="1:17">
      <c r="B159" s="50"/>
      <c r="C159" s="50"/>
      <c r="D159" s="50"/>
      <c r="E159" s="169"/>
      <c r="F159" s="169"/>
    </row>
    <row r="160" ht="16.5" customHeight="1" outlineLevel="1" spans="1:17">
      <c r="B160" s="50"/>
      <c r="C160" s="50"/>
      <c r="D160" s="50"/>
      <c r="E160" s="169"/>
      <c r="F160" s="169"/>
    </row>
    <row r="161" ht="16.5" customHeight="1" outlineLevel="1" spans="2:16">
      <c r="B161" s="50"/>
      <c r="C161" s="50"/>
      <c r="D161" s="50"/>
      <c r="E161" s="169"/>
      <c r="F161" s="169"/>
      <c r="H161" s="8"/>
      <c r="I161" s="8"/>
      <c r="J161" s="8"/>
      <c r="K161" s="8"/>
      <c r="L161" s="8"/>
      <c r="M161" s="8"/>
      <c r="N161" s="8"/>
      <c r="O161" s="8"/>
      <c r="P161" s="8"/>
    </row>
    <row r="162" ht="16.5" customHeight="1" outlineLevel="1" spans="2:16">
      <c r="B162" s="50"/>
      <c r="C162" s="50"/>
      <c r="D162" s="50"/>
      <c r="E162" s="169"/>
      <c r="F162" s="169"/>
      <c r="H162" s="8"/>
      <c r="J162" s="8"/>
      <c r="K162" s="172" t="s">
        <v>299</v>
      </c>
      <c r="L162" s="173"/>
      <c r="M162" s="173"/>
      <c r="N162" s="173"/>
      <c r="O162" s="173"/>
      <c r="P162" s="8"/>
    </row>
    <row r="163" ht="16.5" customHeight="1" outlineLevel="1" spans="2:16">
      <c r="B163" s="50"/>
      <c r="C163" s="50"/>
      <c r="D163" s="50"/>
      <c r="E163" s="169"/>
      <c r="F163" s="169"/>
      <c r="H163" s="8"/>
      <c r="I163" s="174"/>
      <c r="J163" s="175">
        <f>F153</f>
        <v>551.425166153299</v>
      </c>
      <c r="K163" s="176">
        <v>25</v>
      </c>
      <c r="L163" s="176">
        <v>30</v>
      </c>
      <c r="M163" s="176">
        <f>E125</f>
        <v>35.2989827404325</v>
      </c>
      <c r="N163" s="176">
        <v>40</v>
      </c>
      <c r="O163" s="176">
        <v>45</v>
      </c>
      <c r="P163" s="8"/>
    </row>
    <row r="164" ht="16.5" customHeight="1" outlineLevel="1" spans="2:16">
      <c r="B164" s="50"/>
      <c r="C164" s="50"/>
      <c r="D164" s="50"/>
      <c r="E164" s="169"/>
      <c r="F164" s="169"/>
      <c r="H164" s="8"/>
      <c r="I164" s="177" t="s">
        <v>269</v>
      </c>
      <c r="J164" s="178">
        <f>J165-1%</f>
        <v>0.0810725063191222</v>
      </c>
      <c r="K164" s="179">
        <f>(SUMPRODUCT($I$144:$M$144/(1+$J164)^(($I$132:$M$132-$I$132)/365))+AVERAGE(K$163*($M$136+$M$139),$M$142*(1+$E$126)/($J164-$E$126))/(1+$J164)^(($N$132-$I$132)/365)+$F$148+$F$149+$F$150)/$E$128</f>
        <v>592.439310980139</v>
      </c>
      <c r="L164" s="180">
        <f>(SUMPRODUCT($I$144:$M$144/(1+$J164)^(($I$132:$M$132-$I$132)/365))+AVERAGE(L$163*($M$136+$M$139),$M$142*(1+$E$126)/($J164-$E$126))/(1+$J164)^(($N$132-$I$132)/365)+$F$148+$F$149+$F$150)/$E$128</f>
        <v>635.813451843114</v>
      </c>
      <c r="M164" s="180">
        <f>(SUMPRODUCT($I$144:$M$144/(1+$J164)^(($I$132:$M$132-$I$132)/365))+AVERAGE(M$163*($M$136+$M$139),$M$142*(1+$E$126)/($J164-$E$126))/(1+$J164)^(($N$132-$I$132)/365)+$F$148+$F$149+$F$150)/$E$128</f>
        <v>681.781216605914</v>
      </c>
      <c r="N164" s="180">
        <f>(SUMPRODUCT($I$144:$M$144/(1+$J164)^(($I$132:$M$132-$I$132)/365))+AVERAGE(N$163*($M$136+$M$139),$M$142*(1+$E$126)/($J164-$E$126))/(1+$J164)^(($N$132-$I$132)/365)+$F$148+$F$149+$F$150)/$E$128</f>
        <v>722.561733569066</v>
      </c>
      <c r="O164" s="180">
        <f>(SUMPRODUCT($I$144:$M$144/(1+$J164)^(($I$132:$M$132-$I$132)/365))+AVERAGE(O$163*($M$136+$M$139),$M$142*(1+$E$126)/($J164-$E$126))/(1+$J164)^(($N$132-$I$132)/365)+$F$148+$F$149+$F$150)/$E$128</f>
        <v>765.935874432042</v>
      </c>
      <c r="P164" s="8"/>
    </row>
    <row r="165" ht="16.5" customHeight="1" outlineLevel="1" spans="2:16">
      <c r="B165" s="50"/>
      <c r="C165" s="50"/>
      <c r="D165" s="50"/>
      <c r="E165" s="169"/>
      <c r="F165" s="169"/>
      <c r="H165" s="8"/>
      <c r="I165" s="177"/>
      <c r="J165" s="178">
        <f>J166-1%</f>
        <v>0.0910725063191222</v>
      </c>
      <c r="K165" s="181">
        <f>(SUMPRODUCT($I$144:$M$144/(1+$J165)^(($I$132:$M$132-$I$132)/365))+AVERAGE(K$163*($M$136+$M$139),$M$142*(1+$E$126)/($J165-$E$126))/(1+$J165)^(($N$132-$I$132)/365)+$F$148+$F$149+$F$150)/$E$128</f>
        <v>517.189494131339</v>
      </c>
      <c r="L165" s="182">
        <f>(SUMPRODUCT($I$144:$M$144/(1+$J165)^(($I$132:$M$132-$I$132)/365))+AVERAGE(L$163*($M$136+$M$139),$M$142*(1+$E$126)/($J165-$E$126))/(1+$J165)^(($N$132-$I$132)/365)+$F$148+$F$149+$F$150)/$E$128</f>
        <v>558.994161419792</v>
      </c>
      <c r="M165" s="182">
        <f>(SUMPRODUCT($I$144:$M$144/(1+$J165)^(($I$132:$M$132-$I$132)/365))+AVERAGE(M$163*($M$136+$M$139),$M$142*(1+$E$126)/($J165-$E$126))/(1+$J165)^(($N$132-$I$132)/365)+$F$148+$F$149+$F$150)/$E$128</f>
        <v>603.298603505999</v>
      </c>
      <c r="N165" s="182">
        <f>(SUMPRODUCT($I$144:$M$144/(1+$J165)^(($I$132:$M$132-$I$132)/365))+AVERAGE(N$163*($M$136+$M$139),$M$142*(1+$E$126)/($J165-$E$126))/(1+$J165)^(($N$132-$I$132)/365)+$F$148+$F$149+$F$150)/$E$128</f>
        <v>642.603495996697</v>
      </c>
      <c r="O165" s="182">
        <f>(SUMPRODUCT($I$144:$M$144/(1+$J165)^(($I$132:$M$132-$I$132)/365))+AVERAGE(O$163*($M$136+$M$139),$M$142*(1+$E$126)/($J165-$E$126))/(1+$J165)^(($N$132-$I$132)/365)+$F$148+$F$149+$F$150)/$E$128</f>
        <v>684.40816328515</v>
      </c>
      <c r="P165" s="8"/>
    </row>
    <row r="166" ht="16.5" customHeight="1" outlineLevel="1" spans="2:16">
      <c r="B166" s="50"/>
      <c r="C166" s="50"/>
      <c r="D166" s="50"/>
      <c r="E166" s="169"/>
      <c r="F166" s="169"/>
      <c r="H166" s="8"/>
      <c r="I166" s="177"/>
      <c r="J166" s="178">
        <f>E127</f>
        <v>0.101072506319122</v>
      </c>
      <c r="K166" s="181">
        <f>(SUMPRODUCT($I$144:$M$144/(1+$J166)^(($I$132:$M$132-$I$132)/365))+AVERAGE(K$163*($M$136+$M$139),$M$142*(1+$E$126)/($J166-$E$126))/(1+$J166)^(($N$132-$I$132)/365)+$F$148+$F$149+$F$150)/$E$128</f>
        <v>468.403964189914</v>
      </c>
      <c r="L166" s="182">
        <f>(SUMPRODUCT($I$144:$M$144/(1+$J166)^(($I$132:$M$132-$I$132)/365))+AVERAGE(L$163*($M$136+$M$139),$M$142*(1+$E$126)/($J166-$E$126))/(1+$J166)^(($N$132-$I$132)/365)+$F$148+$F$149+$F$150)/$E$128</f>
        <v>508.709499239242</v>
      </c>
      <c r="M166" s="182">
        <f>(SUMPRODUCT($I$144:$M$144/(1+$J166)^(($I$132:$M$132-$I$132)/365))+AVERAGE(M$163*($M$136+$M$139),$M$142*(1+$E$126)/($J166-$E$126))/(1+$J166)^(($N$132-$I$132)/365)+$F$148+$F$149+$F$150)/$E$128</f>
        <v>551.425166153299</v>
      </c>
      <c r="N166" s="182">
        <f>(SUMPRODUCT($I$144:$M$144/(1+$J166)^(($I$132:$M$132-$I$132)/365))+AVERAGE(N$163*($M$136+$M$139),$M$142*(1+$E$126)/($J166-$E$126))/(1+$J166)^(($N$132-$I$132)/365)+$F$148+$F$149+$F$150)/$E$128</f>
        <v>589.320569337898</v>
      </c>
      <c r="O166" s="182">
        <f>(SUMPRODUCT($I$144:$M$144/(1+$J166)^(($I$132:$M$132-$I$132)/365))+AVERAGE(O$163*($M$136+$M$139),$M$142*(1+$E$126)/($J166-$E$126))/(1+$J166)^(($N$132-$I$132)/365)+$F$148+$F$149+$F$150)/$E$128</f>
        <v>629.626104387226</v>
      </c>
      <c r="P166" s="8"/>
    </row>
    <row r="167" ht="16.5" customHeight="1" outlineLevel="1" spans="2:16">
      <c r="B167" s="50"/>
      <c r="C167" s="50"/>
      <c r="D167" s="50"/>
      <c r="E167" s="169"/>
      <c r="F167" s="169"/>
      <c r="H167" s="8"/>
      <c r="I167" s="177"/>
      <c r="J167" s="178">
        <f>J166+1%</f>
        <v>0.111072506319122</v>
      </c>
      <c r="K167" s="181">
        <f>(SUMPRODUCT($I$144:$M$144/(1+$J167)^(($I$132:$M$132-$I$132)/365))+AVERAGE(K$163*($M$136+$M$139),$M$142*(1+$E$126)/($J167-$E$126))/(1+$J167)^(($N$132-$I$132)/365)+$F$148+$F$149+$F$150)/$E$128</f>
        <v>433.249067617233</v>
      </c>
      <c r="L167" s="182">
        <f>(SUMPRODUCT($I$144:$M$144/(1+$J167)^(($I$132:$M$132-$I$132)/365))+AVERAGE(L$163*($M$136+$M$139),$M$142*(1+$E$126)/($J167-$E$126))/(1+$J167)^(($N$132-$I$132)/365)+$F$148+$F$149+$F$150)/$E$128</f>
        <v>472.122062664534</v>
      </c>
      <c r="M167" s="182">
        <f>(SUMPRODUCT($I$144:$M$144/(1+$J167)^(($I$132:$M$132-$I$132)/365))+AVERAGE(M$163*($M$136+$M$139),$M$142*(1+$E$126)/($J167-$E$126))/(1+$J167)^(($N$132-$I$132)/365)+$F$148+$F$149+$F$150)/$E$128</f>
        <v>513.319528629447</v>
      </c>
      <c r="N167" s="182">
        <f>(SUMPRODUCT($I$144:$M$144/(1+$J167)^(($I$132:$M$132-$I$132)/365))+AVERAGE(N$163*($M$136+$M$139),$M$142*(1+$E$126)/($J167-$E$126))/(1+$J167)^(($N$132-$I$132)/365)+$F$148+$F$149+$F$150)/$E$128</f>
        <v>549.868052759135</v>
      </c>
      <c r="O167" s="182">
        <f>(SUMPRODUCT($I$144:$M$144/(1+$J167)^(($I$132:$M$132-$I$132)/365))+AVERAGE(O$163*($M$136+$M$139),$M$142*(1+$E$126)/($J167-$E$126))/(1+$J167)^(($N$132-$I$132)/365)+$F$148+$F$149+$F$150)/$E$128</f>
        <v>588.741047806436</v>
      </c>
      <c r="P167" s="8"/>
    </row>
    <row r="168" ht="16.5" customHeight="1" outlineLevel="1" spans="2:16">
      <c r="B168" s="50"/>
      <c r="C168" s="50"/>
      <c r="D168" s="50"/>
      <c r="E168" s="169"/>
      <c r="F168" s="169"/>
      <c r="H168" s="8"/>
      <c r="I168" s="177"/>
      <c r="J168" s="178">
        <f>J167+1%</f>
        <v>0.121072506319122</v>
      </c>
      <c r="K168" s="181">
        <f>(SUMPRODUCT($I$144:$M$144/(1+$J168)^(($I$132:$M$132-$I$132)/365))+AVERAGE(K$163*($M$136+$M$139),$M$142*(1+$E$126)/($J168-$E$126))/(1+$J168)^(($N$132-$I$132)/365)+$F$148+$F$149+$F$150)/$E$128</f>
        <v>406.103981695934</v>
      </c>
      <c r="L168" s="182">
        <f>(SUMPRODUCT($I$144:$M$144/(1+$J168)^(($I$132:$M$132-$I$132)/365))+AVERAGE(L$163*($M$136+$M$139),$M$142*(1+$E$126)/($J168-$E$126))/(1+$J168)^(($N$132-$I$132)/365)+$F$148+$F$149+$F$150)/$E$128</f>
        <v>443.607510934275</v>
      </c>
      <c r="M168" s="182">
        <f>(SUMPRODUCT($I$144:$M$144/(1+$J168)^(($I$132:$M$132-$I$132)/365))+AVERAGE(M$163*($M$136+$M$139),$M$142*(1+$E$126)/($J168-$E$126))/(1+$J168)^(($N$132-$I$132)/365)+$F$148+$F$149+$F$150)/$E$128</f>
        <v>483.35362176213</v>
      </c>
      <c r="N168" s="182">
        <f>(SUMPRODUCT($I$144:$M$144/(1+$J168)^(($I$132:$M$132-$I$132)/365))+AVERAGE(N$163*($M$136+$M$139),$M$142*(1+$E$126)/($J168-$E$126))/(1+$J168)^(($N$132-$I$132)/365)+$F$148+$F$149+$F$150)/$E$128</f>
        <v>518.614569410956</v>
      </c>
      <c r="O168" s="182">
        <f>(SUMPRODUCT($I$144:$M$144/(1+$J168)^(($I$132:$M$132-$I$132)/365))+AVERAGE(O$163*($M$136+$M$139),$M$142*(1+$E$126)/($J168-$E$126))/(1+$J168)^(($N$132-$I$132)/365)+$F$148+$F$149+$F$150)/$E$128</f>
        <v>556.118098649297</v>
      </c>
      <c r="P168" s="8"/>
    </row>
    <row r="169" ht="16.5" customHeight="1" outlineLevel="1" spans="2:16">
      <c r="B169" s="50"/>
      <c r="C169" s="50"/>
      <c r="D169" s="50"/>
      <c r="E169" s="169"/>
      <c r="F169" s="169"/>
      <c r="H169" s="8"/>
      <c r="I169" s="8"/>
      <c r="J169" s="8"/>
      <c r="K169" s="8"/>
      <c r="L169" s="8"/>
      <c r="M169" s="8"/>
      <c r="N169" s="8"/>
      <c r="O169" s="8"/>
      <c r="P169" s="8"/>
    </row>
    <row r="170" ht="16.5" customHeight="1" outlineLevel="1" spans="2:16">
      <c r="B170" s="50"/>
      <c r="C170" s="50"/>
      <c r="D170" s="50"/>
      <c r="E170" s="169"/>
      <c r="F170" s="169"/>
      <c r="H170" s="8"/>
      <c r="I170" s="8"/>
      <c r="J170" s="8"/>
      <c r="K170" s="8"/>
      <c r="L170" s="8"/>
      <c r="M170" s="8"/>
      <c r="N170" s="8"/>
      <c r="O170" s="8"/>
      <c r="P170" s="8"/>
    </row>
    <row r="171" ht="16.5" customHeight="1" outlineLevel="1" spans="2:16">
      <c r="B171" s="50"/>
      <c r="C171" s="50"/>
      <c r="D171" s="50"/>
      <c r="E171" s="169"/>
      <c r="F171" s="169"/>
      <c r="H171" s="8"/>
      <c r="I171" s="8"/>
      <c r="J171" s="183"/>
      <c r="K171" s="20"/>
      <c r="L171" s="184"/>
      <c r="M171" s="20"/>
      <c r="N171" s="18"/>
      <c r="O171" s="18"/>
      <c r="P171" s="8"/>
    </row>
    <row r="172" ht="16.5" customHeight="1" outlineLevel="1" spans="2:16">
      <c r="B172" s="50"/>
      <c r="C172" s="50"/>
      <c r="D172" s="50"/>
      <c r="E172" s="169"/>
      <c r="F172" s="169"/>
      <c r="H172" s="8"/>
      <c r="I172" s="184"/>
      <c r="J172" s="183"/>
      <c r="K172" s="172" t="s">
        <v>300</v>
      </c>
      <c r="L172" s="185"/>
      <c r="M172" s="185"/>
      <c r="N172" s="185"/>
      <c r="O172" s="185"/>
      <c r="P172" s="8"/>
    </row>
    <row r="173" ht="16.5" customHeight="1" outlineLevel="1" spans="2:16">
      <c r="B173" s="50"/>
      <c r="C173" s="50"/>
      <c r="D173" s="50"/>
      <c r="E173" s="169"/>
      <c r="F173" s="169"/>
      <c r="H173" s="8"/>
      <c r="I173" s="8"/>
      <c r="J173" s="175">
        <f>F153</f>
        <v>551.425166153299</v>
      </c>
      <c r="K173" s="82">
        <f>L173-0.5%</f>
        <v>0.04</v>
      </c>
      <c r="L173" s="82">
        <f>M173-0.5%</f>
        <v>0.045</v>
      </c>
      <c r="M173" s="82">
        <f>E126</f>
        <v>0.05</v>
      </c>
      <c r="N173" s="82">
        <f>M173+0.5%</f>
        <v>0.055</v>
      </c>
      <c r="O173" s="82">
        <f>N173+0.5%</f>
        <v>0.06</v>
      </c>
      <c r="P173" s="8"/>
    </row>
    <row r="174" ht="16.5" customHeight="1" outlineLevel="1" spans="2:16">
      <c r="B174" s="50"/>
      <c r="C174" s="50"/>
      <c r="D174" s="50"/>
      <c r="E174" s="169"/>
      <c r="F174" s="169"/>
      <c r="H174" s="8"/>
      <c r="I174" s="177" t="s">
        <v>269</v>
      </c>
      <c r="J174" s="178">
        <f>J175-1%</f>
        <v>0.0810725063191222</v>
      </c>
      <c r="K174" s="179">
        <f>(SUMPRODUCT($I$144:$M$144/(1+$J174)^(($I$132:$M$132-$I$132)/365))+AVERAGE($E$125*($M$136+$M$139),$M$142*(1+K$173)/($J174-K$173))/(1+$J174)^(($N$132-$I$132)/365)+$F$148+$F$149+$F$150)/$E$128</f>
        <v>620.753924249116</v>
      </c>
      <c r="L174" s="180">
        <f>(SUMPRODUCT($I$144:$M$144/(1+$J174)^(($I$132:$M$132-$I$132)/365))+AVERAGE($E$125*($M$136+$M$139),$M$142*(1+L$173)/($J174-L$173))/(1+$J174)^(($N$132-$I$132)/365)+$F$148+$F$149+$F$150)/$E$128</f>
        <v>647.038082475049</v>
      </c>
      <c r="M174" s="180">
        <f>(SUMPRODUCT($I$144:$M$144/(1+$J174)^(($I$132:$M$132-$I$132)/365))+AVERAGE($E$125*($M$136+$M$139),$M$142*(1+M$173)/($J174-M$173))/(1+$J174)^(($N$132-$I$132)/365)+$F$148+$F$149+$F$150)/$E$128</f>
        <v>681.781216605914</v>
      </c>
      <c r="N174" s="180">
        <f>(SUMPRODUCT($I$144:$M$144/(1+$J174)^(($I$132:$M$132-$I$132)/365))+AVERAGE($E$125*($M$136+$M$139),$M$142*(1+N$173)/($J174-N$173))/(1+$J174)^(($N$132-$I$132)/365)+$F$148+$F$149+$F$150)/$E$128</f>
        <v>729.849933519507</v>
      </c>
      <c r="O174" s="180">
        <f>(SUMPRODUCT($I$144:$M$144/(1+$J174)^(($I$132:$M$132-$I$132)/365))+AVERAGE($E$125*($M$136+$M$139),$M$142*(1+O$173)/($J174-O$173))/(1+$J174)^(($N$132-$I$132)/365)+$F$148+$F$149+$F$150)/$E$128</f>
        <v>800.729756139103</v>
      </c>
      <c r="P174" s="8"/>
    </row>
    <row r="175" ht="16.5" customHeight="1" outlineLevel="1" spans="2:16">
      <c r="B175" s="50"/>
      <c r="C175" s="50"/>
      <c r="D175" s="50"/>
      <c r="E175" s="169"/>
      <c r="F175" s="169"/>
      <c r="H175" s="8"/>
      <c r="I175" s="177"/>
      <c r="J175" s="178">
        <f>J176-1%</f>
        <v>0.0910725063191222</v>
      </c>
      <c r="K175" s="181">
        <f>(SUMPRODUCT($I$144:$M$144/(1+$J175)^(($I$132:$M$132-$I$132)/365))+AVERAGE($E$125*($M$136+$M$139),$M$142*(1+K$173)/($J175-K$173))/(1+$J175)^(($N$132-$I$132)/365)+$F$148+$F$149+$F$150)/$E$128</f>
        <v>567.182084001241</v>
      </c>
      <c r="L175" s="182">
        <f>(SUMPRODUCT($I$144:$M$144/(1+$J175)^(($I$132:$M$132-$I$132)/365))+AVERAGE($E$125*($M$136+$M$139),$M$142*(1+L$173)/($J175-L$173))/(1+$J175)^(($N$132-$I$132)/365)+$F$148+$F$149+$F$150)/$E$128</f>
        <v>583.280578462439</v>
      </c>
      <c r="M175" s="182">
        <f>(SUMPRODUCT($I$144:$M$144/(1+$J175)^(($I$132:$M$132-$I$132)/365))+AVERAGE($E$125*($M$136+$M$139),$M$142*(1+M$173)/($J175-M$173))/(1+$J175)^(($N$132-$I$132)/365)+$F$148+$F$149+$F$150)/$E$128</f>
        <v>603.298603505999</v>
      </c>
      <c r="N175" s="182">
        <f>(SUMPRODUCT($I$144:$M$144/(1+$J175)^(($I$132:$M$132-$I$132)/365))+AVERAGE($E$125*($M$136+$M$139),$M$142*(1+N$173)/($J175-N$173))/(1+$J175)^(($N$132-$I$132)/365)+$F$148+$F$149+$F$150)/$E$128</f>
        <v>628.866014241382</v>
      </c>
      <c r="O175" s="182">
        <f>(SUMPRODUCT($I$144:$M$144/(1+$J175)^(($I$132:$M$132-$I$132)/365))+AVERAGE($E$125*($M$136+$M$139),$M$142*(1+O$173)/($J175-O$173))/(1+$J175)^(($N$132-$I$132)/365)+$F$148+$F$149+$F$150)/$E$128</f>
        <v>662.661731529446</v>
      </c>
      <c r="P175" s="8"/>
    </row>
    <row r="176" ht="16.5" customHeight="1" outlineLevel="1" spans="2:16">
      <c r="B176" s="50"/>
      <c r="C176" s="50"/>
      <c r="D176" s="50"/>
      <c r="E176" s="169"/>
      <c r="F176" s="169"/>
      <c r="H176" s="8"/>
      <c r="I176" s="177"/>
      <c r="J176" s="178">
        <f>E127</f>
        <v>0.101072506319122</v>
      </c>
      <c r="K176" s="181">
        <f>(SUMPRODUCT($I$144:$M$144/(1+$J176)^(($I$132:$M$132-$I$132)/365))+AVERAGE($E$125*($M$136+$M$139),$M$142*(1+K$173)/($J176-K$173))/(1+$J176)^(($N$132-$I$132)/365)+$F$148+$F$149+$F$150)/$E$128</f>
        <v>527.792453257324</v>
      </c>
      <c r="L176" s="182">
        <f>(SUMPRODUCT($I$144:$M$144/(1+$J176)^(($I$132:$M$132-$I$132)/365))+AVERAGE($E$125*($M$136+$M$139),$M$142*(1+L$173)/($J176-L$173))/(1+$J176)^(($N$132-$I$132)/365)+$F$148+$F$149+$F$150)/$E$128</f>
        <v>538.555142121706</v>
      </c>
      <c r="M176" s="182">
        <f>(SUMPRODUCT($I$144:$M$144/(1+$J176)^(($I$132:$M$132-$I$132)/365))+AVERAGE($E$125*($M$136+$M$139),$M$142*(1+M$173)/($J176-M$173))/(1+$J176)^(($N$132-$I$132)/365)+$F$148+$F$149+$F$150)/$E$128</f>
        <v>551.425166153299</v>
      </c>
      <c r="N176" s="182">
        <f>(SUMPRODUCT($I$144:$M$144/(1+$J176)^(($I$132:$M$132-$I$132)/365))+AVERAGE($E$125*($M$136+$M$139),$M$142*(1+N$173)/($J176-N$173))/(1+$J176)^(($N$132-$I$132)/365)+$F$148+$F$149+$F$150)/$E$128</f>
        <v>567.088618426552</v>
      </c>
      <c r="O176" s="182">
        <f>(SUMPRODUCT($I$144:$M$144/(1+$J176)^(($I$132:$M$132-$I$132)/365))+AVERAGE($E$125*($M$136+$M$139),$M$142*(1+O$173)/($J176-O$173))/(1+$J176)^(($N$132-$I$132)/365)+$F$148+$F$149+$F$150)/$E$128</f>
        <v>586.565680746281</v>
      </c>
      <c r="P176" s="8"/>
    </row>
    <row r="177" ht="16.5" customHeight="1" outlineLevel="1" spans="2:16">
      <c r="B177" s="50"/>
      <c r="C177" s="50"/>
      <c r="D177" s="50"/>
      <c r="E177" s="169"/>
      <c r="F177" s="169"/>
      <c r="H177" s="8"/>
      <c r="I177" s="177"/>
      <c r="J177" s="178">
        <f>J176+1%</f>
        <v>0.111072506319122</v>
      </c>
      <c r="K177" s="181">
        <f>(SUMPRODUCT($I$144:$M$144/(1+$J177)^(($I$132:$M$132-$I$132)/365))+AVERAGE($E$125*($M$136+$M$139),$M$142*(1+K$173)/($J177-K$173))/(1+$J177)^(($N$132-$I$132)/365)+$F$148+$F$149+$F$150)/$E$128</f>
        <v>496.791962107474</v>
      </c>
      <c r="L177" s="182">
        <f>(SUMPRODUCT($I$144:$M$144/(1+$J177)^(($I$132:$M$132-$I$132)/365))+AVERAGE($E$125*($M$136+$M$139),$M$142*(1+L$173)/($J177-L$173))/(1+$J177)^(($N$132-$I$132)/365)+$F$148+$F$149+$F$150)/$E$128</f>
        <v>504.430388187285</v>
      </c>
      <c r="M177" s="182">
        <f>(SUMPRODUCT($I$144:$M$144/(1+$J177)^(($I$132:$M$132-$I$132)/365))+AVERAGE($E$125*($M$136+$M$139),$M$142*(1+M$173)/($J177-M$173))/(1+$J177)^(($N$132-$I$132)/365)+$F$148+$F$149+$F$150)/$E$128</f>
        <v>513.319528629447</v>
      </c>
      <c r="N177" s="182">
        <f>(SUMPRODUCT($I$144:$M$144/(1+$J177)^(($I$132:$M$132-$I$132)/365))+AVERAGE($E$125*($M$136+$M$139),$M$142*(1+N$173)/($J177-N$173))/(1+$J177)^(($N$132-$I$132)/365)+$F$148+$F$149+$F$150)/$E$128</f>
        <v>523.793963010776</v>
      </c>
      <c r="O177" s="182">
        <f>(SUMPRODUCT($I$144:$M$144/(1+$J177)^(($I$132:$M$132-$I$132)/365))+AVERAGE($E$125*($M$136+$M$139),$M$142*(1+O$173)/($J177-O$173))/(1+$J177)^(($N$132-$I$132)/365)+$F$148+$F$149+$F$150)/$E$128</f>
        <v>536.319292313118</v>
      </c>
      <c r="P177" s="8"/>
    </row>
    <row r="178" ht="16.5" customHeight="1" outlineLevel="1" spans="2:16">
      <c r="B178" s="50"/>
      <c r="C178" s="50"/>
      <c r="D178" s="50"/>
      <c r="E178" s="169"/>
      <c r="F178" s="169"/>
      <c r="H178" s="8"/>
      <c r="I178" s="177"/>
      <c r="J178" s="178">
        <f>J177+1%</f>
        <v>0.121072506319122</v>
      </c>
      <c r="K178" s="181">
        <f>(SUMPRODUCT($I$144:$M$144/(1+$J178)^(($I$132:$M$132-$I$132)/365))+AVERAGE($E$125*($M$136+$M$139),$M$142*(1+K$173)/($J178-K$173))/(1+$J178)^(($N$132-$I$132)/365)+$F$148+$F$149+$F$150)/$E$128</f>
        <v>471.233792713257</v>
      </c>
      <c r="L178" s="182">
        <f>(SUMPRODUCT($I$144:$M$144/(1+$J178)^(($I$132:$M$132-$I$132)/365))+AVERAGE($E$125*($M$136+$M$139),$M$142*(1+L$173)/($J178-L$173))/(1+$J178)^(($N$132-$I$132)/365)+$F$148+$F$149+$F$150)/$E$128</f>
        <v>476.895408639576</v>
      </c>
      <c r="M178" s="182">
        <f>(SUMPRODUCT($I$144:$M$144/(1+$J178)^(($I$132:$M$132-$I$132)/365))+AVERAGE($E$125*($M$136+$M$139),$M$142*(1+M$173)/($J178-M$173))/(1+$J178)^(($N$132-$I$132)/365)+$F$148+$F$149+$F$150)/$E$128</f>
        <v>483.35362176213</v>
      </c>
      <c r="N178" s="182">
        <f>(SUMPRODUCT($I$144:$M$144/(1+$J178)^(($I$132:$M$132-$I$132)/365))+AVERAGE($E$125*($M$136+$M$139),$M$142*(1+N$173)/($J178-N$173))/(1+$J178)^(($N$132-$I$132)/365)+$F$148+$F$149+$F$150)/$E$128</f>
        <v>490.789278224181</v>
      </c>
      <c r="O178" s="182">
        <f>(SUMPRODUCT($I$144:$M$144/(1+$J178)^(($I$132:$M$132-$I$132)/365))+AVERAGE($E$125*($M$136+$M$139),$M$142*(1+O$173)/($J178-O$173))/(1+$J178)^(($N$132-$I$132)/365)+$F$148+$F$149+$F$150)/$E$128</f>
        <v>499.442447591826</v>
      </c>
      <c r="P178" s="8"/>
    </row>
    <row r="179" ht="16.5" customHeight="1" outlineLevel="1" spans="2:16">
      <c r="B179" s="50"/>
      <c r="C179" s="50"/>
      <c r="D179" s="50"/>
      <c r="E179" s="169"/>
      <c r="F179" s="169"/>
      <c r="H179" s="8"/>
      <c r="I179" s="8"/>
      <c r="J179" s="8"/>
      <c r="K179" s="8"/>
      <c r="L179" s="8"/>
      <c r="M179" s="8"/>
      <c r="N179" s="8"/>
      <c r="O179" s="8"/>
      <c r="P179" s="8"/>
    </row>
    <row r="180" ht="16.5" customHeight="1" outlineLevel="1" spans="2:16">
      <c r="B180" s="50"/>
      <c r="C180" s="50"/>
      <c r="D180" s="50"/>
      <c r="E180" s="169"/>
      <c r="F180" s="169"/>
    </row>
  </sheetData>
  <mergeCells count="5">
    <mergeCell ref="H1:L1"/>
    <mergeCell ref="M1:Q1"/>
    <mergeCell ref="I157:Q157"/>
    <mergeCell ref="I164:I168"/>
    <mergeCell ref="I174:I178"/>
  </mergeCells>
  <dataValidations count="1">
    <dataValidation type="list" allowBlank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:Q1 B2:Q2 A3:Q5 A6:D6 F6:Q6 A7:Q97 B98:Q98 A149:Q180 G148:Q148 A148:E148 A99:Q140 A141:H141 N141:Q141 A142:Q14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zoomScale="126" zoomScaleNormal="126" workbookViewId="0">
      <selection activeCell="E5" sqref="E5"/>
    </sheetView>
  </sheetViews>
  <sheetFormatPr defaultColWidth="9.16071428571429" defaultRowHeight="16.8" outlineLevelRow="7"/>
  <cols>
    <col min="1" max="3" width="1.24107142857143" style="1" customWidth="1"/>
    <col min="4" max="4" width="40.6428571428571" style="1" customWidth="1"/>
    <col min="7" max="7" width="2.64285714285714" style="1" customWidth="1"/>
    <col min="8" max="16" width="12.6428571428571" style="1" customWidth="1"/>
  </cols>
  <sheetData>
    <row r="1" ht="33.75" customHeight="1" spans="1: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59"/>
      <c r="N1" s="59"/>
      <c r="O1" s="59"/>
    </row>
    <row r="2" ht="16.5" customHeight="1" spans="1:15">
      <c r="A2" s="12" t="s">
        <v>301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  <c r="M2" s="59"/>
      <c r="N2" s="59"/>
      <c r="O2" s="59"/>
    </row>
    <row r="3" ht="16.5" customHeight="1" spans="1:15">
      <c r="M3" s="59"/>
      <c r="N3" s="59"/>
      <c r="O3" s="59"/>
    </row>
    <row r="4" ht="16.5" customHeight="1" spans="1:15">
      <c r="D4" s="14" t="s">
        <v>302</v>
      </c>
      <c r="E4" s="15" t="s">
        <v>303</v>
      </c>
      <c r="H4" s="108">
        <f>Model!M2</f>
        <v>2027</v>
      </c>
      <c r="I4" s="108">
        <f>Model!N2</f>
        <v>2028</v>
      </c>
      <c r="J4" s="108">
        <f>Model!O2</f>
        <v>2029</v>
      </c>
      <c r="K4" s="108">
        <f>Model!P2</f>
        <v>2030</v>
      </c>
      <c r="L4" s="108">
        <f>Model!Q2</f>
        <v>2031</v>
      </c>
    </row>
    <row r="5" ht="16.5" customHeight="1" spans="1:15">
      <c r="C5" s="109"/>
      <c r="D5" s="61" t="s">
        <v>177</v>
      </c>
      <c r="E5" s="110">
        <f>AVERAGE(Model!I7:L7)</f>
        <v>-0.0252460852159285</v>
      </c>
      <c r="F5" s="68"/>
      <c r="G5" s="68"/>
      <c r="H5" s="111">
        <f>E5</f>
        <v>-0.0252460852159285</v>
      </c>
      <c r="I5" s="111">
        <f>H5*(1-$E$8)</f>
        <v>-0.0227214766943357</v>
      </c>
      <c r="J5" s="111">
        <f>I5*(1-$E$8)</f>
        <v>-0.0204493290249021</v>
      </c>
      <c r="K5" s="111">
        <f>J5*(1-$E$8)</f>
        <v>-0.0184043961224119</v>
      </c>
      <c r="L5" s="111">
        <f>K5*(1-$E$8)</f>
        <v>-0.0165639565101707</v>
      </c>
    </row>
    <row r="6" ht="16.5" customHeight="1" spans="1:15">
      <c r="D6" s="8" t="s">
        <v>304</v>
      </c>
      <c r="E6" s="112">
        <f>MAX(Model!I7:L7)</f>
        <v>0.0483511415174109</v>
      </c>
      <c r="H6" s="113">
        <f>E6</f>
        <v>0.0483511415174109</v>
      </c>
      <c r="I6" s="113">
        <f>H6*(1-$E$8)</f>
        <v>0.0435160273656698</v>
      </c>
      <c r="J6" s="113">
        <f>I6*(1-$E$8)</f>
        <v>0.0391644246291029</v>
      </c>
      <c r="K6" s="113">
        <f>J6*(1-$E$8)</f>
        <v>0.0352479821661926</v>
      </c>
      <c r="L6" s="113">
        <f>K6*(1-$E$8)</f>
        <v>0.0317231839495733</v>
      </c>
    </row>
    <row r="7" ht="16.5" customHeight="1" spans="1:15">
      <c r="D7" s="8" t="s">
        <v>305</v>
      </c>
      <c r="E7" s="112">
        <f>MIN(Model!I7:L7)</f>
        <v>-0.104514226477538</v>
      </c>
      <c r="H7" s="113">
        <f>E7</f>
        <v>-0.104514226477538</v>
      </c>
      <c r="I7" s="113">
        <f>H7*(1-$E$8)</f>
        <v>-0.0940628038297844</v>
      </c>
      <c r="J7" s="113">
        <f>I7*(1-$E$8)</f>
        <v>-0.084656523446806</v>
      </c>
      <c r="K7" s="113">
        <f>J7*(1-$E$8)</f>
        <v>-0.0761908711021254</v>
      </c>
      <c r="L7" s="113">
        <f>K7*(1-$E$8)</f>
        <v>-0.0685717839919129</v>
      </c>
    </row>
    <row r="8" ht="16.5" customHeight="1" spans="1:15">
      <c r="D8" s="8" t="s">
        <v>306</v>
      </c>
      <c r="E8" s="114">
        <v>0.1</v>
      </c>
      <c r="H8" s="115"/>
      <c r="I8" s="115"/>
      <c r="J8" s="115"/>
      <c r="K8" s="115"/>
      <c r="L8" s="11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workbookViewId="0">
      <selection activeCell="F24" sqref="F2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56.5714285714286" customWidth="1"/>
    <col min="7" max="7" width="18.2142857142857" style="1" customWidth="1"/>
    <col min="8" max="12" width="12.6428571428571" style="1" customWidth="1"/>
  </cols>
  <sheetData>
    <row r="1" ht="33.75" customHeight="1" spans="1:1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ht="16.5" customHeight="1" spans="1:13">
      <c r="A2" s="12" t="s">
        <v>307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3"/>
    </row>
    <row r="5" ht="16.5" customHeight="1" spans="1:13">
      <c r="C5" s="8"/>
      <c r="D5" s="8"/>
      <c r="E5" s="60"/>
      <c r="F5" s="60"/>
      <c r="G5" s="60"/>
      <c r="H5" s="60"/>
      <c r="I5" s="8"/>
      <c r="J5" s="8"/>
      <c r="K5" s="8"/>
      <c r="L5" s="8"/>
    </row>
    <row r="6" ht="16.5" customHeight="1" spans="1:13">
      <c r="C6" s="8"/>
      <c r="D6" s="94" t="s">
        <v>308</v>
      </c>
      <c r="E6" s="94" t="s">
        <v>309</v>
      </c>
      <c r="F6" s="95"/>
      <c r="G6" s="96" t="s">
        <v>310</v>
      </c>
      <c r="H6" s="94" t="s">
        <v>311</v>
      </c>
      <c r="I6" s="94" t="s">
        <v>312</v>
      </c>
      <c r="J6" s="94" t="s">
        <v>313</v>
      </c>
      <c r="K6" s="94" t="s">
        <v>314</v>
      </c>
      <c r="L6" s="94" t="s">
        <v>315</v>
      </c>
      <c r="M6" s="97"/>
    </row>
    <row r="7" ht="16.5" customHeight="1" spans="1:13">
      <c r="C7" s="8"/>
      <c r="D7" s="98" t="s">
        <v>316</v>
      </c>
      <c r="E7" s="98" t="s">
        <v>317</v>
      </c>
      <c r="F7" s="99"/>
      <c r="G7" s="100">
        <v>6</v>
      </c>
      <c r="H7" s="100">
        <v>6</v>
      </c>
      <c r="I7" s="100">
        <v>0</v>
      </c>
      <c r="J7" s="100">
        <v>0</v>
      </c>
      <c r="K7" s="100">
        <v>0</v>
      </c>
      <c r="L7" s="100">
        <v>0</v>
      </c>
      <c r="M7" s="101"/>
    </row>
    <row r="8" ht="16.5" customHeight="1" spans="1:13">
      <c r="C8" s="8"/>
      <c r="D8" s="98" t="s">
        <v>318</v>
      </c>
      <c r="E8" s="98" t="s">
        <v>319</v>
      </c>
      <c r="F8" s="99"/>
      <c r="G8" s="100">
        <v>461</v>
      </c>
      <c r="H8" s="100">
        <v>127</v>
      </c>
      <c r="I8" s="100">
        <v>78</v>
      </c>
      <c r="J8" s="100">
        <v>48.33</v>
      </c>
      <c r="K8" s="100">
        <f>J8</f>
        <v>48.33</v>
      </c>
      <c r="L8" s="100">
        <f>J8</f>
        <v>48.33</v>
      </c>
      <c r="M8" s="102"/>
    </row>
    <row r="9" ht="16.5" customHeight="1" spans="1:13">
      <c r="C9" s="8"/>
      <c r="D9" s="8"/>
      <c r="E9" s="103"/>
      <c r="F9" s="99"/>
      <c r="G9" s="104"/>
      <c r="H9" s="104"/>
      <c r="I9" s="104"/>
      <c r="J9" s="104"/>
      <c r="K9" s="104"/>
      <c r="L9" s="104"/>
      <c r="M9" s="105"/>
    </row>
    <row r="10" spans="1:13">
      <c r="C10" s="8"/>
      <c r="D10" s="8"/>
      <c r="E10" s="99"/>
      <c r="F10" s="99"/>
      <c r="G10" s="98"/>
      <c r="H10" s="8"/>
      <c r="I10" s="8"/>
      <c r="J10" s="8"/>
      <c r="K10" s="8"/>
      <c r="L10" s="8"/>
    </row>
    <row r="11" spans="1:13">
      <c r="C11" s="8"/>
      <c r="D11" s="98" t="s">
        <v>320</v>
      </c>
      <c r="E11" s="103"/>
      <c r="F11" s="99"/>
      <c r="G11" s="100">
        <v>127</v>
      </c>
      <c r="H11" s="8"/>
      <c r="I11" s="8"/>
      <c r="J11" s="8"/>
      <c r="K11" s="8"/>
      <c r="L11" s="8"/>
    </row>
    <row r="12" spans="1:13">
      <c r="C12" s="8"/>
      <c r="D12" s="98" t="s">
        <v>321</v>
      </c>
      <c r="E12" s="103"/>
      <c r="F12" s="99"/>
      <c r="G12" s="100">
        <v>78</v>
      </c>
      <c r="H12" s="8"/>
      <c r="I12" s="8"/>
      <c r="J12" s="8"/>
      <c r="K12" s="8"/>
      <c r="L12" s="8"/>
    </row>
    <row r="13" spans="1:13">
      <c r="C13" s="8"/>
      <c r="D13" s="98" t="s">
        <v>322</v>
      </c>
      <c r="E13" s="103"/>
      <c r="F13" s="99"/>
      <c r="G13" s="100">
        <v>145</v>
      </c>
      <c r="H13" s="8"/>
      <c r="I13" s="8"/>
      <c r="J13" s="8"/>
      <c r="K13" s="8"/>
      <c r="L13" s="8"/>
    </row>
    <row r="14" spans="1:13">
      <c r="C14" s="8"/>
      <c r="D14" s="98" t="s">
        <v>323</v>
      </c>
      <c r="E14" s="103"/>
      <c r="F14" s="99"/>
      <c r="G14" s="100">
        <v>111</v>
      </c>
      <c r="H14" s="8"/>
      <c r="I14" s="8"/>
      <c r="J14" s="8"/>
      <c r="K14" s="8"/>
      <c r="L14" s="8"/>
    </row>
    <row r="15" spans="1:13">
      <c r="C15" s="8"/>
      <c r="D15" s="8"/>
      <c r="E15" s="106" t="s">
        <v>324</v>
      </c>
      <c r="F15" s="99"/>
      <c r="G15" s="61">
        <f t="shared" ref="G15:L15" si="0">SUM(G7:G14)</f>
        <v>928</v>
      </c>
      <c r="H15" s="61">
        <f t="shared" si="0"/>
        <v>133</v>
      </c>
      <c r="I15" s="61">
        <f t="shared" si="0"/>
        <v>78</v>
      </c>
      <c r="J15" s="61">
        <f t="shared" si="0"/>
        <v>48.33</v>
      </c>
      <c r="K15" s="61">
        <f t="shared" si="0"/>
        <v>48.33</v>
      </c>
      <c r="L15" s="61">
        <f t="shared" si="0"/>
        <v>48.33</v>
      </c>
    </row>
    <row r="16" spans="1:13">
      <c r="C16" s="8"/>
      <c r="D16" s="8"/>
      <c r="E16" s="99"/>
      <c r="F16" s="99"/>
      <c r="G16" s="8"/>
      <c r="H16" s="8"/>
      <c r="I16" s="8"/>
      <c r="J16" s="8"/>
      <c r="K16" s="8"/>
      <c r="L16" s="8"/>
    </row>
    <row r="17" spans="3:12">
      <c r="C17" s="8"/>
      <c r="D17" s="8"/>
      <c r="E17" s="99"/>
      <c r="F17" s="99"/>
      <c r="G17" s="8"/>
      <c r="H17" s="8"/>
      <c r="I17" s="8"/>
      <c r="J17" s="8"/>
      <c r="K17" s="8"/>
      <c r="L17" s="8"/>
    </row>
    <row r="18" ht="16.5" customHeight="1" spans="3:12">
      <c r="C18" s="107"/>
      <c r="D18" s="8"/>
      <c r="E18" s="99"/>
      <c r="F18" s="99"/>
      <c r="G18" s="8"/>
      <c r="H18" s="8"/>
      <c r="I18" s="8"/>
      <c r="J18" s="8"/>
      <c r="K18" s="8"/>
      <c r="L18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23"/>
  <sheetViews>
    <sheetView showGridLines="0" workbookViewId="0">
      <selection activeCell="Q15" sqref="Q15"/>
    </sheetView>
  </sheetViews>
  <sheetFormatPr defaultColWidth="8.67857142857143" defaultRowHeight="15" customHeight="1"/>
  <cols>
    <col min="1" max="3" width="1.24107142857143" style="1" customWidth="1"/>
    <col min="4" max="4" width="9.82142857142857" style="1" customWidth="1"/>
    <col min="5" max="5" width="8.17857142857143" style="1" customWidth="1"/>
    <col min="6" max="6" width="10.7767857142857" style="1" customWidth="1"/>
    <col min="7" max="7" width="15" style="1" customWidth="1"/>
    <col min="8" max="8" width="10" style="1" customWidth="1"/>
    <col min="9" max="9" width="12" style="1" customWidth="1"/>
    <col min="10" max="12" width="8.67857142857143" style="1"/>
  </cols>
  <sheetData>
    <row r="1" ht="33.75" customHeight="1" spans="1:16">
      <c r="A1" s="83" t="s">
        <v>0</v>
      </c>
      <c r="B1" s="11"/>
      <c r="C1" s="11"/>
      <c r="D1" s="11"/>
      <c r="E1" s="1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</row>
    <row r="2" customHeight="1" spans="1:16">
      <c r="A2" s="7" t="s">
        <v>325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</row>
    <row r="3"/>
    <row r="4" customHeight="1" spans="1:16">
      <c r="A4" s="84"/>
      <c r="F4" s="59"/>
      <c r="G4" s="59"/>
      <c r="H4" s="59"/>
      <c r="I4" s="59"/>
      <c r="J4" s="59"/>
      <c r="K4" s="59"/>
      <c r="L4" s="59"/>
    </row>
    <row r="5" customHeight="1" spans="1:16">
      <c r="F5" s="85"/>
      <c r="G5" s="85" t="s">
        <v>326</v>
      </c>
      <c r="H5" s="59"/>
      <c r="I5" s="5"/>
      <c r="J5" s="5"/>
      <c r="K5" s="5"/>
      <c r="L5" s="59"/>
    </row>
    <row r="6" customHeight="1" spans="1:16">
      <c r="F6" s="85" t="s">
        <v>275</v>
      </c>
      <c r="G6" s="85" t="s">
        <v>327</v>
      </c>
      <c r="H6" s="59"/>
      <c r="I6" s="5"/>
      <c r="J6" s="5"/>
      <c r="K6" s="5"/>
      <c r="L6" s="59"/>
    </row>
    <row r="7" customHeight="1" spans="1:16">
      <c r="F7" s="86">
        <v>46230</v>
      </c>
      <c r="G7" s="87">
        <v>23995.95</v>
      </c>
      <c r="H7" s="59"/>
      <c r="I7" s="5"/>
      <c r="J7" s="88" t="s">
        <v>328</v>
      </c>
      <c r="K7" s="5"/>
      <c r="L7" s="89">
        <v>9</v>
      </c>
    </row>
    <row r="8" customHeight="1" spans="1:16">
      <c r="F8" s="86">
        <v>46227</v>
      </c>
      <c r="G8" s="87">
        <v>23767.45</v>
      </c>
      <c r="H8" s="59"/>
      <c r="I8" s="5"/>
      <c r="J8" s="88"/>
      <c r="K8" s="5"/>
      <c r="L8" s="5"/>
    </row>
    <row r="9" customHeight="1" spans="1:16">
      <c r="F9" s="86">
        <v>46226</v>
      </c>
      <c r="G9" s="87">
        <v>23869.6</v>
      </c>
      <c r="H9" s="59"/>
      <c r="I9" s="5"/>
      <c r="J9" s="88" t="s">
        <v>329</v>
      </c>
      <c r="K9" s="5"/>
      <c r="L9" s="90">
        <f>_xlfn.RRI(L7,G2623,G7)</f>
        <v>0.130388716842143</v>
      </c>
    </row>
    <row r="10" customHeight="1" spans="1:16">
      <c r="F10" s="86">
        <v>46225</v>
      </c>
      <c r="G10" s="87">
        <v>23996.25</v>
      </c>
      <c r="H10" s="59"/>
      <c r="I10" s="5"/>
      <c r="J10" s="5"/>
      <c r="K10" s="5"/>
      <c r="L10" s="59"/>
    </row>
    <row r="11" customHeight="1" spans="1:16">
      <c r="F11" s="86">
        <v>46224</v>
      </c>
      <c r="G11" s="87">
        <v>24187.7</v>
      </c>
      <c r="H11" s="59"/>
      <c r="I11" s="5"/>
      <c r="J11" s="5"/>
      <c r="K11" s="5"/>
      <c r="L11" s="59"/>
    </row>
    <row r="12" customHeight="1" spans="1:16">
      <c r="F12" s="86">
        <v>46223</v>
      </c>
      <c r="G12" s="87">
        <v>24238.5</v>
      </c>
      <c r="H12" s="59"/>
      <c r="I12" s="5"/>
      <c r="J12" s="5"/>
      <c r="K12" s="5"/>
      <c r="L12" s="59"/>
    </row>
    <row r="13" customHeight="1" spans="1:16">
      <c r="F13" s="86">
        <v>46220</v>
      </c>
      <c r="G13" s="87">
        <v>24334.3</v>
      </c>
      <c r="H13" s="59"/>
      <c r="I13" s="5"/>
      <c r="J13" s="5"/>
      <c r="K13" s="5"/>
      <c r="L13" s="59"/>
    </row>
    <row r="14" customHeight="1" spans="1:16">
      <c r="F14" s="86">
        <v>46219</v>
      </c>
      <c r="G14" s="87">
        <v>24072.75</v>
      </c>
      <c r="H14" s="59"/>
      <c r="I14" s="5"/>
      <c r="J14" s="5"/>
      <c r="K14" s="5"/>
      <c r="L14" s="59"/>
    </row>
    <row r="15" customHeight="1" spans="1:16">
      <c r="F15" s="86">
        <v>46218</v>
      </c>
      <c r="G15" s="87">
        <v>24078.5</v>
      </c>
      <c r="H15" s="59"/>
      <c r="I15" s="5"/>
      <c r="J15" s="5"/>
      <c r="K15" s="5"/>
      <c r="L15" s="59"/>
    </row>
    <row r="16" customHeight="1" spans="1:16">
      <c r="F16" s="86">
        <v>46217</v>
      </c>
      <c r="G16" s="87">
        <v>24052.05</v>
      </c>
      <c r="H16" s="59"/>
      <c r="I16" s="5"/>
      <c r="J16" s="5"/>
      <c r="K16" s="5"/>
      <c r="L16" s="59"/>
    </row>
    <row r="17" customHeight="1" spans="6:12">
      <c r="F17" s="86">
        <v>46216</v>
      </c>
      <c r="G17" s="87">
        <v>24211</v>
      </c>
      <c r="H17" s="59"/>
      <c r="I17" s="5"/>
      <c r="J17" s="5"/>
      <c r="K17" s="5"/>
      <c r="L17" s="59"/>
    </row>
    <row r="18" customHeight="1" spans="6:12">
      <c r="F18" s="86">
        <v>46213</v>
      </c>
      <c r="G18" s="87">
        <v>24206.9</v>
      </c>
      <c r="H18" s="59"/>
      <c r="I18" s="5"/>
      <c r="J18" s="5"/>
      <c r="K18" s="5"/>
      <c r="L18" s="59"/>
    </row>
    <row r="19" customHeight="1" spans="6:12">
      <c r="F19" s="86">
        <v>46212</v>
      </c>
      <c r="G19" s="87">
        <v>23962.8</v>
      </c>
      <c r="H19" s="59"/>
      <c r="I19" s="5"/>
      <c r="J19" s="5"/>
      <c r="K19" s="5"/>
      <c r="L19" s="59"/>
    </row>
    <row r="20" customHeight="1" spans="6:12">
      <c r="F20" s="86">
        <v>46211</v>
      </c>
      <c r="G20" s="87">
        <v>23882.05</v>
      </c>
      <c r="H20" s="59"/>
      <c r="I20" s="5"/>
      <c r="J20" s="5"/>
      <c r="K20" s="5"/>
      <c r="L20" s="59"/>
    </row>
    <row r="21" customHeight="1" spans="6:12">
      <c r="F21" s="86">
        <v>46210</v>
      </c>
      <c r="G21" s="87">
        <v>24398.7</v>
      </c>
      <c r="H21" s="59"/>
      <c r="I21" s="5"/>
      <c r="J21" s="5"/>
      <c r="K21" s="5"/>
      <c r="L21" s="59"/>
    </row>
    <row r="22" customHeight="1" spans="6:12">
      <c r="F22" s="86">
        <v>46209</v>
      </c>
      <c r="G22" s="87">
        <v>24430.35</v>
      </c>
      <c r="H22" s="59"/>
      <c r="I22" s="5"/>
      <c r="J22" s="5"/>
      <c r="K22" s="5"/>
      <c r="L22" s="59"/>
    </row>
    <row r="23" customHeight="1" spans="6:12">
      <c r="F23" s="86">
        <v>46206</v>
      </c>
      <c r="G23" s="87">
        <v>24270.85</v>
      </c>
      <c r="H23" s="59"/>
      <c r="I23" s="5"/>
      <c r="J23" s="5"/>
      <c r="K23" s="5"/>
      <c r="L23" s="59"/>
    </row>
    <row r="24" customHeight="1" spans="6:12">
      <c r="F24" s="86">
        <v>46205</v>
      </c>
      <c r="G24" s="87">
        <v>24175.7</v>
      </c>
      <c r="H24" s="59"/>
      <c r="I24" s="5"/>
      <c r="J24" s="5"/>
      <c r="K24" s="5"/>
      <c r="L24" s="59"/>
    </row>
    <row r="25" customHeight="1" spans="6:12">
      <c r="F25" s="86">
        <v>46204</v>
      </c>
      <c r="G25" s="87">
        <v>24005.85</v>
      </c>
      <c r="H25" s="59"/>
      <c r="I25" s="5"/>
      <c r="J25" s="5"/>
      <c r="K25" s="5"/>
      <c r="L25" s="59"/>
    </row>
    <row r="26" customHeight="1" spans="6:12">
      <c r="F26" s="86">
        <v>46203</v>
      </c>
      <c r="G26" s="87">
        <v>23865.75</v>
      </c>
      <c r="H26" s="59"/>
      <c r="I26" s="5"/>
      <c r="J26" s="5"/>
      <c r="K26" s="5"/>
      <c r="L26" s="59"/>
    </row>
    <row r="27" customHeight="1" spans="6:12">
      <c r="F27" s="86">
        <v>46202</v>
      </c>
      <c r="G27" s="87">
        <v>23946.25</v>
      </c>
      <c r="H27" s="59"/>
      <c r="I27" s="5"/>
      <c r="J27" s="5"/>
      <c r="K27" s="5"/>
      <c r="L27" s="59"/>
    </row>
    <row r="28" customHeight="1" spans="6:12">
      <c r="F28" s="86">
        <v>46198</v>
      </c>
      <c r="G28" s="87">
        <v>24056</v>
      </c>
      <c r="H28" s="59"/>
      <c r="I28" s="5"/>
      <c r="J28" s="5"/>
      <c r="K28" s="5"/>
      <c r="L28" s="59"/>
    </row>
    <row r="29" customHeight="1" spans="6:12">
      <c r="F29" s="86">
        <v>46197</v>
      </c>
      <c r="G29" s="87">
        <v>24021.65</v>
      </c>
      <c r="H29" s="59"/>
      <c r="I29" s="5"/>
      <c r="J29" s="5"/>
      <c r="K29" s="5"/>
      <c r="L29" s="59"/>
    </row>
    <row r="30" customHeight="1" spans="6:12">
      <c r="F30" s="86">
        <v>46196</v>
      </c>
      <c r="G30" s="87">
        <v>23824.1</v>
      </c>
      <c r="H30" s="59"/>
      <c r="I30" s="5"/>
      <c r="J30" s="5"/>
      <c r="K30" s="5"/>
      <c r="L30" s="59"/>
    </row>
    <row r="31" customHeight="1" spans="6:12">
      <c r="F31" s="86">
        <v>46195</v>
      </c>
      <c r="G31" s="87">
        <v>24102.9</v>
      </c>
      <c r="H31" s="59"/>
      <c r="I31" s="5"/>
      <c r="J31" s="5"/>
      <c r="K31" s="5"/>
      <c r="L31" s="59"/>
    </row>
    <row r="32" customHeight="1" spans="6:12">
      <c r="F32" s="86">
        <v>46192</v>
      </c>
      <c r="G32" s="87">
        <v>24013.1</v>
      </c>
      <c r="H32" s="59"/>
      <c r="I32" s="5"/>
      <c r="J32" s="5"/>
      <c r="K32" s="5"/>
      <c r="L32" s="59"/>
    </row>
    <row r="33" customHeight="1" spans="6:12">
      <c r="F33" s="86">
        <v>46191</v>
      </c>
      <c r="G33" s="87">
        <v>24168</v>
      </c>
      <c r="H33" s="59"/>
      <c r="I33" s="5"/>
      <c r="J33" s="5"/>
      <c r="K33" s="5"/>
      <c r="L33" s="59"/>
    </row>
    <row r="34" customHeight="1" spans="6:12">
      <c r="F34" s="86">
        <v>46190</v>
      </c>
      <c r="G34" s="87">
        <v>24085.7</v>
      </c>
      <c r="H34" s="59"/>
      <c r="I34" s="5"/>
      <c r="J34" s="5"/>
      <c r="K34" s="5"/>
      <c r="L34" s="59"/>
    </row>
    <row r="35" customHeight="1" spans="6:12">
      <c r="F35" s="86">
        <v>46189</v>
      </c>
      <c r="G35" s="87">
        <v>23989.15</v>
      </c>
      <c r="H35" s="59"/>
      <c r="I35" s="5"/>
      <c r="J35" s="5"/>
      <c r="K35" s="5"/>
      <c r="L35" s="59"/>
    </row>
    <row r="36" customHeight="1" spans="6:12">
      <c r="F36" s="86">
        <v>46188</v>
      </c>
      <c r="G36" s="87">
        <v>23853.9</v>
      </c>
      <c r="H36" s="59"/>
      <c r="I36" s="5"/>
      <c r="J36" s="5"/>
      <c r="K36" s="5"/>
      <c r="L36" s="59"/>
    </row>
    <row r="37" customHeight="1" spans="6:12">
      <c r="F37" s="86">
        <v>46185</v>
      </c>
      <c r="G37" s="87">
        <v>23622.9</v>
      </c>
      <c r="H37" s="59"/>
      <c r="I37" s="5"/>
      <c r="J37" s="5"/>
      <c r="K37" s="5"/>
      <c r="L37" s="59"/>
    </row>
    <row r="38" customHeight="1" spans="6:12">
      <c r="F38" s="86">
        <v>46184</v>
      </c>
      <c r="G38" s="87">
        <v>23161.6</v>
      </c>
      <c r="H38" s="59"/>
      <c r="I38" s="5"/>
      <c r="J38" s="5"/>
      <c r="K38" s="5"/>
      <c r="L38" s="59"/>
    </row>
    <row r="39" customHeight="1" spans="6:12">
      <c r="F39" s="86">
        <v>46183</v>
      </c>
      <c r="G39" s="87">
        <v>23214.95</v>
      </c>
      <c r="H39" s="59"/>
      <c r="I39" s="5"/>
      <c r="J39" s="5"/>
      <c r="K39" s="5"/>
      <c r="L39" s="59"/>
    </row>
    <row r="40" customHeight="1" spans="6:12">
      <c r="F40" s="86">
        <v>46182</v>
      </c>
      <c r="G40" s="87">
        <v>23242.1</v>
      </c>
      <c r="H40" s="59"/>
      <c r="I40" s="5"/>
      <c r="J40" s="5"/>
      <c r="K40" s="5"/>
      <c r="L40" s="59"/>
    </row>
    <row r="41" customHeight="1" spans="6:12">
      <c r="F41" s="86">
        <v>46181</v>
      </c>
      <c r="G41" s="87">
        <v>23123</v>
      </c>
      <c r="H41" s="59"/>
      <c r="I41" s="5"/>
      <c r="J41" s="5"/>
      <c r="K41" s="5"/>
      <c r="L41" s="59"/>
    </row>
    <row r="42" customHeight="1" spans="6:12">
      <c r="F42" s="86">
        <v>46178</v>
      </c>
      <c r="G42" s="87">
        <v>23366.7</v>
      </c>
      <c r="H42" s="59"/>
      <c r="I42" s="5"/>
      <c r="J42" s="5"/>
      <c r="K42" s="5"/>
      <c r="L42" s="59"/>
    </row>
    <row r="43" customHeight="1" spans="6:12">
      <c r="F43" s="86">
        <v>46177</v>
      </c>
      <c r="G43" s="87">
        <v>23416.55</v>
      </c>
      <c r="H43" s="59"/>
      <c r="I43" s="5"/>
      <c r="J43" s="5"/>
      <c r="K43" s="5"/>
      <c r="L43" s="59"/>
    </row>
    <row r="44" customHeight="1" spans="6:12">
      <c r="F44" s="86">
        <v>46176</v>
      </c>
      <c r="G44" s="87">
        <v>23405.6</v>
      </c>
      <c r="H44" s="59"/>
      <c r="I44" s="5"/>
      <c r="J44" s="5"/>
      <c r="K44" s="5"/>
      <c r="L44" s="59"/>
    </row>
    <row r="45" customHeight="1" spans="6:12">
      <c r="F45" s="86">
        <v>46175</v>
      </c>
      <c r="G45" s="87">
        <v>23483.55</v>
      </c>
      <c r="H45" s="59"/>
      <c r="I45" s="5"/>
      <c r="J45" s="5"/>
      <c r="K45" s="5"/>
      <c r="L45" s="59"/>
    </row>
    <row r="46" customHeight="1" spans="6:12">
      <c r="F46" s="86">
        <v>46174</v>
      </c>
      <c r="G46" s="87">
        <v>23382.6</v>
      </c>
      <c r="H46" s="59"/>
      <c r="I46" s="5"/>
      <c r="J46" s="5"/>
      <c r="K46" s="5"/>
      <c r="L46" s="59"/>
    </row>
    <row r="47" customHeight="1" spans="6:12">
      <c r="F47" s="86">
        <v>46171</v>
      </c>
      <c r="G47" s="87">
        <v>23547.75</v>
      </c>
      <c r="H47" s="59"/>
      <c r="I47" s="5"/>
      <c r="J47" s="5"/>
      <c r="K47" s="5"/>
      <c r="L47" s="59"/>
    </row>
    <row r="48" customHeight="1" spans="6:12">
      <c r="F48" s="86">
        <v>46169</v>
      </c>
      <c r="G48" s="87">
        <v>23907.15</v>
      </c>
      <c r="H48" s="59"/>
      <c r="I48" s="5"/>
      <c r="J48" s="5"/>
      <c r="K48" s="5"/>
      <c r="L48" s="59"/>
    </row>
    <row r="49" customHeight="1" spans="6:12">
      <c r="F49" s="86">
        <v>46168</v>
      </c>
      <c r="G49" s="87">
        <v>23913.7</v>
      </c>
      <c r="H49" s="59"/>
      <c r="I49" s="5"/>
      <c r="J49" s="5"/>
      <c r="K49" s="5"/>
      <c r="L49" s="59"/>
    </row>
    <row r="50" customHeight="1" spans="6:12">
      <c r="F50" s="86">
        <v>46167</v>
      </c>
      <c r="G50" s="87">
        <v>24031.7</v>
      </c>
      <c r="H50" s="59"/>
      <c r="I50" s="5"/>
      <c r="J50" s="5"/>
      <c r="K50" s="5"/>
      <c r="L50" s="59"/>
    </row>
    <row r="51" customHeight="1" spans="6:12">
      <c r="F51" s="86">
        <v>46164</v>
      </c>
      <c r="G51" s="87">
        <v>23719.3</v>
      </c>
      <c r="H51" s="59"/>
      <c r="I51" s="5"/>
      <c r="J51" s="5"/>
      <c r="K51" s="5"/>
      <c r="L51" s="59"/>
    </row>
    <row r="52" customHeight="1" spans="6:12">
      <c r="F52" s="86">
        <v>46163</v>
      </c>
      <c r="G52" s="87">
        <v>23654.7</v>
      </c>
      <c r="H52" s="59"/>
      <c r="I52" s="5"/>
      <c r="J52" s="5"/>
      <c r="K52" s="5"/>
      <c r="L52" s="59"/>
    </row>
    <row r="53" customHeight="1" spans="6:12">
      <c r="F53" s="86">
        <v>46162</v>
      </c>
      <c r="G53" s="87">
        <v>23659</v>
      </c>
      <c r="H53" s="59"/>
      <c r="I53" s="5"/>
      <c r="J53" s="5"/>
      <c r="K53" s="5"/>
      <c r="L53" s="59"/>
    </row>
    <row r="54" customHeight="1" spans="6:12">
      <c r="F54" s="86">
        <v>46161</v>
      </c>
      <c r="G54" s="87">
        <v>23618</v>
      </c>
      <c r="H54" s="59"/>
      <c r="I54" s="5"/>
      <c r="J54" s="5"/>
      <c r="K54" s="5"/>
      <c r="L54" s="59"/>
    </row>
    <row r="55" customHeight="1" spans="6:12">
      <c r="F55" s="86">
        <v>46160</v>
      </c>
      <c r="G55" s="87">
        <v>23649.95</v>
      </c>
      <c r="H55" s="59"/>
      <c r="I55" s="5"/>
      <c r="J55" s="5"/>
      <c r="K55" s="5"/>
      <c r="L55" s="59"/>
    </row>
    <row r="56" customHeight="1" spans="6:12">
      <c r="F56" s="86">
        <v>46157</v>
      </c>
      <c r="G56" s="87">
        <v>23643.5</v>
      </c>
      <c r="H56" s="59"/>
      <c r="I56" s="5"/>
      <c r="J56" s="5"/>
      <c r="K56" s="5"/>
      <c r="L56" s="59"/>
    </row>
    <row r="57" customHeight="1" spans="6:12">
      <c r="F57" s="86">
        <v>46156</v>
      </c>
      <c r="G57" s="87">
        <v>23689.6</v>
      </c>
      <c r="H57" s="59"/>
      <c r="I57" s="5"/>
      <c r="J57" s="5"/>
      <c r="K57" s="5"/>
      <c r="L57" s="59"/>
    </row>
    <row r="58" customHeight="1" spans="6:12">
      <c r="F58" s="86">
        <v>46155</v>
      </c>
      <c r="G58" s="87">
        <v>23412.6</v>
      </c>
      <c r="H58" s="59"/>
      <c r="I58" s="5"/>
      <c r="J58" s="5"/>
      <c r="K58" s="5"/>
      <c r="L58" s="59"/>
    </row>
    <row r="59" customHeight="1" spans="6:12">
      <c r="F59" s="86">
        <v>46154</v>
      </c>
      <c r="G59" s="87">
        <v>23379.55</v>
      </c>
      <c r="H59" s="59"/>
      <c r="I59" s="5"/>
      <c r="J59" s="5"/>
      <c r="K59" s="5"/>
      <c r="L59" s="59"/>
    </row>
    <row r="60" customHeight="1" spans="6:12">
      <c r="F60" s="86">
        <v>46153</v>
      </c>
      <c r="G60" s="87">
        <v>23815.85</v>
      </c>
      <c r="H60" s="59"/>
      <c r="I60" s="5"/>
      <c r="J60" s="5"/>
      <c r="K60" s="5"/>
      <c r="L60" s="59"/>
    </row>
    <row r="61" customHeight="1" spans="6:12">
      <c r="F61" s="86">
        <v>46150</v>
      </c>
      <c r="G61" s="87">
        <v>24176.15</v>
      </c>
      <c r="H61" s="59"/>
      <c r="I61" s="5"/>
      <c r="J61" s="5"/>
      <c r="K61" s="5"/>
      <c r="L61" s="59"/>
    </row>
    <row r="62" customHeight="1" spans="6:12">
      <c r="F62" s="86">
        <v>46149</v>
      </c>
      <c r="G62" s="87">
        <v>24326.65</v>
      </c>
      <c r="H62" s="59"/>
      <c r="I62" s="5"/>
      <c r="J62" s="5"/>
      <c r="K62" s="5"/>
      <c r="L62" s="59"/>
    </row>
    <row r="63" customHeight="1" spans="6:12">
      <c r="F63" s="86">
        <v>46148</v>
      </c>
      <c r="G63" s="87">
        <v>24330.95</v>
      </c>
      <c r="H63" s="59"/>
      <c r="I63" s="5"/>
      <c r="J63" s="5"/>
      <c r="K63" s="5"/>
      <c r="L63" s="59"/>
    </row>
    <row r="64" customHeight="1" spans="6:12">
      <c r="F64" s="86">
        <v>46147</v>
      </c>
      <c r="G64" s="87">
        <v>24032.8</v>
      </c>
      <c r="H64" s="59"/>
      <c r="I64" s="5"/>
      <c r="J64" s="5"/>
      <c r="K64" s="5"/>
      <c r="L64" s="59"/>
    </row>
    <row r="65" customHeight="1" spans="6:12">
      <c r="F65" s="86">
        <v>46146</v>
      </c>
      <c r="G65" s="87">
        <v>24119.3</v>
      </c>
      <c r="H65" s="59"/>
      <c r="I65" s="5"/>
      <c r="J65" s="5"/>
      <c r="K65" s="5"/>
      <c r="L65" s="59"/>
    </row>
    <row r="66" customHeight="1" spans="6:12">
      <c r="F66" s="86">
        <v>46142</v>
      </c>
      <c r="G66" s="87">
        <v>23997.55</v>
      </c>
      <c r="H66" s="59"/>
      <c r="I66" s="5"/>
      <c r="J66" s="5"/>
      <c r="K66" s="5"/>
      <c r="L66" s="59"/>
    </row>
    <row r="67" customHeight="1" spans="6:12">
      <c r="F67" s="86">
        <v>46141</v>
      </c>
      <c r="G67" s="87">
        <v>24177.65</v>
      </c>
      <c r="H67" s="59"/>
      <c r="I67" s="5"/>
      <c r="J67" s="5"/>
      <c r="K67" s="5"/>
      <c r="L67" s="59"/>
    </row>
    <row r="68" customHeight="1" spans="6:12">
      <c r="F68" s="86">
        <v>46140</v>
      </c>
      <c r="G68" s="87">
        <v>23995.7</v>
      </c>
      <c r="H68" s="59"/>
      <c r="I68" s="5"/>
      <c r="J68" s="5"/>
      <c r="K68" s="5"/>
      <c r="L68" s="59"/>
    </row>
    <row r="69" customHeight="1" spans="6:12">
      <c r="F69" s="86">
        <v>46139</v>
      </c>
      <c r="G69" s="87">
        <v>24092.7</v>
      </c>
      <c r="H69" s="59"/>
      <c r="I69" s="5"/>
      <c r="J69" s="5"/>
      <c r="K69" s="5"/>
      <c r="L69" s="59"/>
    </row>
    <row r="70" customHeight="1" spans="6:12">
      <c r="F70" s="86">
        <v>46136</v>
      </c>
      <c r="G70" s="87">
        <v>23897.95</v>
      </c>
      <c r="H70" s="59"/>
      <c r="I70" s="5"/>
      <c r="J70" s="5"/>
      <c r="K70" s="5"/>
      <c r="L70" s="59"/>
    </row>
    <row r="71" customHeight="1" spans="6:12">
      <c r="F71" s="86">
        <v>46135</v>
      </c>
      <c r="G71" s="87">
        <v>24173.05</v>
      </c>
      <c r="H71" s="59"/>
      <c r="I71" s="5"/>
      <c r="J71" s="5"/>
      <c r="K71" s="5"/>
      <c r="L71" s="59"/>
    </row>
    <row r="72" customHeight="1" spans="6:12">
      <c r="F72" s="86">
        <v>46134</v>
      </c>
      <c r="G72" s="87">
        <v>24378.1</v>
      </c>
      <c r="H72" s="59"/>
      <c r="I72" s="5"/>
      <c r="J72" s="5"/>
      <c r="K72" s="5"/>
      <c r="L72" s="59"/>
    </row>
    <row r="73" customHeight="1" spans="6:12">
      <c r="F73" s="86">
        <v>46133</v>
      </c>
      <c r="G73" s="87">
        <v>24576.6</v>
      </c>
      <c r="H73" s="59"/>
      <c r="I73" s="5"/>
      <c r="J73" s="5"/>
      <c r="K73" s="5"/>
      <c r="L73" s="59"/>
    </row>
    <row r="74" customHeight="1" spans="6:12">
      <c r="F74" s="86">
        <v>46132</v>
      </c>
      <c r="G74" s="87">
        <v>24364.85</v>
      </c>
      <c r="H74" s="59"/>
      <c r="I74" s="5"/>
      <c r="J74" s="5"/>
      <c r="K74" s="5"/>
      <c r="L74" s="59"/>
    </row>
    <row r="75" customHeight="1" spans="6:12">
      <c r="F75" s="86">
        <v>46129</v>
      </c>
      <c r="G75" s="87">
        <v>24353.55</v>
      </c>
      <c r="H75" s="59"/>
      <c r="I75" s="5"/>
      <c r="J75" s="5"/>
      <c r="K75" s="5"/>
      <c r="L75" s="59"/>
    </row>
    <row r="76" customHeight="1" spans="6:12">
      <c r="F76" s="86">
        <v>46128</v>
      </c>
      <c r="G76" s="87">
        <v>24196.75</v>
      </c>
      <c r="H76" s="59"/>
      <c r="I76" s="5"/>
      <c r="J76" s="5"/>
      <c r="K76" s="5"/>
      <c r="L76" s="59"/>
    </row>
    <row r="77" customHeight="1" spans="6:12">
      <c r="F77" s="86">
        <v>46127</v>
      </c>
      <c r="G77" s="87">
        <v>24231.3</v>
      </c>
      <c r="H77" s="59"/>
      <c r="I77" s="5"/>
      <c r="J77" s="5"/>
      <c r="K77" s="5"/>
      <c r="L77" s="59"/>
    </row>
    <row r="78" customHeight="1" spans="6:12">
      <c r="F78" s="86">
        <v>46125</v>
      </c>
      <c r="G78" s="87">
        <v>23842.65</v>
      </c>
      <c r="H78" s="59"/>
      <c r="I78" s="5"/>
      <c r="J78" s="5"/>
      <c r="K78" s="5"/>
      <c r="L78" s="59"/>
    </row>
    <row r="79" customHeight="1" spans="6:12">
      <c r="F79" s="86">
        <v>46122</v>
      </c>
      <c r="G79" s="87">
        <v>24050.6</v>
      </c>
      <c r="H79" s="59"/>
      <c r="I79" s="5"/>
      <c r="J79" s="5"/>
      <c r="K79" s="5"/>
      <c r="L79" s="59"/>
    </row>
    <row r="80" customHeight="1" spans="6:12">
      <c r="F80" s="86">
        <v>46121</v>
      </c>
      <c r="G80" s="87">
        <v>23775.1</v>
      </c>
      <c r="H80" s="59"/>
      <c r="I80" s="5"/>
      <c r="J80" s="5"/>
      <c r="K80" s="5"/>
      <c r="L80" s="59"/>
    </row>
    <row r="81" customHeight="1" spans="6:12">
      <c r="F81" s="86">
        <v>46120</v>
      </c>
      <c r="G81" s="87">
        <v>23997.35</v>
      </c>
      <c r="H81" s="59"/>
      <c r="I81" s="5"/>
      <c r="J81" s="5"/>
      <c r="K81" s="5"/>
      <c r="L81" s="59"/>
    </row>
    <row r="82" customHeight="1" spans="6:12">
      <c r="F82" s="86">
        <v>46119</v>
      </c>
      <c r="G82" s="87">
        <v>23123.65</v>
      </c>
      <c r="H82" s="59"/>
      <c r="I82" s="5"/>
      <c r="J82" s="5"/>
      <c r="K82" s="5"/>
      <c r="L82" s="59"/>
    </row>
    <row r="83" customHeight="1" spans="6:12">
      <c r="F83" s="86">
        <v>46118</v>
      </c>
      <c r="G83" s="87">
        <v>22968.25</v>
      </c>
      <c r="H83" s="59"/>
      <c r="I83" s="5"/>
      <c r="J83" s="5"/>
      <c r="K83" s="5"/>
      <c r="L83" s="59"/>
    </row>
    <row r="84" customHeight="1" spans="6:12">
      <c r="F84" s="86">
        <v>46114</v>
      </c>
      <c r="G84" s="87">
        <v>22713.1</v>
      </c>
      <c r="H84" s="59"/>
      <c r="I84" s="5"/>
      <c r="J84" s="5"/>
      <c r="K84" s="5"/>
      <c r="L84" s="59"/>
    </row>
    <row r="85" customHeight="1" spans="6:12">
      <c r="F85" s="86">
        <v>46113</v>
      </c>
      <c r="G85" s="87">
        <v>22679.4</v>
      </c>
      <c r="H85" s="59"/>
      <c r="I85" s="5"/>
      <c r="J85" s="5"/>
      <c r="K85" s="5"/>
      <c r="L85" s="59"/>
    </row>
    <row r="86" customHeight="1" spans="6:12">
      <c r="F86" s="86">
        <v>46111</v>
      </c>
      <c r="G86" s="87">
        <v>22331.4</v>
      </c>
      <c r="H86" s="59"/>
      <c r="I86" s="5"/>
      <c r="J86" s="5"/>
      <c r="K86" s="5"/>
      <c r="L86" s="59"/>
    </row>
    <row r="87" customHeight="1" spans="6:12">
      <c r="F87" s="86">
        <v>46108</v>
      </c>
      <c r="G87" s="87">
        <v>22819.6</v>
      </c>
      <c r="H87" s="59"/>
      <c r="I87" s="5"/>
      <c r="J87" s="5"/>
      <c r="K87" s="5"/>
      <c r="L87" s="59"/>
    </row>
    <row r="88" customHeight="1" spans="6:12">
      <c r="F88" s="86">
        <v>46106</v>
      </c>
      <c r="G88" s="87">
        <v>23306.45</v>
      </c>
      <c r="H88" s="59"/>
      <c r="I88" s="5"/>
      <c r="J88" s="5"/>
      <c r="K88" s="5"/>
      <c r="L88" s="59"/>
    </row>
    <row r="89" customHeight="1" spans="6:12">
      <c r="F89" s="86">
        <v>46105</v>
      </c>
      <c r="G89" s="87">
        <v>22912.4</v>
      </c>
      <c r="H89" s="59"/>
      <c r="I89" s="5"/>
      <c r="J89" s="5"/>
      <c r="K89" s="5"/>
      <c r="L89" s="59"/>
    </row>
    <row r="90" customHeight="1" spans="6:12">
      <c r="F90" s="86">
        <v>46104</v>
      </c>
      <c r="G90" s="87">
        <v>22512.65</v>
      </c>
      <c r="H90" s="59"/>
      <c r="I90" s="5"/>
      <c r="J90" s="5"/>
      <c r="K90" s="5"/>
      <c r="L90" s="59"/>
    </row>
    <row r="91" customHeight="1" spans="6:12">
      <c r="F91" s="86">
        <v>46101</v>
      </c>
      <c r="G91" s="87">
        <v>23114.5</v>
      </c>
      <c r="H91" s="59"/>
      <c r="I91" s="5"/>
      <c r="J91" s="5"/>
      <c r="K91" s="5"/>
      <c r="L91" s="59"/>
    </row>
    <row r="92" customHeight="1" spans="6:12">
      <c r="F92" s="86">
        <v>46100</v>
      </c>
      <c r="G92" s="87">
        <v>23002.15</v>
      </c>
      <c r="H92" s="59"/>
      <c r="I92" s="5"/>
      <c r="J92" s="5"/>
      <c r="K92" s="5"/>
      <c r="L92" s="59"/>
    </row>
    <row r="93" customHeight="1" spans="6:12">
      <c r="F93" s="86">
        <v>46099</v>
      </c>
      <c r="G93" s="87">
        <v>23777.8</v>
      </c>
      <c r="H93" s="59"/>
      <c r="I93" s="5"/>
      <c r="J93" s="5"/>
      <c r="K93" s="5"/>
      <c r="L93" s="59"/>
    </row>
    <row r="94" customHeight="1" spans="6:12">
      <c r="F94" s="86">
        <v>46098</v>
      </c>
      <c r="G94" s="87">
        <v>23581.15</v>
      </c>
      <c r="H94" s="59"/>
      <c r="I94" s="5"/>
      <c r="J94" s="5"/>
      <c r="K94" s="5"/>
      <c r="L94" s="59"/>
    </row>
    <row r="95" customHeight="1" spans="6:12">
      <c r="F95" s="86">
        <v>46097</v>
      </c>
      <c r="G95" s="87">
        <v>23408.8</v>
      </c>
      <c r="H95" s="59"/>
      <c r="I95" s="5"/>
      <c r="J95" s="5"/>
      <c r="K95" s="5"/>
      <c r="L95" s="59"/>
    </row>
    <row r="96" customHeight="1" spans="6:12">
      <c r="F96" s="86">
        <v>46094</v>
      </c>
      <c r="G96" s="87">
        <v>23151.1</v>
      </c>
      <c r="H96" s="59"/>
      <c r="I96" s="5"/>
      <c r="J96" s="5"/>
      <c r="K96" s="5"/>
      <c r="L96" s="59"/>
    </row>
    <row r="97" customHeight="1" spans="6:12">
      <c r="F97" s="86">
        <v>46093</v>
      </c>
      <c r="G97" s="87">
        <v>23639.15</v>
      </c>
      <c r="H97" s="59"/>
      <c r="I97" s="5"/>
      <c r="J97" s="5"/>
      <c r="K97" s="5"/>
      <c r="L97" s="59"/>
    </row>
    <row r="98" customHeight="1" spans="6:12">
      <c r="F98" s="86">
        <v>46092</v>
      </c>
      <c r="G98" s="87">
        <v>23866.85</v>
      </c>
      <c r="H98" s="59"/>
      <c r="I98" s="5"/>
      <c r="J98" s="5"/>
      <c r="K98" s="5"/>
      <c r="L98" s="59"/>
    </row>
    <row r="99" customHeight="1" spans="6:12">
      <c r="F99" s="86">
        <v>46091</v>
      </c>
      <c r="G99" s="87">
        <v>24261.6</v>
      </c>
      <c r="H99" s="59"/>
      <c r="I99" s="5"/>
      <c r="J99" s="5"/>
      <c r="K99" s="5"/>
      <c r="L99" s="59"/>
    </row>
    <row r="100" customHeight="1" spans="6:12">
      <c r="F100" s="86">
        <v>46090</v>
      </c>
      <c r="G100" s="87">
        <v>24028.05</v>
      </c>
      <c r="H100" s="59"/>
      <c r="I100" s="5"/>
      <c r="J100" s="5"/>
      <c r="K100" s="5"/>
      <c r="L100" s="59"/>
    </row>
    <row r="101" customHeight="1" spans="6:12">
      <c r="F101" s="86">
        <v>46087</v>
      </c>
      <c r="G101" s="87">
        <v>24450.45</v>
      </c>
      <c r="H101" s="59"/>
      <c r="I101" s="5"/>
      <c r="J101" s="5"/>
      <c r="K101" s="5"/>
      <c r="L101" s="59"/>
    </row>
    <row r="102" customHeight="1" spans="6:12">
      <c r="F102" s="86">
        <v>46086</v>
      </c>
      <c r="G102" s="87">
        <v>24765.9</v>
      </c>
      <c r="H102" s="59"/>
      <c r="I102" s="5"/>
      <c r="J102" s="5"/>
      <c r="K102" s="5"/>
      <c r="L102" s="59"/>
    </row>
    <row r="103" customHeight="1" spans="6:12">
      <c r="F103" s="86">
        <v>46085</v>
      </c>
      <c r="G103" s="87">
        <v>24480.5</v>
      </c>
      <c r="H103" s="59"/>
      <c r="I103" s="5"/>
      <c r="J103" s="5"/>
      <c r="K103" s="5"/>
      <c r="L103" s="59"/>
    </row>
    <row r="104" customHeight="1" spans="6:12">
      <c r="F104" s="86">
        <v>46083</v>
      </c>
      <c r="G104" s="87">
        <v>24865.7</v>
      </c>
      <c r="H104" s="59"/>
      <c r="I104" s="5"/>
      <c r="J104" s="5"/>
      <c r="K104" s="5"/>
      <c r="L104" s="59"/>
    </row>
    <row r="105" customHeight="1" spans="6:12">
      <c r="F105" s="86">
        <v>46080</v>
      </c>
      <c r="G105" s="87">
        <v>25178.65</v>
      </c>
      <c r="H105" s="59"/>
      <c r="I105" s="5"/>
      <c r="J105" s="5"/>
      <c r="K105" s="5"/>
      <c r="L105" s="59"/>
    </row>
    <row r="106" customHeight="1" spans="6:12">
      <c r="F106" s="86">
        <v>46079</v>
      </c>
      <c r="G106" s="87">
        <v>25496.55</v>
      </c>
      <c r="H106" s="59"/>
      <c r="I106" s="5"/>
      <c r="J106" s="5"/>
      <c r="K106" s="5"/>
      <c r="L106" s="59"/>
    </row>
    <row r="107" customHeight="1" spans="6:12">
      <c r="F107" s="86">
        <v>46078</v>
      </c>
      <c r="G107" s="87">
        <v>25482.5</v>
      </c>
      <c r="H107" s="59"/>
      <c r="I107" s="5"/>
      <c r="J107" s="5"/>
      <c r="K107" s="5"/>
      <c r="L107" s="59"/>
    </row>
    <row r="108" customHeight="1" spans="6:12">
      <c r="F108" s="86">
        <v>46077</v>
      </c>
      <c r="G108" s="87">
        <v>25424.65</v>
      </c>
      <c r="H108" s="59"/>
      <c r="I108" s="5"/>
      <c r="J108" s="5"/>
      <c r="K108" s="5"/>
      <c r="L108" s="59"/>
    </row>
    <row r="109" customHeight="1" spans="6:12">
      <c r="F109" s="86">
        <v>46076</v>
      </c>
      <c r="G109" s="87">
        <v>25713</v>
      </c>
      <c r="H109" s="59"/>
      <c r="I109" s="5"/>
      <c r="J109" s="5"/>
      <c r="K109" s="5"/>
      <c r="L109" s="59"/>
    </row>
    <row r="110" customHeight="1" spans="6:12">
      <c r="F110" s="86">
        <v>46073</v>
      </c>
      <c r="G110" s="87">
        <v>25571.25</v>
      </c>
      <c r="H110" s="59"/>
      <c r="I110" s="5"/>
      <c r="J110" s="5"/>
      <c r="K110" s="5"/>
      <c r="L110" s="59"/>
    </row>
    <row r="111" customHeight="1" spans="6:12">
      <c r="F111" s="86">
        <v>46072</v>
      </c>
      <c r="G111" s="87">
        <v>25454.35</v>
      </c>
      <c r="H111" s="59"/>
      <c r="I111" s="5"/>
      <c r="J111" s="5"/>
      <c r="K111" s="5"/>
      <c r="L111" s="59"/>
    </row>
    <row r="112" customHeight="1" spans="6:12">
      <c r="F112" s="86">
        <v>46071</v>
      </c>
      <c r="G112" s="87">
        <v>25819.35</v>
      </c>
      <c r="H112" s="59"/>
      <c r="I112" s="5"/>
      <c r="J112" s="5"/>
      <c r="K112" s="5"/>
      <c r="L112" s="59"/>
    </row>
    <row r="113" customHeight="1" spans="6:12">
      <c r="F113" s="86">
        <v>46070</v>
      </c>
      <c r="G113" s="87">
        <v>25725.4</v>
      </c>
      <c r="H113" s="59"/>
      <c r="I113" s="5"/>
      <c r="J113" s="5"/>
      <c r="K113" s="5"/>
      <c r="L113" s="59"/>
    </row>
    <row r="114" customHeight="1" spans="6:12">
      <c r="F114" s="86">
        <v>46069</v>
      </c>
      <c r="G114" s="87">
        <v>25682.75</v>
      </c>
      <c r="H114" s="59"/>
      <c r="I114" s="5"/>
      <c r="J114" s="5"/>
      <c r="K114" s="5"/>
      <c r="L114" s="59"/>
    </row>
    <row r="115" customHeight="1" spans="6:12">
      <c r="F115" s="86">
        <v>46066</v>
      </c>
      <c r="G115" s="87">
        <v>25471.1</v>
      </c>
      <c r="H115" s="59"/>
      <c r="I115" s="5"/>
      <c r="J115" s="5"/>
      <c r="K115" s="5"/>
      <c r="L115" s="59"/>
    </row>
    <row r="116" customHeight="1" spans="6:12">
      <c r="F116" s="86">
        <v>46065</v>
      </c>
      <c r="G116" s="87">
        <v>25807.2</v>
      </c>
      <c r="H116" s="59"/>
      <c r="I116" s="5"/>
      <c r="J116" s="5"/>
      <c r="K116" s="5"/>
      <c r="L116" s="59"/>
    </row>
    <row r="117" customHeight="1" spans="6:12">
      <c r="F117" s="86">
        <v>46064</v>
      </c>
      <c r="G117" s="87">
        <v>25953.85</v>
      </c>
      <c r="H117" s="59"/>
      <c r="I117" s="5"/>
      <c r="J117" s="5"/>
      <c r="K117" s="5"/>
      <c r="L117" s="59"/>
    </row>
    <row r="118" customHeight="1" spans="6:12">
      <c r="F118" s="86">
        <v>46063</v>
      </c>
      <c r="G118" s="87">
        <v>25935.15</v>
      </c>
      <c r="H118" s="59"/>
      <c r="I118" s="5"/>
      <c r="J118" s="5"/>
      <c r="K118" s="5"/>
      <c r="L118" s="59"/>
    </row>
    <row r="119" customHeight="1" spans="6:12">
      <c r="F119" s="86">
        <v>46062</v>
      </c>
      <c r="G119" s="87">
        <v>25867.3</v>
      </c>
      <c r="H119" s="59"/>
      <c r="I119" s="5"/>
      <c r="J119" s="5"/>
      <c r="K119" s="5"/>
      <c r="L119" s="59"/>
    </row>
    <row r="120" customHeight="1" spans="6:12">
      <c r="F120" s="86">
        <v>46059</v>
      </c>
      <c r="G120" s="87">
        <v>25693.7</v>
      </c>
      <c r="H120" s="59"/>
      <c r="I120" s="5"/>
      <c r="J120" s="5"/>
      <c r="K120" s="5"/>
      <c r="L120" s="59"/>
    </row>
    <row r="121" customHeight="1" spans="6:12">
      <c r="F121" s="86">
        <v>46058</v>
      </c>
      <c r="G121" s="87">
        <v>25642.8</v>
      </c>
      <c r="H121" s="59"/>
      <c r="I121" s="5"/>
      <c r="J121" s="5"/>
      <c r="K121" s="5"/>
      <c r="L121" s="59"/>
    </row>
    <row r="122" customHeight="1" spans="6:12">
      <c r="F122" s="86">
        <v>46057</v>
      </c>
      <c r="G122" s="87">
        <v>25776</v>
      </c>
      <c r="H122" s="59"/>
      <c r="I122" s="5"/>
      <c r="J122" s="5"/>
      <c r="K122" s="5"/>
      <c r="L122" s="59"/>
    </row>
    <row r="123" customHeight="1" spans="6:12">
      <c r="F123" s="86">
        <v>46056</v>
      </c>
      <c r="G123" s="87">
        <v>25727.55</v>
      </c>
      <c r="H123" s="59"/>
      <c r="I123" s="5"/>
      <c r="J123" s="5"/>
      <c r="K123" s="5"/>
      <c r="L123" s="59"/>
    </row>
    <row r="124" customHeight="1" spans="6:12">
      <c r="F124" s="86">
        <v>46055</v>
      </c>
      <c r="G124" s="87">
        <v>25088.4</v>
      </c>
      <c r="H124" s="59"/>
      <c r="I124" s="5"/>
      <c r="J124" s="5"/>
      <c r="K124" s="5"/>
      <c r="L124" s="59"/>
    </row>
    <row r="125" customHeight="1" spans="6:12">
      <c r="F125" s="86">
        <v>46054</v>
      </c>
      <c r="G125" s="87">
        <v>24825.45</v>
      </c>
      <c r="H125" s="59"/>
      <c r="I125" s="5"/>
      <c r="J125" s="5"/>
      <c r="K125" s="5"/>
      <c r="L125" s="59"/>
    </row>
    <row r="126" customHeight="1" spans="6:12">
      <c r="F126" s="86">
        <v>46052</v>
      </c>
      <c r="G126" s="87">
        <v>25320.65</v>
      </c>
      <c r="H126" s="59"/>
      <c r="I126" s="5"/>
      <c r="J126" s="5"/>
      <c r="K126" s="5"/>
      <c r="L126" s="59"/>
    </row>
    <row r="127" customHeight="1" spans="6:12">
      <c r="F127" s="86">
        <v>46051</v>
      </c>
      <c r="G127" s="87">
        <v>25418.9</v>
      </c>
      <c r="H127" s="59"/>
      <c r="I127" s="5"/>
      <c r="J127" s="5"/>
      <c r="K127" s="5"/>
      <c r="L127" s="59"/>
    </row>
    <row r="128" customHeight="1" spans="6:12">
      <c r="F128" s="86">
        <v>46050</v>
      </c>
      <c r="G128" s="87">
        <v>25342.75</v>
      </c>
      <c r="H128" s="59"/>
      <c r="I128" s="5"/>
      <c r="J128" s="5"/>
      <c r="K128" s="5"/>
      <c r="L128" s="59"/>
    </row>
    <row r="129" customHeight="1" spans="6:12">
      <c r="F129" s="86">
        <v>46049</v>
      </c>
      <c r="G129" s="87">
        <v>25175.4</v>
      </c>
      <c r="H129" s="59"/>
      <c r="I129" s="5"/>
      <c r="J129" s="5"/>
      <c r="K129" s="5"/>
      <c r="L129" s="59"/>
    </row>
    <row r="130" customHeight="1" spans="6:12">
      <c r="F130" s="86">
        <v>46045</v>
      </c>
      <c r="G130" s="87">
        <v>25048.65</v>
      </c>
      <c r="H130" s="59"/>
      <c r="I130" s="5"/>
      <c r="J130" s="5"/>
      <c r="K130" s="5"/>
      <c r="L130" s="59"/>
    </row>
    <row r="131" customHeight="1" spans="6:12">
      <c r="F131" s="86">
        <v>46044</v>
      </c>
      <c r="G131" s="87">
        <v>25289.9</v>
      </c>
      <c r="H131" s="59"/>
      <c r="I131" s="5"/>
      <c r="J131" s="5"/>
      <c r="K131" s="5"/>
      <c r="L131" s="59"/>
    </row>
    <row r="132" customHeight="1" spans="6:12">
      <c r="F132" s="86">
        <v>46043</v>
      </c>
      <c r="G132" s="87">
        <v>25157.5</v>
      </c>
      <c r="H132" s="59"/>
      <c r="I132" s="5"/>
      <c r="J132" s="5"/>
      <c r="K132" s="5"/>
      <c r="L132" s="59"/>
    </row>
    <row r="133" customHeight="1" spans="6:12">
      <c r="F133" s="86">
        <v>46042</v>
      </c>
      <c r="G133" s="87">
        <v>25232.5</v>
      </c>
      <c r="H133" s="59"/>
      <c r="I133" s="5"/>
      <c r="J133" s="5"/>
      <c r="K133" s="5"/>
      <c r="L133" s="59"/>
    </row>
    <row r="134" customHeight="1" spans="6:12">
      <c r="F134" s="86">
        <v>46041</v>
      </c>
      <c r="G134" s="87">
        <v>25585.5</v>
      </c>
      <c r="H134" s="59"/>
      <c r="I134" s="5"/>
      <c r="J134" s="5"/>
      <c r="K134" s="5"/>
      <c r="L134" s="59"/>
    </row>
    <row r="135" customHeight="1" spans="6:12">
      <c r="F135" s="86">
        <v>46038</v>
      </c>
      <c r="G135" s="87">
        <v>25694.35</v>
      </c>
      <c r="H135" s="59"/>
      <c r="I135" s="5"/>
      <c r="J135" s="5"/>
      <c r="K135" s="5"/>
      <c r="L135" s="59"/>
    </row>
    <row r="136" customHeight="1" spans="6:12">
      <c r="F136" s="86">
        <v>46036</v>
      </c>
      <c r="G136" s="87">
        <v>25665.6</v>
      </c>
      <c r="H136" s="59"/>
      <c r="I136" s="5"/>
      <c r="J136" s="5"/>
      <c r="K136" s="5"/>
      <c r="L136" s="59"/>
    </row>
    <row r="137" customHeight="1" spans="6:12">
      <c r="F137" s="86">
        <v>46035</v>
      </c>
      <c r="G137" s="87">
        <v>25732.3</v>
      </c>
      <c r="H137" s="59"/>
      <c r="I137" s="5"/>
      <c r="J137" s="5"/>
      <c r="K137" s="5"/>
      <c r="L137" s="59"/>
    </row>
    <row r="138" customHeight="1" spans="6:12">
      <c r="F138" s="86">
        <v>46034</v>
      </c>
      <c r="G138" s="87">
        <v>25790.25</v>
      </c>
      <c r="H138" s="59"/>
      <c r="I138" s="5"/>
      <c r="J138" s="5"/>
      <c r="K138" s="5"/>
      <c r="L138" s="59"/>
    </row>
    <row r="139" customHeight="1" spans="6:12">
      <c r="F139" s="86">
        <v>46031</v>
      </c>
      <c r="G139" s="87">
        <v>25683.3</v>
      </c>
      <c r="H139" s="59"/>
      <c r="I139" s="5"/>
      <c r="J139" s="5"/>
      <c r="K139" s="5"/>
      <c r="L139" s="59"/>
    </row>
    <row r="140" customHeight="1" spans="6:12">
      <c r="F140" s="86">
        <v>46030</v>
      </c>
      <c r="G140" s="87">
        <v>25876.85</v>
      </c>
      <c r="H140" s="59"/>
      <c r="I140" s="5"/>
      <c r="J140" s="5"/>
      <c r="K140" s="5"/>
      <c r="L140" s="59"/>
    </row>
    <row r="141" customHeight="1" spans="6:12">
      <c r="F141" s="86">
        <v>46029</v>
      </c>
      <c r="G141" s="87">
        <v>26140.75</v>
      </c>
      <c r="H141" s="59"/>
      <c r="I141" s="5"/>
      <c r="J141" s="5"/>
      <c r="K141" s="5"/>
      <c r="L141" s="59"/>
    </row>
    <row r="142" customHeight="1" spans="6:12">
      <c r="F142" s="86">
        <v>46028</v>
      </c>
      <c r="G142" s="87">
        <v>26178.7</v>
      </c>
      <c r="H142" s="59"/>
      <c r="I142" s="5"/>
      <c r="J142" s="5"/>
      <c r="K142" s="5"/>
      <c r="L142" s="59"/>
    </row>
    <row r="143" customHeight="1" spans="6:12">
      <c r="F143" s="86">
        <v>46027</v>
      </c>
      <c r="G143" s="87">
        <v>26250.3</v>
      </c>
      <c r="H143" s="59"/>
      <c r="I143" s="5"/>
      <c r="J143" s="5"/>
      <c r="K143" s="5"/>
      <c r="L143" s="59"/>
    </row>
    <row r="144" customHeight="1" spans="6:12">
      <c r="F144" s="86">
        <v>46024</v>
      </c>
      <c r="G144" s="87">
        <v>26328.55</v>
      </c>
      <c r="H144" s="59"/>
      <c r="I144" s="5"/>
      <c r="J144" s="5"/>
      <c r="K144" s="5"/>
      <c r="L144" s="59"/>
    </row>
    <row r="145" customHeight="1" spans="6:12">
      <c r="F145" s="86">
        <v>46023</v>
      </c>
      <c r="G145" s="87">
        <v>26146.55</v>
      </c>
      <c r="H145" s="59"/>
      <c r="I145" s="5"/>
      <c r="J145" s="5"/>
      <c r="K145" s="5"/>
      <c r="L145" s="59"/>
    </row>
    <row r="146" customHeight="1" spans="6:12">
      <c r="F146" s="86">
        <v>46022</v>
      </c>
      <c r="G146" s="87">
        <v>26129.6</v>
      </c>
      <c r="H146" s="59"/>
      <c r="I146" s="5"/>
      <c r="J146" s="5"/>
      <c r="K146" s="5"/>
      <c r="L146" s="59"/>
    </row>
    <row r="147" customHeight="1" spans="6:12">
      <c r="F147" s="86">
        <v>46021</v>
      </c>
      <c r="G147" s="87">
        <v>25938.85</v>
      </c>
      <c r="H147" s="59"/>
      <c r="I147" s="5"/>
      <c r="J147" s="5"/>
      <c r="K147" s="5"/>
      <c r="L147" s="59"/>
    </row>
    <row r="148" customHeight="1" spans="6:12">
      <c r="F148" s="86">
        <v>46020</v>
      </c>
      <c r="G148" s="87">
        <v>25942.1</v>
      </c>
      <c r="H148" s="59"/>
      <c r="I148" s="5"/>
      <c r="J148" s="5"/>
      <c r="K148" s="5"/>
      <c r="L148" s="59"/>
    </row>
    <row r="149" customHeight="1" spans="6:12">
      <c r="F149" s="86">
        <v>46017</v>
      </c>
      <c r="G149" s="87">
        <v>26042.3</v>
      </c>
      <c r="H149" s="59"/>
      <c r="I149" s="5"/>
      <c r="J149" s="5"/>
      <c r="K149" s="5"/>
      <c r="L149" s="59"/>
    </row>
    <row r="150" customHeight="1" spans="6:12">
      <c r="F150" s="86">
        <v>46015</v>
      </c>
      <c r="G150" s="87">
        <v>26142.1</v>
      </c>
      <c r="H150" s="59"/>
      <c r="I150" s="5"/>
      <c r="J150" s="5"/>
      <c r="K150" s="5"/>
      <c r="L150" s="59"/>
    </row>
    <row r="151" customHeight="1" spans="6:12">
      <c r="F151" s="86">
        <v>46014</v>
      </c>
      <c r="G151" s="87">
        <v>26177.15</v>
      </c>
      <c r="H151" s="59"/>
      <c r="I151" s="5"/>
      <c r="J151" s="5"/>
      <c r="K151" s="5"/>
      <c r="L151" s="59"/>
    </row>
    <row r="152" customHeight="1" spans="6:12">
      <c r="F152" s="86">
        <v>46013</v>
      </c>
      <c r="G152" s="87">
        <v>26172.4</v>
      </c>
      <c r="H152" s="59"/>
      <c r="I152" s="5"/>
      <c r="J152" s="5"/>
      <c r="K152" s="5"/>
      <c r="L152" s="59"/>
    </row>
    <row r="153" customHeight="1" spans="6:12">
      <c r="F153" s="86">
        <v>46010</v>
      </c>
      <c r="G153" s="87">
        <v>25966.4</v>
      </c>
      <c r="H153" s="59"/>
      <c r="I153" s="5"/>
      <c r="J153" s="5"/>
      <c r="K153" s="5"/>
      <c r="L153" s="59"/>
    </row>
    <row r="154" customHeight="1" spans="6:12">
      <c r="F154" s="86">
        <v>46009</v>
      </c>
      <c r="G154" s="87">
        <v>25815.55</v>
      </c>
      <c r="H154" s="59"/>
      <c r="I154" s="5"/>
      <c r="J154" s="5"/>
      <c r="K154" s="5"/>
      <c r="L154" s="59"/>
    </row>
    <row r="155" customHeight="1" spans="6:12">
      <c r="F155" s="86">
        <v>46008</v>
      </c>
      <c r="G155" s="87">
        <v>25818.55</v>
      </c>
      <c r="H155" s="59"/>
      <c r="I155" s="5"/>
      <c r="J155" s="5"/>
      <c r="K155" s="5"/>
      <c r="L155" s="59"/>
    </row>
    <row r="156" customHeight="1" spans="6:12">
      <c r="F156" s="86">
        <v>46007</v>
      </c>
      <c r="G156" s="87">
        <v>25860.1</v>
      </c>
      <c r="H156" s="59"/>
      <c r="I156" s="5"/>
      <c r="J156" s="5"/>
      <c r="K156" s="5"/>
      <c r="L156" s="59"/>
    </row>
    <row r="157" customHeight="1" spans="6:12">
      <c r="F157" s="86">
        <v>46006</v>
      </c>
      <c r="G157" s="87">
        <v>26027.3</v>
      </c>
      <c r="H157" s="59"/>
      <c r="I157" s="5"/>
      <c r="J157" s="5"/>
      <c r="K157" s="5"/>
      <c r="L157" s="59"/>
    </row>
    <row r="158" customHeight="1" spans="6:12">
      <c r="F158" s="86">
        <v>46003</v>
      </c>
      <c r="G158" s="87">
        <v>26046.95</v>
      </c>
      <c r="H158" s="59"/>
      <c r="I158" s="5"/>
      <c r="J158" s="5"/>
      <c r="K158" s="5"/>
      <c r="L158" s="59"/>
    </row>
    <row r="159" customHeight="1" spans="6:12">
      <c r="F159" s="86">
        <v>46002</v>
      </c>
      <c r="G159" s="87">
        <v>25898.55</v>
      </c>
      <c r="H159" s="59"/>
      <c r="I159" s="5"/>
      <c r="J159" s="5"/>
      <c r="K159" s="5"/>
      <c r="L159" s="59"/>
    </row>
    <row r="160" customHeight="1" spans="6:12">
      <c r="F160" s="86">
        <v>46001</v>
      </c>
      <c r="G160" s="87">
        <v>25758</v>
      </c>
      <c r="H160" s="59"/>
      <c r="I160" s="5"/>
      <c r="J160" s="5"/>
      <c r="K160" s="5"/>
      <c r="L160" s="59"/>
    </row>
    <row r="161" customHeight="1" spans="6:12">
      <c r="F161" s="86">
        <v>46000</v>
      </c>
      <c r="G161" s="87">
        <v>25839.65</v>
      </c>
      <c r="H161" s="59"/>
      <c r="I161" s="5"/>
      <c r="J161" s="5"/>
      <c r="K161" s="5"/>
      <c r="L161" s="59"/>
    </row>
    <row r="162" customHeight="1" spans="6:12">
      <c r="F162" s="86">
        <v>45999</v>
      </c>
      <c r="G162" s="87">
        <v>25960.55</v>
      </c>
      <c r="H162" s="59"/>
      <c r="I162" s="5"/>
      <c r="J162" s="5"/>
      <c r="K162" s="5"/>
      <c r="L162" s="59"/>
    </row>
    <row r="163" customHeight="1" spans="6:12">
      <c r="F163" s="86">
        <v>45996</v>
      </c>
      <c r="G163" s="87">
        <v>26186.45</v>
      </c>
      <c r="H163" s="59"/>
      <c r="I163" s="5"/>
      <c r="J163" s="5"/>
      <c r="K163" s="5"/>
      <c r="L163" s="59"/>
    </row>
    <row r="164" customHeight="1" spans="6:12">
      <c r="F164" s="86">
        <v>45995</v>
      </c>
      <c r="G164" s="87">
        <v>26033.75</v>
      </c>
      <c r="H164" s="59"/>
      <c r="I164" s="5"/>
      <c r="J164" s="5"/>
      <c r="K164" s="5"/>
      <c r="L164" s="59"/>
    </row>
    <row r="165" customHeight="1" spans="6:12">
      <c r="F165" s="86">
        <v>45994</v>
      </c>
      <c r="G165" s="87">
        <v>25986</v>
      </c>
      <c r="H165" s="59"/>
      <c r="I165" s="5"/>
      <c r="J165" s="5"/>
      <c r="K165" s="5"/>
      <c r="L165" s="59"/>
    </row>
    <row r="166" customHeight="1" spans="6:12">
      <c r="F166" s="86">
        <v>45993</v>
      </c>
      <c r="G166" s="87">
        <v>26032.2</v>
      </c>
      <c r="H166" s="59"/>
      <c r="I166" s="5"/>
      <c r="J166" s="5"/>
      <c r="K166" s="5"/>
      <c r="L166" s="59"/>
    </row>
    <row r="167" customHeight="1" spans="6:12">
      <c r="F167" s="86">
        <v>45992</v>
      </c>
      <c r="G167" s="87">
        <v>26175.75</v>
      </c>
      <c r="H167" s="59"/>
      <c r="I167" s="5"/>
      <c r="J167" s="5"/>
      <c r="K167" s="5"/>
      <c r="L167" s="59"/>
    </row>
    <row r="168" customHeight="1" spans="6:12">
      <c r="F168" s="86">
        <v>45989</v>
      </c>
      <c r="G168" s="87">
        <v>26202.95</v>
      </c>
      <c r="H168" s="59"/>
      <c r="I168" s="5"/>
      <c r="J168" s="5"/>
      <c r="K168" s="5"/>
      <c r="L168" s="59"/>
    </row>
    <row r="169" customHeight="1" spans="6:12">
      <c r="F169" s="86">
        <v>45988</v>
      </c>
      <c r="G169" s="87">
        <v>26215.55</v>
      </c>
      <c r="H169" s="59"/>
      <c r="I169" s="5"/>
      <c r="J169" s="5"/>
      <c r="K169" s="5"/>
      <c r="L169" s="59"/>
    </row>
    <row r="170" customHeight="1" spans="6:12">
      <c r="F170" s="86">
        <v>45987</v>
      </c>
      <c r="G170" s="87">
        <v>26205.3</v>
      </c>
      <c r="H170" s="59"/>
      <c r="I170" s="5"/>
      <c r="J170" s="5"/>
      <c r="K170" s="5"/>
      <c r="L170" s="59"/>
    </row>
    <row r="171" customHeight="1" spans="6:12">
      <c r="F171" s="86">
        <v>45986</v>
      </c>
      <c r="G171" s="87">
        <v>25884.8</v>
      </c>
      <c r="H171" s="59"/>
      <c r="I171" s="5"/>
      <c r="J171" s="5"/>
      <c r="K171" s="5"/>
      <c r="L171" s="59"/>
    </row>
    <row r="172" customHeight="1" spans="6:12">
      <c r="F172" s="86">
        <v>45985</v>
      </c>
      <c r="G172" s="87">
        <v>25959.5</v>
      </c>
      <c r="H172" s="59"/>
      <c r="I172" s="5"/>
      <c r="J172" s="5"/>
      <c r="K172" s="5"/>
      <c r="L172" s="59"/>
    </row>
    <row r="173" customHeight="1" spans="6:12">
      <c r="F173" s="86">
        <v>45982</v>
      </c>
      <c r="G173" s="87">
        <v>26068.15</v>
      </c>
      <c r="H173" s="59"/>
      <c r="I173" s="5"/>
      <c r="J173" s="5"/>
      <c r="K173" s="5"/>
      <c r="L173" s="59"/>
    </row>
    <row r="174" customHeight="1" spans="6:12">
      <c r="F174" s="86">
        <v>45981</v>
      </c>
      <c r="G174" s="87">
        <v>26192.15</v>
      </c>
      <c r="H174" s="59"/>
      <c r="I174" s="5"/>
      <c r="J174" s="5"/>
      <c r="K174" s="5"/>
      <c r="L174" s="59"/>
    </row>
    <row r="175" customHeight="1" spans="6:12">
      <c r="F175" s="86">
        <v>45980</v>
      </c>
      <c r="G175" s="87">
        <v>26052.65</v>
      </c>
      <c r="H175" s="59"/>
      <c r="I175" s="5"/>
      <c r="J175" s="5"/>
      <c r="K175" s="5"/>
      <c r="L175" s="59"/>
    </row>
    <row r="176" customHeight="1" spans="6:12">
      <c r="F176" s="86">
        <v>45979</v>
      </c>
      <c r="G176" s="87">
        <v>25910.05</v>
      </c>
      <c r="H176" s="59"/>
      <c r="I176" s="5"/>
      <c r="J176" s="5"/>
      <c r="K176" s="5"/>
      <c r="L176" s="59"/>
    </row>
    <row r="177" customHeight="1" spans="6:12">
      <c r="F177" s="86">
        <v>45978</v>
      </c>
      <c r="G177" s="87">
        <v>26013.45</v>
      </c>
      <c r="H177" s="59"/>
      <c r="I177" s="5"/>
      <c r="J177" s="5"/>
      <c r="K177" s="5"/>
      <c r="L177" s="59"/>
    </row>
    <row r="178" customHeight="1" spans="6:12">
      <c r="F178" s="86">
        <v>45975</v>
      </c>
      <c r="G178" s="87">
        <v>25910.05</v>
      </c>
      <c r="H178" s="59"/>
      <c r="I178" s="5"/>
      <c r="J178" s="5"/>
      <c r="K178" s="5"/>
      <c r="L178" s="59"/>
    </row>
    <row r="179" customHeight="1" spans="6:12">
      <c r="F179" s="86">
        <v>45974</v>
      </c>
      <c r="G179" s="87">
        <v>25879.15</v>
      </c>
      <c r="H179" s="59"/>
      <c r="I179" s="5"/>
      <c r="J179" s="5"/>
      <c r="K179" s="5"/>
      <c r="L179" s="59"/>
    </row>
    <row r="180" customHeight="1" spans="6:12">
      <c r="F180" s="86">
        <v>45973</v>
      </c>
      <c r="G180" s="87">
        <v>25875.8</v>
      </c>
      <c r="H180" s="59"/>
      <c r="I180" s="5"/>
      <c r="J180" s="5"/>
      <c r="K180" s="5"/>
      <c r="L180" s="59"/>
    </row>
    <row r="181" customHeight="1" spans="6:12">
      <c r="F181" s="86">
        <v>45972</v>
      </c>
      <c r="G181" s="87">
        <v>25694.95</v>
      </c>
      <c r="H181" s="59"/>
      <c r="I181" s="5"/>
      <c r="J181" s="5"/>
      <c r="K181" s="5"/>
      <c r="L181" s="59"/>
    </row>
    <row r="182" customHeight="1" spans="6:12">
      <c r="F182" s="86">
        <v>45971</v>
      </c>
      <c r="G182" s="87">
        <v>25574.35</v>
      </c>
      <c r="H182" s="59"/>
      <c r="I182" s="5"/>
      <c r="J182" s="5"/>
      <c r="K182" s="5"/>
      <c r="L182" s="59"/>
    </row>
    <row r="183" customHeight="1" spans="6:12">
      <c r="F183" s="86">
        <v>45968</v>
      </c>
      <c r="G183" s="87">
        <v>25492.3</v>
      </c>
      <c r="H183" s="59"/>
      <c r="I183" s="5"/>
      <c r="J183" s="5"/>
      <c r="K183" s="5"/>
      <c r="L183" s="59"/>
    </row>
    <row r="184" customHeight="1" spans="6:12">
      <c r="F184" s="86">
        <v>45967</v>
      </c>
      <c r="G184" s="87">
        <v>25509.7</v>
      </c>
      <c r="H184" s="59"/>
      <c r="I184" s="5"/>
      <c r="J184" s="5"/>
      <c r="K184" s="5"/>
      <c r="L184" s="59"/>
    </row>
    <row r="185" customHeight="1" spans="6:12">
      <c r="F185" s="86">
        <v>45965</v>
      </c>
      <c r="G185" s="87">
        <v>25597.65</v>
      </c>
      <c r="H185" s="59"/>
      <c r="I185" s="5"/>
      <c r="J185" s="5"/>
      <c r="K185" s="5"/>
      <c r="L185" s="59"/>
    </row>
    <row r="186" customHeight="1" spans="6:12">
      <c r="F186" s="86">
        <v>45964</v>
      </c>
      <c r="G186" s="87">
        <v>25763.35</v>
      </c>
      <c r="H186" s="59"/>
      <c r="I186" s="5"/>
      <c r="J186" s="5"/>
      <c r="K186" s="5"/>
      <c r="L186" s="59"/>
    </row>
    <row r="187" customHeight="1" spans="6:12">
      <c r="F187" s="86">
        <v>45961</v>
      </c>
      <c r="G187" s="87">
        <v>25722.1</v>
      </c>
      <c r="H187" s="59"/>
      <c r="I187" s="5"/>
      <c r="J187" s="5"/>
      <c r="K187" s="5"/>
      <c r="L187" s="59"/>
    </row>
    <row r="188" customHeight="1" spans="6:12">
      <c r="F188" s="86">
        <v>45960</v>
      </c>
      <c r="G188" s="87">
        <v>25877.85</v>
      </c>
      <c r="H188" s="59"/>
      <c r="I188" s="5"/>
      <c r="J188" s="5"/>
      <c r="K188" s="5"/>
      <c r="L188" s="59"/>
    </row>
    <row r="189" customHeight="1" spans="6:12">
      <c r="F189" s="86">
        <v>45959</v>
      </c>
      <c r="G189" s="87">
        <v>26053.9</v>
      </c>
      <c r="H189" s="59"/>
      <c r="I189" s="5"/>
      <c r="J189" s="5"/>
      <c r="K189" s="5"/>
      <c r="L189" s="59"/>
    </row>
    <row r="190" customHeight="1" spans="6:12">
      <c r="F190" s="86">
        <v>45958</v>
      </c>
      <c r="G190" s="87">
        <v>25936.2</v>
      </c>
      <c r="H190" s="59"/>
      <c r="I190" s="5"/>
      <c r="J190" s="5"/>
      <c r="K190" s="5"/>
      <c r="L190" s="59"/>
    </row>
    <row r="191" customHeight="1" spans="6:12">
      <c r="F191" s="86">
        <v>45957</v>
      </c>
      <c r="G191" s="87">
        <v>25966.05</v>
      </c>
      <c r="H191" s="59"/>
      <c r="I191" s="5"/>
      <c r="J191" s="5"/>
      <c r="K191" s="5"/>
      <c r="L191" s="59"/>
    </row>
    <row r="192" customHeight="1" spans="6:12">
      <c r="F192" s="86">
        <v>45954</v>
      </c>
      <c r="G192" s="87">
        <v>25795.15</v>
      </c>
      <c r="H192" s="59"/>
      <c r="I192" s="5"/>
      <c r="J192" s="5"/>
      <c r="K192" s="5"/>
      <c r="L192" s="59"/>
    </row>
    <row r="193" customHeight="1" spans="6:12">
      <c r="F193" s="86">
        <v>45953</v>
      </c>
      <c r="G193" s="87">
        <v>25891.4</v>
      </c>
      <c r="H193" s="59"/>
      <c r="I193" s="5"/>
      <c r="J193" s="5"/>
      <c r="K193" s="5"/>
      <c r="L193" s="59"/>
    </row>
    <row r="194" customHeight="1" spans="6:12">
      <c r="F194" s="86">
        <v>45951</v>
      </c>
      <c r="G194" s="87">
        <v>25868.6</v>
      </c>
      <c r="H194" s="59"/>
      <c r="I194" s="5"/>
      <c r="J194" s="5"/>
      <c r="K194" s="5"/>
      <c r="L194" s="59"/>
    </row>
    <row r="195" customHeight="1" spans="6:12">
      <c r="F195" s="86">
        <v>45950</v>
      </c>
      <c r="G195" s="87">
        <v>25843.15</v>
      </c>
      <c r="H195" s="59"/>
      <c r="I195" s="5"/>
      <c r="J195" s="5"/>
      <c r="K195" s="5"/>
      <c r="L195" s="59"/>
    </row>
    <row r="196" customHeight="1" spans="6:12">
      <c r="F196" s="86">
        <v>45947</v>
      </c>
      <c r="G196" s="87">
        <v>25709.85</v>
      </c>
      <c r="H196" s="59"/>
      <c r="I196" s="5"/>
      <c r="J196" s="5"/>
      <c r="K196" s="5"/>
      <c r="L196" s="59"/>
    </row>
    <row r="197" customHeight="1" spans="6:12">
      <c r="F197" s="86">
        <v>45946</v>
      </c>
      <c r="G197" s="87">
        <v>25585.3</v>
      </c>
      <c r="H197" s="59"/>
      <c r="I197" s="5"/>
      <c r="J197" s="5"/>
      <c r="K197" s="5"/>
      <c r="L197" s="59"/>
    </row>
    <row r="198" customHeight="1" spans="6:12">
      <c r="F198" s="86">
        <v>45945</v>
      </c>
      <c r="G198" s="87">
        <v>25323.55</v>
      </c>
      <c r="H198" s="59"/>
      <c r="I198" s="5"/>
      <c r="J198" s="5"/>
      <c r="K198" s="5"/>
      <c r="L198" s="59"/>
    </row>
    <row r="199" customHeight="1" spans="6:12">
      <c r="F199" s="86">
        <v>45944</v>
      </c>
      <c r="G199" s="87">
        <v>25145.5</v>
      </c>
      <c r="H199" s="59"/>
      <c r="I199" s="5"/>
      <c r="J199" s="5"/>
      <c r="K199" s="5"/>
      <c r="L199" s="59"/>
    </row>
    <row r="200" customHeight="1" spans="6:12">
      <c r="F200" s="86">
        <v>45943</v>
      </c>
      <c r="G200" s="87">
        <v>25227.35</v>
      </c>
      <c r="H200" s="59"/>
      <c r="I200" s="5"/>
      <c r="J200" s="5"/>
      <c r="K200" s="5"/>
      <c r="L200" s="59"/>
    </row>
    <row r="201" customHeight="1" spans="6:12">
      <c r="F201" s="86">
        <v>45940</v>
      </c>
      <c r="G201" s="87">
        <v>25285.35</v>
      </c>
      <c r="H201" s="59"/>
      <c r="I201" s="5"/>
      <c r="J201" s="5"/>
      <c r="K201" s="5"/>
      <c r="L201" s="59"/>
    </row>
    <row r="202" customHeight="1" spans="6:12">
      <c r="F202" s="86">
        <v>45939</v>
      </c>
      <c r="G202" s="87">
        <v>25181.8</v>
      </c>
      <c r="H202" s="59"/>
      <c r="I202" s="5"/>
      <c r="J202" s="5"/>
      <c r="K202" s="5"/>
      <c r="L202" s="59"/>
    </row>
    <row r="203" customHeight="1" spans="6:12">
      <c r="F203" s="86">
        <v>45938</v>
      </c>
      <c r="G203" s="87">
        <v>25046.15</v>
      </c>
      <c r="H203" s="59"/>
      <c r="I203" s="5"/>
      <c r="J203" s="5"/>
      <c r="K203" s="5"/>
      <c r="L203" s="59"/>
    </row>
    <row r="204" customHeight="1" spans="6:12">
      <c r="F204" s="86">
        <v>45937</v>
      </c>
      <c r="G204" s="87">
        <v>25108.3</v>
      </c>
      <c r="H204" s="59"/>
      <c r="I204" s="5"/>
      <c r="J204" s="5"/>
      <c r="K204" s="5"/>
      <c r="L204" s="59"/>
    </row>
    <row r="205" customHeight="1" spans="6:12">
      <c r="F205" s="86">
        <v>45936</v>
      </c>
      <c r="G205" s="87">
        <v>25077.65</v>
      </c>
      <c r="H205" s="59"/>
      <c r="I205" s="5"/>
      <c r="J205" s="5"/>
      <c r="K205" s="5"/>
      <c r="L205" s="59"/>
    </row>
    <row r="206" customHeight="1" spans="6:12">
      <c r="F206" s="86">
        <v>45933</v>
      </c>
      <c r="G206" s="87">
        <v>24894.25</v>
      </c>
      <c r="H206" s="59"/>
      <c r="I206" s="5"/>
      <c r="J206" s="5"/>
      <c r="K206" s="5"/>
      <c r="L206" s="59"/>
    </row>
    <row r="207" customHeight="1" spans="6:12">
      <c r="F207" s="86">
        <v>45931</v>
      </c>
      <c r="G207" s="87">
        <v>24836.3</v>
      </c>
      <c r="H207" s="59"/>
      <c r="I207" s="5"/>
      <c r="J207" s="5"/>
      <c r="K207" s="5"/>
      <c r="L207" s="59"/>
    </row>
    <row r="208" customHeight="1" spans="6:12">
      <c r="F208" s="86">
        <v>45930</v>
      </c>
      <c r="G208" s="87">
        <v>24611.1</v>
      </c>
      <c r="H208" s="59"/>
      <c r="I208" s="5"/>
      <c r="J208" s="5"/>
      <c r="K208" s="5"/>
      <c r="L208" s="59"/>
    </row>
    <row r="209" customHeight="1" spans="6:12">
      <c r="F209" s="86">
        <v>45929</v>
      </c>
      <c r="G209" s="87">
        <v>24634.9</v>
      </c>
      <c r="H209" s="59"/>
      <c r="I209" s="5"/>
      <c r="J209" s="5"/>
      <c r="K209" s="5"/>
      <c r="L209" s="59"/>
    </row>
    <row r="210" customHeight="1" spans="6:12">
      <c r="F210" s="86">
        <v>45926</v>
      </c>
      <c r="G210" s="87">
        <v>24654.7</v>
      </c>
      <c r="H210" s="59"/>
      <c r="I210" s="5"/>
      <c r="J210" s="5"/>
      <c r="K210" s="5"/>
      <c r="L210" s="59"/>
    </row>
    <row r="211" customHeight="1" spans="6:12">
      <c r="F211" s="86">
        <v>45925</v>
      </c>
      <c r="G211" s="87">
        <v>24890.85</v>
      </c>
      <c r="H211" s="59"/>
      <c r="I211" s="5"/>
      <c r="J211" s="5"/>
      <c r="K211" s="5"/>
      <c r="L211" s="59"/>
    </row>
    <row r="212" customHeight="1" spans="6:12">
      <c r="F212" s="86">
        <v>45924</v>
      </c>
      <c r="G212" s="87">
        <v>25056.9</v>
      </c>
      <c r="H212" s="59"/>
      <c r="I212" s="5"/>
      <c r="J212" s="5"/>
      <c r="K212" s="5"/>
      <c r="L212" s="59"/>
    </row>
    <row r="213" customHeight="1" spans="6:12">
      <c r="F213" s="86">
        <v>45923</v>
      </c>
      <c r="G213" s="87">
        <v>25169.5</v>
      </c>
      <c r="H213" s="59"/>
      <c r="I213" s="5"/>
      <c r="J213" s="5"/>
      <c r="K213" s="5"/>
      <c r="L213" s="59"/>
    </row>
    <row r="214" customHeight="1" spans="6:12">
      <c r="F214" s="86">
        <v>45922</v>
      </c>
      <c r="G214" s="87">
        <v>25202.35</v>
      </c>
      <c r="H214" s="59"/>
      <c r="I214" s="5"/>
      <c r="J214" s="5"/>
      <c r="K214" s="5"/>
      <c r="L214" s="59"/>
    </row>
    <row r="215" customHeight="1" spans="6:12">
      <c r="F215" s="86">
        <v>45919</v>
      </c>
      <c r="G215" s="87">
        <v>25327.05</v>
      </c>
      <c r="H215" s="59"/>
      <c r="I215" s="5"/>
      <c r="J215" s="5"/>
      <c r="K215" s="5"/>
      <c r="L215" s="59"/>
    </row>
    <row r="216" customHeight="1" spans="6:12">
      <c r="F216" s="86">
        <v>45918</v>
      </c>
      <c r="G216" s="87">
        <v>25423.6</v>
      </c>
      <c r="H216" s="59"/>
      <c r="I216" s="5"/>
      <c r="J216" s="5"/>
      <c r="K216" s="5"/>
      <c r="L216" s="59"/>
    </row>
    <row r="217" customHeight="1" spans="6:12">
      <c r="F217" s="86">
        <v>45917</v>
      </c>
      <c r="G217" s="87">
        <v>25330.25</v>
      </c>
      <c r="H217" s="59"/>
      <c r="I217" s="5"/>
      <c r="J217" s="5"/>
      <c r="K217" s="5"/>
      <c r="L217" s="59"/>
    </row>
    <row r="218" customHeight="1" spans="6:12">
      <c r="F218" s="86">
        <v>45916</v>
      </c>
      <c r="G218" s="87">
        <v>25239.1</v>
      </c>
      <c r="H218" s="59"/>
      <c r="I218" s="5"/>
      <c r="J218" s="5"/>
      <c r="K218" s="5"/>
      <c r="L218" s="59"/>
    </row>
    <row r="219" customHeight="1" spans="6:12">
      <c r="F219" s="86">
        <v>45915</v>
      </c>
      <c r="G219" s="87">
        <v>25069.2</v>
      </c>
      <c r="H219" s="59"/>
      <c r="I219" s="5"/>
      <c r="J219" s="5"/>
      <c r="K219" s="5"/>
      <c r="L219" s="59"/>
    </row>
    <row r="220" customHeight="1" spans="6:12">
      <c r="F220" s="86">
        <v>45912</v>
      </c>
      <c r="G220" s="87">
        <v>25114</v>
      </c>
      <c r="H220" s="59"/>
      <c r="I220" s="5"/>
      <c r="J220" s="5"/>
      <c r="K220" s="5"/>
      <c r="L220" s="59"/>
    </row>
    <row r="221" customHeight="1" spans="6:12">
      <c r="F221" s="86">
        <v>45911</v>
      </c>
      <c r="G221" s="87">
        <v>25005.5</v>
      </c>
      <c r="H221" s="59"/>
      <c r="I221" s="5"/>
      <c r="J221" s="5"/>
      <c r="K221" s="5"/>
      <c r="L221" s="59"/>
    </row>
    <row r="222" customHeight="1" spans="6:12">
      <c r="F222" s="86">
        <v>45910</v>
      </c>
      <c r="G222" s="87">
        <v>24973.1</v>
      </c>
      <c r="H222" s="59"/>
      <c r="I222" s="5"/>
      <c r="J222" s="5"/>
      <c r="K222" s="5"/>
      <c r="L222" s="59"/>
    </row>
    <row r="223" customHeight="1" spans="6:12">
      <c r="F223" s="86">
        <v>45909</v>
      </c>
      <c r="G223" s="87">
        <v>24868.6</v>
      </c>
      <c r="H223" s="59"/>
      <c r="I223" s="5"/>
      <c r="J223" s="5"/>
      <c r="K223" s="5"/>
      <c r="L223" s="59"/>
    </row>
    <row r="224" customHeight="1" spans="6:12">
      <c r="F224" s="86">
        <v>45908</v>
      </c>
      <c r="G224" s="87">
        <v>24773.15</v>
      </c>
      <c r="H224" s="59"/>
      <c r="I224" s="5"/>
      <c r="J224" s="5"/>
      <c r="K224" s="5"/>
      <c r="L224" s="59"/>
    </row>
    <row r="225" customHeight="1" spans="6:12">
      <c r="F225" s="86">
        <v>45905</v>
      </c>
      <c r="G225" s="87">
        <v>24741</v>
      </c>
      <c r="H225" s="59"/>
      <c r="I225" s="5"/>
      <c r="J225" s="5"/>
      <c r="K225" s="5"/>
      <c r="L225" s="59"/>
    </row>
    <row r="226" customHeight="1" spans="6:12">
      <c r="F226" s="86">
        <v>45904</v>
      </c>
      <c r="G226" s="87">
        <v>24734.3</v>
      </c>
      <c r="H226" s="59"/>
      <c r="I226" s="5"/>
      <c r="J226" s="5"/>
      <c r="K226" s="5"/>
      <c r="L226" s="59"/>
    </row>
    <row r="227" customHeight="1" spans="6:12">
      <c r="F227" s="86">
        <v>45903</v>
      </c>
      <c r="G227" s="87">
        <v>24715.05</v>
      </c>
      <c r="H227" s="59"/>
      <c r="I227" s="5"/>
      <c r="J227" s="5"/>
      <c r="K227" s="5"/>
      <c r="L227" s="59"/>
    </row>
    <row r="228" customHeight="1" spans="6:12">
      <c r="F228" s="86">
        <v>45902</v>
      </c>
      <c r="G228" s="87">
        <v>24579.6</v>
      </c>
      <c r="H228" s="59"/>
      <c r="I228" s="5"/>
      <c r="J228" s="5"/>
      <c r="K228" s="5"/>
      <c r="L228" s="59"/>
    </row>
    <row r="229" customHeight="1" spans="6:12">
      <c r="F229" s="86">
        <v>45901</v>
      </c>
      <c r="G229" s="87">
        <v>24625.05</v>
      </c>
      <c r="H229" s="59"/>
      <c r="I229" s="5"/>
      <c r="J229" s="5"/>
      <c r="K229" s="5"/>
      <c r="L229" s="59"/>
    </row>
    <row r="230" customHeight="1" spans="6:12">
      <c r="F230" s="86">
        <v>45898</v>
      </c>
      <c r="G230" s="87">
        <v>24426.85</v>
      </c>
      <c r="H230" s="59"/>
      <c r="I230" s="5"/>
      <c r="J230" s="5"/>
      <c r="K230" s="5"/>
      <c r="L230" s="59"/>
    </row>
    <row r="231" customHeight="1" spans="6:12">
      <c r="F231" s="86">
        <v>45897</v>
      </c>
      <c r="G231" s="87">
        <v>24500.9</v>
      </c>
      <c r="H231" s="59"/>
      <c r="I231" s="5"/>
      <c r="J231" s="5"/>
      <c r="K231" s="5"/>
      <c r="L231" s="59"/>
    </row>
    <row r="232" customHeight="1" spans="6:12">
      <c r="F232" s="86">
        <v>45895</v>
      </c>
      <c r="G232" s="87">
        <v>24712.05</v>
      </c>
      <c r="H232" s="59"/>
      <c r="I232" s="5"/>
      <c r="J232" s="5"/>
      <c r="K232" s="5"/>
      <c r="L232" s="59"/>
    </row>
    <row r="233" customHeight="1" spans="6:12">
      <c r="F233" s="86">
        <v>45894</v>
      </c>
      <c r="G233" s="87">
        <v>24967.75</v>
      </c>
      <c r="H233" s="59"/>
      <c r="I233" s="5"/>
      <c r="J233" s="5"/>
      <c r="K233" s="5"/>
      <c r="L233" s="59"/>
    </row>
    <row r="234" customHeight="1" spans="6:12">
      <c r="F234" s="86">
        <v>45891</v>
      </c>
      <c r="G234" s="87">
        <v>24870.1</v>
      </c>
      <c r="H234" s="59"/>
      <c r="I234" s="5"/>
      <c r="J234" s="5"/>
      <c r="K234" s="5"/>
      <c r="L234" s="59"/>
    </row>
    <row r="235" customHeight="1" spans="6:12">
      <c r="F235" s="86">
        <v>45890</v>
      </c>
      <c r="G235" s="87">
        <v>25083.75</v>
      </c>
      <c r="H235" s="59"/>
      <c r="I235" s="5"/>
      <c r="J235" s="5"/>
      <c r="K235" s="5"/>
      <c r="L235" s="59"/>
    </row>
    <row r="236" customHeight="1" spans="6:12">
      <c r="F236" s="86">
        <v>45889</v>
      </c>
      <c r="G236" s="87">
        <v>25050.55</v>
      </c>
      <c r="H236" s="59"/>
      <c r="I236" s="5"/>
      <c r="J236" s="5"/>
      <c r="K236" s="5"/>
      <c r="L236" s="59"/>
    </row>
    <row r="237" customHeight="1" spans="6:12">
      <c r="F237" s="86">
        <v>45888</v>
      </c>
      <c r="G237" s="87">
        <v>24980.65</v>
      </c>
      <c r="H237" s="59"/>
      <c r="I237" s="5"/>
      <c r="J237" s="5"/>
      <c r="K237" s="5"/>
      <c r="L237" s="59"/>
    </row>
    <row r="238" customHeight="1" spans="6:12">
      <c r="F238" s="86">
        <v>45887</v>
      </c>
      <c r="G238" s="87">
        <v>24876.95</v>
      </c>
      <c r="H238" s="59"/>
      <c r="I238" s="5"/>
      <c r="J238" s="5"/>
      <c r="K238" s="5"/>
      <c r="L238" s="59"/>
    </row>
    <row r="239" customHeight="1" spans="6:12">
      <c r="F239" s="86">
        <v>45883</v>
      </c>
      <c r="G239" s="87">
        <v>24631.3</v>
      </c>
      <c r="H239" s="59"/>
      <c r="I239" s="5"/>
      <c r="J239" s="5"/>
      <c r="K239" s="5"/>
      <c r="L239" s="59"/>
    </row>
    <row r="240" customHeight="1" spans="6:12">
      <c r="F240" s="86">
        <v>45882</v>
      </c>
      <c r="G240" s="87">
        <v>24619.35</v>
      </c>
      <c r="H240" s="59"/>
      <c r="I240" s="5"/>
      <c r="J240" s="5"/>
      <c r="K240" s="5"/>
      <c r="L240" s="59"/>
    </row>
    <row r="241" customHeight="1" spans="6:12">
      <c r="F241" s="86">
        <v>45881</v>
      </c>
      <c r="G241" s="87">
        <v>24487.4</v>
      </c>
      <c r="H241" s="59"/>
      <c r="I241" s="5"/>
      <c r="J241" s="5"/>
      <c r="K241" s="5"/>
      <c r="L241" s="59"/>
    </row>
    <row r="242" customHeight="1" spans="6:12">
      <c r="F242" s="86">
        <v>45880</v>
      </c>
      <c r="G242" s="87">
        <v>24585.05</v>
      </c>
      <c r="H242" s="59"/>
      <c r="I242" s="5"/>
      <c r="J242" s="5"/>
      <c r="K242" s="5"/>
      <c r="L242" s="59"/>
    </row>
    <row r="243" customHeight="1" spans="6:12">
      <c r="F243" s="86">
        <v>45877</v>
      </c>
      <c r="G243" s="87">
        <v>24363.3</v>
      </c>
      <c r="H243" s="59"/>
      <c r="I243" s="5"/>
      <c r="J243" s="5"/>
      <c r="K243" s="5"/>
      <c r="L243" s="59"/>
    </row>
    <row r="244" customHeight="1" spans="6:12">
      <c r="F244" s="86">
        <v>45876</v>
      </c>
      <c r="G244" s="87">
        <v>24596.15</v>
      </c>
      <c r="H244" s="59"/>
      <c r="I244" s="5"/>
      <c r="J244" s="5"/>
      <c r="K244" s="5"/>
      <c r="L244" s="59"/>
    </row>
    <row r="245" customHeight="1" spans="6:12">
      <c r="F245" s="86">
        <v>45875</v>
      </c>
      <c r="G245" s="87">
        <v>24574.2</v>
      </c>
      <c r="H245" s="59"/>
      <c r="I245" s="5"/>
      <c r="J245" s="5"/>
      <c r="K245" s="5"/>
      <c r="L245" s="59"/>
    </row>
    <row r="246" customHeight="1" spans="6:12">
      <c r="F246" s="86">
        <v>45874</v>
      </c>
      <c r="G246" s="87">
        <v>24649.55</v>
      </c>
      <c r="H246" s="59"/>
      <c r="I246" s="5"/>
      <c r="J246" s="5"/>
      <c r="K246" s="5"/>
      <c r="L246" s="59"/>
    </row>
    <row r="247" customHeight="1" spans="6:12">
      <c r="F247" s="86">
        <v>45873</v>
      </c>
      <c r="G247" s="87">
        <v>24722.75</v>
      </c>
      <c r="H247" s="59"/>
      <c r="I247" s="5"/>
      <c r="J247" s="5"/>
      <c r="K247" s="5"/>
      <c r="L247" s="59"/>
    </row>
    <row r="248" customHeight="1" spans="6:12">
      <c r="F248" s="86">
        <v>45870</v>
      </c>
      <c r="G248" s="87">
        <v>24565.35</v>
      </c>
      <c r="H248" s="59"/>
      <c r="I248" s="5"/>
      <c r="J248" s="5"/>
      <c r="K248" s="5"/>
      <c r="L248" s="59"/>
    </row>
    <row r="249" customHeight="1" spans="6:12">
      <c r="F249" s="86">
        <v>45869</v>
      </c>
      <c r="G249" s="87">
        <v>24768.35</v>
      </c>
      <c r="H249" s="59"/>
      <c r="I249" s="5"/>
      <c r="J249" s="5"/>
      <c r="K249" s="5"/>
      <c r="L249" s="59"/>
    </row>
    <row r="250" customHeight="1" spans="6:12">
      <c r="F250" s="86">
        <v>45868</v>
      </c>
      <c r="G250" s="87">
        <v>24855.05</v>
      </c>
      <c r="H250" s="59"/>
      <c r="I250" s="5"/>
      <c r="J250" s="5"/>
      <c r="K250" s="5"/>
      <c r="L250" s="59"/>
    </row>
    <row r="251" customHeight="1" spans="6:12">
      <c r="F251" s="86">
        <v>45867</v>
      </c>
      <c r="G251" s="87">
        <v>24821.1</v>
      </c>
      <c r="H251" s="59"/>
      <c r="I251" s="5"/>
      <c r="J251" s="5"/>
      <c r="K251" s="5"/>
      <c r="L251" s="59"/>
    </row>
    <row r="252" customHeight="1" spans="6:12">
      <c r="F252" s="86">
        <v>45866</v>
      </c>
      <c r="G252" s="87">
        <v>24680.9</v>
      </c>
      <c r="H252" s="59"/>
      <c r="I252" s="5"/>
      <c r="J252" s="5"/>
      <c r="K252" s="5"/>
      <c r="L252" s="59"/>
    </row>
    <row r="253" customHeight="1" spans="6:12">
      <c r="F253" s="86">
        <v>45863</v>
      </c>
      <c r="G253" s="87">
        <v>24837</v>
      </c>
      <c r="H253" s="59"/>
      <c r="I253" s="5"/>
      <c r="J253" s="5"/>
      <c r="K253" s="5"/>
      <c r="L253" s="59"/>
    </row>
    <row r="254" customHeight="1" spans="6:12">
      <c r="F254" s="86">
        <v>45862</v>
      </c>
      <c r="G254" s="87">
        <v>25062.1</v>
      </c>
      <c r="H254" s="59"/>
      <c r="I254" s="5"/>
      <c r="J254" s="5"/>
      <c r="K254" s="5"/>
      <c r="L254" s="59"/>
    </row>
    <row r="255" customHeight="1" spans="6:12">
      <c r="F255" s="86">
        <v>45861</v>
      </c>
      <c r="G255" s="87">
        <v>25219.9</v>
      </c>
      <c r="H255" s="59"/>
      <c r="I255" s="5"/>
      <c r="J255" s="5"/>
      <c r="K255" s="5"/>
      <c r="L255" s="59"/>
    </row>
    <row r="256" customHeight="1" spans="6:12">
      <c r="F256" s="86">
        <v>45860</v>
      </c>
      <c r="G256" s="87">
        <v>25060.9</v>
      </c>
      <c r="H256" s="59"/>
      <c r="I256" s="5"/>
      <c r="J256" s="5"/>
      <c r="K256" s="5"/>
      <c r="L256" s="59"/>
    </row>
    <row r="257" customHeight="1" spans="6:12">
      <c r="F257" s="86">
        <v>45859</v>
      </c>
      <c r="G257" s="87">
        <v>25090.7</v>
      </c>
      <c r="H257" s="59"/>
      <c r="I257" s="5"/>
      <c r="J257" s="5"/>
      <c r="K257" s="5"/>
      <c r="L257" s="59"/>
    </row>
    <row r="258" customHeight="1" spans="6:12">
      <c r="F258" s="86">
        <v>45856</v>
      </c>
      <c r="G258" s="87">
        <v>24968.4</v>
      </c>
      <c r="H258" s="59"/>
      <c r="I258" s="5"/>
      <c r="J258" s="5"/>
      <c r="K258" s="5"/>
      <c r="L258" s="59"/>
    </row>
    <row r="259" customHeight="1" spans="6:12">
      <c r="F259" s="86">
        <v>45855</v>
      </c>
      <c r="G259" s="87">
        <v>25111.45</v>
      </c>
      <c r="H259" s="59"/>
      <c r="I259" s="5"/>
      <c r="J259" s="5"/>
      <c r="K259" s="5"/>
      <c r="L259" s="59"/>
    </row>
    <row r="260" customHeight="1" spans="6:12">
      <c r="F260" s="86">
        <v>45854</v>
      </c>
      <c r="G260" s="87">
        <v>25212.05</v>
      </c>
      <c r="H260" s="59"/>
      <c r="I260" s="5"/>
      <c r="J260" s="5"/>
      <c r="K260" s="5"/>
      <c r="L260" s="59"/>
    </row>
    <row r="261" customHeight="1" spans="6:12">
      <c r="F261" s="86">
        <v>45853</v>
      </c>
      <c r="G261" s="87">
        <v>25195.8</v>
      </c>
      <c r="H261" s="59"/>
      <c r="I261" s="5"/>
      <c r="J261" s="5"/>
      <c r="K261" s="5"/>
      <c r="L261" s="59"/>
    </row>
    <row r="262" customHeight="1" spans="6:12">
      <c r="F262" s="86">
        <v>45852</v>
      </c>
      <c r="G262" s="87">
        <v>25082.3</v>
      </c>
      <c r="H262" s="59"/>
      <c r="I262" s="5"/>
      <c r="J262" s="5"/>
      <c r="K262" s="5"/>
      <c r="L262" s="59"/>
    </row>
    <row r="263" customHeight="1" spans="6:12">
      <c r="F263" s="86">
        <v>45849</v>
      </c>
      <c r="G263" s="87">
        <v>25149.85</v>
      </c>
      <c r="H263" s="59"/>
      <c r="I263" s="5"/>
      <c r="J263" s="5"/>
      <c r="K263" s="5"/>
      <c r="L263" s="59"/>
    </row>
    <row r="264" customHeight="1" spans="6:12">
      <c r="F264" s="86">
        <v>45848</v>
      </c>
      <c r="G264" s="87">
        <v>25355.25</v>
      </c>
      <c r="H264" s="59"/>
      <c r="I264" s="5"/>
      <c r="J264" s="5"/>
      <c r="K264" s="5"/>
      <c r="L264" s="59"/>
    </row>
    <row r="265" customHeight="1" spans="6:12">
      <c r="F265" s="86">
        <v>45847</v>
      </c>
      <c r="G265" s="87">
        <v>25476.1</v>
      </c>
      <c r="H265" s="59"/>
      <c r="I265" s="5"/>
      <c r="J265" s="5"/>
      <c r="K265" s="5"/>
      <c r="L265" s="59"/>
    </row>
    <row r="266" customHeight="1" spans="6:12">
      <c r="F266" s="86">
        <v>45846</v>
      </c>
      <c r="G266" s="87">
        <v>25522.5</v>
      </c>
      <c r="H266" s="59"/>
      <c r="I266" s="5"/>
      <c r="J266" s="5"/>
      <c r="K266" s="5"/>
      <c r="L266" s="59"/>
    </row>
    <row r="267" customHeight="1" spans="6:12">
      <c r="F267" s="86">
        <v>45845</v>
      </c>
      <c r="G267" s="87">
        <v>25461.3</v>
      </c>
      <c r="H267" s="59"/>
      <c r="I267" s="5"/>
      <c r="J267" s="5"/>
      <c r="K267" s="5"/>
      <c r="L267" s="59"/>
    </row>
    <row r="268" customHeight="1" spans="6:12">
      <c r="F268" s="86">
        <v>45842</v>
      </c>
      <c r="G268" s="87">
        <v>25461</v>
      </c>
      <c r="H268" s="59"/>
      <c r="I268" s="5"/>
      <c r="J268" s="5"/>
      <c r="K268" s="5"/>
      <c r="L268" s="59"/>
    </row>
    <row r="269" customHeight="1" spans="6:12">
      <c r="F269" s="86">
        <v>45841</v>
      </c>
      <c r="G269" s="87">
        <v>25405.3</v>
      </c>
      <c r="H269" s="59"/>
      <c r="I269" s="5"/>
      <c r="J269" s="5"/>
      <c r="K269" s="5"/>
      <c r="L269" s="59"/>
    </row>
    <row r="270" customHeight="1" spans="6:12">
      <c r="F270" s="86">
        <v>45840</v>
      </c>
      <c r="G270" s="87">
        <v>25453.4</v>
      </c>
      <c r="H270" s="59"/>
      <c r="I270" s="5"/>
      <c r="J270" s="5"/>
      <c r="K270" s="5"/>
      <c r="L270" s="59"/>
    </row>
    <row r="271" customHeight="1" spans="6:12">
      <c r="F271" s="86">
        <v>45839</v>
      </c>
      <c r="G271" s="87">
        <v>25541.8</v>
      </c>
      <c r="H271" s="59"/>
      <c r="I271" s="5"/>
      <c r="J271" s="5"/>
      <c r="K271" s="5"/>
      <c r="L271" s="59"/>
    </row>
    <row r="272" customHeight="1" spans="6:12">
      <c r="F272" s="86">
        <v>45838</v>
      </c>
      <c r="G272" s="87">
        <v>25517.05</v>
      </c>
      <c r="H272" s="59"/>
      <c r="I272" s="5"/>
      <c r="J272" s="5"/>
      <c r="K272" s="5"/>
      <c r="L272" s="59"/>
    </row>
    <row r="273" customHeight="1" spans="6:12">
      <c r="F273" s="86">
        <v>45835</v>
      </c>
      <c r="G273" s="87">
        <v>25637.8</v>
      </c>
      <c r="H273" s="59"/>
      <c r="I273" s="5"/>
      <c r="J273" s="5"/>
      <c r="K273" s="5"/>
      <c r="L273" s="59"/>
    </row>
    <row r="274" customHeight="1" spans="6:12">
      <c r="F274" s="86">
        <v>45834</v>
      </c>
      <c r="G274" s="87">
        <v>25549</v>
      </c>
      <c r="H274" s="59"/>
      <c r="I274" s="5"/>
      <c r="J274" s="5"/>
      <c r="K274" s="5"/>
      <c r="L274" s="59"/>
    </row>
    <row r="275" customHeight="1" spans="6:12">
      <c r="F275" s="86">
        <v>45833</v>
      </c>
      <c r="G275" s="87">
        <v>25244.75</v>
      </c>
      <c r="H275" s="59"/>
      <c r="I275" s="5"/>
      <c r="J275" s="5"/>
      <c r="K275" s="5"/>
      <c r="L275" s="59"/>
    </row>
    <row r="276" customHeight="1" spans="6:12">
      <c r="F276" s="86">
        <v>45832</v>
      </c>
      <c r="G276" s="87">
        <v>25044.35</v>
      </c>
      <c r="H276" s="59"/>
      <c r="I276" s="5"/>
      <c r="J276" s="5"/>
      <c r="K276" s="5"/>
      <c r="L276" s="59"/>
    </row>
    <row r="277" customHeight="1" spans="6:12">
      <c r="F277" s="86">
        <v>45831</v>
      </c>
      <c r="G277" s="87">
        <v>24971.9</v>
      </c>
      <c r="H277" s="59"/>
      <c r="I277" s="5"/>
      <c r="J277" s="5"/>
      <c r="K277" s="5"/>
      <c r="L277" s="59"/>
    </row>
    <row r="278" customHeight="1" spans="6:12">
      <c r="F278" s="86">
        <v>45828</v>
      </c>
      <c r="G278" s="87">
        <v>25112.4</v>
      </c>
      <c r="H278" s="59"/>
      <c r="I278" s="5"/>
      <c r="J278" s="5"/>
      <c r="K278" s="5"/>
      <c r="L278" s="59"/>
    </row>
    <row r="279" customHeight="1" spans="6:12">
      <c r="F279" s="86">
        <v>45827</v>
      </c>
      <c r="G279" s="87">
        <v>24793.25</v>
      </c>
      <c r="H279" s="59"/>
      <c r="I279" s="5"/>
      <c r="J279" s="5"/>
      <c r="K279" s="5"/>
      <c r="L279" s="59"/>
    </row>
    <row r="280" customHeight="1" spans="6:12">
      <c r="F280" s="86">
        <v>45826</v>
      </c>
      <c r="G280" s="87">
        <v>24812.05</v>
      </c>
      <c r="H280" s="59"/>
      <c r="I280" s="5"/>
      <c r="J280" s="5"/>
      <c r="K280" s="5"/>
      <c r="L280" s="59"/>
    </row>
    <row r="281" customHeight="1" spans="6:12">
      <c r="F281" s="86">
        <v>45825</v>
      </c>
      <c r="G281" s="87">
        <v>24853.4</v>
      </c>
      <c r="H281" s="59"/>
      <c r="I281" s="5"/>
      <c r="J281" s="5"/>
      <c r="K281" s="5"/>
      <c r="L281" s="59"/>
    </row>
    <row r="282" customHeight="1" spans="6:12">
      <c r="F282" s="86">
        <v>45824</v>
      </c>
      <c r="G282" s="87">
        <v>24946.5</v>
      </c>
      <c r="H282" s="59"/>
      <c r="I282" s="5"/>
      <c r="J282" s="5"/>
      <c r="K282" s="5"/>
      <c r="L282" s="59"/>
    </row>
    <row r="283" customHeight="1" spans="6:12">
      <c r="F283" s="86">
        <v>45821</v>
      </c>
      <c r="G283" s="87">
        <v>24718.6</v>
      </c>
      <c r="H283" s="59"/>
      <c r="I283" s="5"/>
      <c r="J283" s="5"/>
      <c r="K283" s="5"/>
      <c r="L283" s="59"/>
    </row>
    <row r="284" customHeight="1" spans="6:12">
      <c r="F284" s="86">
        <v>45820</v>
      </c>
      <c r="G284" s="87">
        <v>24888.2</v>
      </c>
      <c r="H284" s="59"/>
      <c r="I284" s="5"/>
      <c r="J284" s="5"/>
      <c r="K284" s="5"/>
      <c r="L284" s="59"/>
    </row>
    <row r="285" customHeight="1" spans="6:12">
      <c r="F285" s="86">
        <v>45819</v>
      </c>
      <c r="G285" s="87">
        <v>25141.4</v>
      </c>
      <c r="H285" s="59"/>
      <c r="I285" s="5"/>
      <c r="J285" s="5"/>
      <c r="K285" s="5"/>
      <c r="L285" s="59"/>
    </row>
    <row r="286" customHeight="1" spans="6:12">
      <c r="F286" s="86">
        <v>45818</v>
      </c>
      <c r="G286" s="87">
        <v>25104.25</v>
      </c>
      <c r="H286" s="59"/>
      <c r="I286" s="5"/>
      <c r="J286" s="5"/>
      <c r="K286" s="5"/>
      <c r="L286" s="59"/>
    </row>
    <row r="287" customHeight="1" spans="6:12">
      <c r="F287" s="86">
        <v>45817</v>
      </c>
      <c r="G287" s="87">
        <v>25103.2</v>
      </c>
      <c r="H287" s="59"/>
      <c r="I287" s="5"/>
      <c r="J287" s="5"/>
      <c r="K287" s="5"/>
      <c r="L287" s="59"/>
    </row>
    <row r="288" customHeight="1" spans="6:12">
      <c r="F288" s="86">
        <v>45814</v>
      </c>
      <c r="G288" s="87">
        <v>25003.05</v>
      </c>
      <c r="H288" s="59"/>
      <c r="I288" s="5"/>
      <c r="J288" s="5"/>
      <c r="K288" s="5"/>
      <c r="L288" s="59"/>
    </row>
    <row r="289" customHeight="1" spans="6:12">
      <c r="F289" s="86">
        <v>45813</v>
      </c>
      <c r="G289" s="87">
        <v>24750.9</v>
      </c>
      <c r="H289" s="59"/>
      <c r="I289" s="5"/>
      <c r="J289" s="5"/>
      <c r="K289" s="5"/>
      <c r="L289" s="59"/>
    </row>
    <row r="290" customHeight="1" spans="6:12">
      <c r="F290" s="86">
        <v>45812</v>
      </c>
      <c r="G290" s="87">
        <v>24620.2</v>
      </c>
      <c r="H290" s="59"/>
      <c r="I290" s="5"/>
      <c r="J290" s="5"/>
      <c r="K290" s="5"/>
      <c r="L290" s="59"/>
    </row>
    <row r="291" customHeight="1" spans="6:12">
      <c r="F291" s="86">
        <v>45811</v>
      </c>
      <c r="G291" s="87">
        <v>24542.5</v>
      </c>
      <c r="H291" s="59"/>
      <c r="I291" s="5"/>
      <c r="J291" s="5"/>
      <c r="K291" s="5"/>
      <c r="L291" s="59"/>
    </row>
    <row r="292" customHeight="1" spans="6:12">
      <c r="F292" s="86">
        <v>45810</v>
      </c>
      <c r="G292" s="87">
        <v>24716.6</v>
      </c>
      <c r="H292" s="59"/>
      <c r="I292" s="5"/>
      <c r="J292" s="5"/>
      <c r="K292" s="5"/>
      <c r="L292" s="59"/>
    </row>
    <row r="293" customHeight="1" spans="6:12">
      <c r="F293" s="86">
        <v>45807</v>
      </c>
      <c r="G293" s="87">
        <v>24750.7</v>
      </c>
      <c r="H293" s="59"/>
      <c r="I293" s="5"/>
      <c r="J293" s="5"/>
      <c r="K293" s="5"/>
      <c r="L293" s="59"/>
    </row>
    <row r="294" customHeight="1" spans="6:12">
      <c r="F294" s="86">
        <v>45806</v>
      </c>
      <c r="G294" s="87">
        <v>24833.6</v>
      </c>
      <c r="H294" s="59"/>
      <c r="I294" s="5"/>
      <c r="J294" s="5"/>
      <c r="K294" s="5"/>
      <c r="L294" s="59"/>
    </row>
    <row r="295" customHeight="1" spans="6:12">
      <c r="F295" s="86">
        <v>45805</v>
      </c>
      <c r="G295" s="87">
        <v>24752.45</v>
      </c>
      <c r="H295" s="59"/>
      <c r="I295" s="5"/>
      <c r="J295" s="5"/>
      <c r="K295" s="5"/>
      <c r="L295" s="59"/>
    </row>
    <row r="296" customHeight="1" spans="6:12">
      <c r="F296" s="86">
        <v>45804</v>
      </c>
      <c r="G296" s="87">
        <v>24826.2</v>
      </c>
      <c r="H296" s="59"/>
      <c r="I296" s="5"/>
      <c r="J296" s="5"/>
      <c r="K296" s="5"/>
      <c r="L296" s="59"/>
    </row>
    <row r="297" customHeight="1" spans="6:12">
      <c r="F297" s="86">
        <v>45803</v>
      </c>
      <c r="G297" s="87">
        <v>25001.15</v>
      </c>
      <c r="H297" s="59"/>
      <c r="I297" s="5"/>
      <c r="J297" s="5"/>
      <c r="K297" s="5"/>
      <c r="L297" s="59"/>
    </row>
    <row r="298" customHeight="1" spans="6:12">
      <c r="F298" s="86">
        <v>45800</v>
      </c>
      <c r="G298" s="87">
        <v>24853.15</v>
      </c>
      <c r="H298" s="59"/>
      <c r="I298" s="5"/>
      <c r="J298" s="5"/>
      <c r="K298" s="5"/>
      <c r="L298" s="59"/>
    </row>
    <row r="299" customHeight="1" spans="6:12">
      <c r="F299" s="86">
        <v>45799</v>
      </c>
      <c r="G299" s="87">
        <v>24609.7</v>
      </c>
      <c r="H299" s="59"/>
      <c r="I299" s="5"/>
      <c r="J299" s="5"/>
      <c r="K299" s="5"/>
      <c r="L299" s="59"/>
    </row>
    <row r="300" customHeight="1" spans="6:12">
      <c r="F300" s="86">
        <v>45798</v>
      </c>
      <c r="G300" s="87">
        <v>24813.45</v>
      </c>
      <c r="H300" s="59"/>
      <c r="I300" s="5"/>
      <c r="J300" s="5"/>
      <c r="K300" s="5"/>
      <c r="L300" s="59"/>
    </row>
    <row r="301" customHeight="1" spans="6:12">
      <c r="F301" s="86">
        <v>45797</v>
      </c>
      <c r="G301" s="87">
        <v>24683.9</v>
      </c>
      <c r="H301" s="59"/>
      <c r="I301" s="5"/>
      <c r="J301" s="5"/>
      <c r="K301" s="5"/>
      <c r="L301" s="59"/>
    </row>
    <row r="302" customHeight="1" spans="6:12">
      <c r="F302" s="86">
        <v>45796</v>
      </c>
      <c r="G302" s="87">
        <v>24945.45</v>
      </c>
      <c r="H302" s="59"/>
      <c r="I302" s="5"/>
      <c r="J302" s="5"/>
      <c r="K302" s="5"/>
      <c r="L302" s="59"/>
    </row>
    <row r="303" customHeight="1" spans="6:12">
      <c r="F303" s="86">
        <v>45793</v>
      </c>
      <c r="G303" s="87">
        <v>25019.8</v>
      </c>
      <c r="H303" s="59"/>
      <c r="I303" s="5"/>
      <c r="J303" s="5"/>
      <c r="K303" s="5"/>
      <c r="L303" s="59"/>
    </row>
    <row r="304" customHeight="1" spans="6:12">
      <c r="F304" s="86">
        <v>45792</v>
      </c>
      <c r="G304" s="87">
        <v>25062.1</v>
      </c>
      <c r="H304" s="59"/>
      <c r="I304" s="5"/>
      <c r="J304" s="5"/>
      <c r="K304" s="5"/>
      <c r="L304" s="59"/>
    </row>
    <row r="305" customHeight="1" spans="6:12">
      <c r="F305" s="86">
        <v>45791</v>
      </c>
      <c r="G305" s="87">
        <v>24666.9</v>
      </c>
      <c r="H305" s="59"/>
      <c r="I305" s="5"/>
      <c r="J305" s="5"/>
      <c r="K305" s="5"/>
      <c r="L305" s="59"/>
    </row>
    <row r="306" customHeight="1" spans="6:12">
      <c r="F306" s="86">
        <v>45790</v>
      </c>
      <c r="G306" s="87">
        <v>24578.35</v>
      </c>
      <c r="H306" s="59"/>
      <c r="I306" s="5"/>
      <c r="J306" s="5"/>
      <c r="K306" s="5"/>
      <c r="L306" s="59"/>
    </row>
    <row r="307" customHeight="1" spans="6:12">
      <c r="F307" s="86">
        <v>45789</v>
      </c>
      <c r="G307" s="87">
        <v>24924.7</v>
      </c>
      <c r="H307" s="59"/>
      <c r="I307" s="5"/>
      <c r="J307" s="5"/>
      <c r="K307" s="5"/>
      <c r="L307" s="59"/>
    </row>
    <row r="308" customHeight="1" spans="6:12">
      <c r="F308" s="86">
        <v>45786</v>
      </c>
      <c r="G308" s="87">
        <v>24008</v>
      </c>
      <c r="H308" s="59"/>
      <c r="I308" s="5"/>
      <c r="J308" s="5"/>
      <c r="K308" s="5"/>
      <c r="L308" s="59"/>
    </row>
    <row r="309" customHeight="1" spans="6:12">
      <c r="F309" s="86">
        <v>45785</v>
      </c>
      <c r="G309" s="87">
        <v>24273.8</v>
      </c>
      <c r="H309" s="59"/>
      <c r="I309" s="5"/>
      <c r="J309" s="5"/>
      <c r="K309" s="5"/>
      <c r="L309" s="59"/>
    </row>
    <row r="310" customHeight="1" spans="6:12">
      <c r="F310" s="86">
        <v>45784</v>
      </c>
      <c r="G310" s="87">
        <v>24414.4</v>
      </c>
      <c r="H310" s="59"/>
      <c r="I310" s="5"/>
      <c r="J310" s="5"/>
      <c r="K310" s="5"/>
      <c r="L310" s="59"/>
    </row>
    <row r="311" customHeight="1" spans="6:12">
      <c r="F311" s="86">
        <v>45783</v>
      </c>
      <c r="G311" s="87">
        <v>24379.6</v>
      </c>
      <c r="H311" s="59"/>
      <c r="I311" s="5"/>
      <c r="J311" s="5"/>
      <c r="K311" s="5"/>
      <c r="L311" s="59"/>
    </row>
    <row r="312" customHeight="1" spans="6:12">
      <c r="F312" s="86">
        <v>45782</v>
      </c>
      <c r="G312" s="87">
        <v>24461.15</v>
      </c>
      <c r="H312" s="59"/>
      <c r="I312" s="5"/>
      <c r="J312" s="5"/>
      <c r="K312" s="5"/>
      <c r="L312" s="59"/>
    </row>
    <row r="313" customHeight="1" spans="6:12">
      <c r="F313" s="86">
        <v>45779</v>
      </c>
      <c r="G313" s="87">
        <v>24346.7</v>
      </c>
      <c r="H313" s="59"/>
      <c r="I313" s="5"/>
      <c r="J313" s="5"/>
      <c r="K313" s="5"/>
      <c r="L313" s="59"/>
    </row>
    <row r="314" customHeight="1" spans="6:12">
      <c r="F314" s="86">
        <v>45777</v>
      </c>
      <c r="G314" s="87">
        <v>24334.2</v>
      </c>
      <c r="H314" s="59"/>
      <c r="I314" s="5"/>
      <c r="J314" s="5"/>
      <c r="K314" s="5"/>
      <c r="L314" s="59"/>
    </row>
    <row r="315" customHeight="1" spans="6:12">
      <c r="F315" s="86">
        <v>45776</v>
      </c>
      <c r="G315" s="87">
        <v>24335.95</v>
      </c>
      <c r="H315" s="59"/>
      <c r="I315" s="5"/>
      <c r="J315" s="5"/>
      <c r="K315" s="5"/>
      <c r="L315" s="59"/>
    </row>
    <row r="316" customHeight="1" spans="6:12">
      <c r="F316" s="86">
        <v>45775</v>
      </c>
      <c r="G316" s="87">
        <v>24328.5</v>
      </c>
      <c r="H316" s="59"/>
      <c r="I316" s="5"/>
      <c r="J316" s="5"/>
      <c r="K316" s="5"/>
      <c r="L316" s="59"/>
    </row>
    <row r="317" customHeight="1" spans="6:12">
      <c r="F317" s="86">
        <v>45772</v>
      </c>
      <c r="G317" s="87">
        <v>24039.35</v>
      </c>
      <c r="H317" s="59"/>
      <c r="I317" s="5"/>
      <c r="J317" s="5"/>
      <c r="K317" s="5"/>
      <c r="L317" s="59"/>
    </row>
    <row r="318" customHeight="1" spans="6:12">
      <c r="F318" s="86">
        <v>45771</v>
      </c>
      <c r="G318" s="87">
        <v>24246.7</v>
      </c>
      <c r="H318" s="59"/>
      <c r="I318" s="5"/>
      <c r="J318" s="5"/>
      <c r="K318" s="5"/>
      <c r="L318" s="59"/>
    </row>
    <row r="319" customHeight="1" spans="6:12">
      <c r="F319" s="86">
        <v>45770</v>
      </c>
      <c r="G319" s="87">
        <v>24328.95</v>
      </c>
      <c r="H319" s="59"/>
      <c r="I319" s="5"/>
      <c r="J319" s="5"/>
      <c r="K319" s="5"/>
      <c r="L319" s="59"/>
    </row>
    <row r="320" customHeight="1" spans="6:12">
      <c r="F320" s="86">
        <v>45769</v>
      </c>
      <c r="G320" s="87">
        <v>24167.25</v>
      </c>
      <c r="H320" s="59"/>
      <c r="I320" s="5"/>
      <c r="J320" s="5"/>
      <c r="K320" s="5"/>
      <c r="L320" s="59"/>
    </row>
    <row r="321" customHeight="1" spans="6:12">
      <c r="F321" s="86">
        <v>45768</v>
      </c>
      <c r="G321" s="87">
        <v>24125.55</v>
      </c>
      <c r="H321" s="59"/>
      <c r="I321" s="5"/>
      <c r="J321" s="5"/>
      <c r="K321" s="5"/>
      <c r="L321" s="59"/>
    </row>
    <row r="322" customHeight="1" spans="6:12">
      <c r="F322" s="86">
        <v>45764</v>
      </c>
      <c r="G322" s="87">
        <v>23851.65</v>
      </c>
      <c r="H322" s="59"/>
      <c r="I322" s="5"/>
      <c r="J322" s="5"/>
      <c r="K322" s="5"/>
      <c r="L322" s="59"/>
    </row>
    <row r="323" customHeight="1" spans="6:12">
      <c r="F323" s="86">
        <v>45763</v>
      </c>
      <c r="G323" s="87">
        <v>23437.2</v>
      </c>
      <c r="H323" s="59"/>
      <c r="I323" s="5"/>
      <c r="J323" s="5"/>
      <c r="K323" s="5"/>
      <c r="L323" s="59"/>
    </row>
    <row r="324" customHeight="1" spans="6:12">
      <c r="F324" s="86">
        <v>45762</v>
      </c>
      <c r="G324" s="87">
        <v>23328.55</v>
      </c>
      <c r="H324" s="59"/>
      <c r="I324" s="5"/>
      <c r="J324" s="5"/>
      <c r="K324" s="5"/>
      <c r="L324" s="59"/>
    </row>
    <row r="325" customHeight="1" spans="6:12">
      <c r="F325" s="86">
        <v>45758</v>
      </c>
      <c r="G325" s="87">
        <v>22828.55</v>
      </c>
      <c r="H325" s="59"/>
      <c r="I325" s="5"/>
      <c r="J325" s="5"/>
      <c r="K325" s="5"/>
      <c r="L325" s="59"/>
    </row>
    <row r="326" customHeight="1" spans="6:12">
      <c r="F326" s="86">
        <v>45756</v>
      </c>
      <c r="G326" s="87">
        <v>22399.15</v>
      </c>
      <c r="H326" s="59"/>
      <c r="I326" s="5"/>
      <c r="J326" s="5"/>
      <c r="K326" s="5"/>
      <c r="L326" s="59"/>
    </row>
    <row r="327" customHeight="1" spans="6:12">
      <c r="F327" s="86">
        <v>45755</v>
      </c>
      <c r="G327" s="87">
        <v>22535.85</v>
      </c>
      <c r="H327" s="59"/>
      <c r="I327" s="5"/>
      <c r="J327" s="5"/>
      <c r="K327" s="5"/>
      <c r="L327" s="59"/>
    </row>
    <row r="328" customHeight="1" spans="6:12">
      <c r="F328" s="86">
        <v>45754</v>
      </c>
      <c r="G328" s="87">
        <v>22161.6</v>
      </c>
      <c r="H328" s="59"/>
      <c r="I328" s="5"/>
      <c r="J328" s="5"/>
      <c r="K328" s="5"/>
      <c r="L328" s="59"/>
    </row>
    <row r="329" customHeight="1" spans="6:12">
      <c r="F329" s="86">
        <v>45751</v>
      </c>
      <c r="G329" s="87">
        <v>22904.45</v>
      </c>
      <c r="H329" s="59"/>
      <c r="I329" s="5"/>
      <c r="J329" s="5"/>
      <c r="K329" s="5"/>
      <c r="L329" s="59"/>
    </row>
    <row r="330" customHeight="1" spans="6:12">
      <c r="F330" s="86">
        <v>45750</v>
      </c>
      <c r="G330" s="87">
        <v>23250.1</v>
      </c>
      <c r="H330" s="59"/>
      <c r="I330" s="5"/>
      <c r="J330" s="5"/>
      <c r="K330" s="5"/>
      <c r="L330" s="59"/>
    </row>
    <row r="331" customHeight="1" spans="6:12">
      <c r="F331" s="86">
        <v>45749</v>
      </c>
      <c r="G331" s="87">
        <v>23332.35</v>
      </c>
      <c r="H331" s="59"/>
      <c r="I331" s="5"/>
      <c r="J331" s="5"/>
      <c r="K331" s="5"/>
      <c r="L331" s="59"/>
    </row>
    <row r="332" customHeight="1" spans="6:12">
      <c r="F332" s="86">
        <v>45748</v>
      </c>
      <c r="G332" s="87">
        <v>23165.7</v>
      </c>
      <c r="H332" s="59"/>
      <c r="I332" s="5"/>
      <c r="J332" s="5"/>
      <c r="K332" s="5"/>
      <c r="L332" s="59"/>
    </row>
    <row r="333" customHeight="1" spans="6:12">
      <c r="F333" s="86">
        <v>45744</v>
      </c>
      <c r="G333" s="87">
        <v>23519.35</v>
      </c>
      <c r="H333" s="59"/>
      <c r="I333" s="5"/>
      <c r="J333" s="5"/>
      <c r="K333" s="5"/>
      <c r="L333" s="59"/>
    </row>
    <row r="334" customHeight="1" spans="6:12">
      <c r="F334" s="86">
        <v>45743</v>
      </c>
      <c r="G334" s="87">
        <v>23591.95</v>
      </c>
      <c r="H334" s="59"/>
      <c r="I334" s="5"/>
      <c r="J334" s="5"/>
      <c r="K334" s="5"/>
      <c r="L334" s="59"/>
    </row>
    <row r="335" customHeight="1" spans="6:12">
      <c r="F335" s="86">
        <v>45742</v>
      </c>
      <c r="G335" s="87">
        <v>23486.85</v>
      </c>
      <c r="H335" s="59"/>
      <c r="I335" s="5"/>
      <c r="J335" s="5"/>
      <c r="K335" s="5"/>
      <c r="L335" s="59"/>
    </row>
    <row r="336" customHeight="1" spans="6:12">
      <c r="F336" s="86">
        <v>45741</v>
      </c>
      <c r="G336" s="87">
        <v>23668.65</v>
      </c>
      <c r="H336" s="59"/>
      <c r="I336" s="5"/>
      <c r="J336" s="5"/>
      <c r="K336" s="5"/>
      <c r="L336" s="59"/>
    </row>
    <row r="337" customHeight="1" spans="6:12">
      <c r="F337" s="86">
        <v>45740</v>
      </c>
      <c r="G337" s="87">
        <v>23658.35</v>
      </c>
      <c r="H337" s="59"/>
      <c r="I337" s="5"/>
      <c r="J337" s="5"/>
      <c r="K337" s="5"/>
      <c r="L337" s="59"/>
    </row>
    <row r="338" customHeight="1" spans="6:12">
      <c r="F338" s="86">
        <v>45737</v>
      </c>
      <c r="G338" s="87">
        <v>23350.4</v>
      </c>
      <c r="H338" s="59"/>
      <c r="I338" s="5"/>
      <c r="J338" s="5"/>
      <c r="K338" s="5"/>
      <c r="L338" s="59"/>
    </row>
    <row r="339" customHeight="1" spans="6:12">
      <c r="F339" s="86">
        <v>45736</v>
      </c>
      <c r="G339" s="87">
        <v>23190.65</v>
      </c>
      <c r="H339" s="59"/>
      <c r="I339" s="5"/>
      <c r="J339" s="5"/>
      <c r="K339" s="5"/>
      <c r="L339" s="59"/>
    </row>
    <row r="340" customHeight="1" spans="6:12">
      <c r="F340" s="86">
        <v>45735</v>
      </c>
      <c r="G340" s="87">
        <v>22907.6</v>
      </c>
      <c r="H340" s="59"/>
      <c r="I340" s="5"/>
      <c r="J340" s="5"/>
      <c r="K340" s="5"/>
      <c r="L340" s="59"/>
    </row>
    <row r="341" customHeight="1" spans="6:12">
      <c r="F341" s="86">
        <v>45734</v>
      </c>
      <c r="G341" s="87">
        <v>22834.3</v>
      </c>
      <c r="H341" s="59"/>
      <c r="I341" s="5"/>
      <c r="J341" s="5"/>
      <c r="K341" s="5"/>
      <c r="L341" s="59"/>
    </row>
    <row r="342" customHeight="1" spans="6:12">
      <c r="F342" s="86">
        <v>45733</v>
      </c>
      <c r="G342" s="87">
        <v>22508.75</v>
      </c>
      <c r="H342" s="59"/>
      <c r="I342" s="5"/>
      <c r="J342" s="5"/>
      <c r="K342" s="5"/>
      <c r="L342" s="59"/>
    </row>
    <row r="343" customHeight="1" spans="6:12">
      <c r="F343" s="86">
        <v>45729</v>
      </c>
      <c r="G343" s="87">
        <v>22397.2</v>
      </c>
      <c r="H343" s="59"/>
      <c r="I343" s="5"/>
      <c r="J343" s="5"/>
      <c r="K343" s="5"/>
      <c r="L343" s="59"/>
    </row>
    <row r="344" customHeight="1" spans="6:12">
      <c r="F344" s="86">
        <v>45728</v>
      </c>
      <c r="G344" s="87">
        <v>22470.5</v>
      </c>
      <c r="H344" s="59"/>
      <c r="I344" s="5"/>
      <c r="J344" s="5"/>
      <c r="K344" s="5"/>
      <c r="L344" s="59"/>
    </row>
    <row r="345" customHeight="1" spans="6:12">
      <c r="F345" s="86">
        <v>45727</v>
      </c>
      <c r="G345" s="87">
        <v>22497.9</v>
      </c>
      <c r="H345" s="59"/>
      <c r="I345" s="5"/>
      <c r="J345" s="5"/>
      <c r="K345" s="5"/>
      <c r="L345" s="59"/>
    </row>
    <row r="346" customHeight="1" spans="6:12">
      <c r="F346" s="86">
        <v>45726</v>
      </c>
      <c r="G346" s="87">
        <v>22460.3</v>
      </c>
      <c r="H346" s="59"/>
      <c r="I346" s="5"/>
      <c r="J346" s="5"/>
      <c r="K346" s="5"/>
      <c r="L346" s="59"/>
    </row>
    <row r="347" customHeight="1" spans="6:12">
      <c r="F347" s="86">
        <v>45723</v>
      </c>
      <c r="G347" s="87">
        <v>22552.5</v>
      </c>
      <c r="H347" s="59"/>
      <c r="I347" s="5"/>
      <c r="J347" s="5"/>
      <c r="K347" s="5"/>
      <c r="L347" s="59"/>
    </row>
    <row r="348" customHeight="1" spans="6:12">
      <c r="F348" s="86">
        <v>45722</v>
      </c>
      <c r="G348" s="87">
        <v>22544.7</v>
      </c>
      <c r="H348" s="59"/>
      <c r="I348" s="5"/>
      <c r="J348" s="5"/>
      <c r="K348" s="5"/>
      <c r="L348" s="59"/>
    </row>
    <row r="349" customHeight="1" spans="6:12">
      <c r="F349" s="86">
        <v>45721</v>
      </c>
      <c r="G349" s="87">
        <v>22337.3</v>
      </c>
      <c r="H349" s="59"/>
      <c r="I349" s="5"/>
      <c r="J349" s="5"/>
      <c r="K349" s="5"/>
      <c r="L349" s="59"/>
    </row>
    <row r="350" customHeight="1" spans="6:12">
      <c r="F350" s="86">
        <v>45720</v>
      </c>
      <c r="G350" s="87">
        <v>22082.65</v>
      </c>
      <c r="H350" s="59"/>
      <c r="I350" s="5"/>
      <c r="J350" s="5"/>
      <c r="K350" s="5"/>
      <c r="L350" s="59"/>
    </row>
    <row r="351" customHeight="1" spans="6:12">
      <c r="F351" s="86">
        <v>45719</v>
      </c>
      <c r="G351" s="87">
        <v>22119.3</v>
      </c>
      <c r="H351" s="59"/>
      <c r="I351" s="5"/>
      <c r="J351" s="5"/>
      <c r="K351" s="5"/>
      <c r="L351" s="59"/>
    </row>
    <row r="352" customHeight="1" spans="6:12">
      <c r="F352" s="86">
        <v>45716</v>
      </c>
      <c r="G352" s="87">
        <v>22124.7</v>
      </c>
      <c r="H352" s="59"/>
      <c r="I352" s="5"/>
      <c r="J352" s="5"/>
      <c r="K352" s="5"/>
      <c r="L352" s="59"/>
    </row>
    <row r="353" customHeight="1" spans="6:12">
      <c r="F353" s="86">
        <v>45715</v>
      </c>
      <c r="G353" s="87">
        <v>22545.05</v>
      </c>
      <c r="H353" s="59"/>
      <c r="I353" s="5"/>
      <c r="J353" s="5"/>
      <c r="K353" s="5"/>
      <c r="L353" s="59"/>
    </row>
    <row r="354" customHeight="1" spans="6:12">
      <c r="F354" s="86">
        <v>45713</v>
      </c>
      <c r="G354" s="87">
        <v>22547.55</v>
      </c>
      <c r="H354" s="59"/>
      <c r="I354" s="5"/>
      <c r="J354" s="5"/>
      <c r="K354" s="5"/>
      <c r="L354" s="59"/>
    </row>
    <row r="355" customHeight="1" spans="6:12">
      <c r="F355" s="86">
        <v>45712</v>
      </c>
      <c r="G355" s="87">
        <v>22553.35</v>
      </c>
      <c r="H355" s="59"/>
      <c r="I355" s="5"/>
      <c r="J355" s="5"/>
      <c r="K355" s="5"/>
      <c r="L355" s="59"/>
    </row>
    <row r="356" customHeight="1" spans="6:12">
      <c r="F356" s="86">
        <v>45709</v>
      </c>
      <c r="G356" s="87">
        <v>22795.9</v>
      </c>
      <c r="H356" s="59"/>
      <c r="I356" s="5"/>
      <c r="J356" s="5"/>
      <c r="K356" s="5"/>
      <c r="L356" s="59"/>
    </row>
    <row r="357" customHeight="1" spans="6:12">
      <c r="F357" s="86">
        <v>45708</v>
      </c>
      <c r="G357" s="87">
        <v>22913.15</v>
      </c>
      <c r="H357" s="59"/>
      <c r="I357" s="5"/>
      <c r="J357" s="5"/>
      <c r="K357" s="5"/>
      <c r="L357" s="59"/>
    </row>
    <row r="358" customHeight="1" spans="6:12">
      <c r="F358" s="86">
        <v>45707</v>
      </c>
      <c r="G358" s="87">
        <v>22932.9</v>
      </c>
      <c r="H358" s="59"/>
      <c r="I358" s="5"/>
      <c r="J358" s="5"/>
      <c r="K358" s="5"/>
      <c r="L358" s="59"/>
    </row>
    <row r="359" customHeight="1" spans="6:12">
      <c r="F359" s="86">
        <v>45706</v>
      </c>
      <c r="G359" s="87">
        <v>22945.3</v>
      </c>
      <c r="H359" s="59"/>
      <c r="I359" s="5"/>
      <c r="J359" s="5"/>
      <c r="K359" s="5"/>
      <c r="L359" s="59"/>
    </row>
    <row r="360" customHeight="1" spans="6:12">
      <c r="F360" s="86">
        <v>45705</v>
      </c>
      <c r="G360" s="87">
        <v>22959.5</v>
      </c>
      <c r="H360" s="59"/>
      <c r="I360" s="5"/>
      <c r="J360" s="5"/>
      <c r="K360" s="5"/>
      <c r="L360" s="59"/>
    </row>
    <row r="361" customHeight="1" spans="6:12">
      <c r="F361" s="86">
        <v>45702</v>
      </c>
      <c r="G361" s="87">
        <v>22929.25</v>
      </c>
      <c r="H361" s="59"/>
      <c r="I361" s="5"/>
      <c r="J361" s="5"/>
      <c r="K361" s="5"/>
      <c r="L361" s="59"/>
    </row>
    <row r="362" customHeight="1" spans="6:12">
      <c r="F362" s="86">
        <v>45701</v>
      </c>
      <c r="G362" s="87">
        <v>23031.4</v>
      </c>
      <c r="H362" s="59"/>
      <c r="I362" s="5"/>
      <c r="J362" s="5"/>
      <c r="K362" s="5"/>
      <c r="L362" s="59"/>
    </row>
    <row r="363" customHeight="1" spans="6:12">
      <c r="F363" s="86">
        <v>45700</v>
      </c>
      <c r="G363" s="87">
        <v>23045.25</v>
      </c>
      <c r="H363" s="59"/>
      <c r="I363" s="5"/>
      <c r="J363" s="5"/>
      <c r="K363" s="5"/>
      <c r="L363" s="59"/>
    </row>
    <row r="364" customHeight="1" spans="6:12">
      <c r="F364" s="86">
        <v>45699</v>
      </c>
      <c r="G364" s="87">
        <v>23071.8</v>
      </c>
      <c r="H364" s="59"/>
      <c r="I364" s="5"/>
      <c r="J364" s="5"/>
      <c r="K364" s="5"/>
      <c r="L364" s="59"/>
    </row>
    <row r="365" customHeight="1" spans="6:12">
      <c r="F365" s="86">
        <v>45698</v>
      </c>
      <c r="G365" s="87">
        <v>23381.6</v>
      </c>
      <c r="H365" s="59"/>
      <c r="I365" s="5"/>
      <c r="J365" s="5"/>
      <c r="K365" s="5"/>
      <c r="L365" s="59"/>
    </row>
    <row r="366" customHeight="1" spans="6:12">
      <c r="F366" s="86">
        <v>45695</v>
      </c>
      <c r="G366" s="87">
        <v>23559.95</v>
      </c>
      <c r="H366" s="59"/>
      <c r="I366" s="5"/>
      <c r="J366" s="5"/>
      <c r="K366" s="5"/>
      <c r="L366" s="59"/>
    </row>
    <row r="367" customHeight="1" spans="6:12">
      <c r="F367" s="86">
        <v>45694</v>
      </c>
      <c r="G367" s="87">
        <v>23603.35</v>
      </c>
      <c r="H367" s="59"/>
      <c r="I367" s="5"/>
      <c r="J367" s="5"/>
      <c r="K367" s="5"/>
      <c r="L367" s="59"/>
    </row>
    <row r="368" customHeight="1" spans="6:12">
      <c r="F368" s="86">
        <v>45693</v>
      </c>
      <c r="G368" s="87">
        <v>23696.3</v>
      </c>
      <c r="H368" s="59"/>
      <c r="I368" s="5"/>
      <c r="J368" s="5"/>
      <c r="K368" s="5"/>
      <c r="L368" s="59"/>
    </row>
    <row r="369" customHeight="1" spans="6:12">
      <c r="F369" s="86">
        <v>45692</v>
      </c>
      <c r="G369" s="87">
        <v>23739.25</v>
      </c>
      <c r="H369" s="59"/>
      <c r="I369" s="5"/>
      <c r="J369" s="5"/>
      <c r="K369" s="5"/>
      <c r="L369" s="59"/>
    </row>
    <row r="370" customHeight="1" spans="6:12">
      <c r="F370" s="86">
        <v>45691</v>
      </c>
      <c r="G370" s="87">
        <v>23361.05</v>
      </c>
      <c r="H370" s="59"/>
      <c r="I370" s="5"/>
      <c r="J370" s="5"/>
      <c r="K370" s="5"/>
      <c r="L370" s="59"/>
    </row>
    <row r="371" customHeight="1" spans="6:12">
      <c r="F371" s="86">
        <v>45689</v>
      </c>
      <c r="G371" s="87">
        <v>23482.15</v>
      </c>
      <c r="H371" s="59"/>
      <c r="I371" s="5"/>
      <c r="J371" s="5"/>
      <c r="K371" s="5"/>
      <c r="L371" s="59"/>
    </row>
    <row r="372" customHeight="1" spans="6:12">
      <c r="F372" s="86">
        <v>45688</v>
      </c>
      <c r="G372" s="87">
        <v>23508.4</v>
      </c>
      <c r="H372" s="59"/>
      <c r="I372" s="5"/>
      <c r="J372" s="5"/>
      <c r="K372" s="5"/>
      <c r="L372" s="59"/>
    </row>
    <row r="373" customHeight="1" spans="6:12">
      <c r="F373" s="86">
        <v>45687</v>
      </c>
      <c r="G373" s="87">
        <v>23249.5</v>
      </c>
      <c r="H373" s="59"/>
      <c r="I373" s="5"/>
      <c r="J373" s="5"/>
      <c r="K373" s="5"/>
      <c r="L373" s="59"/>
    </row>
    <row r="374" customHeight="1" spans="6:12">
      <c r="F374" s="86">
        <v>45686</v>
      </c>
      <c r="G374" s="87">
        <v>23163.1</v>
      </c>
      <c r="H374" s="59"/>
      <c r="I374" s="5"/>
      <c r="J374" s="5"/>
      <c r="K374" s="5"/>
      <c r="L374" s="59"/>
    </row>
    <row r="375" customHeight="1" spans="6:12">
      <c r="F375" s="86">
        <v>45685</v>
      </c>
      <c r="G375" s="87">
        <v>22957.25</v>
      </c>
      <c r="H375" s="59"/>
      <c r="I375" s="5"/>
      <c r="J375" s="5"/>
      <c r="K375" s="5"/>
      <c r="L375" s="59"/>
    </row>
    <row r="376" customHeight="1" spans="6:12">
      <c r="F376" s="86">
        <v>45684</v>
      </c>
      <c r="G376" s="87">
        <v>22829.15</v>
      </c>
      <c r="H376" s="59"/>
      <c r="I376" s="5"/>
      <c r="J376" s="5"/>
      <c r="K376" s="5"/>
      <c r="L376" s="59"/>
    </row>
    <row r="377" customHeight="1" spans="6:12">
      <c r="F377" s="86">
        <v>45681</v>
      </c>
      <c r="G377" s="87">
        <v>23092.2</v>
      </c>
      <c r="H377" s="59"/>
      <c r="I377" s="5"/>
      <c r="J377" s="5"/>
      <c r="K377" s="5"/>
      <c r="L377" s="59"/>
    </row>
    <row r="378" customHeight="1" spans="6:12">
      <c r="F378" s="86">
        <v>45680</v>
      </c>
      <c r="G378" s="87">
        <v>23205.35</v>
      </c>
      <c r="H378" s="59"/>
      <c r="I378" s="5"/>
      <c r="J378" s="5"/>
      <c r="K378" s="5"/>
      <c r="L378" s="59"/>
    </row>
    <row r="379" customHeight="1" spans="6:12">
      <c r="F379" s="86">
        <v>45679</v>
      </c>
      <c r="G379" s="87">
        <v>23155.35</v>
      </c>
      <c r="H379" s="59"/>
      <c r="I379" s="5"/>
      <c r="J379" s="5"/>
      <c r="K379" s="5"/>
      <c r="L379" s="59"/>
    </row>
    <row r="380" customHeight="1" spans="6:12">
      <c r="F380" s="86">
        <v>45678</v>
      </c>
      <c r="G380" s="87">
        <v>23024.65</v>
      </c>
      <c r="H380" s="59"/>
      <c r="I380" s="5"/>
      <c r="J380" s="5"/>
      <c r="K380" s="5"/>
      <c r="L380" s="59"/>
    </row>
    <row r="381" customHeight="1" spans="6:12">
      <c r="F381" s="86">
        <v>45677</v>
      </c>
      <c r="G381" s="87">
        <v>23344.75</v>
      </c>
      <c r="H381" s="59"/>
      <c r="I381" s="5"/>
      <c r="J381" s="5"/>
      <c r="K381" s="5"/>
      <c r="L381" s="59"/>
    </row>
    <row r="382" customHeight="1" spans="6:12">
      <c r="F382" s="86">
        <v>45674</v>
      </c>
      <c r="G382" s="87">
        <v>23203.2</v>
      </c>
      <c r="H382" s="59"/>
      <c r="I382" s="5"/>
      <c r="J382" s="5"/>
      <c r="K382" s="5"/>
      <c r="L382" s="59"/>
    </row>
    <row r="383" customHeight="1" spans="6:12">
      <c r="F383" s="86">
        <v>45673</v>
      </c>
      <c r="G383" s="87">
        <v>23311.8</v>
      </c>
      <c r="H383" s="59"/>
      <c r="I383" s="5"/>
      <c r="J383" s="5"/>
      <c r="K383" s="5"/>
      <c r="L383" s="59"/>
    </row>
    <row r="384" customHeight="1" spans="6:12">
      <c r="F384" s="86">
        <v>45672</v>
      </c>
      <c r="G384" s="87">
        <v>23213.2</v>
      </c>
      <c r="H384" s="59"/>
      <c r="I384" s="5"/>
      <c r="J384" s="5"/>
      <c r="K384" s="5"/>
      <c r="L384" s="59"/>
    </row>
    <row r="385" customHeight="1" spans="6:12">
      <c r="F385" s="86">
        <v>45671</v>
      </c>
      <c r="G385" s="87">
        <v>23176.05</v>
      </c>
      <c r="H385" s="59"/>
      <c r="I385" s="5"/>
      <c r="J385" s="5"/>
      <c r="K385" s="5"/>
      <c r="L385" s="59"/>
    </row>
    <row r="386" customHeight="1" spans="6:12">
      <c r="F386" s="86">
        <v>45670</v>
      </c>
      <c r="G386" s="87">
        <v>23085.95</v>
      </c>
      <c r="H386" s="59"/>
      <c r="I386" s="5"/>
      <c r="J386" s="5"/>
      <c r="K386" s="5"/>
      <c r="L386" s="59"/>
    </row>
    <row r="387" customHeight="1" spans="6:12">
      <c r="F387" s="86">
        <v>45667</v>
      </c>
      <c r="G387" s="87">
        <v>23431.5</v>
      </c>
      <c r="H387" s="59"/>
      <c r="I387" s="5"/>
      <c r="J387" s="5"/>
      <c r="K387" s="5"/>
      <c r="L387" s="59"/>
    </row>
    <row r="388" customHeight="1" spans="6:12">
      <c r="F388" s="86">
        <v>45666</v>
      </c>
      <c r="G388" s="87">
        <v>23526.5</v>
      </c>
      <c r="H388" s="59"/>
      <c r="I388" s="5"/>
      <c r="J388" s="5"/>
      <c r="K388" s="5"/>
      <c r="L388" s="59"/>
    </row>
    <row r="389" customHeight="1" spans="6:12">
      <c r="F389" s="86">
        <v>45665</v>
      </c>
      <c r="G389" s="87">
        <v>23688.95</v>
      </c>
      <c r="H389" s="59"/>
      <c r="I389" s="5"/>
      <c r="J389" s="5"/>
      <c r="K389" s="5"/>
      <c r="L389" s="59"/>
    </row>
    <row r="390" customHeight="1" spans="6:12">
      <c r="F390" s="86">
        <v>45664</v>
      </c>
      <c r="G390" s="87">
        <v>23707.9</v>
      </c>
      <c r="H390" s="59"/>
      <c r="I390" s="5"/>
      <c r="J390" s="5"/>
      <c r="K390" s="5"/>
      <c r="L390" s="59"/>
    </row>
    <row r="391" customHeight="1" spans="6:12">
      <c r="F391" s="86">
        <v>45663</v>
      </c>
      <c r="G391" s="87">
        <v>23616.05</v>
      </c>
      <c r="H391" s="59"/>
      <c r="I391" s="5"/>
      <c r="J391" s="5"/>
      <c r="K391" s="5"/>
      <c r="L391" s="59"/>
    </row>
    <row r="392" customHeight="1" spans="6:12">
      <c r="F392" s="86">
        <v>45660</v>
      </c>
      <c r="G392" s="87">
        <v>24004.75</v>
      </c>
      <c r="H392" s="59"/>
      <c r="I392" s="5"/>
      <c r="J392" s="5"/>
      <c r="K392" s="5"/>
      <c r="L392" s="59"/>
    </row>
    <row r="393" customHeight="1" spans="6:12">
      <c r="F393" s="86">
        <v>45659</v>
      </c>
      <c r="G393" s="87">
        <v>24188.65</v>
      </c>
      <c r="H393" s="59"/>
      <c r="I393" s="5"/>
      <c r="J393" s="5"/>
      <c r="K393" s="5"/>
      <c r="L393" s="59"/>
    </row>
    <row r="394" customHeight="1" spans="6:12">
      <c r="F394" s="86">
        <v>45658</v>
      </c>
      <c r="G394" s="87">
        <v>23742.9</v>
      </c>
      <c r="H394" s="59"/>
      <c r="I394" s="5"/>
      <c r="J394" s="5"/>
      <c r="K394" s="5"/>
      <c r="L394" s="59"/>
    </row>
    <row r="395" customHeight="1" spans="6:12">
      <c r="F395" s="86">
        <v>45657</v>
      </c>
      <c r="G395" s="87">
        <v>23644.8</v>
      </c>
      <c r="H395" s="59"/>
      <c r="I395" s="5"/>
      <c r="J395" s="5"/>
      <c r="K395" s="5"/>
      <c r="L395" s="59"/>
    </row>
    <row r="396" customHeight="1" spans="6:12">
      <c r="F396" s="86">
        <v>45656</v>
      </c>
      <c r="G396" s="87">
        <v>23644.9</v>
      </c>
      <c r="H396" s="59"/>
      <c r="I396" s="5"/>
      <c r="J396" s="5"/>
      <c r="K396" s="5"/>
      <c r="L396" s="59"/>
    </row>
    <row r="397" customHeight="1" spans="6:12">
      <c r="F397" s="86">
        <v>45653</v>
      </c>
      <c r="G397" s="87">
        <v>23813.4</v>
      </c>
      <c r="H397" s="59"/>
      <c r="I397" s="5"/>
      <c r="J397" s="5"/>
      <c r="K397" s="5"/>
      <c r="L397" s="59"/>
    </row>
    <row r="398" customHeight="1" spans="6:12">
      <c r="F398" s="86">
        <v>45652</v>
      </c>
      <c r="G398" s="87">
        <v>23750.2</v>
      </c>
      <c r="H398" s="59"/>
      <c r="I398" s="5"/>
      <c r="J398" s="5"/>
      <c r="K398" s="5"/>
      <c r="L398" s="59"/>
    </row>
    <row r="399" customHeight="1" spans="6:12">
      <c r="F399" s="86">
        <v>45650</v>
      </c>
      <c r="G399" s="87">
        <v>23727.65</v>
      </c>
      <c r="H399" s="59"/>
      <c r="I399" s="5"/>
      <c r="J399" s="5"/>
      <c r="K399" s="5"/>
      <c r="L399" s="59"/>
    </row>
    <row r="400" customHeight="1" spans="6:12">
      <c r="F400" s="86">
        <v>45649</v>
      </c>
      <c r="G400" s="87">
        <v>23753.45</v>
      </c>
      <c r="H400" s="59"/>
      <c r="I400" s="5"/>
      <c r="J400" s="5"/>
      <c r="K400" s="5"/>
      <c r="L400" s="59"/>
    </row>
    <row r="401" customHeight="1" spans="6:12">
      <c r="F401" s="86">
        <v>45646</v>
      </c>
      <c r="G401" s="87">
        <v>23587.5</v>
      </c>
      <c r="H401" s="59"/>
      <c r="I401" s="5"/>
      <c r="J401" s="5"/>
      <c r="K401" s="5"/>
      <c r="L401" s="59"/>
    </row>
    <row r="402" customHeight="1" spans="6:12">
      <c r="F402" s="86">
        <v>45645</v>
      </c>
      <c r="G402" s="87">
        <v>23951.7</v>
      </c>
      <c r="H402" s="59"/>
      <c r="I402" s="5"/>
      <c r="J402" s="5"/>
      <c r="K402" s="5"/>
      <c r="L402" s="59"/>
    </row>
    <row r="403" customHeight="1" spans="6:12">
      <c r="F403" s="86">
        <v>45644</v>
      </c>
      <c r="G403" s="87">
        <v>24198.85</v>
      </c>
      <c r="H403" s="59"/>
      <c r="I403" s="5"/>
      <c r="J403" s="5"/>
      <c r="K403" s="5"/>
      <c r="L403" s="59"/>
    </row>
    <row r="404" customHeight="1" spans="6:12">
      <c r="F404" s="86">
        <v>45643</v>
      </c>
      <c r="G404" s="87">
        <v>24336</v>
      </c>
      <c r="H404" s="59"/>
      <c r="I404" s="5"/>
      <c r="J404" s="5"/>
      <c r="K404" s="5"/>
      <c r="L404" s="59"/>
    </row>
    <row r="405" customHeight="1" spans="6:12">
      <c r="F405" s="86">
        <v>45642</v>
      </c>
      <c r="G405" s="87">
        <v>24668.25</v>
      </c>
      <c r="H405" s="59"/>
      <c r="I405" s="5"/>
      <c r="J405" s="5"/>
      <c r="K405" s="5"/>
      <c r="L405" s="59"/>
    </row>
    <row r="406" customHeight="1" spans="6:12">
      <c r="F406" s="86">
        <v>45639</v>
      </c>
      <c r="G406" s="87">
        <v>24768.3</v>
      </c>
      <c r="H406" s="59"/>
      <c r="I406" s="5"/>
      <c r="J406" s="5"/>
      <c r="K406" s="5"/>
      <c r="L406" s="59"/>
    </row>
    <row r="407" customHeight="1" spans="6:12">
      <c r="F407" s="86">
        <v>45638</v>
      </c>
      <c r="G407" s="87">
        <v>24548.7</v>
      </c>
      <c r="H407" s="59"/>
      <c r="I407" s="5"/>
      <c r="J407" s="5"/>
      <c r="K407" s="5"/>
      <c r="L407" s="59"/>
    </row>
    <row r="408" customHeight="1" spans="6:12">
      <c r="F408" s="86">
        <v>45637</v>
      </c>
      <c r="G408" s="87">
        <v>24641.8</v>
      </c>
      <c r="H408" s="59"/>
      <c r="I408" s="5"/>
      <c r="J408" s="5"/>
      <c r="K408" s="5"/>
      <c r="L408" s="59"/>
    </row>
    <row r="409" customHeight="1" spans="6:12">
      <c r="F409" s="86">
        <v>45636</v>
      </c>
      <c r="G409" s="87">
        <v>24610.05</v>
      </c>
      <c r="H409" s="59"/>
      <c r="I409" s="5"/>
      <c r="J409" s="5"/>
      <c r="K409" s="5"/>
      <c r="L409" s="59"/>
    </row>
    <row r="410" customHeight="1" spans="6:12">
      <c r="F410" s="86">
        <v>45635</v>
      </c>
      <c r="G410" s="87">
        <v>24619</v>
      </c>
      <c r="H410" s="59"/>
      <c r="I410" s="5"/>
      <c r="J410" s="5"/>
      <c r="K410" s="5"/>
      <c r="L410" s="59"/>
    </row>
    <row r="411" customHeight="1" spans="6:12">
      <c r="F411" s="86">
        <v>45632</v>
      </c>
      <c r="G411" s="87">
        <v>24677.8</v>
      </c>
      <c r="H411" s="59"/>
      <c r="I411" s="5"/>
      <c r="J411" s="5"/>
      <c r="K411" s="5"/>
      <c r="L411" s="59"/>
    </row>
    <row r="412" customHeight="1" spans="6:12">
      <c r="F412" s="86">
        <v>45631</v>
      </c>
      <c r="G412" s="87">
        <v>24708.4</v>
      </c>
      <c r="H412" s="59"/>
      <c r="I412" s="5"/>
      <c r="J412" s="5"/>
      <c r="K412" s="5"/>
      <c r="L412" s="59"/>
    </row>
    <row r="413" customHeight="1" spans="6:12">
      <c r="F413" s="86">
        <v>45630</v>
      </c>
      <c r="G413" s="87">
        <v>24467.45</v>
      </c>
      <c r="H413" s="59"/>
      <c r="I413" s="5"/>
      <c r="J413" s="5"/>
      <c r="K413" s="5"/>
      <c r="L413" s="59"/>
    </row>
    <row r="414" customHeight="1" spans="6:12">
      <c r="F414" s="86">
        <v>45629</v>
      </c>
      <c r="G414" s="87">
        <v>24457.15</v>
      </c>
      <c r="H414" s="59"/>
      <c r="I414" s="5"/>
      <c r="J414" s="5"/>
      <c r="K414" s="5"/>
      <c r="L414" s="59"/>
    </row>
    <row r="415" customHeight="1" spans="6:12">
      <c r="F415" s="86">
        <v>45628</v>
      </c>
      <c r="G415" s="87">
        <v>24276.05</v>
      </c>
      <c r="H415" s="59"/>
      <c r="I415" s="5"/>
      <c r="J415" s="5"/>
      <c r="K415" s="5"/>
      <c r="L415" s="59"/>
    </row>
    <row r="416" customHeight="1" spans="6:12">
      <c r="F416" s="86">
        <v>45625</v>
      </c>
      <c r="G416" s="87">
        <v>24131.1</v>
      </c>
      <c r="H416" s="59"/>
      <c r="I416" s="5"/>
      <c r="J416" s="5"/>
      <c r="K416" s="5"/>
      <c r="L416" s="59"/>
    </row>
    <row r="417" customHeight="1" spans="6:12">
      <c r="F417" s="86">
        <v>45624</v>
      </c>
      <c r="G417" s="87">
        <v>23914.15</v>
      </c>
      <c r="H417" s="59"/>
      <c r="I417" s="5"/>
      <c r="J417" s="5"/>
      <c r="K417" s="5"/>
      <c r="L417" s="59"/>
    </row>
    <row r="418" customHeight="1" spans="6:12">
      <c r="F418" s="86">
        <v>45623</v>
      </c>
      <c r="G418" s="87">
        <v>24274.9</v>
      </c>
      <c r="H418" s="59"/>
      <c r="I418" s="5"/>
      <c r="J418" s="5"/>
      <c r="K418" s="5"/>
      <c r="L418" s="59"/>
    </row>
    <row r="419" customHeight="1" spans="6:12">
      <c r="F419" s="86">
        <v>45622</v>
      </c>
      <c r="G419" s="87">
        <v>24194.5</v>
      </c>
      <c r="H419" s="59"/>
      <c r="I419" s="5"/>
      <c r="J419" s="5"/>
      <c r="K419" s="5"/>
      <c r="L419" s="59"/>
    </row>
    <row r="420" customHeight="1" spans="6:12">
      <c r="F420" s="86">
        <v>45621</v>
      </c>
      <c r="G420" s="87">
        <v>24221.9</v>
      </c>
      <c r="H420" s="59"/>
      <c r="I420" s="5"/>
      <c r="J420" s="5"/>
      <c r="K420" s="5"/>
      <c r="L420" s="59"/>
    </row>
    <row r="421" customHeight="1" spans="6:12">
      <c r="F421" s="86">
        <v>45618</v>
      </c>
      <c r="G421" s="87">
        <v>23907.25</v>
      </c>
      <c r="H421" s="59"/>
      <c r="I421" s="5"/>
      <c r="J421" s="5"/>
      <c r="K421" s="5"/>
      <c r="L421" s="59"/>
    </row>
    <row r="422" customHeight="1" spans="6:12">
      <c r="F422" s="86">
        <v>45617</v>
      </c>
      <c r="G422" s="87">
        <v>23349.9</v>
      </c>
      <c r="H422" s="59"/>
      <c r="I422" s="5"/>
      <c r="J422" s="5"/>
      <c r="K422" s="5"/>
      <c r="L422" s="59"/>
    </row>
    <row r="423" customHeight="1" spans="6:12">
      <c r="F423" s="86">
        <v>45615</v>
      </c>
      <c r="G423" s="87">
        <v>23518.5</v>
      </c>
      <c r="H423" s="59"/>
      <c r="I423" s="5"/>
      <c r="J423" s="5"/>
      <c r="K423" s="5"/>
      <c r="L423" s="59"/>
    </row>
    <row r="424" customHeight="1" spans="6:12">
      <c r="F424" s="86">
        <v>45614</v>
      </c>
      <c r="G424" s="87">
        <v>23453.8</v>
      </c>
      <c r="H424" s="59"/>
      <c r="I424" s="5"/>
      <c r="J424" s="5"/>
      <c r="K424" s="5"/>
      <c r="L424" s="59"/>
    </row>
    <row r="425" customHeight="1" spans="6:12">
      <c r="F425" s="86">
        <v>45610</v>
      </c>
      <c r="G425" s="87">
        <v>23532.7</v>
      </c>
      <c r="H425" s="59"/>
      <c r="I425" s="5"/>
      <c r="J425" s="5"/>
      <c r="K425" s="5"/>
      <c r="L425" s="59"/>
    </row>
    <row r="426" customHeight="1" spans="6:12">
      <c r="F426" s="86">
        <v>45609</v>
      </c>
      <c r="G426" s="87">
        <v>23559.05</v>
      </c>
      <c r="H426" s="59"/>
      <c r="I426" s="5"/>
      <c r="J426" s="5"/>
      <c r="K426" s="5"/>
      <c r="L426" s="59"/>
    </row>
    <row r="427" customHeight="1" spans="6:12">
      <c r="F427" s="86">
        <v>45608</v>
      </c>
      <c r="G427" s="87">
        <v>23883.45</v>
      </c>
      <c r="H427" s="59"/>
      <c r="I427" s="5"/>
      <c r="J427" s="5"/>
      <c r="K427" s="5"/>
      <c r="L427" s="59"/>
    </row>
    <row r="428" customHeight="1" spans="6:12">
      <c r="F428" s="86">
        <v>45607</v>
      </c>
      <c r="G428" s="87">
        <v>24141.3</v>
      </c>
      <c r="H428" s="59"/>
      <c r="I428" s="5"/>
      <c r="J428" s="5"/>
      <c r="K428" s="5"/>
      <c r="L428" s="59"/>
    </row>
    <row r="429" customHeight="1" spans="6:12">
      <c r="F429" s="86">
        <v>45604</v>
      </c>
      <c r="G429" s="87">
        <v>24148.2</v>
      </c>
      <c r="H429" s="59"/>
      <c r="I429" s="5"/>
      <c r="J429" s="5"/>
      <c r="K429" s="5"/>
      <c r="L429" s="59"/>
    </row>
    <row r="430" customHeight="1" spans="6:12">
      <c r="F430" s="86">
        <v>45603</v>
      </c>
      <c r="G430" s="87">
        <v>24199.35</v>
      </c>
      <c r="H430" s="59"/>
      <c r="I430" s="5"/>
      <c r="J430" s="5"/>
      <c r="K430" s="5"/>
      <c r="L430" s="59"/>
    </row>
    <row r="431" customHeight="1" spans="6:12">
      <c r="F431" s="86">
        <v>45602</v>
      </c>
      <c r="G431" s="87">
        <v>24484.05</v>
      </c>
      <c r="H431" s="59"/>
      <c r="I431" s="5"/>
      <c r="J431" s="5"/>
      <c r="K431" s="5"/>
      <c r="L431" s="59"/>
    </row>
    <row r="432" customHeight="1" spans="6:12">
      <c r="F432" s="86">
        <v>45601</v>
      </c>
      <c r="G432" s="87">
        <v>24213.3</v>
      </c>
      <c r="H432" s="59"/>
      <c r="I432" s="5"/>
      <c r="J432" s="5"/>
      <c r="K432" s="5"/>
      <c r="L432" s="59"/>
    </row>
    <row r="433" customHeight="1" spans="6:12">
      <c r="F433" s="86">
        <v>45600</v>
      </c>
      <c r="G433" s="87">
        <v>23995.35</v>
      </c>
      <c r="H433" s="59"/>
      <c r="I433" s="5"/>
      <c r="J433" s="5"/>
      <c r="K433" s="5"/>
      <c r="L433" s="59"/>
    </row>
    <row r="434" customHeight="1" spans="6:12">
      <c r="F434" s="86">
        <v>45597</v>
      </c>
      <c r="G434" s="87">
        <v>24304.35</v>
      </c>
      <c r="H434" s="59"/>
      <c r="I434" s="5"/>
      <c r="J434" s="5"/>
      <c r="K434" s="5"/>
      <c r="L434" s="59"/>
    </row>
    <row r="435" customHeight="1" spans="6:12">
      <c r="F435" s="86">
        <v>45596</v>
      </c>
      <c r="G435" s="87">
        <v>24205.35</v>
      </c>
      <c r="H435" s="59"/>
      <c r="I435" s="5"/>
      <c r="J435" s="5"/>
      <c r="K435" s="5"/>
      <c r="L435" s="59"/>
    </row>
    <row r="436" customHeight="1" spans="6:12">
      <c r="F436" s="86">
        <v>45595</v>
      </c>
      <c r="G436" s="87">
        <v>24340.85</v>
      </c>
      <c r="H436" s="59"/>
      <c r="I436" s="5"/>
      <c r="J436" s="5"/>
      <c r="K436" s="5"/>
      <c r="L436" s="59"/>
    </row>
    <row r="437" customHeight="1" spans="6:12">
      <c r="F437" s="86">
        <v>45594</v>
      </c>
      <c r="G437" s="87">
        <v>24466.85</v>
      </c>
      <c r="H437" s="59"/>
      <c r="I437" s="5"/>
      <c r="J437" s="5"/>
      <c r="K437" s="5"/>
      <c r="L437" s="59"/>
    </row>
    <row r="438" customHeight="1" spans="6:12">
      <c r="F438" s="86">
        <v>45593</v>
      </c>
      <c r="G438" s="87">
        <v>24339.15</v>
      </c>
      <c r="H438" s="59"/>
      <c r="I438" s="5"/>
      <c r="J438" s="5"/>
      <c r="K438" s="5"/>
      <c r="L438" s="59"/>
    </row>
    <row r="439" customHeight="1" spans="6:12">
      <c r="F439" s="86">
        <v>45590</v>
      </c>
      <c r="G439" s="87">
        <v>24180.8</v>
      </c>
      <c r="H439" s="59"/>
      <c r="I439" s="5"/>
      <c r="J439" s="5"/>
      <c r="K439" s="5"/>
      <c r="L439" s="59"/>
    </row>
    <row r="440" customHeight="1" spans="6:12">
      <c r="F440" s="86">
        <v>45589</v>
      </c>
      <c r="G440" s="87">
        <v>24399.4</v>
      </c>
      <c r="H440" s="59"/>
      <c r="I440" s="5"/>
      <c r="J440" s="5"/>
      <c r="K440" s="5"/>
      <c r="L440" s="59"/>
    </row>
    <row r="441" customHeight="1" spans="6:12">
      <c r="F441" s="86">
        <v>45588</v>
      </c>
      <c r="G441" s="87">
        <v>24435.5</v>
      </c>
      <c r="H441" s="59"/>
      <c r="I441" s="5"/>
      <c r="J441" s="5"/>
      <c r="K441" s="5"/>
      <c r="L441" s="59"/>
    </row>
    <row r="442" customHeight="1" spans="6:12">
      <c r="F442" s="86">
        <v>45587</v>
      </c>
      <c r="G442" s="87">
        <v>24472.1</v>
      </c>
      <c r="H442" s="59"/>
      <c r="I442" s="5"/>
      <c r="J442" s="5"/>
      <c r="K442" s="5"/>
      <c r="L442" s="59"/>
    </row>
    <row r="443" customHeight="1" spans="6:12">
      <c r="F443" s="86">
        <v>45586</v>
      </c>
      <c r="G443" s="87">
        <v>24781.1</v>
      </c>
      <c r="H443" s="59"/>
      <c r="I443" s="5"/>
      <c r="J443" s="5"/>
      <c r="K443" s="5"/>
      <c r="L443" s="59"/>
    </row>
    <row r="444" customHeight="1" spans="6:12">
      <c r="F444" s="86">
        <v>45583</v>
      </c>
      <c r="G444" s="87">
        <v>24854.05</v>
      </c>
      <c r="H444" s="59"/>
      <c r="I444" s="5"/>
      <c r="J444" s="5"/>
      <c r="K444" s="5"/>
      <c r="L444" s="59"/>
    </row>
    <row r="445" customHeight="1" spans="6:12">
      <c r="F445" s="86">
        <v>45582</v>
      </c>
      <c r="G445" s="87">
        <v>24749.85</v>
      </c>
      <c r="H445" s="59"/>
      <c r="I445" s="5"/>
      <c r="J445" s="5"/>
      <c r="K445" s="5"/>
      <c r="L445" s="59"/>
    </row>
    <row r="446" customHeight="1" spans="6:12">
      <c r="F446" s="86">
        <v>45581</v>
      </c>
      <c r="G446" s="87">
        <v>24971.3</v>
      </c>
      <c r="H446" s="59"/>
      <c r="I446" s="5"/>
      <c r="J446" s="5"/>
      <c r="K446" s="5"/>
      <c r="L446" s="59"/>
    </row>
    <row r="447" customHeight="1" spans="6:12">
      <c r="F447" s="86">
        <v>45580</v>
      </c>
      <c r="G447" s="87">
        <v>25057.35</v>
      </c>
      <c r="H447" s="59"/>
      <c r="I447" s="5"/>
      <c r="J447" s="5"/>
      <c r="K447" s="5"/>
      <c r="L447" s="59"/>
    </row>
    <row r="448" customHeight="1" spans="6:12">
      <c r="F448" s="86">
        <v>45579</v>
      </c>
      <c r="G448" s="87">
        <v>25127.95</v>
      </c>
      <c r="H448" s="59"/>
      <c r="I448" s="5"/>
      <c r="J448" s="5"/>
      <c r="K448" s="5"/>
      <c r="L448" s="59"/>
    </row>
    <row r="449" customHeight="1" spans="6:12">
      <c r="F449" s="86">
        <v>45576</v>
      </c>
      <c r="G449" s="87">
        <v>24964.25</v>
      </c>
      <c r="H449" s="59"/>
      <c r="I449" s="5"/>
      <c r="J449" s="5"/>
      <c r="K449" s="5"/>
      <c r="L449" s="59"/>
    </row>
    <row r="450" customHeight="1" spans="6:12">
      <c r="F450" s="86">
        <v>45575</v>
      </c>
      <c r="G450" s="87">
        <v>24998.45</v>
      </c>
      <c r="H450" s="59"/>
      <c r="I450" s="5"/>
      <c r="J450" s="5"/>
      <c r="K450" s="5"/>
      <c r="L450" s="59"/>
    </row>
    <row r="451" customHeight="1" spans="6:12">
      <c r="F451" s="86">
        <v>45574</v>
      </c>
      <c r="G451" s="87">
        <v>24981.95</v>
      </c>
      <c r="H451" s="59"/>
      <c r="I451" s="5"/>
      <c r="J451" s="5"/>
      <c r="K451" s="5"/>
      <c r="L451" s="59"/>
    </row>
    <row r="452" customHeight="1" spans="6:12">
      <c r="F452" s="86">
        <v>45573</v>
      </c>
      <c r="G452" s="87">
        <v>25013.15</v>
      </c>
      <c r="H452" s="59"/>
      <c r="I452" s="5"/>
      <c r="J452" s="5"/>
      <c r="K452" s="5"/>
      <c r="L452" s="59"/>
    </row>
    <row r="453" customHeight="1" spans="6:12">
      <c r="F453" s="86">
        <v>45572</v>
      </c>
      <c r="G453" s="87">
        <v>24795.75</v>
      </c>
      <c r="H453" s="59"/>
      <c r="I453" s="5"/>
      <c r="J453" s="5"/>
      <c r="K453" s="5"/>
      <c r="L453" s="59"/>
    </row>
    <row r="454" customHeight="1" spans="6:12">
      <c r="F454" s="86">
        <v>45569</v>
      </c>
      <c r="G454" s="87">
        <v>25014.6</v>
      </c>
      <c r="H454" s="59"/>
      <c r="I454" s="5"/>
      <c r="J454" s="5"/>
      <c r="K454" s="5"/>
      <c r="L454" s="59"/>
    </row>
    <row r="455" customHeight="1" spans="6:12">
      <c r="F455" s="86">
        <v>45568</v>
      </c>
      <c r="G455" s="87">
        <v>25250.1</v>
      </c>
      <c r="H455" s="59"/>
      <c r="I455" s="5"/>
      <c r="J455" s="5"/>
      <c r="K455" s="5"/>
      <c r="L455" s="59"/>
    </row>
    <row r="456" customHeight="1" spans="6:12">
      <c r="F456" s="86">
        <v>45566</v>
      </c>
      <c r="G456" s="87">
        <v>25796.9</v>
      </c>
      <c r="H456" s="59"/>
      <c r="I456" s="5"/>
      <c r="J456" s="5"/>
      <c r="K456" s="5"/>
      <c r="L456" s="59"/>
    </row>
    <row r="457" customHeight="1" spans="6:12">
      <c r="F457" s="86">
        <v>45565</v>
      </c>
      <c r="G457" s="87">
        <v>25810.85</v>
      </c>
      <c r="H457" s="59"/>
      <c r="I457" s="5"/>
      <c r="J457" s="5"/>
      <c r="K457" s="5"/>
      <c r="L457" s="59"/>
    </row>
    <row r="458" customHeight="1" spans="6:12">
      <c r="F458" s="86">
        <v>45562</v>
      </c>
      <c r="G458" s="87">
        <v>26178.95</v>
      </c>
      <c r="H458" s="59"/>
      <c r="I458" s="5"/>
      <c r="J458" s="5"/>
      <c r="K458" s="5"/>
      <c r="L458" s="59"/>
    </row>
    <row r="459" customHeight="1" spans="6:12">
      <c r="F459" s="86">
        <v>45561</v>
      </c>
      <c r="G459" s="87">
        <v>26216.05</v>
      </c>
      <c r="H459" s="59"/>
      <c r="I459" s="5"/>
      <c r="J459" s="5"/>
      <c r="K459" s="5"/>
      <c r="L459" s="59"/>
    </row>
    <row r="460" customHeight="1" spans="6:12">
      <c r="F460" s="86">
        <v>45560</v>
      </c>
      <c r="G460" s="87">
        <v>26004.15</v>
      </c>
      <c r="H460" s="59"/>
      <c r="I460" s="5"/>
      <c r="J460" s="5"/>
      <c r="K460" s="5"/>
      <c r="L460" s="59"/>
    </row>
    <row r="461" customHeight="1" spans="6:12">
      <c r="F461" s="86">
        <v>45559</v>
      </c>
      <c r="G461" s="87">
        <v>25940.4</v>
      </c>
      <c r="H461" s="59"/>
      <c r="I461" s="5"/>
      <c r="J461" s="5"/>
      <c r="K461" s="5"/>
      <c r="L461" s="59"/>
    </row>
    <row r="462" customHeight="1" spans="6:12">
      <c r="F462" s="86">
        <v>45558</v>
      </c>
      <c r="G462" s="87">
        <v>25939.05</v>
      </c>
      <c r="H462" s="59"/>
      <c r="I462" s="5"/>
      <c r="J462" s="5"/>
      <c r="K462" s="5"/>
      <c r="L462" s="59"/>
    </row>
    <row r="463" customHeight="1" spans="6:12">
      <c r="F463" s="86">
        <v>45555</v>
      </c>
      <c r="G463" s="87">
        <v>25790.95</v>
      </c>
      <c r="H463" s="59"/>
      <c r="I463" s="5"/>
      <c r="J463" s="5"/>
      <c r="K463" s="5"/>
      <c r="L463" s="59"/>
    </row>
    <row r="464" customHeight="1" spans="6:12">
      <c r="F464" s="86">
        <v>45554</v>
      </c>
      <c r="G464" s="87">
        <v>25415.8</v>
      </c>
      <c r="H464" s="59"/>
      <c r="I464" s="5"/>
      <c r="J464" s="5"/>
      <c r="K464" s="5"/>
      <c r="L464" s="59"/>
    </row>
    <row r="465" customHeight="1" spans="6:12">
      <c r="F465" s="86">
        <v>45553</v>
      </c>
      <c r="G465" s="87">
        <v>25377.55</v>
      </c>
      <c r="H465" s="59"/>
      <c r="I465" s="5"/>
      <c r="J465" s="5"/>
      <c r="K465" s="5"/>
      <c r="L465" s="59"/>
    </row>
    <row r="466" customHeight="1" spans="6:12">
      <c r="F466" s="86">
        <v>45552</v>
      </c>
      <c r="G466" s="87">
        <v>25418.55</v>
      </c>
      <c r="H466" s="59"/>
      <c r="I466" s="5"/>
      <c r="J466" s="5"/>
      <c r="K466" s="5"/>
      <c r="L466" s="59"/>
    </row>
    <row r="467" customHeight="1" spans="6:12">
      <c r="F467" s="86">
        <v>45551</v>
      </c>
      <c r="G467" s="87">
        <v>25383.75</v>
      </c>
      <c r="H467" s="59"/>
      <c r="I467" s="5"/>
      <c r="J467" s="5"/>
      <c r="K467" s="5"/>
      <c r="L467" s="59"/>
    </row>
    <row r="468" customHeight="1" spans="6:12">
      <c r="F468" s="86">
        <v>45548</v>
      </c>
      <c r="G468" s="87">
        <v>25356.5</v>
      </c>
      <c r="H468" s="59"/>
      <c r="I468" s="5"/>
      <c r="J468" s="5"/>
      <c r="K468" s="5"/>
      <c r="L468" s="59"/>
    </row>
    <row r="469" customHeight="1" spans="6:12">
      <c r="F469" s="86">
        <v>45547</v>
      </c>
      <c r="G469" s="87">
        <v>25388.9</v>
      </c>
      <c r="H469" s="59"/>
      <c r="I469" s="5"/>
      <c r="J469" s="5"/>
      <c r="K469" s="5"/>
      <c r="L469" s="59"/>
    </row>
    <row r="470" customHeight="1" spans="6:12">
      <c r="F470" s="86">
        <v>45546</v>
      </c>
      <c r="G470" s="87">
        <v>24918.45</v>
      </c>
      <c r="H470" s="59"/>
      <c r="I470" s="5"/>
      <c r="J470" s="5"/>
      <c r="K470" s="5"/>
      <c r="L470" s="59"/>
    </row>
    <row r="471" customHeight="1" spans="6:12">
      <c r="F471" s="86">
        <v>45545</v>
      </c>
      <c r="G471" s="87">
        <v>25041.1</v>
      </c>
      <c r="H471" s="59"/>
      <c r="I471" s="5"/>
      <c r="J471" s="5"/>
      <c r="K471" s="5"/>
      <c r="L471" s="59"/>
    </row>
    <row r="472" customHeight="1" spans="6:12">
      <c r="F472" s="86">
        <v>45544</v>
      </c>
      <c r="G472" s="87">
        <v>24936.4</v>
      </c>
      <c r="H472" s="59"/>
      <c r="I472" s="5"/>
      <c r="J472" s="5"/>
      <c r="K472" s="5"/>
      <c r="L472" s="59"/>
    </row>
    <row r="473" customHeight="1" spans="6:12">
      <c r="F473" s="86">
        <v>45541</v>
      </c>
      <c r="G473" s="87">
        <v>24852.15</v>
      </c>
      <c r="H473" s="59"/>
      <c r="I473" s="5"/>
      <c r="J473" s="5"/>
      <c r="K473" s="5"/>
      <c r="L473" s="59"/>
    </row>
    <row r="474" customHeight="1" spans="6:12">
      <c r="F474" s="86">
        <v>45540</v>
      </c>
      <c r="G474" s="87">
        <v>25145.1</v>
      </c>
      <c r="H474" s="59"/>
      <c r="I474" s="5"/>
      <c r="J474" s="5"/>
      <c r="K474" s="5"/>
      <c r="L474" s="59"/>
    </row>
    <row r="475" customHeight="1" spans="6:12">
      <c r="F475" s="86">
        <v>45539</v>
      </c>
      <c r="G475" s="87">
        <v>25198.7</v>
      </c>
      <c r="H475" s="59"/>
      <c r="I475" s="5"/>
      <c r="J475" s="5"/>
      <c r="K475" s="5"/>
      <c r="L475" s="59"/>
    </row>
    <row r="476" customHeight="1" spans="6:12">
      <c r="F476" s="86">
        <v>45538</v>
      </c>
      <c r="G476" s="87">
        <v>25279.85</v>
      </c>
      <c r="H476" s="59"/>
      <c r="I476" s="5"/>
      <c r="J476" s="5"/>
      <c r="K476" s="5"/>
      <c r="L476" s="59"/>
    </row>
    <row r="477" customHeight="1" spans="6:12">
      <c r="F477" s="86">
        <v>45537</v>
      </c>
      <c r="G477" s="87">
        <v>25278.7</v>
      </c>
      <c r="H477" s="59"/>
      <c r="I477" s="5"/>
      <c r="J477" s="5"/>
      <c r="K477" s="5"/>
      <c r="L477" s="59"/>
    </row>
    <row r="478" customHeight="1" spans="6:12">
      <c r="F478" s="86">
        <v>45534</v>
      </c>
      <c r="G478" s="87">
        <v>25235.9</v>
      </c>
      <c r="H478" s="59"/>
      <c r="I478" s="5"/>
      <c r="J478" s="5"/>
      <c r="K478" s="5"/>
      <c r="L478" s="59"/>
    </row>
    <row r="479" customHeight="1" spans="6:12">
      <c r="F479" s="86">
        <v>45533</v>
      </c>
      <c r="G479" s="87">
        <v>25151.95</v>
      </c>
      <c r="H479" s="59"/>
      <c r="I479" s="5"/>
      <c r="J479" s="5"/>
      <c r="K479" s="5"/>
      <c r="L479" s="59"/>
    </row>
    <row r="480" customHeight="1" spans="6:12">
      <c r="F480" s="86">
        <v>45532</v>
      </c>
      <c r="G480" s="87">
        <v>25052.35</v>
      </c>
      <c r="H480" s="59"/>
      <c r="I480" s="5"/>
      <c r="J480" s="5"/>
      <c r="K480" s="5"/>
      <c r="L480" s="59"/>
    </row>
    <row r="481" customHeight="1" spans="6:12">
      <c r="F481" s="86">
        <v>45531</v>
      </c>
      <c r="G481" s="87">
        <v>25017.75</v>
      </c>
      <c r="H481" s="59"/>
      <c r="I481" s="5"/>
      <c r="J481" s="5"/>
      <c r="K481" s="5"/>
      <c r="L481" s="59"/>
    </row>
    <row r="482" customHeight="1" spans="6:12">
      <c r="F482" s="86">
        <v>45530</v>
      </c>
      <c r="G482" s="87">
        <v>25010.6</v>
      </c>
      <c r="H482" s="59"/>
      <c r="I482" s="5"/>
      <c r="J482" s="5"/>
      <c r="K482" s="5"/>
      <c r="L482" s="59"/>
    </row>
    <row r="483" customHeight="1" spans="6:12">
      <c r="F483" s="86">
        <v>45527</v>
      </c>
      <c r="G483" s="87">
        <v>24823.15</v>
      </c>
      <c r="H483" s="59"/>
      <c r="I483" s="5"/>
      <c r="J483" s="5"/>
      <c r="K483" s="5"/>
      <c r="L483" s="59"/>
    </row>
    <row r="484" customHeight="1" spans="6:12">
      <c r="F484" s="86">
        <v>45526</v>
      </c>
      <c r="G484" s="87">
        <v>24811.5</v>
      </c>
      <c r="H484" s="59"/>
      <c r="I484" s="5"/>
      <c r="J484" s="5"/>
      <c r="K484" s="5"/>
      <c r="L484" s="59"/>
    </row>
    <row r="485" customHeight="1" spans="6:12">
      <c r="F485" s="86">
        <v>45525</v>
      </c>
      <c r="G485" s="87">
        <v>24770.2</v>
      </c>
      <c r="H485" s="59"/>
      <c r="I485" s="5"/>
      <c r="J485" s="5"/>
      <c r="K485" s="5"/>
      <c r="L485" s="59"/>
    </row>
    <row r="486" customHeight="1" spans="6:12">
      <c r="F486" s="86">
        <v>45524</v>
      </c>
      <c r="G486" s="87">
        <v>24698.85</v>
      </c>
      <c r="H486" s="59"/>
      <c r="I486" s="5"/>
      <c r="J486" s="5"/>
      <c r="K486" s="5"/>
      <c r="L486" s="59"/>
    </row>
    <row r="487" customHeight="1" spans="6:12">
      <c r="F487" s="86">
        <v>45523</v>
      </c>
      <c r="G487" s="87">
        <v>24572.65</v>
      </c>
      <c r="H487" s="59"/>
      <c r="I487" s="5"/>
      <c r="J487" s="5"/>
      <c r="K487" s="5"/>
      <c r="L487" s="59"/>
    </row>
    <row r="488" customHeight="1" spans="6:12">
      <c r="F488" s="86">
        <v>45520</v>
      </c>
      <c r="G488" s="87">
        <v>24541.15</v>
      </c>
      <c r="H488" s="59"/>
      <c r="I488" s="5"/>
      <c r="J488" s="5"/>
      <c r="K488" s="5"/>
      <c r="L488" s="59"/>
    </row>
    <row r="489" customHeight="1" spans="6:12">
      <c r="F489" s="86">
        <v>45518</v>
      </c>
      <c r="G489" s="87">
        <v>24143.75</v>
      </c>
      <c r="H489" s="59"/>
      <c r="I489" s="5"/>
      <c r="J489" s="5"/>
      <c r="K489" s="5"/>
      <c r="L489" s="59"/>
    </row>
    <row r="490" customHeight="1" spans="6:12">
      <c r="F490" s="86">
        <v>45517</v>
      </c>
      <c r="G490" s="87">
        <v>24139</v>
      </c>
      <c r="H490" s="59"/>
      <c r="I490" s="5"/>
      <c r="J490" s="5"/>
      <c r="K490" s="5"/>
      <c r="L490" s="59"/>
    </row>
    <row r="491" customHeight="1" spans="6:12">
      <c r="F491" s="86">
        <v>45516</v>
      </c>
      <c r="G491" s="87">
        <v>24347</v>
      </c>
      <c r="H491" s="59"/>
      <c r="I491" s="5"/>
      <c r="J491" s="5"/>
      <c r="K491" s="5"/>
      <c r="L491" s="59"/>
    </row>
    <row r="492" customHeight="1" spans="6:12">
      <c r="F492" s="86">
        <v>45513</v>
      </c>
      <c r="G492" s="87">
        <v>24367.5</v>
      </c>
      <c r="H492" s="59"/>
      <c r="I492" s="5"/>
      <c r="J492" s="5"/>
      <c r="K492" s="5"/>
      <c r="L492" s="59"/>
    </row>
    <row r="493" customHeight="1" spans="6:12">
      <c r="F493" s="86">
        <v>45512</v>
      </c>
      <c r="G493" s="87">
        <v>24117</v>
      </c>
      <c r="H493" s="59"/>
      <c r="I493" s="5"/>
      <c r="J493" s="5"/>
      <c r="K493" s="5"/>
      <c r="L493" s="59"/>
    </row>
    <row r="494" customHeight="1" spans="6:12">
      <c r="F494" s="86">
        <v>45511</v>
      </c>
      <c r="G494" s="87">
        <v>24297.5</v>
      </c>
      <c r="H494" s="59"/>
      <c r="I494" s="5"/>
      <c r="J494" s="5"/>
      <c r="K494" s="5"/>
      <c r="L494" s="59"/>
    </row>
    <row r="495" customHeight="1" spans="6:12">
      <c r="F495" s="86">
        <v>45510</v>
      </c>
      <c r="G495" s="87">
        <v>23992.55</v>
      </c>
      <c r="H495" s="59"/>
      <c r="I495" s="5"/>
      <c r="J495" s="5"/>
      <c r="K495" s="5"/>
      <c r="L495" s="59"/>
    </row>
    <row r="496" customHeight="1" spans="6:12">
      <c r="F496" s="86">
        <v>45509</v>
      </c>
      <c r="G496" s="87">
        <v>24055.6</v>
      </c>
      <c r="H496" s="59"/>
      <c r="I496" s="5"/>
      <c r="J496" s="5"/>
      <c r="K496" s="5"/>
      <c r="L496" s="59"/>
    </row>
    <row r="497" customHeight="1" spans="6:12">
      <c r="F497" s="86">
        <v>45506</v>
      </c>
      <c r="G497" s="87">
        <v>24717.7</v>
      </c>
      <c r="H497" s="59"/>
      <c r="I497" s="5"/>
      <c r="J497" s="5"/>
      <c r="K497" s="5"/>
      <c r="L497" s="59"/>
    </row>
    <row r="498" customHeight="1" spans="6:12">
      <c r="F498" s="86">
        <v>45505</v>
      </c>
      <c r="G498" s="87">
        <v>25010.9</v>
      </c>
      <c r="H498" s="59"/>
      <c r="I498" s="5"/>
      <c r="J498" s="5"/>
      <c r="K498" s="5"/>
      <c r="L498" s="59"/>
    </row>
    <row r="499" customHeight="1" spans="6:12">
      <c r="F499" s="86">
        <v>45504</v>
      </c>
      <c r="G499" s="87">
        <v>24951.15</v>
      </c>
      <c r="H499" s="59"/>
      <c r="I499" s="5"/>
      <c r="J499" s="5"/>
      <c r="K499" s="5"/>
      <c r="L499" s="59"/>
    </row>
    <row r="500" customHeight="1" spans="6:12">
      <c r="F500" s="86">
        <v>45503</v>
      </c>
      <c r="G500" s="87">
        <v>24857.3</v>
      </c>
      <c r="H500" s="59"/>
      <c r="I500" s="5"/>
      <c r="J500" s="5"/>
      <c r="K500" s="5"/>
      <c r="L500" s="59"/>
    </row>
    <row r="501" customHeight="1" spans="6:12">
      <c r="F501" s="86">
        <v>45502</v>
      </c>
      <c r="G501" s="87">
        <v>24836.1</v>
      </c>
      <c r="H501" s="59"/>
      <c r="I501" s="5"/>
      <c r="J501" s="5"/>
      <c r="K501" s="5"/>
      <c r="L501" s="59"/>
    </row>
    <row r="502" customHeight="1" spans="6:12">
      <c r="F502" s="86">
        <v>45499</v>
      </c>
      <c r="G502" s="87">
        <v>24834.85</v>
      </c>
      <c r="H502" s="59"/>
      <c r="I502" s="5"/>
      <c r="J502" s="5"/>
      <c r="K502" s="5"/>
      <c r="L502" s="59"/>
    </row>
    <row r="503" customHeight="1" spans="6:12">
      <c r="F503" s="86">
        <v>45498</v>
      </c>
      <c r="G503" s="87">
        <v>24406.1</v>
      </c>
      <c r="H503" s="59"/>
      <c r="I503" s="5"/>
      <c r="J503" s="5"/>
      <c r="K503" s="5"/>
      <c r="L503" s="59"/>
    </row>
    <row r="504" customHeight="1" spans="6:12">
      <c r="F504" s="86">
        <v>45497</v>
      </c>
      <c r="G504" s="87">
        <v>24413.5</v>
      </c>
      <c r="H504" s="59"/>
      <c r="I504" s="5"/>
      <c r="J504" s="5"/>
      <c r="K504" s="5"/>
      <c r="L504" s="59"/>
    </row>
    <row r="505" customHeight="1" spans="6:12">
      <c r="F505" s="86">
        <v>45496</v>
      </c>
      <c r="G505" s="87">
        <v>24479.05</v>
      </c>
      <c r="H505" s="59"/>
      <c r="I505" s="5"/>
      <c r="J505" s="5"/>
      <c r="K505" s="5"/>
      <c r="L505" s="59"/>
    </row>
    <row r="506" customHeight="1" spans="6:12">
      <c r="F506" s="86">
        <v>45495</v>
      </c>
      <c r="G506" s="87">
        <v>24509.25</v>
      </c>
      <c r="H506" s="59"/>
      <c r="I506" s="5"/>
      <c r="J506" s="5"/>
      <c r="K506" s="5"/>
      <c r="L506" s="59"/>
    </row>
    <row r="507" customHeight="1" spans="6:12">
      <c r="F507" s="86">
        <v>45492</v>
      </c>
      <c r="G507" s="87">
        <v>24530.9</v>
      </c>
      <c r="H507" s="59"/>
      <c r="I507" s="5"/>
      <c r="J507" s="5"/>
      <c r="K507" s="5"/>
      <c r="L507" s="59"/>
    </row>
    <row r="508" customHeight="1" spans="6:12">
      <c r="F508" s="86">
        <v>45491</v>
      </c>
      <c r="G508" s="87">
        <v>24800.85</v>
      </c>
      <c r="H508" s="59"/>
      <c r="I508" s="5"/>
      <c r="J508" s="5"/>
      <c r="K508" s="5"/>
      <c r="L508" s="59"/>
    </row>
    <row r="509" customHeight="1" spans="6:12">
      <c r="F509" s="86">
        <v>45489</v>
      </c>
      <c r="G509" s="87">
        <v>24613</v>
      </c>
      <c r="H509" s="59"/>
      <c r="I509" s="5"/>
      <c r="J509" s="5"/>
      <c r="K509" s="5"/>
      <c r="L509" s="59"/>
    </row>
    <row r="510" customHeight="1" spans="6:12">
      <c r="F510" s="86">
        <v>45488</v>
      </c>
      <c r="G510" s="87">
        <v>24586.7</v>
      </c>
      <c r="H510" s="59"/>
      <c r="I510" s="5"/>
      <c r="J510" s="5"/>
      <c r="K510" s="5"/>
      <c r="L510" s="59"/>
    </row>
    <row r="511" customHeight="1" spans="6:12">
      <c r="F511" s="86">
        <v>45485</v>
      </c>
      <c r="G511" s="87">
        <v>24502.15</v>
      </c>
      <c r="H511" s="59"/>
      <c r="I511" s="5"/>
      <c r="J511" s="5"/>
      <c r="K511" s="5"/>
      <c r="L511" s="59"/>
    </row>
    <row r="512" customHeight="1" spans="6:12">
      <c r="F512" s="86">
        <v>45484</v>
      </c>
      <c r="G512" s="87">
        <v>24315.95</v>
      </c>
      <c r="H512" s="59"/>
      <c r="I512" s="5"/>
      <c r="J512" s="5"/>
      <c r="K512" s="5"/>
      <c r="L512" s="59"/>
    </row>
    <row r="513" customHeight="1" spans="6:12">
      <c r="F513" s="86">
        <v>45483</v>
      </c>
      <c r="G513" s="87">
        <v>24324.45</v>
      </c>
      <c r="H513" s="59"/>
      <c r="I513" s="5"/>
      <c r="J513" s="5"/>
      <c r="K513" s="5"/>
      <c r="L513" s="59"/>
    </row>
    <row r="514" customHeight="1" spans="6:12">
      <c r="F514" s="86">
        <v>45482</v>
      </c>
      <c r="G514" s="87">
        <v>24433.2</v>
      </c>
      <c r="H514" s="59"/>
      <c r="I514" s="5"/>
      <c r="J514" s="5"/>
      <c r="K514" s="5"/>
      <c r="L514" s="59"/>
    </row>
    <row r="515" customHeight="1" spans="6:12">
      <c r="F515" s="86">
        <v>45481</v>
      </c>
      <c r="G515" s="87">
        <v>24320.55</v>
      </c>
      <c r="H515" s="59"/>
      <c r="I515" s="5"/>
      <c r="J515" s="5"/>
      <c r="K515" s="5"/>
      <c r="L515" s="59"/>
    </row>
    <row r="516" customHeight="1" spans="6:12">
      <c r="F516" s="86">
        <v>45478</v>
      </c>
      <c r="G516" s="87">
        <v>24323.85</v>
      </c>
      <c r="H516" s="59"/>
      <c r="I516" s="5"/>
      <c r="J516" s="5"/>
      <c r="K516" s="5"/>
      <c r="L516" s="59"/>
    </row>
    <row r="517" customHeight="1" spans="6:12">
      <c r="F517" s="86">
        <v>45477</v>
      </c>
      <c r="G517" s="87">
        <v>24302.15</v>
      </c>
      <c r="H517" s="59"/>
      <c r="I517" s="5"/>
      <c r="J517" s="5"/>
      <c r="K517" s="5"/>
      <c r="L517" s="59"/>
    </row>
    <row r="518" customHeight="1" spans="6:12">
      <c r="F518" s="86">
        <v>45476</v>
      </c>
      <c r="G518" s="87">
        <v>24286.5</v>
      </c>
      <c r="H518" s="59"/>
      <c r="I518" s="5"/>
      <c r="J518" s="5"/>
      <c r="K518" s="5"/>
      <c r="L518" s="59"/>
    </row>
    <row r="519" customHeight="1" spans="6:12">
      <c r="F519" s="86">
        <v>45475</v>
      </c>
      <c r="G519" s="87">
        <v>24123.85</v>
      </c>
      <c r="H519" s="59"/>
      <c r="I519" s="5"/>
      <c r="J519" s="5"/>
      <c r="K519" s="5"/>
      <c r="L519" s="59"/>
    </row>
    <row r="520" customHeight="1" spans="6:12">
      <c r="F520" s="86">
        <v>45474</v>
      </c>
      <c r="G520" s="87">
        <v>24141.95</v>
      </c>
      <c r="H520" s="59"/>
      <c r="I520" s="5"/>
      <c r="J520" s="5"/>
      <c r="K520" s="5"/>
      <c r="L520" s="59"/>
    </row>
    <row r="521" customHeight="1" spans="6:12">
      <c r="F521" s="86">
        <v>45471</v>
      </c>
      <c r="G521" s="87">
        <v>24010.6</v>
      </c>
      <c r="H521" s="59"/>
      <c r="I521" s="5"/>
      <c r="J521" s="5"/>
      <c r="K521" s="5"/>
      <c r="L521" s="59"/>
    </row>
    <row r="522" customHeight="1" spans="6:12">
      <c r="F522" s="86">
        <v>45470</v>
      </c>
      <c r="G522" s="87">
        <v>24044.5</v>
      </c>
      <c r="H522" s="59"/>
      <c r="I522" s="5"/>
      <c r="J522" s="5"/>
      <c r="K522" s="5"/>
      <c r="L522" s="59"/>
    </row>
    <row r="523" customHeight="1" spans="6:12">
      <c r="F523" s="86">
        <v>45469</v>
      </c>
      <c r="G523" s="87">
        <v>23868.8</v>
      </c>
      <c r="H523" s="59"/>
      <c r="I523" s="5"/>
      <c r="J523" s="5"/>
      <c r="K523" s="5"/>
      <c r="L523" s="59"/>
    </row>
    <row r="524" customHeight="1" spans="6:12">
      <c r="F524" s="86">
        <v>45468</v>
      </c>
      <c r="G524" s="87">
        <v>23721.3</v>
      </c>
      <c r="H524" s="59"/>
      <c r="I524" s="5"/>
      <c r="J524" s="5"/>
      <c r="K524" s="5"/>
      <c r="L524" s="59"/>
    </row>
    <row r="525" customHeight="1" spans="6:12">
      <c r="F525" s="86">
        <v>45467</v>
      </c>
      <c r="G525" s="87">
        <v>23537.85</v>
      </c>
      <c r="H525" s="59"/>
      <c r="I525" s="5"/>
      <c r="J525" s="5"/>
      <c r="K525" s="5"/>
      <c r="L525" s="59"/>
    </row>
    <row r="526" customHeight="1" spans="6:12">
      <c r="F526" s="86">
        <v>45464</v>
      </c>
      <c r="G526" s="87">
        <v>23501.1</v>
      </c>
      <c r="H526" s="59"/>
      <c r="I526" s="5"/>
      <c r="J526" s="5"/>
      <c r="K526" s="5"/>
      <c r="L526" s="59"/>
    </row>
    <row r="527" customHeight="1" spans="6:12">
      <c r="F527" s="86">
        <v>45463</v>
      </c>
      <c r="G527" s="87">
        <v>23567</v>
      </c>
      <c r="H527" s="59"/>
      <c r="I527" s="5"/>
      <c r="J527" s="5"/>
      <c r="K527" s="5"/>
      <c r="L527" s="59"/>
    </row>
    <row r="528" customHeight="1" spans="6:12">
      <c r="F528" s="86">
        <v>45462</v>
      </c>
      <c r="G528" s="87">
        <v>23516</v>
      </c>
      <c r="H528" s="59"/>
      <c r="I528" s="5"/>
      <c r="J528" s="5"/>
      <c r="K528" s="5"/>
      <c r="L528" s="59"/>
    </row>
    <row r="529" customHeight="1" spans="6:12">
      <c r="F529" s="86">
        <v>45461</v>
      </c>
      <c r="G529" s="87">
        <v>23557.9</v>
      </c>
      <c r="H529" s="59"/>
      <c r="I529" s="5"/>
      <c r="J529" s="5"/>
      <c r="K529" s="5"/>
      <c r="L529" s="59"/>
    </row>
    <row r="530" customHeight="1" spans="6:12">
      <c r="F530" s="86">
        <v>45457</v>
      </c>
      <c r="G530" s="87">
        <v>23465.6</v>
      </c>
      <c r="H530" s="59"/>
      <c r="I530" s="5"/>
      <c r="J530" s="5"/>
      <c r="K530" s="5"/>
      <c r="L530" s="59"/>
    </row>
    <row r="531" customHeight="1" spans="6:12">
      <c r="F531" s="86">
        <v>45456</v>
      </c>
      <c r="G531" s="87">
        <v>23398.9</v>
      </c>
      <c r="H531" s="59"/>
      <c r="I531" s="5"/>
      <c r="J531" s="5"/>
      <c r="K531" s="5"/>
      <c r="L531" s="59"/>
    </row>
    <row r="532" customHeight="1" spans="6:12">
      <c r="F532" s="86">
        <v>45455</v>
      </c>
      <c r="G532" s="87">
        <v>23322.95</v>
      </c>
      <c r="H532" s="59"/>
      <c r="I532" s="5"/>
      <c r="J532" s="5"/>
      <c r="K532" s="5"/>
      <c r="L532" s="59"/>
    </row>
    <row r="533" customHeight="1" spans="6:12">
      <c r="F533" s="86">
        <v>45454</v>
      </c>
      <c r="G533" s="87">
        <v>23264.85</v>
      </c>
      <c r="H533" s="59"/>
      <c r="I533" s="5"/>
      <c r="J533" s="5"/>
      <c r="K533" s="5"/>
      <c r="L533" s="59"/>
    </row>
    <row r="534" customHeight="1" spans="6:12">
      <c r="F534" s="86">
        <v>45453</v>
      </c>
      <c r="G534" s="87">
        <v>23259.2</v>
      </c>
      <c r="H534" s="59"/>
      <c r="I534" s="5"/>
      <c r="J534" s="5"/>
      <c r="K534" s="5"/>
      <c r="L534" s="59"/>
    </row>
    <row r="535" customHeight="1" spans="6:12">
      <c r="F535" s="86">
        <v>45450</v>
      </c>
      <c r="G535" s="87">
        <v>23290.15</v>
      </c>
      <c r="H535" s="59"/>
      <c r="I535" s="5"/>
      <c r="J535" s="5"/>
      <c r="K535" s="5"/>
      <c r="L535" s="59"/>
    </row>
    <row r="536" customHeight="1" spans="6:12">
      <c r="F536" s="86">
        <v>45449</v>
      </c>
      <c r="G536" s="87">
        <v>22821.4</v>
      </c>
      <c r="H536" s="59"/>
      <c r="I536" s="5"/>
      <c r="J536" s="5"/>
      <c r="K536" s="5"/>
      <c r="L536" s="59"/>
    </row>
    <row r="537" customHeight="1" spans="6:12">
      <c r="F537" s="86">
        <v>45448</v>
      </c>
      <c r="G537" s="87">
        <v>22620.35</v>
      </c>
      <c r="H537" s="59"/>
      <c r="I537" s="5"/>
      <c r="J537" s="5"/>
      <c r="K537" s="5"/>
      <c r="L537" s="59"/>
    </row>
    <row r="538" customHeight="1" spans="6:12">
      <c r="F538" s="86">
        <v>45447</v>
      </c>
      <c r="G538" s="87">
        <v>21884.5</v>
      </c>
      <c r="H538" s="59"/>
      <c r="I538" s="5"/>
      <c r="J538" s="5"/>
      <c r="K538" s="5"/>
      <c r="L538" s="59"/>
    </row>
    <row r="539" customHeight="1" spans="6:12">
      <c r="F539" s="86">
        <v>45446</v>
      </c>
      <c r="G539" s="87">
        <v>23263.9</v>
      </c>
      <c r="H539" s="59"/>
      <c r="I539" s="5"/>
      <c r="J539" s="5"/>
      <c r="K539" s="5"/>
      <c r="L539" s="59"/>
    </row>
    <row r="540" customHeight="1" spans="6:12">
      <c r="F540" s="86">
        <v>45443</v>
      </c>
      <c r="G540" s="87">
        <v>22530.7</v>
      </c>
      <c r="H540" s="59"/>
      <c r="I540" s="5"/>
      <c r="J540" s="5"/>
      <c r="K540" s="5"/>
      <c r="L540" s="59"/>
    </row>
    <row r="541" customHeight="1" spans="6:12">
      <c r="F541" s="86">
        <v>45442</v>
      </c>
      <c r="G541" s="87">
        <v>22488.65</v>
      </c>
      <c r="H541" s="59"/>
      <c r="I541" s="5"/>
      <c r="J541" s="5"/>
      <c r="K541" s="5"/>
      <c r="L541" s="59"/>
    </row>
    <row r="542" customHeight="1" spans="6:12">
      <c r="F542" s="86">
        <v>45441</v>
      </c>
      <c r="G542" s="87">
        <v>22704.7</v>
      </c>
      <c r="H542" s="59"/>
      <c r="I542" s="5"/>
      <c r="J542" s="5"/>
      <c r="K542" s="5"/>
      <c r="L542" s="59"/>
    </row>
    <row r="543" customHeight="1" spans="6:12">
      <c r="F543" s="86">
        <v>45440</v>
      </c>
      <c r="G543" s="87">
        <v>22888.15</v>
      </c>
      <c r="H543" s="59"/>
      <c r="I543" s="5"/>
      <c r="J543" s="5"/>
      <c r="K543" s="5"/>
      <c r="L543" s="59"/>
    </row>
    <row r="544" customHeight="1" spans="6:12">
      <c r="F544" s="86">
        <v>45439</v>
      </c>
      <c r="G544" s="87">
        <v>22932.45</v>
      </c>
      <c r="H544" s="59"/>
      <c r="I544" s="5"/>
      <c r="J544" s="5"/>
      <c r="K544" s="5"/>
      <c r="L544" s="59"/>
    </row>
    <row r="545" customHeight="1" spans="6:12">
      <c r="F545" s="86">
        <v>45436</v>
      </c>
      <c r="G545" s="87">
        <v>22957.1</v>
      </c>
      <c r="H545" s="59"/>
      <c r="I545" s="5"/>
      <c r="J545" s="5"/>
      <c r="K545" s="5"/>
      <c r="L545" s="59"/>
    </row>
    <row r="546" customHeight="1" spans="6:12">
      <c r="F546" s="86">
        <v>45435</v>
      </c>
      <c r="G546" s="87">
        <v>22967.65</v>
      </c>
      <c r="H546" s="59"/>
      <c r="I546" s="5"/>
      <c r="J546" s="5"/>
      <c r="K546" s="5"/>
      <c r="L546" s="59"/>
    </row>
    <row r="547" customHeight="1" spans="6:12">
      <c r="F547" s="86">
        <v>45434</v>
      </c>
      <c r="G547" s="87">
        <v>22597.8</v>
      </c>
      <c r="H547" s="59"/>
      <c r="I547" s="5"/>
      <c r="J547" s="5"/>
      <c r="K547" s="5"/>
      <c r="L547" s="59"/>
    </row>
    <row r="548" customHeight="1" spans="6:12">
      <c r="F548" s="86">
        <v>45433</v>
      </c>
      <c r="G548" s="87">
        <v>22529.05</v>
      </c>
      <c r="H548" s="59"/>
      <c r="I548" s="5"/>
      <c r="J548" s="5"/>
      <c r="K548" s="5"/>
      <c r="L548" s="59"/>
    </row>
    <row r="549" customHeight="1" spans="6:12">
      <c r="F549" s="86">
        <v>45430</v>
      </c>
      <c r="G549" s="87">
        <v>22502</v>
      </c>
      <c r="H549" s="59"/>
      <c r="I549" s="5"/>
      <c r="J549" s="5"/>
      <c r="K549" s="5"/>
      <c r="L549" s="59"/>
    </row>
    <row r="550" customHeight="1" spans="6:12">
      <c r="F550" s="86">
        <v>45429</v>
      </c>
      <c r="G550" s="87">
        <v>22466.1</v>
      </c>
      <c r="H550" s="59"/>
      <c r="I550" s="5"/>
      <c r="J550" s="5"/>
      <c r="K550" s="5"/>
      <c r="L550" s="59"/>
    </row>
    <row r="551" customHeight="1" spans="6:12">
      <c r="F551" s="86">
        <v>45428</v>
      </c>
      <c r="G551" s="87">
        <v>22403.85</v>
      </c>
      <c r="H551" s="59"/>
      <c r="I551" s="5"/>
      <c r="J551" s="5"/>
      <c r="K551" s="5"/>
      <c r="L551" s="59"/>
    </row>
    <row r="552" customHeight="1" spans="6:12">
      <c r="F552" s="86">
        <v>45427</v>
      </c>
      <c r="G552" s="87">
        <v>22200.55</v>
      </c>
      <c r="H552" s="59"/>
      <c r="I552" s="5"/>
      <c r="J552" s="5"/>
      <c r="K552" s="5"/>
      <c r="L552" s="59"/>
    </row>
    <row r="553" customHeight="1" spans="6:12">
      <c r="F553" s="86">
        <v>45426</v>
      </c>
      <c r="G553" s="87">
        <v>22217.85</v>
      </c>
      <c r="H553" s="59"/>
      <c r="I553" s="5"/>
      <c r="J553" s="5"/>
      <c r="K553" s="5"/>
      <c r="L553" s="59"/>
    </row>
    <row r="554" customHeight="1" spans="6:12">
      <c r="F554" s="86">
        <v>45425</v>
      </c>
      <c r="G554" s="87">
        <v>22104.05</v>
      </c>
      <c r="H554" s="59"/>
      <c r="I554" s="5"/>
      <c r="J554" s="5"/>
      <c r="K554" s="5"/>
      <c r="L554" s="59"/>
    </row>
    <row r="555" customHeight="1" spans="6:12">
      <c r="F555" s="86">
        <v>45422</v>
      </c>
      <c r="G555" s="87">
        <v>22055.2</v>
      </c>
      <c r="H555" s="59"/>
      <c r="I555" s="5"/>
      <c r="J555" s="5"/>
      <c r="K555" s="5"/>
      <c r="L555" s="59"/>
    </row>
    <row r="556" customHeight="1" spans="6:12">
      <c r="F556" s="86">
        <v>45421</v>
      </c>
      <c r="G556" s="87">
        <v>21957.5</v>
      </c>
      <c r="H556" s="59"/>
      <c r="I556" s="5"/>
      <c r="J556" s="5"/>
      <c r="K556" s="5"/>
      <c r="L556" s="59"/>
    </row>
    <row r="557" customHeight="1" spans="6:12">
      <c r="F557" s="86">
        <v>45420</v>
      </c>
      <c r="G557" s="87">
        <v>22302.5</v>
      </c>
      <c r="H557" s="59"/>
      <c r="I557" s="5"/>
      <c r="J557" s="5"/>
      <c r="K557" s="5"/>
      <c r="L557" s="59"/>
    </row>
    <row r="558" customHeight="1" spans="6:12">
      <c r="F558" s="86">
        <v>45419</v>
      </c>
      <c r="G558" s="87">
        <v>22302.5</v>
      </c>
      <c r="H558" s="59"/>
      <c r="I558" s="5"/>
      <c r="J558" s="5"/>
      <c r="K558" s="5"/>
      <c r="L558" s="59"/>
    </row>
    <row r="559" customHeight="1" spans="6:12">
      <c r="F559" s="86">
        <v>45418</v>
      </c>
      <c r="G559" s="87">
        <v>22442.7</v>
      </c>
      <c r="H559" s="59"/>
      <c r="I559" s="5"/>
      <c r="J559" s="5"/>
      <c r="K559" s="5"/>
      <c r="L559" s="59"/>
    </row>
    <row r="560" customHeight="1" spans="6:12">
      <c r="F560" s="86">
        <v>45415</v>
      </c>
      <c r="G560" s="87">
        <v>22475.85</v>
      </c>
      <c r="H560" s="59"/>
      <c r="I560" s="5"/>
      <c r="J560" s="5"/>
      <c r="K560" s="5"/>
      <c r="L560" s="59"/>
    </row>
    <row r="561" customHeight="1" spans="6:12">
      <c r="F561" s="86">
        <v>45414</v>
      </c>
      <c r="G561" s="87">
        <v>22648.2</v>
      </c>
      <c r="H561" s="59"/>
      <c r="I561" s="5"/>
      <c r="J561" s="5"/>
      <c r="K561" s="5"/>
      <c r="L561" s="59"/>
    </row>
    <row r="562" customHeight="1" spans="6:12">
      <c r="F562" s="86">
        <v>45412</v>
      </c>
      <c r="G562" s="87">
        <v>22604.85</v>
      </c>
      <c r="H562" s="59"/>
      <c r="I562" s="5"/>
      <c r="J562" s="5"/>
      <c r="K562" s="5"/>
      <c r="L562" s="59"/>
    </row>
    <row r="563" customHeight="1" spans="6:12">
      <c r="F563" s="86">
        <v>45411</v>
      </c>
      <c r="G563" s="87">
        <v>22643.4</v>
      </c>
      <c r="H563" s="59"/>
      <c r="I563" s="5"/>
      <c r="J563" s="5"/>
      <c r="K563" s="5"/>
      <c r="L563" s="59"/>
    </row>
    <row r="564" customHeight="1" spans="6:12">
      <c r="F564" s="86">
        <v>45408</v>
      </c>
      <c r="G564" s="87">
        <v>22419.95</v>
      </c>
      <c r="H564" s="59"/>
      <c r="I564" s="5"/>
      <c r="J564" s="5"/>
      <c r="K564" s="5"/>
      <c r="L564" s="59"/>
    </row>
    <row r="565" customHeight="1" spans="6:12">
      <c r="F565" s="86">
        <v>45407</v>
      </c>
      <c r="G565" s="87">
        <v>22570.35</v>
      </c>
      <c r="H565" s="59"/>
      <c r="I565" s="5"/>
      <c r="J565" s="5"/>
      <c r="K565" s="5"/>
      <c r="L565" s="59"/>
    </row>
    <row r="566" customHeight="1" spans="6:12">
      <c r="F566" s="86">
        <v>45406</v>
      </c>
      <c r="G566" s="87">
        <v>22402.4</v>
      </c>
      <c r="H566" s="59"/>
      <c r="I566" s="5"/>
      <c r="J566" s="5"/>
      <c r="K566" s="5"/>
      <c r="L566" s="59"/>
    </row>
    <row r="567" customHeight="1" spans="6:12">
      <c r="F567" s="86">
        <v>45405</v>
      </c>
      <c r="G567" s="87">
        <v>22368</v>
      </c>
      <c r="H567" s="59"/>
      <c r="I567" s="5"/>
      <c r="J567" s="5"/>
      <c r="K567" s="5"/>
      <c r="L567" s="59"/>
    </row>
    <row r="568" customHeight="1" spans="6:12">
      <c r="F568" s="86">
        <v>45404</v>
      </c>
      <c r="G568" s="87">
        <v>22336.4</v>
      </c>
      <c r="H568" s="59"/>
      <c r="I568" s="5"/>
      <c r="J568" s="5"/>
      <c r="K568" s="5"/>
      <c r="L568" s="59"/>
    </row>
    <row r="569" customHeight="1" spans="6:12">
      <c r="F569" s="86">
        <v>45401</v>
      </c>
      <c r="G569" s="87">
        <v>22147</v>
      </c>
      <c r="H569" s="59"/>
      <c r="I569" s="5"/>
      <c r="J569" s="5"/>
      <c r="K569" s="5"/>
      <c r="L569" s="59"/>
    </row>
    <row r="570" customHeight="1" spans="6:12">
      <c r="F570" s="86">
        <v>45400</v>
      </c>
      <c r="G570" s="87">
        <v>21995.85</v>
      </c>
      <c r="H570" s="59"/>
      <c r="I570" s="5"/>
      <c r="J570" s="5"/>
      <c r="K570" s="5"/>
      <c r="L570" s="59"/>
    </row>
    <row r="571" customHeight="1" spans="6:12">
      <c r="F571" s="86">
        <v>45398</v>
      </c>
      <c r="G571" s="87">
        <v>22147.9</v>
      </c>
      <c r="H571" s="59"/>
      <c r="I571" s="5"/>
      <c r="J571" s="5"/>
      <c r="K571" s="5"/>
      <c r="L571" s="59"/>
    </row>
    <row r="572" customHeight="1" spans="6:12">
      <c r="F572" s="86">
        <v>45397</v>
      </c>
      <c r="G572" s="87">
        <v>22272.5</v>
      </c>
      <c r="H572" s="59"/>
      <c r="I572" s="5"/>
      <c r="J572" s="5"/>
      <c r="K572" s="5"/>
      <c r="L572" s="59"/>
    </row>
    <row r="573" customHeight="1" spans="6:12">
      <c r="F573" s="86">
        <v>45394</v>
      </c>
      <c r="G573" s="87">
        <v>22519.4</v>
      </c>
      <c r="H573" s="59"/>
      <c r="I573" s="5"/>
      <c r="J573" s="5"/>
      <c r="K573" s="5"/>
      <c r="L573" s="59"/>
    </row>
    <row r="574" customHeight="1" spans="6:12">
      <c r="F574" s="86">
        <v>45392</v>
      </c>
      <c r="G574" s="87">
        <v>22753.8</v>
      </c>
      <c r="H574" s="59"/>
      <c r="I574" s="5"/>
      <c r="J574" s="5"/>
      <c r="K574" s="5"/>
      <c r="L574" s="59"/>
    </row>
    <row r="575" customHeight="1" spans="6:12">
      <c r="F575" s="86">
        <v>45391</v>
      </c>
      <c r="G575" s="87">
        <v>22642.75</v>
      </c>
      <c r="H575" s="59"/>
      <c r="I575" s="5"/>
      <c r="J575" s="5"/>
      <c r="K575" s="5"/>
      <c r="L575" s="59"/>
    </row>
    <row r="576" customHeight="1" spans="6:12">
      <c r="F576" s="86">
        <v>45390</v>
      </c>
      <c r="G576" s="87">
        <v>22666.3</v>
      </c>
      <c r="H576" s="59"/>
      <c r="I576" s="5"/>
      <c r="J576" s="5"/>
      <c r="K576" s="5"/>
      <c r="L576" s="59"/>
    </row>
    <row r="577" customHeight="1" spans="6:12">
      <c r="F577" s="86">
        <v>45387</v>
      </c>
      <c r="G577" s="87">
        <v>22513.7</v>
      </c>
      <c r="H577" s="59"/>
      <c r="I577" s="5"/>
      <c r="J577" s="5"/>
      <c r="K577" s="5"/>
      <c r="L577" s="59"/>
    </row>
    <row r="578" customHeight="1" spans="6:12">
      <c r="F578" s="86">
        <v>45386</v>
      </c>
      <c r="G578" s="87">
        <v>22514.65</v>
      </c>
      <c r="H578" s="59"/>
      <c r="I578" s="5"/>
      <c r="J578" s="5"/>
      <c r="K578" s="5"/>
      <c r="L578" s="59"/>
    </row>
    <row r="579" customHeight="1" spans="6:12">
      <c r="F579" s="86">
        <v>45385</v>
      </c>
      <c r="G579" s="87">
        <v>22434.65</v>
      </c>
      <c r="H579" s="59"/>
      <c r="I579" s="5"/>
      <c r="J579" s="5"/>
      <c r="K579" s="5"/>
      <c r="L579" s="59"/>
    </row>
    <row r="580" customHeight="1" spans="6:12">
      <c r="F580" s="86">
        <v>45384</v>
      </c>
      <c r="G580" s="87">
        <v>22453.3</v>
      </c>
      <c r="H580" s="59"/>
      <c r="I580" s="5"/>
      <c r="J580" s="5"/>
      <c r="K580" s="5"/>
      <c r="L580" s="59"/>
    </row>
    <row r="581" customHeight="1" spans="6:12">
      <c r="F581" s="86">
        <v>45383</v>
      </c>
      <c r="G581" s="87">
        <v>22462</v>
      </c>
      <c r="H581" s="59"/>
      <c r="I581" s="5"/>
      <c r="J581" s="5"/>
      <c r="K581" s="5"/>
      <c r="L581" s="59"/>
    </row>
    <row r="582" customHeight="1" spans="6:12">
      <c r="F582" s="86">
        <v>45379</v>
      </c>
      <c r="G582" s="87">
        <v>22326.9</v>
      </c>
      <c r="H582" s="59"/>
      <c r="I582" s="5"/>
      <c r="J582" s="5"/>
      <c r="K582" s="5"/>
      <c r="L582" s="59"/>
    </row>
    <row r="583" customHeight="1" spans="6:12">
      <c r="F583" s="86">
        <v>45378</v>
      </c>
      <c r="G583" s="87">
        <v>22123.65</v>
      </c>
      <c r="H583" s="59"/>
      <c r="I583" s="5"/>
      <c r="J583" s="5"/>
      <c r="K583" s="5"/>
      <c r="L583" s="59"/>
    </row>
    <row r="584" customHeight="1" spans="6:12">
      <c r="F584" s="86">
        <v>45377</v>
      </c>
      <c r="G584" s="87">
        <v>22004.7</v>
      </c>
      <c r="H584" s="59"/>
      <c r="I584" s="5"/>
      <c r="J584" s="5"/>
      <c r="K584" s="5"/>
      <c r="L584" s="59"/>
    </row>
    <row r="585" customHeight="1" spans="6:12">
      <c r="F585" s="86">
        <v>45373</v>
      </c>
      <c r="G585" s="87">
        <v>22096.75</v>
      </c>
      <c r="H585" s="59"/>
      <c r="I585" s="5"/>
      <c r="J585" s="5"/>
      <c r="K585" s="5"/>
      <c r="L585" s="59"/>
    </row>
    <row r="586" customHeight="1" spans="6:12">
      <c r="F586" s="86">
        <v>45372</v>
      </c>
      <c r="G586" s="87">
        <v>22011.95</v>
      </c>
      <c r="H586" s="59"/>
      <c r="I586" s="5"/>
      <c r="J586" s="5"/>
      <c r="K586" s="5"/>
      <c r="L586" s="59"/>
    </row>
    <row r="587" customHeight="1" spans="6:12">
      <c r="F587" s="86">
        <v>45371</v>
      </c>
      <c r="G587" s="87">
        <v>21839.1</v>
      </c>
      <c r="H587" s="59"/>
      <c r="I587" s="5"/>
      <c r="J587" s="5"/>
      <c r="K587" s="5"/>
      <c r="L587" s="59"/>
    </row>
    <row r="588" customHeight="1" spans="6:12">
      <c r="F588" s="86">
        <v>45370</v>
      </c>
      <c r="G588" s="87">
        <v>21817.45</v>
      </c>
      <c r="H588" s="59"/>
      <c r="I588" s="5"/>
      <c r="J588" s="5"/>
      <c r="K588" s="5"/>
      <c r="L588" s="59"/>
    </row>
    <row r="589" customHeight="1" spans="6:12">
      <c r="F589" s="86">
        <v>45369</v>
      </c>
      <c r="G589" s="87">
        <v>22055.7</v>
      </c>
      <c r="H589" s="59"/>
      <c r="I589" s="5"/>
      <c r="J589" s="5"/>
      <c r="K589" s="5"/>
      <c r="L589" s="59"/>
    </row>
    <row r="590" customHeight="1" spans="6:12">
      <c r="F590" s="86">
        <v>45366</v>
      </c>
      <c r="G590" s="87">
        <v>22023.35</v>
      </c>
      <c r="H590" s="59"/>
      <c r="I590" s="5"/>
      <c r="J590" s="5"/>
      <c r="K590" s="5"/>
      <c r="L590" s="59"/>
    </row>
    <row r="591" customHeight="1" spans="6:12">
      <c r="F591" s="86">
        <v>45365</v>
      </c>
      <c r="G591" s="87">
        <v>22146.65</v>
      </c>
      <c r="H591" s="59"/>
      <c r="I591" s="5"/>
      <c r="J591" s="5"/>
      <c r="K591" s="5"/>
      <c r="L591" s="59"/>
    </row>
    <row r="592" customHeight="1" spans="6:12">
      <c r="F592" s="86">
        <v>45364</v>
      </c>
      <c r="G592" s="87">
        <v>21997.7</v>
      </c>
      <c r="H592" s="59"/>
      <c r="I592" s="5"/>
      <c r="J592" s="5"/>
      <c r="K592" s="5"/>
      <c r="L592" s="59"/>
    </row>
    <row r="593" customHeight="1" spans="6:12">
      <c r="F593" s="86">
        <v>45363</v>
      </c>
      <c r="G593" s="87">
        <v>22335.7</v>
      </c>
      <c r="H593" s="59"/>
      <c r="I593" s="5"/>
      <c r="J593" s="5"/>
      <c r="K593" s="5"/>
      <c r="L593" s="59"/>
    </row>
    <row r="594" customHeight="1" spans="6:12">
      <c r="F594" s="86">
        <v>45362</v>
      </c>
      <c r="G594" s="87">
        <v>22332.65</v>
      </c>
      <c r="H594" s="59"/>
      <c r="I594" s="5"/>
      <c r="J594" s="5"/>
      <c r="K594" s="5"/>
      <c r="L594" s="59"/>
    </row>
    <row r="595" customHeight="1" spans="6:12">
      <c r="F595" s="86">
        <v>45358</v>
      </c>
      <c r="G595" s="87">
        <v>22493.55</v>
      </c>
      <c r="H595" s="59"/>
      <c r="I595" s="5"/>
      <c r="J595" s="5"/>
      <c r="K595" s="5"/>
      <c r="L595" s="59"/>
    </row>
    <row r="596" customHeight="1" spans="6:12">
      <c r="F596" s="86">
        <v>45357</v>
      </c>
      <c r="G596" s="87">
        <v>22474.05</v>
      </c>
      <c r="H596" s="59"/>
      <c r="I596" s="5"/>
      <c r="J596" s="5"/>
      <c r="K596" s="5"/>
      <c r="L596" s="59"/>
    </row>
    <row r="597" customHeight="1" spans="6:12">
      <c r="F597" s="86">
        <v>45356</v>
      </c>
      <c r="G597" s="87">
        <v>22356.3</v>
      </c>
      <c r="H597" s="59"/>
      <c r="I597" s="5"/>
      <c r="J597" s="5"/>
      <c r="K597" s="5"/>
      <c r="L597" s="59"/>
    </row>
    <row r="598" customHeight="1" spans="6:12">
      <c r="F598" s="86">
        <v>45355</v>
      </c>
      <c r="G598" s="87">
        <v>22405.6</v>
      </c>
      <c r="H598" s="59"/>
      <c r="I598" s="5"/>
      <c r="J598" s="5"/>
      <c r="K598" s="5"/>
      <c r="L598" s="59"/>
    </row>
    <row r="599" customHeight="1" spans="6:12">
      <c r="F599" s="86">
        <v>45353</v>
      </c>
      <c r="G599" s="87">
        <v>22378.4</v>
      </c>
      <c r="H599" s="59"/>
      <c r="I599" s="5"/>
      <c r="J599" s="5"/>
      <c r="K599" s="5"/>
      <c r="L599" s="59"/>
    </row>
    <row r="600" customHeight="1" spans="6:12">
      <c r="F600" s="86">
        <v>45352</v>
      </c>
      <c r="G600" s="87">
        <v>22338.75</v>
      </c>
      <c r="H600" s="59"/>
      <c r="I600" s="5"/>
      <c r="J600" s="5"/>
      <c r="K600" s="5"/>
      <c r="L600" s="59"/>
    </row>
    <row r="601" customHeight="1" spans="6:12">
      <c r="F601" s="86">
        <v>45351</v>
      </c>
      <c r="G601" s="87">
        <v>21982.8</v>
      </c>
      <c r="H601" s="59"/>
      <c r="I601" s="5"/>
      <c r="J601" s="5"/>
      <c r="K601" s="5"/>
      <c r="L601" s="59"/>
    </row>
    <row r="602" customHeight="1" spans="6:12">
      <c r="F602" s="86">
        <v>45350</v>
      </c>
      <c r="G602" s="87">
        <v>21951.15</v>
      </c>
      <c r="H602" s="59"/>
      <c r="I602" s="5"/>
      <c r="J602" s="5"/>
      <c r="K602" s="5"/>
      <c r="L602" s="59"/>
    </row>
    <row r="603" customHeight="1" spans="6:12">
      <c r="F603" s="86">
        <v>45349</v>
      </c>
      <c r="G603" s="87">
        <v>22198.35</v>
      </c>
      <c r="H603" s="59"/>
      <c r="I603" s="5"/>
      <c r="J603" s="5"/>
      <c r="K603" s="5"/>
      <c r="L603" s="59"/>
    </row>
    <row r="604" customHeight="1" spans="6:12">
      <c r="F604" s="86">
        <v>45348</v>
      </c>
      <c r="G604" s="87">
        <v>22122.05</v>
      </c>
      <c r="H604" s="59"/>
      <c r="I604" s="5"/>
      <c r="J604" s="5"/>
      <c r="K604" s="5"/>
      <c r="L604" s="59"/>
    </row>
    <row r="605" customHeight="1" spans="6:12">
      <c r="F605" s="86">
        <v>45345</v>
      </c>
      <c r="G605" s="87">
        <v>22212.7</v>
      </c>
      <c r="H605" s="59"/>
      <c r="I605" s="5"/>
      <c r="J605" s="5"/>
      <c r="K605" s="5"/>
      <c r="L605" s="59"/>
    </row>
    <row r="606" customHeight="1" spans="6:12">
      <c r="F606" s="86">
        <v>45344</v>
      </c>
      <c r="G606" s="87">
        <v>22217.45</v>
      </c>
      <c r="H606" s="59"/>
      <c r="I606" s="5"/>
      <c r="J606" s="5"/>
      <c r="K606" s="5"/>
      <c r="L606" s="59"/>
    </row>
    <row r="607" customHeight="1" spans="6:12">
      <c r="F607" s="86">
        <v>45343</v>
      </c>
      <c r="G607" s="87">
        <v>22055.05</v>
      </c>
      <c r="H607" s="59"/>
      <c r="I607" s="5"/>
      <c r="J607" s="5"/>
      <c r="K607" s="5"/>
      <c r="L607" s="59"/>
    </row>
    <row r="608" customHeight="1" spans="6:12">
      <c r="F608" s="86">
        <v>45342</v>
      </c>
      <c r="G608" s="87">
        <v>22196.95</v>
      </c>
      <c r="H608" s="59"/>
      <c r="I608" s="5"/>
      <c r="J608" s="5"/>
      <c r="K608" s="5"/>
      <c r="L608" s="59"/>
    </row>
    <row r="609" customHeight="1" spans="6:12">
      <c r="F609" s="86">
        <v>45341</v>
      </c>
      <c r="G609" s="87">
        <v>22122.25</v>
      </c>
      <c r="H609" s="59"/>
      <c r="I609" s="5"/>
      <c r="J609" s="5"/>
      <c r="K609" s="5"/>
      <c r="L609" s="59"/>
    </row>
    <row r="610" customHeight="1" spans="6:12">
      <c r="F610" s="86">
        <v>45338</v>
      </c>
      <c r="G610" s="87">
        <v>22040.7</v>
      </c>
      <c r="H610" s="59"/>
      <c r="I610" s="5"/>
      <c r="J610" s="5"/>
      <c r="K610" s="5"/>
      <c r="L610" s="59"/>
    </row>
    <row r="611" customHeight="1" spans="6:12">
      <c r="F611" s="86">
        <v>45337</v>
      </c>
      <c r="G611" s="87">
        <v>21910.75</v>
      </c>
      <c r="H611" s="59"/>
      <c r="I611" s="5"/>
      <c r="J611" s="5"/>
      <c r="K611" s="5"/>
      <c r="L611" s="59"/>
    </row>
    <row r="612" customHeight="1" spans="6:12">
      <c r="F612" s="86">
        <v>45336</v>
      </c>
      <c r="G612" s="87">
        <v>21840.05</v>
      </c>
      <c r="H612" s="59"/>
      <c r="I612" s="5"/>
      <c r="J612" s="5"/>
      <c r="K612" s="5"/>
      <c r="L612" s="59"/>
    </row>
    <row r="613" customHeight="1" spans="6:12">
      <c r="F613" s="86">
        <v>45335</v>
      </c>
      <c r="G613" s="87">
        <v>21743.25</v>
      </c>
      <c r="H613" s="59"/>
      <c r="I613" s="5"/>
      <c r="J613" s="5"/>
      <c r="K613" s="5"/>
      <c r="L613" s="59"/>
    </row>
    <row r="614" customHeight="1" spans="6:12">
      <c r="F614" s="86">
        <v>45334</v>
      </c>
      <c r="G614" s="87">
        <v>21616.05</v>
      </c>
      <c r="H614" s="59"/>
      <c r="I614" s="5"/>
      <c r="J614" s="5"/>
      <c r="K614" s="5"/>
      <c r="L614" s="59"/>
    </row>
    <row r="615" customHeight="1" spans="6:12">
      <c r="F615" s="86">
        <v>45331</v>
      </c>
      <c r="G615" s="87">
        <v>21782.5</v>
      </c>
      <c r="H615" s="59"/>
      <c r="I615" s="5"/>
      <c r="J615" s="5"/>
      <c r="K615" s="5"/>
      <c r="L615" s="59"/>
    </row>
    <row r="616" customHeight="1" spans="6:12">
      <c r="F616" s="86">
        <v>45330</v>
      </c>
      <c r="G616" s="87">
        <v>21717.95</v>
      </c>
      <c r="H616" s="59"/>
      <c r="I616" s="5"/>
      <c r="J616" s="5"/>
      <c r="K616" s="5"/>
      <c r="L616" s="59"/>
    </row>
    <row r="617" customHeight="1" spans="6:12">
      <c r="F617" s="86">
        <v>45329</v>
      </c>
      <c r="G617" s="87">
        <v>21930.5</v>
      </c>
      <c r="H617" s="59"/>
      <c r="I617" s="5"/>
      <c r="J617" s="5"/>
      <c r="K617" s="5"/>
      <c r="L617" s="59"/>
    </row>
    <row r="618" customHeight="1" spans="6:12">
      <c r="F618" s="86">
        <v>45328</v>
      </c>
      <c r="G618" s="87">
        <v>21929.4</v>
      </c>
      <c r="H618" s="59"/>
      <c r="I618" s="5"/>
      <c r="J618" s="5"/>
      <c r="K618" s="5"/>
      <c r="L618" s="59"/>
    </row>
    <row r="619" customHeight="1" spans="6:12">
      <c r="F619" s="86">
        <v>45327</v>
      </c>
      <c r="G619" s="87">
        <v>21771.7</v>
      </c>
      <c r="H619" s="59"/>
      <c r="I619" s="5"/>
      <c r="J619" s="5"/>
      <c r="K619" s="5"/>
      <c r="L619" s="59"/>
    </row>
    <row r="620" customHeight="1" spans="6:12">
      <c r="F620" s="86">
        <v>45324</v>
      </c>
      <c r="G620" s="87">
        <v>21853.8</v>
      </c>
      <c r="H620" s="59"/>
      <c r="I620" s="5"/>
      <c r="J620" s="5"/>
      <c r="K620" s="5"/>
      <c r="L620" s="59"/>
    </row>
    <row r="621" customHeight="1" spans="6:12">
      <c r="F621" s="86">
        <v>45323</v>
      </c>
      <c r="G621" s="87">
        <v>21697.45</v>
      </c>
      <c r="H621" s="59"/>
      <c r="I621" s="5"/>
      <c r="J621" s="5"/>
      <c r="K621" s="5"/>
      <c r="L621" s="59"/>
    </row>
    <row r="622" customHeight="1" spans="6:12">
      <c r="F622" s="86">
        <v>45322</v>
      </c>
      <c r="G622" s="87">
        <v>21725.7</v>
      </c>
      <c r="H622" s="59"/>
      <c r="I622" s="5"/>
      <c r="J622" s="5"/>
      <c r="K622" s="5"/>
      <c r="L622" s="59"/>
    </row>
    <row r="623" customHeight="1" spans="6:12">
      <c r="F623" s="86">
        <v>45321</v>
      </c>
      <c r="G623" s="87">
        <v>21522.1</v>
      </c>
      <c r="H623" s="59"/>
      <c r="I623" s="5"/>
      <c r="J623" s="5"/>
      <c r="K623" s="5"/>
      <c r="L623" s="59"/>
    </row>
    <row r="624" customHeight="1" spans="6:12">
      <c r="F624" s="86">
        <v>45320</v>
      </c>
      <c r="G624" s="87">
        <v>21737.6</v>
      </c>
      <c r="H624" s="59"/>
      <c r="I624" s="5"/>
      <c r="J624" s="5"/>
      <c r="K624" s="5"/>
      <c r="L624" s="59"/>
    </row>
    <row r="625" customHeight="1" spans="6:12">
      <c r="F625" s="86">
        <v>45316</v>
      </c>
      <c r="G625" s="87">
        <v>21352.6</v>
      </c>
      <c r="H625" s="59"/>
      <c r="I625" s="5"/>
      <c r="J625" s="5"/>
      <c r="K625" s="5"/>
      <c r="L625" s="59"/>
    </row>
    <row r="626" customHeight="1" spans="6:12">
      <c r="F626" s="86">
        <v>45315</v>
      </c>
      <c r="G626" s="87">
        <v>21453.95</v>
      </c>
      <c r="H626" s="59"/>
      <c r="I626" s="5"/>
      <c r="J626" s="5"/>
      <c r="K626" s="5"/>
      <c r="L626" s="59"/>
    </row>
    <row r="627" customHeight="1" spans="6:12">
      <c r="F627" s="86">
        <v>45314</v>
      </c>
      <c r="G627" s="87">
        <v>21238.8</v>
      </c>
      <c r="H627" s="59"/>
      <c r="I627" s="5"/>
      <c r="J627" s="5"/>
      <c r="K627" s="5"/>
      <c r="L627" s="59"/>
    </row>
    <row r="628" customHeight="1" spans="6:12">
      <c r="F628" s="86">
        <v>45311</v>
      </c>
      <c r="G628" s="87">
        <v>21571.8</v>
      </c>
      <c r="H628" s="59"/>
      <c r="I628" s="5"/>
      <c r="J628" s="5"/>
      <c r="K628" s="5"/>
      <c r="L628" s="59"/>
    </row>
    <row r="629" customHeight="1" spans="6:12">
      <c r="F629" s="86">
        <v>45310</v>
      </c>
      <c r="G629" s="87">
        <v>21622.4</v>
      </c>
      <c r="H629" s="59"/>
      <c r="I629" s="5"/>
      <c r="J629" s="5"/>
      <c r="K629" s="5"/>
      <c r="L629" s="59"/>
    </row>
    <row r="630" customHeight="1" spans="6:12">
      <c r="F630" s="86">
        <v>45309</v>
      </c>
      <c r="G630" s="87">
        <v>21462.25</v>
      </c>
      <c r="H630" s="59"/>
      <c r="I630" s="5"/>
      <c r="J630" s="5"/>
      <c r="K630" s="5"/>
      <c r="L630" s="59"/>
    </row>
    <row r="631" customHeight="1" spans="6:12">
      <c r="F631" s="86">
        <v>45308</v>
      </c>
      <c r="G631" s="87">
        <v>21571.95</v>
      </c>
      <c r="H631" s="59"/>
      <c r="I631" s="5"/>
      <c r="J631" s="5"/>
      <c r="K631" s="5"/>
      <c r="L631" s="59"/>
    </row>
    <row r="632" customHeight="1" spans="6:12">
      <c r="F632" s="86">
        <v>45307</v>
      </c>
      <c r="G632" s="87">
        <v>22032.3</v>
      </c>
      <c r="H632" s="59"/>
      <c r="I632" s="5"/>
      <c r="J632" s="5"/>
      <c r="K632" s="5"/>
      <c r="L632" s="59"/>
    </row>
    <row r="633" customHeight="1" spans="6:12">
      <c r="F633" s="86">
        <v>45306</v>
      </c>
      <c r="G633" s="87">
        <v>22097.45</v>
      </c>
      <c r="H633" s="59"/>
      <c r="I633" s="5"/>
      <c r="J633" s="5"/>
      <c r="K633" s="5"/>
      <c r="L633" s="59"/>
    </row>
    <row r="634" customHeight="1" spans="6:12">
      <c r="F634" s="86">
        <v>45303</v>
      </c>
      <c r="G634" s="87">
        <v>21894.55</v>
      </c>
      <c r="H634" s="59"/>
      <c r="I634" s="5"/>
      <c r="J634" s="5"/>
      <c r="K634" s="5"/>
      <c r="L634" s="59"/>
    </row>
    <row r="635" customHeight="1" spans="6:12">
      <c r="F635" s="86">
        <v>45302</v>
      </c>
      <c r="G635" s="87">
        <v>21647.2</v>
      </c>
      <c r="H635" s="59"/>
      <c r="I635" s="5"/>
      <c r="J635" s="5"/>
      <c r="K635" s="5"/>
      <c r="L635" s="59"/>
    </row>
    <row r="636" customHeight="1" spans="6:12">
      <c r="F636" s="86">
        <v>45301</v>
      </c>
      <c r="G636" s="87">
        <v>21618.7</v>
      </c>
      <c r="H636" s="59"/>
      <c r="I636" s="5"/>
      <c r="J636" s="5"/>
      <c r="K636" s="5"/>
      <c r="L636" s="59"/>
    </row>
    <row r="637" customHeight="1" spans="6:12">
      <c r="F637" s="86">
        <v>45300</v>
      </c>
      <c r="G637" s="87">
        <v>21544.85</v>
      </c>
      <c r="H637" s="59"/>
      <c r="I637" s="5"/>
      <c r="J637" s="5"/>
      <c r="K637" s="5"/>
      <c r="L637" s="59"/>
    </row>
    <row r="638" customHeight="1" spans="6:12">
      <c r="F638" s="86">
        <v>45299</v>
      </c>
      <c r="G638" s="87">
        <v>21513</v>
      </c>
      <c r="H638" s="59"/>
      <c r="I638" s="5"/>
      <c r="J638" s="5"/>
      <c r="K638" s="5"/>
      <c r="L638" s="59"/>
    </row>
    <row r="639" customHeight="1" spans="6:12">
      <c r="F639" s="86">
        <v>45296</v>
      </c>
      <c r="G639" s="87">
        <v>21710.8</v>
      </c>
      <c r="H639" s="59"/>
      <c r="I639" s="5"/>
      <c r="J639" s="5"/>
      <c r="K639" s="5"/>
      <c r="L639" s="59"/>
    </row>
    <row r="640" customHeight="1" spans="6:12">
      <c r="F640" s="86">
        <v>45295</v>
      </c>
      <c r="G640" s="87">
        <v>21658.6</v>
      </c>
      <c r="H640" s="59"/>
      <c r="I640" s="5"/>
      <c r="J640" s="5"/>
      <c r="K640" s="5"/>
      <c r="L640" s="59"/>
    </row>
    <row r="641" customHeight="1" spans="6:12">
      <c r="F641" s="86">
        <v>45294</v>
      </c>
      <c r="G641" s="87">
        <v>21517.35</v>
      </c>
      <c r="H641" s="59"/>
      <c r="I641" s="5"/>
      <c r="J641" s="5"/>
      <c r="K641" s="5"/>
      <c r="L641" s="59"/>
    </row>
    <row r="642" customHeight="1" spans="6:12">
      <c r="F642" s="86">
        <v>45293</v>
      </c>
      <c r="G642" s="87">
        <v>21665.8</v>
      </c>
      <c r="H642" s="59"/>
      <c r="I642" s="5"/>
      <c r="J642" s="5"/>
      <c r="K642" s="5"/>
      <c r="L642" s="59"/>
    </row>
    <row r="643" customHeight="1" spans="6:12">
      <c r="F643" s="86">
        <v>45292</v>
      </c>
      <c r="G643" s="87">
        <v>21741.9</v>
      </c>
      <c r="H643" s="59"/>
      <c r="I643" s="5"/>
      <c r="J643" s="5"/>
      <c r="K643" s="5"/>
      <c r="L643" s="59"/>
    </row>
    <row r="644" customHeight="1" spans="6:12">
      <c r="F644" s="86">
        <v>45289</v>
      </c>
      <c r="G644" s="87">
        <v>21731.4</v>
      </c>
      <c r="H644" s="59"/>
      <c r="I644" s="5"/>
      <c r="J644" s="5"/>
      <c r="K644" s="5"/>
      <c r="L644" s="59"/>
    </row>
    <row r="645" customHeight="1" spans="6:12">
      <c r="F645" s="86">
        <v>45288</v>
      </c>
      <c r="G645" s="87">
        <v>21778.7</v>
      </c>
      <c r="H645" s="59"/>
      <c r="I645" s="5"/>
      <c r="J645" s="5"/>
      <c r="K645" s="5"/>
      <c r="L645" s="59"/>
    </row>
    <row r="646" customHeight="1" spans="6:12">
      <c r="F646" s="86">
        <v>45287</v>
      </c>
      <c r="G646" s="87">
        <v>21654.75</v>
      </c>
      <c r="H646" s="59"/>
      <c r="I646" s="5"/>
      <c r="J646" s="5"/>
      <c r="K646" s="5"/>
      <c r="L646" s="59"/>
    </row>
    <row r="647" customHeight="1" spans="6:12">
      <c r="F647" s="86">
        <v>45286</v>
      </c>
      <c r="G647" s="87">
        <v>21441.35</v>
      </c>
      <c r="H647" s="59"/>
      <c r="I647" s="5"/>
      <c r="J647" s="5"/>
      <c r="K647" s="5"/>
      <c r="L647" s="59"/>
    </row>
    <row r="648" customHeight="1" spans="6:12">
      <c r="F648" s="86">
        <v>45282</v>
      </c>
      <c r="G648" s="87">
        <v>21349.4</v>
      </c>
      <c r="H648" s="59"/>
      <c r="I648" s="5"/>
      <c r="J648" s="5"/>
      <c r="K648" s="5"/>
      <c r="L648" s="59"/>
    </row>
    <row r="649" customHeight="1" spans="6:12">
      <c r="F649" s="86">
        <v>45281</v>
      </c>
      <c r="G649" s="87">
        <v>21255.05</v>
      </c>
      <c r="H649" s="59"/>
      <c r="I649" s="5"/>
      <c r="J649" s="5"/>
      <c r="K649" s="5"/>
      <c r="L649" s="59"/>
    </row>
    <row r="650" customHeight="1" spans="6:12">
      <c r="F650" s="86">
        <v>45280</v>
      </c>
      <c r="G650" s="87">
        <v>21150.15</v>
      </c>
      <c r="H650" s="59"/>
      <c r="I650" s="5"/>
      <c r="J650" s="5"/>
      <c r="K650" s="5"/>
      <c r="L650" s="59"/>
    </row>
    <row r="651" customHeight="1" spans="6:12">
      <c r="F651" s="86">
        <v>45279</v>
      </c>
      <c r="G651" s="87">
        <v>21453.1</v>
      </c>
      <c r="H651" s="59"/>
      <c r="I651" s="5"/>
      <c r="J651" s="5"/>
      <c r="K651" s="5"/>
      <c r="L651" s="59"/>
    </row>
    <row r="652" customHeight="1" spans="6:12">
      <c r="F652" s="86">
        <v>45278</v>
      </c>
      <c r="G652" s="87">
        <v>21418.65</v>
      </c>
      <c r="H652" s="59"/>
      <c r="I652" s="5"/>
      <c r="J652" s="5"/>
      <c r="K652" s="5"/>
      <c r="L652" s="59"/>
    </row>
    <row r="653" customHeight="1" spans="6:12">
      <c r="F653" s="86">
        <v>45275</v>
      </c>
      <c r="G653" s="87">
        <v>21456.65</v>
      </c>
      <c r="H653" s="59"/>
      <c r="I653" s="5"/>
      <c r="J653" s="5"/>
      <c r="K653" s="5"/>
      <c r="L653" s="59"/>
    </row>
    <row r="654" customHeight="1" spans="6:12">
      <c r="F654" s="86">
        <v>45274</v>
      </c>
      <c r="G654" s="87">
        <v>21182.7</v>
      </c>
      <c r="H654" s="59"/>
      <c r="I654" s="5"/>
      <c r="J654" s="5"/>
      <c r="K654" s="5"/>
      <c r="L654" s="59"/>
    </row>
    <row r="655" customHeight="1" spans="6:12">
      <c r="F655" s="86">
        <v>45273</v>
      </c>
      <c r="G655" s="87">
        <v>20926.35</v>
      </c>
      <c r="H655" s="59"/>
      <c r="I655" s="5"/>
      <c r="J655" s="5"/>
      <c r="K655" s="5"/>
      <c r="L655" s="59"/>
    </row>
    <row r="656" customHeight="1" spans="6:12">
      <c r="F656" s="86">
        <v>45272</v>
      </c>
      <c r="G656" s="87">
        <v>20906.4</v>
      </c>
      <c r="H656" s="59"/>
      <c r="I656" s="5"/>
      <c r="J656" s="5"/>
      <c r="K656" s="5"/>
      <c r="L656" s="59"/>
    </row>
    <row r="657" customHeight="1" spans="6:12">
      <c r="F657" s="86">
        <v>45271</v>
      </c>
      <c r="G657" s="87">
        <v>20997.1</v>
      </c>
      <c r="H657" s="59"/>
      <c r="I657" s="5"/>
      <c r="J657" s="5"/>
      <c r="K657" s="5"/>
      <c r="L657" s="59"/>
    </row>
    <row r="658" customHeight="1" spans="6:12">
      <c r="F658" s="86">
        <v>45268</v>
      </c>
      <c r="G658" s="87">
        <v>20969.4</v>
      </c>
      <c r="H658" s="59"/>
      <c r="I658" s="5"/>
      <c r="J658" s="5"/>
      <c r="K658" s="5"/>
      <c r="L658" s="59"/>
    </row>
    <row r="659" customHeight="1" spans="6:12">
      <c r="F659" s="86">
        <v>45267</v>
      </c>
      <c r="G659" s="87">
        <v>20901.15</v>
      </c>
      <c r="H659" s="59"/>
      <c r="I659" s="5"/>
      <c r="J659" s="5"/>
      <c r="K659" s="5"/>
      <c r="L659" s="59"/>
    </row>
    <row r="660" customHeight="1" spans="6:12">
      <c r="F660" s="86">
        <v>45266</v>
      </c>
      <c r="G660" s="87">
        <v>20937.7</v>
      </c>
      <c r="H660" s="59"/>
      <c r="I660" s="5"/>
      <c r="J660" s="5"/>
      <c r="K660" s="5"/>
      <c r="L660" s="59"/>
    </row>
    <row r="661" customHeight="1" spans="6:12">
      <c r="F661" s="86">
        <v>45265</v>
      </c>
      <c r="G661" s="87">
        <v>20855.1</v>
      </c>
      <c r="H661" s="59"/>
      <c r="I661" s="5"/>
      <c r="J661" s="5"/>
      <c r="K661" s="5"/>
      <c r="L661" s="59"/>
    </row>
    <row r="662" customHeight="1" spans="6:12">
      <c r="F662" s="86">
        <v>45264</v>
      </c>
      <c r="G662" s="87">
        <v>20686.8</v>
      </c>
      <c r="H662" s="59"/>
      <c r="I662" s="5"/>
      <c r="J662" s="5"/>
      <c r="K662" s="5"/>
      <c r="L662" s="59"/>
    </row>
    <row r="663" customHeight="1" spans="6:12">
      <c r="F663" s="86">
        <v>45261</v>
      </c>
      <c r="G663" s="87">
        <v>20267.9</v>
      </c>
      <c r="H663" s="59"/>
      <c r="I663" s="5"/>
      <c r="J663" s="5"/>
      <c r="K663" s="5"/>
      <c r="L663" s="59"/>
    </row>
    <row r="664" customHeight="1" spans="6:12">
      <c r="F664" s="86">
        <v>45260</v>
      </c>
      <c r="G664" s="87">
        <v>20133.15</v>
      </c>
      <c r="H664" s="59"/>
      <c r="I664" s="5"/>
      <c r="J664" s="5"/>
      <c r="K664" s="5"/>
      <c r="L664" s="59"/>
    </row>
    <row r="665" customHeight="1" spans="6:12">
      <c r="F665" s="86">
        <v>45259</v>
      </c>
      <c r="G665" s="87">
        <v>20096.6</v>
      </c>
      <c r="H665" s="59"/>
      <c r="I665" s="5"/>
      <c r="J665" s="5"/>
      <c r="K665" s="5"/>
      <c r="L665" s="59"/>
    </row>
    <row r="666" customHeight="1" spans="6:12">
      <c r="F666" s="86">
        <v>45258</v>
      </c>
      <c r="G666" s="87">
        <v>19889.7</v>
      </c>
      <c r="H666" s="59"/>
      <c r="I666" s="5"/>
      <c r="J666" s="5"/>
      <c r="K666" s="5"/>
      <c r="L666" s="59"/>
    </row>
    <row r="667" customHeight="1" spans="6:12">
      <c r="F667" s="86">
        <v>45254</v>
      </c>
      <c r="G667" s="87">
        <v>19794.7</v>
      </c>
      <c r="H667" s="59"/>
      <c r="I667" s="5"/>
      <c r="J667" s="5"/>
      <c r="K667" s="5"/>
      <c r="L667" s="59"/>
    </row>
    <row r="668" customHeight="1" spans="6:12">
      <c r="F668" s="86">
        <v>45253</v>
      </c>
      <c r="G668" s="87">
        <v>19802</v>
      </c>
      <c r="H668" s="59"/>
      <c r="I668" s="5"/>
      <c r="J668" s="5"/>
      <c r="K668" s="5"/>
      <c r="L668" s="59"/>
    </row>
    <row r="669" customHeight="1" spans="6:12">
      <c r="F669" s="86">
        <v>45252</v>
      </c>
      <c r="G669" s="87">
        <v>19811.85</v>
      </c>
      <c r="H669" s="59"/>
      <c r="I669" s="5"/>
      <c r="J669" s="5"/>
      <c r="K669" s="5"/>
      <c r="L669" s="59"/>
    </row>
    <row r="670" customHeight="1" spans="6:12">
      <c r="F670" s="86">
        <v>45251</v>
      </c>
      <c r="G670" s="87">
        <v>19783.4</v>
      </c>
      <c r="H670" s="59"/>
      <c r="I670" s="5"/>
      <c r="J670" s="5"/>
      <c r="K670" s="5"/>
      <c r="L670" s="59"/>
    </row>
    <row r="671" customHeight="1" spans="6:12">
      <c r="F671" s="86">
        <v>45250</v>
      </c>
      <c r="G671" s="87">
        <v>19694</v>
      </c>
      <c r="H671" s="59"/>
      <c r="I671" s="5"/>
      <c r="J671" s="5"/>
      <c r="K671" s="5"/>
      <c r="L671" s="59"/>
    </row>
    <row r="672" customHeight="1" spans="6:12">
      <c r="F672" s="86">
        <v>45247</v>
      </c>
      <c r="G672" s="87">
        <v>19731.8</v>
      </c>
      <c r="H672" s="59"/>
      <c r="I672" s="5"/>
      <c r="J672" s="5"/>
      <c r="K672" s="5"/>
      <c r="L672" s="59"/>
    </row>
    <row r="673" customHeight="1" spans="6:12">
      <c r="F673" s="86">
        <v>45246</v>
      </c>
      <c r="G673" s="87">
        <v>19765.2</v>
      </c>
      <c r="H673" s="59"/>
      <c r="I673" s="5"/>
      <c r="J673" s="5"/>
      <c r="K673" s="5"/>
      <c r="L673" s="59"/>
    </row>
    <row r="674" customHeight="1" spans="6:12">
      <c r="F674" s="86">
        <v>45245</v>
      </c>
      <c r="G674" s="87">
        <v>19675.45</v>
      </c>
      <c r="H674" s="59"/>
      <c r="I674" s="5"/>
      <c r="J674" s="5"/>
      <c r="K674" s="5"/>
      <c r="L674" s="59"/>
    </row>
    <row r="675" customHeight="1" spans="6:12">
      <c r="F675" s="86">
        <v>45243</v>
      </c>
      <c r="G675" s="87">
        <v>19443.55</v>
      </c>
      <c r="H675" s="59"/>
      <c r="I675" s="5"/>
      <c r="J675" s="5"/>
      <c r="K675" s="5"/>
      <c r="L675" s="59"/>
    </row>
    <row r="676" customHeight="1" spans="6:12">
      <c r="F676" s="86">
        <v>45242</v>
      </c>
      <c r="G676" s="87">
        <v>19525.55</v>
      </c>
      <c r="H676" s="59"/>
      <c r="I676" s="5"/>
      <c r="J676" s="5"/>
      <c r="K676" s="5"/>
      <c r="L676" s="59"/>
    </row>
    <row r="677" customHeight="1" spans="6:12">
      <c r="F677" s="86">
        <v>45240</v>
      </c>
      <c r="G677" s="87">
        <v>19425.35</v>
      </c>
      <c r="H677" s="59"/>
      <c r="I677" s="5"/>
      <c r="J677" s="5"/>
      <c r="K677" s="5"/>
      <c r="L677" s="59"/>
    </row>
    <row r="678" customHeight="1" spans="6:12">
      <c r="F678" s="86">
        <v>45239</v>
      </c>
      <c r="G678" s="87">
        <v>19395.3</v>
      </c>
      <c r="H678" s="59"/>
      <c r="I678" s="5"/>
      <c r="J678" s="5"/>
      <c r="K678" s="5"/>
      <c r="L678" s="59"/>
    </row>
    <row r="679" customHeight="1" spans="6:12">
      <c r="F679" s="86">
        <v>45238</v>
      </c>
      <c r="G679" s="87">
        <v>19443.5</v>
      </c>
      <c r="H679" s="59"/>
      <c r="I679" s="5"/>
      <c r="J679" s="5"/>
      <c r="K679" s="5"/>
      <c r="L679" s="59"/>
    </row>
    <row r="680" customHeight="1" spans="6:12">
      <c r="F680" s="86">
        <v>45237</v>
      </c>
      <c r="G680" s="87">
        <v>19406.7</v>
      </c>
      <c r="H680" s="59"/>
      <c r="I680" s="5"/>
      <c r="J680" s="5"/>
      <c r="K680" s="5"/>
      <c r="L680" s="59"/>
    </row>
    <row r="681" customHeight="1" spans="6:12">
      <c r="F681" s="86">
        <v>45236</v>
      </c>
      <c r="G681" s="87">
        <v>19411.75</v>
      </c>
      <c r="H681" s="59"/>
      <c r="I681" s="5"/>
      <c r="J681" s="5"/>
      <c r="K681" s="5"/>
      <c r="L681" s="59"/>
    </row>
    <row r="682" customHeight="1" spans="6:12">
      <c r="F682" s="86">
        <v>45233</v>
      </c>
      <c r="G682" s="87">
        <v>19230.6</v>
      </c>
      <c r="H682" s="59"/>
      <c r="I682" s="5"/>
      <c r="J682" s="5"/>
      <c r="K682" s="5"/>
      <c r="L682" s="59"/>
    </row>
    <row r="683" customHeight="1" spans="6:12">
      <c r="F683" s="86">
        <v>45232</v>
      </c>
      <c r="G683" s="87">
        <v>19133.25</v>
      </c>
      <c r="H683" s="59"/>
      <c r="I683" s="5"/>
      <c r="J683" s="5"/>
      <c r="K683" s="5"/>
      <c r="L683" s="59"/>
    </row>
    <row r="684" customHeight="1" spans="6:12">
      <c r="F684" s="86">
        <v>45231</v>
      </c>
      <c r="G684" s="87">
        <v>18989.15</v>
      </c>
      <c r="H684" s="59"/>
      <c r="I684" s="5"/>
      <c r="J684" s="5"/>
      <c r="K684" s="5"/>
      <c r="L684" s="59"/>
    </row>
    <row r="685" customHeight="1" spans="6:12">
      <c r="F685" s="86">
        <v>45230</v>
      </c>
      <c r="G685" s="87">
        <v>19079.6</v>
      </c>
      <c r="H685" s="59"/>
      <c r="I685" s="5"/>
      <c r="J685" s="5"/>
      <c r="K685" s="5"/>
      <c r="L685" s="59"/>
    </row>
    <row r="686" customHeight="1" spans="6:12">
      <c r="F686" s="86">
        <v>45229</v>
      </c>
      <c r="G686" s="87">
        <v>19140.9</v>
      </c>
      <c r="H686" s="59"/>
      <c r="I686" s="5"/>
      <c r="J686" s="5"/>
      <c r="K686" s="5"/>
      <c r="L686" s="59"/>
    </row>
    <row r="687" customHeight="1" spans="6:12">
      <c r="F687" s="86">
        <v>45226</v>
      </c>
      <c r="G687" s="87">
        <v>19047.25</v>
      </c>
      <c r="H687" s="59"/>
      <c r="I687" s="5"/>
      <c r="J687" s="5"/>
      <c r="K687" s="5"/>
      <c r="L687" s="59"/>
    </row>
    <row r="688" customHeight="1" spans="6:12">
      <c r="F688" s="86">
        <v>45225</v>
      </c>
      <c r="G688" s="87">
        <v>18857.25</v>
      </c>
      <c r="H688" s="59"/>
      <c r="I688" s="5"/>
      <c r="J688" s="5"/>
      <c r="K688" s="5"/>
      <c r="L688" s="59"/>
    </row>
    <row r="689" customHeight="1" spans="6:12">
      <c r="F689" s="86">
        <v>45224</v>
      </c>
      <c r="G689" s="87">
        <v>19122.15</v>
      </c>
      <c r="H689" s="59"/>
      <c r="I689" s="5"/>
      <c r="J689" s="5"/>
      <c r="K689" s="5"/>
      <c r="L689" s="59"/>
    </row>
    <row r="690" customHeight="1" spans="6:12">
      <c r="F690" s="86">
        <v>45222</v>
      </c>
      <c r="G690" s="87">
        <v>19281.75</v>
      </c>
      <c r="H690" s="59"/>
      <c r="I690" s="5"/>
      <c r="J690" s="5"/>
      <c r="K690" s="5"/>
      <c r="L690" s="59"/>
    </row>
    <row r="691" customHeight="1" spans="6:12">
      <c r="F691" s="86">
        <v>45219</v>
      </c>
      <c r="G691" s="87">
        <v>19542.65</v>
      </c>
      <c r="H691" s="59"/>
      <c r="I691" s="5"/>
      <c r="J691" s="5"/>
      <c r="K691" s="5"/>
      <c r="L691" s="59"/>
    </row>
    <row r="692" customHeight="1" spans="6:12">
      <c r="F692" s="86">
        <v>45218</v>
      </c>
      <c r="G692" s="87">
        <v>19624.7</v>
      </c>
      <c r="H692" s="59"/>
      <c r="I692" s="5"/>
      <c r="J692" s="5"/>
      <c r="K692" s="5"/>
      <c r="L692" s="59"/>
    </row>
    <row r="693" customHeight="1" spans="6:12">
      <c r="F693" s="86">
        <v>45217</v>
      </c>
      <c r="G693" s="87">
        <v>19671.1</v>
      </c>
      <c r="H693" s="59"/>
      <c r="I693" s="5"/>
      <c r="J693" s="5"/>
      <c r="K693" s="5"/>
      <c r="L693" s="59"/>
    </row>
    <row r="694" customHeight="1" spans="6:12">
      <c r="F694" s="86">
        <v>45216</v>
      </c>
      <c r="G694" s="87">
        <v>19811.5</v>
      </c>
      <c r="H694" s="59"/>
      <c r="I694" s="5"/>
      <c r="J694" s="5"/>
      <c r="K694" s="5"/>
      <c r="L694" s="59"/>
    </row>
    <row r="695" customHeight="1" spans="6:12">
      <c r="F695" s="86">
        <v>45215</v>
      </c>
      <c r="G695" s="87">
        <v>19731.75</v>
      </c>
      <c r="H695" s="59"/>
      <c r="I695" s="5"/>
      <c r="J695" s="5"/>
      <c r="K695" s="5"/>
      <c r="L695" s="59"/>
    </row>
    <row r="696" customHeight="1" spans="6:12">
      <c r="F696" s="86">
        <v>45212</v>
      </c>
      <c r="G696" s="87">
        <v>19751.05</v>
      </c>
      <c r="H696" s="59"/>
      <c r="I696" s="5"/>
      <c r="J696" s="5"/>
      <c r="K696" s="5"/>
      <c r="L696" s="59"/>
    </row>
    <row r="697" customHeight="1" spans="6:12">
      <c r="F697" s="86">
        <v>45211</v>
      </c>
      <c r="G697" s="87">
        <v>19794</v>
      </c>
      <c r="H697" s="59"/>
      <c r="I697" s="5"/>
      <c r="J697" s="5"/>
      <c r="K697" s="5"/>
      <c r="L697" s="59"/>
    </row>
    <row r="698" customHeight="1" spans="6:12">
      <c r="F698" s="86">
        <v>45210</v>
      </c>
      <c r="G698" s="87">
        <v>19811.35</v>
      </c>
      <c r="H698" s="59"/>
      <c r="I698" s="5"/>
      <c r="J698" s="5"/>
      <c r="K698" s="5"/>
      <c r="L698" s="59"/>
    </row>
    <row r="699" customHeight="1" spans="6:12">
      <c r="F699" s="86">
        <v>45209</v>
      </c>
      <c r="G699" s="87">
        <v>19689.85</v>
      </c>
      <c r="H699" s="59"/>
      <c r="I699" s="5"/>
      <c r="J699" s="5"/>
      <c r="K699" s="5"/>
      <c r="L699" s="59"/>
    </row>
    <row r="700" customHeight="1" spans="6:12">
      <c r="F700" s="86">
        <v>45208</v>
      </c>
      <c r="G700" s="87">
        <v>19512.35</v>
      </c>
      <c r="H700" s="59"/>
      <c r="I700" s="5"/>
      <c r="J700" s="5"/>
      <c r="K700" s="5"/>
      <c r="L700" s="59"/>
    </row>
    <row r="701" customHeight="1" spans="6:12">
      <c r="F701" s="86">
        <v>45205</v>
      </c>
      <c r="G701" s="87">
        <v>19653.5</v>
      </c>
      <c r="H701" s="59"/>
      <c r="I701" s="5"/>
      <c r="J701" s="5"/>
      <c r="K701" s="5"/>
      <c r="L701" s="59"/>
    </row>
    <row r="702" customHeight="1" spans="6:12">
      <c r="F702" s="86">
        <v>45204</v>
      </c>
      <c r="G702" s="87">
        <v>19545.75</v>
      </c>
      <c r="H702" s="59"/>
      <c r="I702" s="5"/>
      <c r="J702" s="5"/>
      <c r="K702" s="5"/>
      <c r="L702" s="59"/>
    </row>
    <row r="703" customHeight="1" spans="6:12">
      <c r="F703" s="86">
        <v>45203</v>
      </c>
      <c r="G703" s="87">
        <v>19436.1</v>
      </c>
      <c r="H703" s="59"/>
      <c r="I703" s="5"/>
      <c r="J703" s="5"/>
      <c r="K703" s="5"/>
      <c r="L703" s="59"/>
    </row>
    <row r="704" customHeight="1" spans="6:12">
      <c r="F704" s="86">
        <v>45202</v>
      </c>
      <c r="G704" s="87">
        <v>19528.75</v>
      </c>
      <c r="H704" s="59"/>
      <c r="I704" s="5"/>
      <c r="J704" s="5"/>
      <c r="K704" s="5"/>
      <c r="L704" s="59"/>
    </row>
    <row r="705" customHeight="1" spans="6:12">
      <c r="F705" s="86">
        <v>45198</v>
      </c>
      <c r="G705" s="87">
        <v>19638.3</v>
      </c>
      <c r="H705" s="59"/>
      <c r="I705" s="5"/>
      <c r="J705" s="5"/>
      <c r="K705" s="5"/>
      <c r="L705" s="59"/>
    </row>
    <row r="706" customHeight="1" spans="6:12">
      <c r="F706" s="86">
        <v>45197</v>
      </c>
      <c r="G706" s="87">
        <v>19523.55</v>
      </c>
      <c r="H706" s="59"/>
      <c r="I706" s="5"/>
      <c r="J706" s="5"/>
      <c r="K706" s="5"/>
      <c r="L706" s="59"/>
    </row>
    <row r="707" customHeight="1" spans="6:12">
      <c r="F707" s="86">
        <v>45196</v>
      </c>
      <c r="G707" s="87">
        <v>19716.45</v>
      </c>
      <c r="H707" s="59"/>
      <c r="I707" s="5"/>
      <c r="J707" s="5"/>
      <c r="K707" s="5"/>
      <c r="L707" s="59"/>
    </row>
    <row r="708" customHeight="1" spans="6:12">
      <c r="F708" s="86">
        <v>45195</v>
      </c>
      <c r="G708" s="87">
        <v>19664.7</v>
      </c>
      <c r="H708" s="59"/>
      <c r="I708" s="5"/>
      <c r="J708" s="5"/>
      <c r="K708" s="5"/>
      <c r="L708" s="59"/>
    </row>
    <row r="709" customHeight="1" spans="6:12">
      <c r="F709" s="86">
        <v>45194</v>
      </c>
      <c r="G709" s="87">
        <v>19674.55</v>
      </c>
      <c r="H709" s="59"/>
      <c r="I709" s="5"/>
      <c r="J709" s="5"/>
      <c r="K709" s="5"/>
      <c r="L709" s="59"/>
    </row>
    <row r="710" customHeight="1" spans="6:12">
      <c r="F710" s="86">
        <v>45191</v>
      </c>
      <c r="G710" s="87">
        <v>19674.25</v>
      </c>
      <c r="H710" s="59"/>
      <c r="I710" s="5"/>
      <c r="J710" s="5"/>
      <c r="K710" s="5"/>
      <c r="L710" s="59"/>
    </row>
    <row r="711" customHeight="1" spans="6:12">
      <c r="F711" s="86">
        <v>45190</v>
      </c>
      <c r="G711" s="87">
        <v>19742.35</v>
      </c>
      <c r="H711" s="59"/>
      <c r="I711" s="5"/>
      <c r="J711" s="5"/>
      <c r="K711" s="5"/>
      <c r="L711" s="59"/>
    </row>
    <row r="712" customHeight="1" spans="6:12">
      <c r="F712" s="86">
        <v>45189</v>
      </c>
      <c r="G712" s="87">
        <v>19901.4</v>
      </c>
      <c r="H712" s="59"/>
      <c r="I712" s="5"/>
      <c r="J712" s="5"/>
      <c r="K712" s="5"/>
      <c r="L712" s="59"/>
    </row>
    <row r="713" customHeight="1" spans="6:12">
      <c r="F713" s="86">
        <v>45187</v>
      </c>
      <c r="G713" s="87">
        <v>20133.3</v>
      </c>
      <c r="H713" s="59"/>
      <c r="I713" s="5"/>
      <c r="J713" s="5"/>
      <c r="K713" s="5"/>
      <c r="L713" s="59"/>
    </row>
    <row r="714" customHeight="1" spans="6:12">
      <c r="F714" s="86">
        <v>45184</v>
      </c>
      <c r="G714" s="87">
        <v>20192.35</v>
      </c>
      <c r="H714" s="59"/>
      <c r="I714" s="5"/>
      <c r="J714" s="5"/>
      <c r="K714" s="5"/>
      <c r="L714" s="59"/>
    </row>
    <row r="715" customHeight="1" spans="6:12">
      <c r="F715" s="86">
        <v>45183</v>
      </c>
      <c r="G715" s="87">
        <v>20103.1</v>
      </c>
      <c r="H715" s="59"/>
      <c r="I715" s="5"/>
      <c r="J715" s="5"/>
      <c r="K715" s="5"/>
      <c r="L715" s="59"/>
    </row>
    <row r="716" customHeight="1" spans="6:12">
      <c r="F716" s="86">
        <v>45182</v>
      </c>
      <c r="G716" s="87">
        <v>20070</v>
      </c>
      <c r="H716" s="59"/>
      <c r="I716" s="5"/>
      <c r="J716" s="5"/>
      <c r="K716" s="5"/>
      <c r="L716" s="59"/>
    </row>
    <row r="717" customHeight="1" spans="6:12">
      <c r="F717" s="86">
        <v>45181</v>
      </c>
      <c r="G717" s="87">
        <v>19993.2</v>
      </c>
      <c r="H717" s="59"/>
      <c r="I717" s="5"/>
      <c r="J717" s="5"/>
      <c r="K717" s="5"/>
      <c r="L717" s="59"/>
    </row>
    <row r="718" customHeight="1" spans="6:12">
      <c r="F718" s="86">
        <v>45180</v>
      </c>
      <c r="G718" s="87">
        <v>19996.35</v>
      </c>
      <c r="H718" s="59"/>
      <c r="I718" s="5"/>
      <c r="J718" s="5"/>
      <c r="K718" s="5"/>
      <c r="L718" s="59"/>
    </row>
    <row r="719" customHeight="1" spans="6:12">
      <c r="F719" s="86">
        <v>45177</v>
      </c>
      <c r="G719" s="87">
        <v>19819.95</v>
      </c>
      <c r="H719" s="59"/>
      <c r="I719" s="5"/>
      <c r="J719" s="5"/>
      <c r="K719" s="5"/>
      <c r="L719" s="59"/>
    </row>
    <row r="720" customHeight="1" spans="6:12">
      <c r="F720" s="86">
        <v>45176</v>
      </c>
      <c r="G720" s="87">
        <v>19727.05</v>
      </c>
      <c r="H720" s="59"/>
      <c r="I720" s="5"/>
      <c r="J720" s="5"/>
      <c r="K720" s="5"/>
      <c r="L720" s="59"/>
    </row>
    <row r="721" customHeight="1" spans="6:12">
      <c r="F721" s="86">
        <v>45175</v>
      </c>
      <c r="G721" s="87">
        <v>19611.05</v>
      </c>
      <c r="H721" s="59"/>
      <c r="I721" s="5"/>
      <c r="J721" s="5"/>
      <c r="K721" s="5"/>
      <c r="L721" s="59"/>
    </row>
    <row r="722" customHeight="1" spans="6:12">
      <c r="F722" s="86">
        <v>45174</v>
      </c>
      <c r="G722" s="87">
        <v>19574.9</v>
      </c>
      <c r="H722" s="59"/>
      <c r="I722" s="5"/>
      <c r="J722" s="5"/>
      <c r="K722" s="5"/>
      <c r="L722" s="59"/>
    </row>
    <row r="723" customHeight="1" spans="6:12">
      <c r="F723" s="86">
        <v>45173</v>
      </c>
      <c r="G723" s="87">
        <v>19528.8</v>
      </c>
      <c r="H723" s="59"/>
      <c r="I723" s="5"/>
      <c r="J723" s="5"/>
      <c r="K723" s="5"/>
      <c r="L723" s="59"/>
    </row>
    <row r="724" customHeight="1" spans="6:12">
      <c r="F724" s="86">
        <v>45170</v>
      </c>
      <c r="G724" s="87">
        <v>19435.3</v>
      </c>
      <c r="H724" s="59"/>
      <c r="I724" s="5"/>
      <c r="J724" s="5"/>
      <c r="K724" s="5"/>
      <c r="L724" s="59"/>
    </row>
    <row r="725" customHeight="1" spans="6:12">
      <c r="F725" s="86">
        <v>45169</v>
      </c>
      <c r="G725" s="87">
        <v>19253.8</v>
      </c>
      <c r="H725" s="59"/>
      <c r="I725" s="5"/>
      <c r="J725" s="5"/>
      <c r="K725" s="5"/>
      <c r="L725" s="59"/>
    </row>
    <row r="726" customHeight="1" spans="6:12">
      <c r="F726" s="86">
        <v>45168</v>
      </c>
      <c r="G726" s="87">
        <v>19347.45</v>
      </c>
      <c r="H726" s="59"/>
      <c r="I726" s="5"/>
      <c r="J726" s="5"/>
      <c r="K726" s="5"/>
      <c r="L726" s="59"/>
    </row>
    <row r="727" customHeight="1" spans="6:12">
      <c r="F727" s="86">
        <v>45167</v>
      </c>
      <c r="G727" s="87">
        <v>19342.65</v>
      </c>
      <c r="H727" s="59"/>
      <c r="I727" s="5"/>
      <c r="J727" s="5"/>
      <c r="K727" s="5"/>
      <c r="L727" s="59"/>
    </row>
    <row r="728" customHeight="1" spans="6:12">
      <c r="F728" s="86">
        <v>45166</v>
      </c>
      <c r="G728" s="87">
        <v>19306.05</v>
      </c>
      <c r="H728" s="59"/>
      <c r="I728" s="5"/>
      <c r="J728" s="5"/>
      <c r="K728" s="5"/>
      <c r="L728" s="59"/>
    </row>
    <row r="729" customHeight="1" spans="6:12">
      <c r="F729" s="86">
        <v>45163</v>
      </c>
      <c r="G729" s="87">
        <v>19265.8</v>
      </c>
      <c r="H729" s="59"/>
      <c r="I729" s="5"/>
      <c r="J729" s="5"/>
      <c r="K729" s="5"/>
      <c r="L729" s="59"/>
    </row>
    <row r="730" customHeight="1" spans="6:12">
      <c r="F730" s="86">
        <v>45162</v>
      </c>
      <c r="G730" s="87">
        <v>19386.7</v>
      </c>
      <c r="H730" s="59"/>
      <c r="I730" s="5"/>
      <c r="J730" s="5"/>
      <c r="K730" s="5"/>
      <c r="L730" s="59"/>
    </row>
    <row r="731" customHeight="1" spans="6:12">
      <c r="F731" s="86">
        <v>45161</v>
      </c>
      <c r="G731" s="87">
        <v>19444</v>
      </c>
      <c r="H731" s="59"/>
      <c r="I731" s="5"/>
      <c r="J731" s="5"/>
      <c r="K731" s="5"/>
      <c r="L731" s="59"/>
    </row>
    <row r="732" customHeight="1" spans="6:12">
      <c r="F732" s="86">
        <v>45160</v>
      </c>
      <c r="G732" s="87">
        <v>19396.45</v>
      </c>
      <c r="H732" s="59"/>
      <c r="I732" s="5"/>
      <c r="J732" s="5"/>
      <c r="K732" s="5"/>
      <c r="L732" s="59"/>
    </row>
    <row r="733" customHeight="1" spans="6:12">
      <c r="F733" s="86">
        <v>45159</v>
      </c>
      <c r="G733" s="87">
        <v>19393.6</v>
      </c>
      <c r="H733" s="59"/>
      <c r="I733" s="5"/>
      <c r="J733" s="5"/>
      <c r="K733" s="5"/>
      <c r="L733" s="59"/>
    </row>
    <row r="734" customHeight="1" spans="6:12">
      <c r="F734" s="86">
        <v>45156</v>
      </c>
      <c r="G734" s="87">
        <v>19310.15</v>
      </c>
      <c r="H734" s="59"/>
      <c r="I734" s="5"/>
      <c r="J734" s="5"/>
      <c r="K734" s="5"/>
      <c r="L734" s="59"/>
    </row>
    <row r="735" customHeight="1" spans="6:12">
      <c r="F735" s="86">
        <v>45155</v>
      </c>
      <c r="G735" s="87">
        <v>19365.25</v>
      </c>
      <c r="H735" s="59"/>
      <c r="I735" s="5"/>
      <c r="J735" s="5"/>
      <c r="K735" s="5"/>
      <c r="L735" s="59"/>
    </row>
    <row r="736" customHeight="1" spans="6:12">
      <c r="F736" s="86">
        <v>45154</v>
      </c>
      <c r="G736" s="87">
        <v>19465</v>
      </c>
      <c r="H736" s="59"/>
      <c r="I736" s="5"/>
      <c r="J736" s="5"/>
      <c r="K736" s="5"/>
      <c r="L736" s="59"/>
    </row>
    <row r="737" customHeight="1" spans="6:12">
      <c r="F737" s="86">
        <v>45152</v>
      </c>
      <c r="G737" s="87">
        <v>19434.55</v>
      </c>
      <c r="H737" s="59"/>
      <c r="I737" s="5"/>
      <c r="J737" s="5"/>
      <c r="K737" s="5"/>
      <c r="L737" s="59"/>
    </row>
    <row r="738" customHeight="1" spans="6:12">
      <c r="F738" s="86">
        <v>45149</v>
      </c>
      <c r="G738" s="87">
        <v>19428.3</v>
      </c>
      <c r="H738" s="59"/>
      <c r="I738" s="5"/>
      <c r="J738" s="5"/>
      <c r="K738" s="5"/>
      <c r="L738" s="59"/>
    </row>
    <row r="739" customHeight="1" spans="6:12">
      <c r="F739" s="86">
        <v>45148</v>
      </c>
      <c r="G739" s="87">
        <v>19543.1</v>
      </c>
      <c r="H739" s="59"/>
      <c r="I739" s="5"/>
      <c r="J739" s="5"/>
      <c r="K739" s="5"/>
      <c r="L739" s="59"/>
    </row>
    <row r="740" customHeight="1" spans="6:12">
      <c r="F740" s="86">
        <v>45147</v>
      </c>
      <c r="G740" s="87">
        <v>19632.55</v>
      </c>
      <c r="H740" s="59"/>
      <c r="I740" s="5"/>
      <c r="J740" s="5"/>
      <c r="K740" s="5"/>
      <c r="L740" s="59"/>
    </row>
    <row r="741" customHeight="1" spans="6:12">
      <c r="F741" s="86">
        <v>45146</v>
      </c>
      <c r="G741" s="87">
        <v>19570.85</v>
      </c>
      <c r="H741" s="59"/>
      <c r="I741" s="5"/>
      <c r="J741" s="5"/>
      <c r="K741" s="5"/>
      <c r="L741" s="59"/>
    </row>
    <row r="742" customHeight="1" spans="6:12">
      <c r="F742" s="86">
        <v>45145</v>
      </c>
      <c r="G742" s="87">
        <v>19597.3</v>
      </c>
      <c r="H742" s="59"/>
      <c r="I742" s="5"/>
      <c r="J742" s="5"/>
      <c r="K742" s="5"/>
      <c r="L742" s="59"/>
    </row>
    <row r="743" customHeight="1" spans="6:12">
      <c r="F743" s="86">
        <v>45142</v>
      </c>
      <c r="G743" s="87">
        <v>19517</v>
      </c>
      <c r="H743" s="59"/>
      <c r="I743" s="5"/>
      <c r="J743" s="5"/>
      <c r="K743" s="5"/>
      <c r="L743" s="59"/>
    </row>
    <row r="744" customHeight="1" spans="6:12">
      <c r="F744" s="86">
        <v>45141</v>
      </c>
      <c r="G744" s="87">
        <v>19381.65</v>
      </c>
      <c r="H744" s="59"/>
      <c r="I744" s="5"/>
      <c r="J744" s="5"/>
      <c r="K744" s="5"/>
      <c r="L744" s="59"/>
    </row>
    <row r="745" customHeight="1" spans="6:12">
      <c r="F745" s="86">
        <v>45140</v>
      </c>
      <c r="G745" s="87">
        <v>19526.55</v>
      </c>
      <c r="H745" s="59"/>
      <c r="I745" s="5"/>
      <c r="J745" s="5"/>
      <c r="K745" s="5"/>
      <c r="L745" s="59"/>
    </row>
    <row r="746" customHeight="1" spans="6:12">
      <c r="F746" s="86">
        <v>45139</v>
      </c>
      <c r="G746" s="87">
        <v>19733.55</v>
      </c>
      <c r="H746" s="59"/>
      <c r="I746" s="5"/>
      <c r="J746" s="5"/>
      <c r="K746" s="5"/>
      <c r="L746" s="59"/>
    </row>
    <row r="747" customHeight="1" spans="6:12">
      <c r="F747" s="86">
        <v>45138</v>
      </c>
      <c r="G747" s="87">
        <v>19753.8</v>
      </c>
      <c r="H747" s="59"/>
      <c r="I747" s="5"/>
      <c r="J747" s="5"/>
      <c r="K747" s="5"/>
      <c r="L747" s="59"/>
    </row>
    <row r="748" customHeight="1" spans="6:12">
      <c r="F748" s="86">
        <v>45135</v>
      </c>
      <c r="G748" s="87">
        <v>19646.05</v>
      </c>
      <c r="H748" s="59"/>
      <c r="I748" s="5"/>
      <c r="J748" s="5"/>
      <c r="K748" s="5"/>
      <c r="L748" s="59"/>
    </row>
    <row r="749" customHeight="1" spans="6:12">
      <c r="F749" s="86">
        <v>45134</v>
      </c>
      <c r="G749" s="87">
        <v>19659.9</v>
      </c>
      <c r="H749" s="59"/>
      <c r="I749" s="5"/>
      <c r="J749" s="5"/>
      <c r="K749" s="5"/>
      <c r="L749" s="59"/>
    </row>
    <row r="750" customHeight="1" spans="6:12">
      <c r="F750" s="86">
        <v>45133</v>
      </c>
      <c r="G750" s="87">
        <v>19778.3</v>
      </c>
      <c r="H750" s="59"/>
      <c r="I750" s="5"/>
      <c r="J750" s="5"/>
      <c r="K750" s="5"/>
      <c r="L750" s="59"/>
    </row>
    <row r="751" customHeight="1" spans="6:12">
      <c r="F751" s="86">
        <v>45132</v>
      </c>
      <c r="G751" s="87">
        <v>19680.6</v>
      </c>
      <c r="H751" s="59"/>
      <c r="I751" s="5"/>
      <c r="J751" s="5"/>
      <c r="K751" s="5"/>
      <c r="L751" s="59"/>
    </row>
    <row r="752" customHeight="1" spans="6:12">
      <c r="F752" s="86">
        <v>45131</v>
      </c>
      <c r="G752" s="87">
        <v>19672.35</v>
      </c>
      <c r="H752" s="59"/>
      <c r="I752" s="5"/>
      <c r="J752" s="5"/>
      <c r="K752" s="5"/>
      <c r="L752" s="59"/>
    </row>
    <row r="753" customHeight="1" spans="6:12">
      <c r="F753" s="86">
        <v>45128</v>
      </c>
      <c r="G753" s="87">
        <v>19745</v>
      </c>
      <c r="H753" s="59"/>
      <c r="I753" s="5"/>
      <c r="J753" s="5"/>
      <c r="K753" s="5"/>
      <c r="L753" s="59"/>
    </row>
    <row r="754" customHeight="1" spans="6:12">
      <c r="F754" s="86">
        <v>45127</v>
      </c>
      <c r="G754" s="87">
        <v>19979.15</v>
      </c>
      <c r="H754" s="59"/>
      <c r="I754" s="5"/>
      <c r="J754" s="5"/>
      <c r="K754" s="5"/>
      <c r="L754" s="59"/>
    </row>
    <row r="755" customHeight="1" spans="6:12">
      <c r="F755" s="86">
        <v>45126</v>
      </c>
      <c r="G755" s="87">
        <v>19833.15</v>
      </c>
      <c r="H755" s="59"/>
      <c r="I755" s="5"/>
      <c r="J755" s="5"/>
      <c r="K755" s="5"/>
      <c r="L755" s="59"/>
    </row>
    <row r="756" customHeight="1" spans="6:12">
      <c r="F756" s="86">
        <v>45125</v>
      </c>
      <c r="G756" s="87">
        <v>19749.25</v>
      </c>
      <c r="H756" s="59"/>
      <c r="I756" s="5"/>
      <c r="J756" s="5"/>
      <c r="K756" s="5"/>
      <c r="L756" s="59"/>
    </row>
    <row r="757" customHeight="1" spans="6:12">
      <c r="F757" s="86">
        <v>45124</v>
      </c>
      <c r="G757" s="87">
        <v>19711.45</v>
      </c>
      <c r="H757" s="59"/>
      <c r="I757" s="5"/>
      <c r="J757" s="5"/>
      <c r="K757" s="5"/>
      <c r="L757" s="59"/>
    </row>
    <row r="758" customHeight="1" spans="6:12">
      <c r="F758" s="86">
        <v>45121</v>
      </c>
      <c r="G758" s="87">
        <v>19564.5</v>
      </c>
      <c r="H758" s="59"/>
      <c r="I758" s="5"/>
      <c r="J758" s="5"/>
      <c r="K758" s="5"/>
      <c r="L758" s="59"/>
    </row>
    <row r="759" customHeight="1" spans="6:12">
      <c r="F759" s="86">
        <v>45120</v>
      </c>
      <c r="G759" s="87">
        <v>19413.75</v>
      </c>
      <c r="H759" s="59"/>
      <c r="I759" s="5"/>
      <c r="J759" s="5"/>
      <c r="K759" s="5"/>
      <c r="L759" s="59"/>
    </row>
    <row r="760" customHeight="1" spans="6:12">
      <c r="F760" s="86">
        <v>45119</v>
      </c>
      <c r="G760" s="87">
        <v>19384.3</v>
      </c>
      <c r="H760" s="59"/>
      <c r="I760" s="5"/>
      <c r="J760" s="5"/>
      <c r="K760" s="5"/>
      <c r="L760" s="59"/>
    </row>
    <row r="761" customHeight="1" spans="6:12">
      <c r="F761" s="86">
        <v>45118</v>
      </c>
      <c r="G761" s="87">
        <v>19439.4</v>
      </c>
      <c r="H761" s="59"/>
      <c r="I761" s="5"/>
      <c r="J761" s="5"/>
      <c r="K761" s="5"/>
      <c r="L761" s="59"/>
    </row>
    <row r="762" customHeight="1" spans="6:12">
      <c r="F762" s="86">
        <v>45117</v>
      </c>
      <c r="G762" s="87">
        <v>19355.9</v>
      </c>
      <c r="H762" s="59"/>
      <c r="I762" s="5"/>
      <c r="J762" s="5"/>
      <c r="K762" s="5"/>
      <c r="L762" s="59"/>
    </row>
    <row r="763" customHeight="1" spans="6:12">
      <c r="F763" s="86">
        <v>45114</v>
      </c>
      <c r="G763" s="87">
        <v>19331.8</v>
      </c>
      <c r="H763" s="59"/>
      <c r="I763" s="5"/>
      <c r="J763" s="5"/>
      <c r="K763" s="5"/>
      <c r="L763" s="59"/>
    </row>
    <row r="764" customHeight="1" spans="6:12">
      <c r="F764" s="86">
        <v>45113</v>
      </c>
      <c r="G764" s="87">
        <v>19497.3</v>
      </c>
      <c r="H764" s="59"/>
      <c r="I764" s="5"/>
      <c r="J764" s="5"/>
      <c r="K764" s="5"/>
      <c r="L764" s="59"/>
    </row>
    <row r="765" customHeight="1" spans="6:12">
      <c r="F765" s="86">
        <v>45112</v>
      </c>
      <c r="G765" s="87">
        <v>19398.5</v>
      </c>
      <c r="H765" s="59"/>
      <c r="I765" s="5"/>
      <c r="J765" s="5"/>
      <c r="K765" s="5"/>
      <c r="L765" s="59"/>
    </row>
    <row r="766" customHeight="1" spans="6:12">
      <c r="F766" s="86">
        <v>45111</v>
      </c>
      <c r="G766" s="87">
        <v>19389</v>
      </c>
      <c r="H766" s="59"/>
      <c r="I766" s="5"/>
      <c r="J766" s="5"/>
      <c r="K766" s="5"/>
      <c r="L766" s="59"/>
    </row>
    <row r="767" customHeight="1" spans="6:12">
      <c r="F767" s="86">
        <v>45110</v>
      </c>
      <c r="G767" s="87">
        <v>19322.55</v>
      </c>
      <c r="H767" s="59"/>
      <c r="I767" s="5"/>
      <c r="J767" s="5"/>
      <c r="K767" s="5"/>
      <c r="L767" s="59"/>
    </row>
    <row r="768" customHeight="1" spans="6:12">
      <c r="F768" s="86">
        <v>45107</v>
      </c>
      <c r="G768" s="87">
        <v>19189.05</v>
      </c>
      <c r="H768" s="59"/>
      <c r="I768" s="5"/>
      <c r="J768" s="5"/>
      <c r="K768" s="5"/>
      <c r="L768" s="59"/>
    </row>
    <row r="769" customHeight="1" spans="6:12">
      <c r="F769" s="86">
        <v>45105</v>
      </c>
      <c r="G769" s="87">
        <v>18972.1</v>
      </c>
      <c r="H769" s="59"/>
      <c r="I769" s="5"/>
      <c r="J769" s="5"/>
      <c r="K769" s="5"/>
      <c r="L769" s="59"/>
    </row>
    <row r="770" customHeight="1" spans="6:12">
      <c r="F770" s="86">
        <v>45104</v>
      </c>
      <c r="G770" s="87">
        <v>18817.4</v>
      </c>
      <c r="H770" s="59"/>
      <c r="I770" s="5"/>
      <c r="J770" s="5"/>
      <c r="K770" s="5"/>
      <c r="L770" s="59"/>
    </row>
    <row r="771" customHeight="1" spans="6:12">
      <c r="F771" s="86">
        <v>45103</v>
      </c>
      <c r="G771" s="87">
        <v>18691.2</v>
      </c>
      <c r="H771" s="59"/>
      <c r="I771" s="5"/>
      <c r="J771" s="5"/>
      <c r="K771" s="5"/>
      <c r="L771" s="59"/>
    </row>
    <row r="772" customHeight="1" spans="6:12">
      <c r="F772" s="86">
        <v>45100</v>
      </c>
      <c r="G772" s="87">
        <v>18665.5</v>
      </c>
      <c r="H772" s="59"/>
      <c r="I772" s="5"/>
      <c r="J772" s="5"/>
      <c r="K772" s="5"/>
      <c r="L772" s="59"/>
    </row>
    <row r="773" customHeight="1" spans="6:12">
      <c r="F773" s="86">
        <v>45099</v>
      </c>
      <c r="G773" s="87">
        <v>18771.25</v>
      </c>
      <c r="H773" s="59"/>
      <c r="I773" s="5"/>
      <c r="J773" s="5"/>
      <c r="K773" s="5"/>
      <c r="L773" s="59"/>
    </row>
    <row r="774" customHeight="1" spans="6:12">
      <c r="F774" s="86">
        <v>45098</v>
      </c>
      <c r="G774" s="87">
        <v>18856.85</v>
      </c>
      <c r="H774" s="59"/>
      <c r="I774" s="5"/>
      <c r="J774" s="5"/>
      <c r="K774" s="5"/>
      <c r="L774" s="59"/>
    </row>
    <row r="775" customHeight="1" spans="6:12">
      <c r="F775" s="86">
        <v>45097</v>
      </c>
      <c r="G775" s="87">
        <v>18816.7</v>
      </c>
      <c r="H775" s="59"/>
      <c r="I775" s="5"/>
      <c r="J775" s="5"/>
      <c r="K775" s="5"/>
      <c r="L775" s="59"/>
    </row>
    <row r="776" customHeight="1" spans="6:12">
      <c r="F776" s="86">
        <v>45096</v>
      </c>
      <c r="G776" s="87">
        <v>18755.45</v>
      </c>
      <c r="H776" s="59"/>
      <c r="I776" s="5"/>
      <c r="J776" s="5"/>
      <c r="K776" s="5"/>
      <c r="L776" s="59"/>
    </row>
    <row r="777" customHeight="1" spans="6:12">
      <c r="F777" s="86">
        <v>45093</v>
      </c>
      <c r="G777" s="87">
        <v>18826</v>
      </c>
      <c r="H777" s="59"/>
      <c r="I777" s="5"/>
      <c r="J777" s="5"/>
      <c r="K777" s="5"/>
      <c r="L777" s="59"/>
    </row>
    <row r="778" customHeight="1" spans="6:12">
      <c r="F778" s="86">
        <v>45092</v>
      </c>
      <c r="G778" s="87">
        <v>18688.1</v>
      </c>
      <c r="H778" s="59"/>
      <c r="I778" s="5"/>
      <c r="J778" s="5"/>
      <c r="K778" s="5"/>
      <c r="L778" s="59"/>
    </row>
    <row r="779" customHeight="1" spans="6:12">
      <c r="F779" s="86">
        <v>45091</v>
      </c>
      <c r="G779" s="87">
        <v>18755.9</v>
      </c>
      <c r="H779" s="59"/>
      <c r="I779" s="5"/>
      <c r="J779" s="5"/>
      <c r="K779" s="5"/>
      <c r="L779" s="59"/>
    </row>
    <row r="780" customHeight="1" spans="6:12">
      <c r="F780" s="86">
        <v>45090</v>
      </c>
      <c r="G780" s="87">
        <v>18716.15</v>
      </c>
      <c r="H780" s="59"/>
      <c r="I780" s="5"/>
      <c r="J780" s="5"/>
      <c r="K780" s="5"/>
      <c r="L780" s="59"/>
    </row>
    <row r="781" customHeight="1" spans="6:12">
      <c r="F781" s="86">
        <v>45089</v>
      </c>
      <c r="G781" s="87">
        <v>18601.5</v>
      </c>
      <c r="H781" s="59"/>
      <c r="I781" s="5"/>
      <c r="J781" s="5"/>
      <c r="K781" s="5"/>
      <c r="L781" s="59"/>
    </row>
    <row r="782" customHeight="1" spans="6:12">
      <c r="F782" s="86">
        <v>45086</v>
      </c>
      <c r="G782" s="87">
        <v>18563.4</v>
      </c>
      <c r="H782" s="59"/>
      <c r="I782" s="5"/>
      <c r="J782" s="5"/>
      <c r="K782" s="5"/>
      <c r="L782" s="59"/>
    </row>
    <row r="783" customHeight="1" spans="6:12">
      <c r="F783" s="86">
        <v>45085</v>
      </c>
      <c r="G783" s="87">
        <v>18634.55</v>
      </c>
      <c r="H783" s="59"/>
      <c r="I783" s="5"/>
      <c r="J783" s="5"/>
      <c r="K783" s="5"/>
      <c r="L783" s="59"/>
    </row>
    <row r="784" customHeight="1" spans="6:12">
      <c r="F784" s="86">
        <v>45084</v>
      </c>
      <c r="G784" s="87">
        <v>18726.4</v>
      </c>
      <c r="H784" s="59"/>
      <c r="I784" s="5"/>
      <c r="J784" s="5"/>
      <c r="K784" s="5"/>
      <c r="L784" s="59"/>
    </row>
    <row r="785" customHeight="1" spans="6:12">
      <c r="F785" s="86">
        <v>45083</v>
      </c>
      <c r="G785" s="87">
        <v>18599</v>
      </c>
      <c r="H785" s="59"/>
      <c r="I785" s="5"/>
      <c r="J785" s="5"/>
      <c r="K785" s="5"/>
      <c r="L785" s="59"/>
    </row>
    <row r="786" customHeight="1" spans="6:12">
      <c r="F786" s="86">
        <v>45082</v>
      </c>
      <c r="G786" s="87">
        <v>18593.85</v>
      </c>
      <c r="H786" s="59"/>
      <c r="I786" s="5"/>
      <c r="J786" s="5"/>
      <c r="K786" s="5"/>
      <c r="L786" s="59"/>
    </row>
    <row r="787" customHeight="1" spans="6:12">
      <c r="F787" s="86">
        <v>45079</v>
      </c>
      <c r="G787" s="87">
        <v>18534.1</v>
      </c>
      <c r="H787" s="59"/>
      <c r="I787" s="5"/>
      <c r="J787" s="5"/>
      <c r="K787" s="5"/>
      <c r="L787" s="59"/>
    </row>
    <row r="788" customHeight="1" spans="6:12">
      <c r="F788" s="86">
        <v>45078</v>
      </c>
      <c r="G788" s="87">
        <v>18487.75</v>
      </c>
      <c r="H788" s="59"/>
      <c r="I788" s="5"/>
      <c r="J788" s="5"/>
      <c r="K788" s="5"/>
      <c r="L788" s="59"/>
    </row>
    <row r="789" customHeight="1" spans="6:12">
      <c r="F789" s="86">
        <v>45077</v>
      </c>
      <c r="G789" s="87">
        <v>18534.4</v>
      </c>
      <c r="H789" s="59"/>
      <c r="I789" s="5"/>
      <c r="J789" s="5"/>
      <c r="K789" s="5"/>
      <c r="L789" s="59"/>
    </row>
    <row r="790" customHeight="1" spans="6:12">
      <c r="F790" s="86">
        <v>45076</v>
      </c>
      <c r="G790" s="87">
        <v>18633.85</v>
      </c>
      <c r="H790" s="59"/>
      <c r="I790" s="5"/>
      <c r="J790" s="5"/>
      <c r="K790" s="5"/>
      <c r="L790" s="59"/>
    </row>
    <row r="791" customHeight="1" spans="6:12">
      <c r="F791" s="86">
        <v>45075</v>
      </c>
      <c r="G791" s="87">
        <v>18598.65</v>
      </c>
      <c r="H791" s="59"/>
      <c r="I791" s="5"/>
      <c r="J791" s="5"/>
      <c r="K791" s="5"/>
      <c r="L791" s="59"/>
    </row>
    <row r="792" customHeight="1" spans="6:12">
      <c r="F792" s="86">
        <v>45072</v>
      </c>
      <c r="G792" s="87">
        <v>18499.35</v>
      </c>
      <c r="H792" s="59"/>
      <c r="I792" s="5"/>
      <c r="J792" s="5"/>
      <c r="K792" s="5"/>
      <c r="L792" s="59"/>
    </row>
    <row r="793" customHeight="1" spans="6:12">
      <c r="F793" s="86">
        <v>45071</v>
      </c>
      <c r="G793" s="87">
        <v>18321.15</v>
      </c>
      <c r="H793" s="59"/>
      <c r="I793" s="5"/>
      <c r="J793" s="5"/>
      <c r="K793" s="5"/>
      <c r="L793" s="59"/>
    </row>
    <row r="794" customHeight="1" spans="6:12">
      <c r="F794" s="86">
        <v>45070</v>
      </c>
      <c r="G794" s="87">
        <v>18285.4</v>
      </c>
      <c r="H794" s="59"/>
      <c r="I794" s="5"/>
      <c r="J794" s="5"/>
      <c r="K794" s="5"/>
      <c r="L794" s="59"/>
    </row>
    <row r="795" customHeight="1" spans="6:12">
      <c r="F795" s="86">
        <v>45069</v>
      </c>
      <c r="G795" s="87">
        <v>18348</v>
      </c>
      <c r="H795" s="59"/>
      <c r="I795" s="5"/>
      <c r="J795" s="5"/>
      <c r="K795" s="5"/>
      <c r="L795" s="59"/>
    </row>
    <row r="796" customHeight="1" spans="6:12">
      <c r="F796" s="86">
        <v>45068</v>
      </c>
      <c r="G796" s="87">
        <v>18314.4</v>
      </c>
      <c r="H796" s="59"/>
      <c r="I796" s="5"/>
      <c r="J796" s="5"/>
      <c r="K796" s="5"/>
      <c r="L796" s="59"/>
    </row>
    <row r="797" customHeight="1" spans="6:12">
      <c r="F797" s="86">
        <v>45065</v>
      </c>
      <c r="G797" s="87">
        <v>18203.4</v>
      </c>
      <c r="H797" s="59"/>
      <c r="I797" s="5"/>
      <c r="J797" s="5"/>
      <c r="K797" s="5"/>
      <c r="L797" s="59"/>
    </row>
    <row r="798" customHeight="1" spans="6:12">
      <c r="F798" s="86">
        <v>45064</v>
      </c>
      <c r="G798" s="87">
        <v>18129.95</v>
      </c>
      <c r="H798" s="59"/>
      <c r="I798" s="5"/>
      <c r="J798" s="5"/>
      <c r="K798" s="5"/>
      <c r="L798" s="59"/>
    </row>
    <row r="799" customHeight="1" spans="6:12">
      <c r="F799" s="86">
        <v>45063</v>
      </c>
      <c r="G799" s="87">
        <v>18181.75</v>
      </c>
      <c r="H799" s="59"/>
      <c r="I799" s="5"/>
      <c r="J799" s="5"/>
      <c r="K799" s="5"/>
      <c r="L799" s="59"/>
    </row>
    <row r="800" customHeight="1" spans="6:12">
      <c r="F800" s="86">
        <v>45062</v>
      </c>
      <c r="G800" s="87">
        <v>18286.5</v>
      </c>
      <c r="H800" s="59"/>
      <c r="I800" s="5"/>
      <c r="J800" s="5"/>
      <c r="K800" s="5"/>
      <c r="L800" s="59"/>
    </row>
    <row r="801" customHeight="1" spans="6:12">
      <c r="F801" s="86">
        <v>45061</v>
      </c>
      <c r="G801" s="87">
        <v>18398.85</v>
      </c>
      <c r="H801" s="59"/>
      <c r="I801" s="5"/>
      <c r="J801" s="5"/>
      <c r="K801" s="5"/>
      <c r="L801" s="59"/>
    </row>
    <row r="802" customHeight="1" spans="6:12">
      <c r="F802" s="86">
        <v>45058</v>
      </c>
      <c r="G802" s="87">
        <v>18314.8</v>
      </c>
      <c r="H802" s="59"/>
      <c r="I802" s="5"/>
      <c r="J802" s="5"/>
      <c r="K802" s="5"/>
      <c r="L802" s="59"/>
    </row>
    <row r="803" customHeight="1" spans="6:12">
      <c r="F803" s="86">
        <v>45057</v>
      </c>
      <c r="G803" s="87">
        <v>18297</v>
      </c>
      <c r="H803" s="59"/>
      <c r="I803" s="5"/>
      <c r="J803" s="5"/>
      <c r="K803" s="5"/>
      <c r="L803" s="59"/>
    </row>
    <row r="804" customHeight="1" spans="6:12">
      <c r="F804" s="86">
        <v>45056</v>
      </c>
      <c r="G804" s="87">
        <v>18315.1</v>
      </c>
      <c r="H804" s="59"/>
      <c r="I804" s="5"/>
      <c r="J804" s="5"/>
      <c r="K804" s="5"/>
      <c r="L804" s="59"/>
    </row>
    <row r="805" customHeight="1" spans="6:12">
      <c r="F805" s="86">
        <v>45055</v>
      </c>
      <c r="G805" s="87">
        <v>18265.95</v>
      </c>
      <c r="H805" s="59"/>
      <c r="I805" s="5"/>
      <c r="J805" s="5"/>
      <c r="K805" s="5"/>
      <c r="L805" s="59"/>
    </row>
    <row r="806" customHeight="1" spans="6:12">
      <c r="F806" s="86">
        <v>45054</v>
      </c>
      <c r="G806" s="87">
        <v>18264.4</v>
      </c>
      <c r="H806" s="59"/>
      <c r="I806" s="5"/>
      <c r="J806" s="5"/>
      <c r="K806" s="5"/>
      <c r="L806" s="59"/>
    </row>
    <row r="807" customHeight="1" spans="6:12">
      <c r="F807" s="86">
        <v>45051</v>
      </c>
      <c r="G807" s="87">
        <v>18069</v>
      </c>
      <c r="H807" s="59"/>
      <c r="I807" s="5"/>
      <c r="J807" s="5"/>
      <c r="K807" s="5"/>
      <c r="L807" s="59"/>
    </row>
    <row r="808" customHeight="1" spans="6:12">
      <c r="F808" s="86">
        <v>45050</v>
      </c>
      <c r="G808" s="87">
        <v>18255.8</v>
      </c>
      <c r="H808" s="59"/>
      <c r="I808" s="5"/>
      <c r="J808" s="5"/>
      <c r="K808" s="5"/>
      <c r="L808" s="59"/>
    </row>
    <row r="809" customHeight="1" spans="6:12">
      <c r="F809" s="86">
        <v>45049</v>
      </c>
      <c r="G809" s="87">
        <v>18089.85</v>
      </c>
      <c r="H809" s="59"/>
      <c r="I809" s="5"/>
      <c r="J809" s="5"/>
      <c r="K809" s="5"/>
      <c r="L809" s="59"/>
    </row>
    <row r="810" customHeight="1" spans="6:12">
      <c r="F810" s="86">
        <v>45048</v>
      </c>
      <c r="G810" s="87">
        <v>18147.65</v>
      </c>
      <c r="H810" s="59"/>
      <c r="I810" s="5"/>
      <c r="J810" s="5"/>
      <c r="K810" s="5"/>
      <c r="L810" s="59"/>
    </row>
    <row r="811" customHeight="1" spans="6:12">
      <c r="F811" s="86">
        <v>45044</v>
      </c>
      <c r="G811" s="87">
        <v>18065</v>
      </c>
      <c r="H811" s="59"/>
      <c r="I811" s="5"/>
      <c r="J811" s="5"/>
      <c r="K811" s="5"/>
      <c r="L811" s="59"/>
    </row>
    <row r="812" customHeight="1" spans="6:12">
      <c r="F812" s="86">
        <v>45043</v>
      </c>
      <c r="G812" s="87">
        <v>17915.05</v>
      </c>
      <c r="H812" s="59"/>
      <c r="I812" s="5"/>
      <c r="J812" s="5"/>
      <c r="K812" s="5"/>
      <c r="L812" s="59"/>
    </row>
    <row r="813" customHeight="1" spans="6:12">
      <c r="F813" s="86">
        <v>45042</v>
      </c>
      <c r="G813" s="87">
        <v>17813.6</v>
      </c>
      <c r="H813" s="59"/>
      <c r="I813" s="5"/>
      <c r="J813" s="5"/>
      <c r="K813" s="5"/>
      <c r="L813" s="59"/>
    </row>
    <row r="814" customHeight="1" spans="6:12">
      <c r="F814" s="86">
        <v>45041</v>
      </c>
      <c r="G814" s="87">
        <v>17769.25</v>
      </c>
      <c r="H814" s="59"/>
      <c r="I814" s="5"/>
      <c r="J814" s="5"/>
      <c r="K814" s="5"/>
      <c r="L814" s="59"/>
    </row>
    <row r="815" customHeight="1" spans="6:12">
      <c r="F815" s="86">
        <v>45040</v>
      </c>
      <c r="G815" s="87">
        <v>17743.4</v>
      </c>
      <c r="H815" s="59"/>
      <c r="I815" s="5"/>
      <c r="J815" s="5"/>
      <c r="K815" s="5"/>
      <c r="L815" s="59"/>
    </row>
    <row r="816" customHeight="1" spans="6:12">
      <c r="F816" s="86">
        <v>45037</v>
      </c>
      <c r="G816" s="87">
        <v>17624.05</v>
      </c>
      <c r="H816" s="59"/>
      <c r="I816" s="5"/>
      <c r="J816" s="5"/>
      <c r="K816" s="5"/>
      <c r="L816" s="59"/>
    </row>
    <row r="817" customHeight="1" spans="6:12">
      <c r="F817" s="86">
        <v>45036</v>
      </c>
      <c r="G817" s="87">
        <v>17624.45</v>
      </c>
      <c r="H817" s="59"/>
      <c r="I817" s="5"/>
      <c r="J817" s="5"/>
      <c r="K817" s="5"/>
      <c r="L817" s="59"/>
    </row>
    <row r="818" customHeight="1" spans="6:12">
      <c r="F818" s="86">
        <v>45035</v>
      </c>
      <c r="G818" s="87">
        <v>17618.75</v>
      </c>
      <c r="H818" s="59"/>
      <c r="I818" s="5"/>
      <c r="J818" s="5"/>
      <c r="K818" s="5"/>
      <c r="L818" s="59"/>
    </row>
    <row r="819" customHeight="1" spans="6:12">
      <c r="F819" s="86">
        <v>45034</v>
      </c>
      <c r="G819" s="87">
        <v>17660.15</v>
      </c>
      <c r="H819" s="59"/>
      <c r="I819" s="5"/>
      <c r="J819" s="5"/>
      <c r="K819" s="5"/>
      <c r="L819" s="59"/>
    </row>
    <row r="820" customHeight="1" spans="6:12">
      <c r="F820" s="86">
        <v>45033</v>
      </c>
      <c r="G820" s="87">
        <v>17706.85</v>
      </c>
      <c r="H820" s="59"/>
      <c r="I820" s="5"/>
      <c r="J820" s="5"/>
      <c r="K820" s="5"/>
      <c r="L820" s="59"/>
    </row>
    <row r="821" customHeight="1" spans="6:12">
      <c r="F821" s="86">
        <v>45029</v>
      </c>
      <c r="G821" s="87">
        <v>17828</v>
      </c>
      <c r="H821" s="59"/>
      <c r="I821" s="5"/>
      <c r="J821" s="5"/>
      <c r="K821" s="5"/>
      <c r="L821" s="59"/>
    </row>
    <row r="822" customHeight="1" spans="6:12">
      <c r="F822" s="86">
        <v>45028</v>
      </c>
      <c r="G822" s="87">
        <v>17812.4</v>
      </c>
      <c r="H822" s="59"/>
      <c r="I822" s="5"/>
      <c r="J822" s="5"/>
      <c r="K822" s="5"/>
      <c r="L822" s="59"/>
    </row>
    <row r="823" customHeight="1" spans="6:12">
      <c r="F823" s="86">
        <v>45027</v>
      </c>
      <c r="G823" s="87">
        <v>17722.3</v>
      </c>
      <c r="H823" s="59"/>
      <c r="I823" s="5"/>
      <c r="J823" s="5"/>
      <c r="K823" s="5"/>
      <c r="L823" s="59"/>
    </row>
    <row r="824" customHeight="1" spans="6:12">
      <c r="F824" s="86">
        <v>45026</v>
      </c>
      <c r="G824" s="87">
        <v>17624.05</v>
      </c>
      <c r="H824" s="59"/>
      <c r="I824" s="5"/>
      <c r="J824" s="5"/>
      <c r="K824" s="5"/>
      <c r="L824" s="59"/>
    </row>
    <row r="825" customHeight="1" spans="6:12">
      <c r="F825" s="86">
        <v>45022</v>
      </c>
      <c r="G825" s="87">
        <v>17599.15</v>
      </c>
      <c r="H825" s="59"/>
      <c r="I825" s="5"/>
      <c r="J825" s="5"/>
      <c r="K825" s="5"/>
      <c r="L825" s="59"/>
    </row>
    <row r="826" customHeight="1" spans="6:12">
      <c r="F826" s="86">
        <v>45021</v>
      </c>
      <c r="G826" s="87">
        <v>17557.05</v>
      </c>
      <c r="H826" s="59"/>
      <c r="I826" s="5"/>
      <c r="J826" s="5"/>
      <c r="K826" s="5"/>
      <c r="L826" s="59"/>
    </row>
    <row r="827" customHeight="1" spans="6:12">
      <c r="F827" s="86">
        <v>45019</v>
      </c>
      <c r="G827" s="87">
        <v>17398.05</v>
      </c>
      <c r="H827" s="59"/>
      <c r="I827" s="5"/>
      <c r="J827" s="5"/>
      <c r="K827" s="5"/>
      <c r="L827" s="59"/>
    </row>
    <row r="828" customHeight="1" spans="6:12">
      <c r="F828" s="86">
        <v>45016</v>
      </c>
      <c r="G828" s="87">
        <v>17359.75</v>
      </c>
      <c r="H828" s="59"/>
      <c r="I828" s="5"/>
      <c r="J828" s="5"/>
      <c r="K828" s="5"/>
      <c r="L828" s="59"/>
    </row>
    <row r="829" customHeight="1" spans="6:12">
      <c r="F829" s="86">
        <v>45014</v>
      </c>
      <c r="G829" s="87">
        <v>17080.7</v>
      </c>
      <c r="H829" s="59"/>
      <c r="I829" s="5"/>
      <c r="J829" s="5"/>
      <c r="K829" s="5"/>
      <c r="L829" s="59"/>
    </row>
    <row r="830" customHeight="1" spans="6:12">
      <c r="F830" s="86">
        <v>45013</v>
      </c>
      <c r="G830" s="87">
        <v>16951.7</v>
      </c>
      <c r="H830" s="59"/>
      <c r="I830" s="5"/>
      <c r="J830" s="5"/>
      <c r="K830" s="5"/>
      <c r="L830" s="59"/>
    </row>
    <row r="831" customHeight="1" spans="6:12">
      <c r="F831" s="86">
        <v>45012</v>
      </c>
      <c r="G831" s="87">
        <v>16985.7</v>
      </c>
      <c r="H831" s="59"/>
      <c r="I831" s="5"/>
      <c r="J831" s="5"/>
      <c r="K831" s="5"/>
      <c r="L831" s="59"/>
    </row>
    <row r="832" customHeight="1" spans="6:12">
      <c r="F832" s="86">
        <v>45009</v>
      </c>
      <c r="G832" s="87">
        <v>16945.05</v>
      </c>
      <c r="H832" s="59"/>
      <c r="I832" s="5"/>
      <c r="J832" s="5"/>
      <c r="K832" s="5"/>
      <c r="L832" s="59"/>
    </row>
    <row r="833" customHeight="1" spans="6:12">
      <c r="F833" s="86">
        <v>45008</v>
      </c>
      <c r="G833" s="87">
        <v>17076.9</v>
      </c>
      <c r="H833" s="59"/>
      <c r="I833" s="5"/>
      <c r="J833" s="5"/>
      <c r="K833" s="5"/>
      <c r="L833" s="59"/>
    </row>
    <row r="834" customHeight="1" spans="6:12">
      <c r="F834" s="86">
        <v>45007</v>
      </c>
      <c r="G834" s="87">
        <v>17151.9</v>
      </c>
      <c r="H834" s="59"/>
      <c r="I834" s="5"/>
      <c r="J834" s="5"/>
      <c r="K834" s="5"/>
      <c r="L834" s="59"/>
    </row>
    <row r="835" customHeight="1" spans="6:12">
      <c r="F835" s="86">
        <v>45006</v>
      </c>
      <c r="G835" s="87">
        <v>17107.5</v>
      </c>
      <c r="H835" s="59"/>
      <c r="I835" s="5"/>
      <c r="J835" s="5"/>
      <c r="K835" s="5"/>
      <c r="L835" s="59"/>
    </row>
    <row r="836" customHeight="1" spans="6:12">
      <c r="F836" s="86">
        <v>45005</v>
      </c>
      <c r="G836" s="87">
        <v>16988.4</v>
      </c>
      <c r="H836" s="59"/>
      <c r="I836" s="5"/>
      <c r="J836" s="5"/>
      <c r="K836" s="5"/>
      <c r="L836" s="59"/>
    </row>
    <row r="837" customHeight="1" spans="6:12">
      <c r="F837" s="86">
        <v>45002</v>
      </c>
      <c r="G837" s="87">
        <v>17100.05</v>
      </c>
      <c r="H837" s="59"/>
      <c r="I837" s="5"/>
      <c r="J837" s="5"/>
      <c r="K837" s="5"/>
      <c r="L837" s="59"/>
    </row>
    <row r="838" customHeight="1" spans="6:12">
      <c r="F838" s="86">
        <v>45001</v>
      </c>
      <c r="G838" s="87">
        <v>16985.6</v>
      </c>
      <c r="H838" s="59"/>
      <c r="I838" s="5"/>
      <c r="J838" s="5"/>
      <c r="K838" s="5"/>
      <c r="L838" s="59"/>
    </row>
    <row r="839" customHeight="1" spans="6:12">
      <c r="F839" s="86">
        <v>45000</v>
      </c>
      <c r="G839" s="87">
        <v>16972.15</v>
      </c>
      <c r="H839" s="59"/>
      <c r="I839" s="5"/>
      <c r="J839" s="5"/>
      <c r="K839" s="5"/>
      <c r="L839" s="59"/>
    </row>
    <row r="840" customHeight="1" spans="6:12">
      <c r="F840" s="86">
        <v>44999</v>
      </c>
      <c r="G840" s="87">
        <v>17043.3</v>
      </c>
      <c r="H840" s="59"/>
      <c r="I840" s="5"/>
      <c r="J840" s="5"/>
      <c r="K840" s="5"/>
      <c r="L840" s="59"/>
    </row>
    <row r="841" customHeight="1" spans="6:12">
      <c r="F841" s="86">
        <v>44998</v>
      </c>
      <c r="G841" s="87">
        <v>17154.3</v>
      </c>
      <c r="H841" s="59"/>
      <c r="I841" s="5"/>
      <c r="J841" s="5"/>
      <c r="K841" s="5"/>
      <c r="L841" s="59"/>
    </row>
    <row r="842" customHeight="1" spans="6:12">
      <c r="F842" s="86">
        <v>44995</v>
      </c>
      <c r="G842" s="87">
        <v>17412.9</v>
      </c>
      <c r="H842" s="59"/>
      <c r="I842" s="5"/>
      <c r="J842" s="5"/>
      <c r="K842" s="5"/>
      <c r="L842" s="59"/>
    </row>
    <row r="843" customHeight="1" spans="6:12">
      <c r="F843" s="86">
        <v>44994</v>
      </c>
      <c r="G843" s="87">
        <v>17589.6</v>
      </c>
      <c r="H843" s="59"/>
      <c r="I843" s="5"/>
      <c r="J843" s="5"/>
      <c r="K843" s="5"/>
      <c r="L843" s="59"/>
    </row>
    <row r="844" customHeight="1" spans="6:12">
      <c r="F844" s="86">
        <v>44993</v>
      </c>
      <c r="G844" s="87">
        <v>17754.4</v>
      </c>
      <c r="H844" s="59"/>
      <c r="I844" s="5"/>
      <c r="J844" s="5"/>
      <c r="K844" s="5"/>
      <c r="L844" s="59"/>
    </row>
    <row r="845" customHeight="1" spans="6:12">
      <c r="F845" s="86">
        <v>44991</v>
      </c>
      <c r="G845" s="87">
        <v>17711.45</v>
      </c>
      <c r="H845" s="59"/>
      <c r="I845" s="5"/>
      <c r="J845" s="5"/>
      <c r="K845" s="5"/>
      <c r="L845" s="59"/>
    </row>
    <row r="846" customHeight="1" spans="6:12">
      <c r="F846" s="86">
        <v>44988</v>
      </c>
      <c r="G846" s="87">
        <v>17594.35</v>
      </c>
      <c r="H846" s="59"/>
      <c r="I846" s="5"/>
      <c r="J846" s="5"/>
      <c r="K846" s="5"/>
      <c r="L846" s="59"/>
    </row>
    <row r="847" customHeight="1" spans="6:12">
      <c r="F847" s="86">
        <v>44987</v>
      </c>
      <c r="G847" s="87">
        <v>17321.9</v>
      </c>
      <c r="H847" s="59"/>
      <c r="I847" s="5"/>
      <c r="J847" s="5"/>
      <c r="K847" s="5"/>
      <c r="L847" s="59"/>
    </row>
    <row r="848" customHeight="1" spans="6:12">
      <c r="F848" s="86">
        <v>44986</v>
      </c>
      <c r="G848" s="87">
        <v>17450.9</v>
      </c>
      <c r="H848" s="59"/>
      <c r="I848" s="5"/>
      <c r="J848" s="5"/>
      <c r="K848" s="5"/>
      <c r="L848" s="59"/>
    </row>
    <row r="849" customHeight="1" spans="6:12">
      <c r="F849" s="86">
        <v>44985</v>
      </c>
      <c r="G849" s="87">
        <v>17303.95</v>
      </c>
      <c r="H849" s="59"/>
      <c r="I849" s="5"/>
      <c r="J849" s="5"/>
      <c r="K849" s="5"/>
      <c r="L849" s="59"/>
    </row>
    <row r="850" customHeight="1" spans="6:12">
      <c r="F850" s="86">
        <v>44984</v>
      </c>
      <c r="G850" s="87">
        <v>17392.7</v>
      </c>
      <c r="H850" s="59"/>
      <c r="I850" s="5"/>
      <c r="J850" s="5"/>
      <c r="K850" s="5"/>
      <c r="L850" s="59"/>
    </row>
    <row r="851" customHeight="1" spans="6:12">
      <c r="F851" s="86">
        <v>44981</v>
      </c>
      <c r="G851" s="87">
        <v>17465.8</v>
      </c>
      <c r="H851" s="59"/>
      <c r="I851" s="5"/>
      <c r="J851" s="5"/>
      <c r="K851" s="5"/>
      <c r="L851" s="59"/>
    </row>
    <row r="852" customHeight="1" spans="6:12">
      <c r="F852" s="86">
        <v>44980</v>
      </c>
      <c r="G852" s="87">
        <v>17511.25</v>
      </c>
      <c r="H852" s="59"/>
      <c r="I852" s="5"/>
      <c r="J852" s="5"/>
      <c r="K852" s="5"/>
      <c r="L852" s="59"/>
    </row>
    <row r="853" customHeight="1" spans="6:12">
      <c r="F853" s="86">
        <v>44979</v>
      </c>
      <c r="G853" s="87">
        <v>17554.3</v>
      </c>
      <c r="H853" s="59"/>
      <c r="I853" s="5"/>
      <c r="J853" s="5"/>
      <c r="K853" s="5"/>
      <c r="L853" s="59"/>
    </row>
    <row r="854" customHeight="1" spans="6:12">
      <c r="F854" s="86">
        <v>44978</v>
      </c>
      <c r="G854" s="87">
        <v>17826.7</v>
      </c>
      <c r="H854" s="59"/>
      <c r="I854" s="5"/>
      <c r="J854" s="5"/>
      <c r="K854" s="5"/>
      <c r="L854" s="59"/>
    </row>
    <row r="855" customHeight="1" spans="6:12">
      <c r="F855" s="86">
        <v>44977</v>
      </c>
      <c r="G855" s="87">
        <v>17844.6</v>
      </c>
      <c r="H855" s="59"/>
      <c r="I855" s="5"/>
      <c r="J855" s="5"/>
      <c r="K855" s="5"/>
      <c r="L855" s="59"/>
    </row>
    <row r="856" customHeight="1" spans="6:12">
      <c r="F856" s="86">
        <v>44974</v>
      </c>
      <c r="G856" s="87">
        <v>17944.2</v>
      </c>
      <c r="H856" s="59"/>
      <c r="I856" s="5"/>
      <c r="J856" s="5"/>
      <c r="K856" s="5"/>
      <c r="L856" s="59"/>
    </row>
    <row r="857" customHeight="1" spans="6:12">
      <c r="F857" s="86">
        <v>44973</v>
      </c>
      <c r="G857" s="87">
        <v>18035.85</v>
      </c>
      <c r="H857" s="59"/>
      <c r="I857" s="5"/>
      <c r="J857" s="5"/>
      <c r="K857" s="5"/>
      <c r="L857" s="59"/>
    </row>
    <row r="858" customHeight="1" spans="6:12">
      <c r="F858" s="86">
        <v>44972</v>
      </c>
      <c r="G858" s="87">
        <v>18015.85</v>
      </c>
      <c r="H858" s="59"/>
      <c r="I858" s="5"/>
      <c r="J858" s="5"/>
      <c r="K858" s="5"/>
      <c r="L858" s="59"/>
    </row>
    <row r="859" customHeight="1" spans="6:12">
      <c r="F859" s="86">
        <v>44971</v>
      </c>
      <c r="G859" s="87">
        <v>17929.85</v>
      </c>
      <c r="H859" s="59"/>
      <c r="I859" s="5"/>
      <c r="J859" s="5"/>
      <c r="K859" s="5"/>
      <c r="L859" s="59"/>
    </row>
    <row r="860" customHeight="1" spans="6:12">
      <c r="F860" s="86">
        <v>44970</v>
      </c>
      <c r="G860" s="87">
        <v>17770.9</v>
      </c>
      <c r="H860" s="59"/>
      <c r="I860" s="5"/>
      <c r="J860" s="5"/>
      <c r="K860" s="5"/>
      <c r="L860" s="59"/>
    </row>
    <row r="861" customHeight="1" spans="6:12">
      <c r="F861" s="86">
        <v>44967</v>
      </c>
      <c r="G861" s="87">
        <v>17856.5</v>
      </c>
      <c r="H861" s="59"/>
      <c r="I861" s="5"/>
      <c r="J861" s="5"/>
      <c r="K861" s="5"/>
      <c r="L861" s="59"/>
    </row>
    <row r="862" customHeight="1" spans="6:12">
      <c r="F862" s="86">
        <v>44966</v>
      </c>
      <c r="G862" s="87">
        <v>17893.45</v>
      </c>
      <c r="H862" s="59"/>
      <c r="I862" s="5"/>
      <c r="J862" s="5"/>
      <c r="K862" s="5"/>
      <c r="L862" s="59"/>
    </row>
    <row r="863" customHeight="1" spans="6:12">
      <c r="F863" s="86">
        <v>44965</v>
      </c>
      <c r="G863" s="87">
        <v>17871.7</v>
      </c>
      <c r="H863" s="59"/>
      <c r="I863" s="5"/>
      <c r="J863" s="5"/>
      <c r="K863" s="5"/>
      <c r="L863" s="59"/>
    </row>
    <row r="864" customHeight="1" spans="6:12">
      <c r="F864" s="86">
        <v>44964</v>
      </c>
      <c r="G864" s="87">
        <v>17721.5</v>
      </c>
      <c r="H864" s="59"/>
      <c r="I864" s="5"/>
      <c r="J864" s="5"/>
      <c r="K864" s="5"/>
      <c r="L864" s="59"/>
    </row>
    <row r="865" customHeight="1" spans="6:12">
      <c r="F865" s="86">
        <v>44963</v>
      </c>
      <c r="G865" s="87">
        <v>17764.6</v>
      </c>
      <c r="H865" s="59"/>
      <c r="I865" s="5"/>
      <c r="J865" s="5"/>
      <c r="K865" s="5"/>
      <c r="L865" s="59"/>
    </row>
    <row r="866" customHeight="1" spans="6:12">
      <c r="F866" s="86">
        <v>44960</v>
      </c>
      <c r="G866" s="87">
        <v>17854.05</v>
      </c>
      <c r="H866" s="59"/>
      <c r="I866" s="5"/>
      <c r="J866" s="5"/>
      <c r="K866" s="5"/>
      <c r="L866" s="59"/>
    </row>
    <row r="867" customHeight="1" spans="6:12">
      <c r="F867" s="86">
        <v>44959</v>
      </c>
      <c r="G867" s="87">
        <v>17610.4</v>
      </c>
      <c r="H867" s="59"/>
      <c r="I867" s="5"/>
      <c r="J867" s="5"/>
      <c r="K867" s="5"/>
      <c r="L867" s="59"/>
    </row>
    <row r="868" customHeight="1" spans="6:12">
      <c r="F868" s="86">
        <v>44958</v>
      </c>
      <c r="G868" s="87">
        <v>17616.3</v>
      </c>
      <c r="H868" s="59"/>
      <c r="I868" s="5"/>
      <c r="J868" s="5"/>
      <c r="K868" s="5"/>
      <c r="L868" s="59"/>
    </row>
    <row r="869" customHeight="1" spans="6:12">
      <c r="F869" s="86">
        <v>44957</v>
      </c>
      <c r="G869" s="87">
        <v>17662.15</v>
      </c>
      <c r="H869" s="59"/>
      <c r="I869" s="5"/>
      <c r="J869" s="5"/>
      <c r="K869" s="5"/>
      <c r="L869" s="59"/>
    </row>
    <row r="870" customHeight="1" spans="6:12">
      <c r="F870" s="86">
        <v>44956</v>
      </c>
      <c r="G870" s="87">
        <v>17648.95</v>
      </c>
      <c r="H870" s="59"/>
      <c r="I870" s="5"/>
      <c r="J870" s="5"/>
      <c r="K870" s="5"/>
      <c r="L870" s="59"/>
    </row>
    <row r="871" customHeight="1" spans="6:12">
      <c r="F871" s="86">
        <v>44953</v>
      </c>
      <c r="G871" s="87">
        <v>17604.35</v>
      </c>
      <c r="H871" s="59"/>
      <c r="I871" s="5"/>
      <c r="J871" s="5"/>
      <c r="K871" s="5"/>
      <c r="L871" s="59"/>
    </row>
    <row r="872" customHeight="1" spans="6:12">
      <c r="F872" s="86">
        <v>44951</v>
      </c>
      <c r="G872" s="87">
        <v>17891.95</v>
      </c>
      <c r="H872" s="59"/>
      <c r="I872" s="5"/>
      <c r="J872" s="5"/>
      <c r="K872" s="5"/>
      <c r="L872" s="59"/>
    </row>
    <row r="873" customHeight="1" spans="6:12">
      <c r="F873" s="86">
        <v>44950</v>
      </c>
      <c r="G873" s="87">
        <v>18118.3</v>
      </c>
      <c r="H873" s="59"/>
      <c r="I873" s="5"/>
      <c r="J873" s="5"/>
      <c r="K873" s="5"/>
      <c r="L873" s="59"/>
    </row>
    <row r="874" customHeight="1" spans="6:12">
      <c r="F874" s="86">
        <v>44949</v>
      </c>
      <c r="G874" s="87">
        <v>18118.55</v>
      </c>
      <c r="H874" s="59"/>
      <c r="I874" s="5"/>
      <c r="J874" s="5"/>
      <c r="K874" s="5"/>
      <c r="L874" s="59"/>
    </row>
    <row r="875" customHeight="1" spans="6:12">
      <c r="F875" s="86">
        <v>44946</v>
      </c>
      <c r="G875" s="87">
        <v>18027.65</v>
      </c>
      <c r="H875" s="59"/>
      <c r="I875" s="5"/>
      <c r="J875" s="5"/>
      <c r="K875" s="5"/>
      <c r="L875" s="59"/>
    </row>
    <row r="876" customHeight="1" spans="6:12">
      <c r="F876" s="86">
        <v>44945</v>
      </c>
      <c r="G876" s="87">
        <v>18107.85</v>
      </c>
      <c r="H876" s="59"/>
      <c r="I876" s="5"/>
      <c r="J876" s="5"/>
      <c r="K876" s="5"/>
      <c r="L876" s="59"/>
    </row>
    <row r="877" customHeight="1" spans="6:12">
      <c r="F877" s="86">
        <v>44944</v>
      </c>
      <c r="G877" s="87">
        <v>18165.35</v>
      </c>
      <c r="H877" s="59"/>
      <c r="I877" s="5"/>
      <c r="J877" s="5"/>
      <c r="K877" s="5"/>
      <c r="L877" s="59"/>
    </row>
    <row r="878" customHeight="1" spans="6:12">
      <c r="F878" s="86">
        <v>44943</v>
      </c>
      <c r="G878" s="87">
        <v>18053.3</v>
      </c>
      <c r="H878" s="59"/>
      <c r="I878" s="5"/>
      <c r="J878" s="5"/>
      <c r="K878" s="5"/>
      <c r="L878" s="59"/>
    </row>
    <row r="879" customHeight="1" spans="6:12">
      <c r="F879" s="86">
        <v>44942</v>
      </c>
      <c r="G879" s="87">
        <v>17894.85</v>
      </c>
      <c r="H879" s="59"/>
      <c r="I879" s="5"/>
      <c r="J879" s="5"/>
      <c r="K879" s="5"/>
      <c r="L879" s="59"/>
    </row>
    <row r="880" customHeight="1" spans="6:12">
      <c r="F880" s="86">
        <v>44939</v>
      </c>
      <c r="G880" s="87">
        <v>17956.6</v>
      </c>
      <c r="H880" s="59"/>
      <c r="I880" s="5"/>
      <c r="J880" s="5"/>
      <c r="K880" s="5"/>
      <c r="L880" s="59"/>
    </row>
    <row r="881" customHeight="1" spans="6:12">
      <c r="F881" s="86">
        <v>44938</v>
      </c>
      <c r="G881" s="87">
        <v>17858.2</v>
      </c>
      <c r="H881" s="59"/>
      <c r="I881" s="5"/>
      <c r="J881" s="5"/>
      <c r="K881" s="5"/>
      <c r="L881" s="59"/>
    </row>
    <row r="882" customHeight="1" spans="6:12">
      <c r="F882" s="86">
        <v>44937</v>
      </c>
      <c r="G882" s="87">
        <v>17895.7</v>
      </c>
      <c r="H882" s="59"/>
      <c r="I882" s="5"/>
      <c r="J882" s="5"/>
      <c r="K882" s="5"/>
      <c r="L882" s="59"/>
    </row>
    <row r="883" customHeight="1" spans="6:12">
      <c r="F883" s="86">
        <v>44936</v>
      </c>
      <c r="G883" s="87">
        <v>17914.15</v>
      </c>
      <c r="H883" s="59"/>
      <c r="I883" s="5"/>
      <c r="J883" s="5"/>
      <c r="K883" s="5"/>
      <c r="L883" s="59"/>
    </row>
    <row r="884" customHeight="1" spans="6:12">
      <c r="F884" s="86">
        <v>44935</v>
      </c>
      <c r="G884" s="87">
        <v>18101.2</v>
      </c>
      <c r="H884" s="59"/>
      <c r="I884" s="5"/>
      <c r="J884" s="5"/>
      <c r="K884" s="5"/>
      <c r="L884" s="59"/>
    </row>
    <row r="885" customHeight="1" spans="6:12">
      <c r="F885" s="86">
        <v>44932</v>
      </c>
      <c r="G885" s="87">
        <v>17859.45</v>
      </c>
      <c r="H885" s="59"/>
      <c r="I885" s="5"/>
      <c r="J885" s="5"/>
      <c r="K885" s="5"/>
      <c r="L885" s="59"/>
    </row>
    <row r="886" customHeight="1" spans="6:12">
      <c r="F886" s="86">
        <v>44931</v>
      </c>
      <c r="G886" s="87">
        <v>17992.15</v>
      </c>
      <c r="H886" s="59"/>
      <c r="I886" s="5"/>
      <c r="J886" s="5"/>
      <c r="K886" s="5"/>
      <c r="L886" s="59"/>
    </row>
    <row r="887" customHeight="1" spans="6:12">
      <c r="F887" s="86">
        <v>44930</v>
      </c>
      <c r="G887" s="87">
        <v>18042.95</v>
      </c>
      <c r="H887" s="59"/>
      <c r="I887" s="5"/>
      <c r="J887" s="5"/>
      <c r="K887" s="5"/>
      <c r="L887" s="59"/>
    </row>
    <row r="888" customHeight="1" spans="6:12">
      <c r="F888" s="86">
        <v>44929</v>
      </c>
      <c r="G888" s="87">
        <v>18232.55</v>
      </c>
      <c r="H888" s="59"/>
      <c r="I888" s="5"/>
      <c r="J888" s="5"/>
      <c r="K888" s="5"/>
      <c r="L888" s="59"/>
    </row>
    <row r="889" customHeight="1" spans="6:12">
      <c r="F889" s="86">
        <v>44928</v>
      </c>
      <c r="G889" s="87">
        <v>18197.45</v>
      </c>
      <c r="H889" s="59"/>
      <c r="I889" s="5"/>
      <c r="J889" s="5"/>
      <c r="K889" s="5"/>
      <c r="L889" s="59"/>
    </row>
    <row r="890" customHeight="1" spans="6:12">
      <c r="F890" s="86">
        <v>44925</v>
      </c>
      <c r="G890" s="87">
        <v>18105.3</v>
      </c>
      <c r="H890" s="59"/>
      <c r="I890" s="5"/>
      <c r="J890" s="5"/>
      <c r="K890" s="5"/>
      <c r="L890" s="59"/>
    </row>
    <row r="891" customHeight="1" spans="6:12">
      <c r="F891" s="86">
        <v>44924</v>
      </c>
      <c r="G891" s="87">
        <v>18191</v>
      </c>
      <c r="H891" s="59"/>
      <c r="I891" s="5"/>
      <c r="J891" s="5"/>
      <c r="K891" s="5"/>
      <c r="L891" s="59"/>
    </row>
    <row r="892" customHeight="1" spans="6:12">
      <c r="F892" s="86">
        <v>44923</v>
      </c>
      <c r="G892" s="87">
        <v>18122.5</v>
      </c>
      <c r="H892" s="59"/>
      <c r="I892" s="5"/>
      <c r="J892" s="5"/>
      <c r="K892" s="5"/>
      <c r="L892" s="59"/>
    </row>
    <row r="893" customHeight="1" spans="6:12">
      <c r="F893" s="86">
        <v>44922</v>
      </c>
      <c r="G893" s="87">
        <v>18132.3</v>
      </c>
      <c r="H893" s="59"/>
      <c r="I893" s="5"/>
      <c r="J893" s="5"/>
      <c r="K893" s="5"/>
      <c r="L893" s="59"/>
    </row>
    <row r="894" customHeight="1" spans="6:12">
      <c r="F894" s="86">
        <v>44921</v>
      </c>
      <c r="G894" s="87">
        <v>18014.6</v>
      </c>
      <c r="H894" s="59"/>
      <c r="I894" s="5"/>
      <c r="J894" s="5"/>
      <c r="K894" s="5"/>
      <c r="L894" s="59"/>
    </row>
    <row r="895" customHeight="1" spans="6:12">
      <c r="F895" s="86">
        <v>44918</v>
      </c>
      <c r="G895" s="87">
        <v>17806.8</v>
      </c>
      <c r="H895" s="59"/>
      <c r="I895" s="5"/>
      <c r="J895" s="5"/>
      <c r="K895" s="5"/>
      <c r="L895" s="59"/>
    </row>
    <row r="896" customHeight="1" spans="6:12">
      <c r="F896" s="86">
        <v>44917</v>
      </c>
      <c r="G896" s="87">
        <v>18127.35</v>
      </c>
      <c r="H896" s="59"/>
      <c r="I896" s="5"/>
      <c r="J896" s="5"/>
      <c r="K896" s="5"/>
      <c r="L896" s="59"/>
    </row>
    <row r="897" customHeight="1" spans="6:12">
      <c r="F897" s="86">
        <v>44916</v>
      </c>
      <c r="G897" s="87">
        <v>18199.1</v>
      </c>
      <c r="H897" s="59"/>
      <c r="I897" s="5"/>
      <c r="J897" s="5"/>
      <c r="K897" s="5"/>
      <c r="L897" s="59"/>
    </row>
    <row r="898" customHeight="1" spans="6:12">
      <c r="F898" s="86">
        <v>44915</v>
      </c>
      <c r="G898" s="87">
        <v>18385.3</v>
      </c>
      <c r="H898" s="59"/>
      <c r="I898" s="5"/>
      <c r="J898" s="5"/>
      <c r="K898" s="5"/>
      <c r="L898" s="59"/>
    </row>
    <row r="899" customHeight="1" spans="6:12">
      <c r="F899" s="86">
        <v>44914</v>
      </c>
      <c r="G899" s="87">
        <v>18420.45</v>
      </c>
      <c r="H899" s="59"/>
      <c r="I899" s="5"/>
      <c r="J899" s="5"/>
      <c r="K899" s="5"/>
      <c r="L899" s="59"/>
    </row>
    <row r="900" customHeight="1" spans="6:12">
      <c r="F900" s="86">
        <v>44911</v>
      </c>
      <c r="G900" s="87">
        <v>18269</v>
      </c>
      <c r="H900" s="59"/>
      <c r="I900" s="5"/>
      <c r="J900" s="5"/>
      <c r="K900" s="5"/>
      <c r="L900" s="59"/>
    </row>
    <row r="901" customHeight="1" spans="6:12">
      <c r="F901" s="86">
        <v>44910</v>
      </c>
      <c r="G901" s="87">
        <v>18414.9</v>
      </c>
      <c r="H901" s="59"/>
      <c r="I901" s="5"/>
      <c r="J901" s="5"/>
      <c r="K901" s="5"/>
      <c r="L901" s="59"/>
    </row>
    <row r="902" customHeight="1" spans="6:12">
      <c r="F902" s="86">
        <v>44909</v>
      </c>
      <c r="G902" s="87">
        <v>18660.3</v>
      </c>
      <c r="H902" s="59"/>
      <c r="I902" s="5"/>
      <c r="J902" s="5"/>
      <c r="K902" s="5"/>
      <c r="L902" s="59"/>
    </row>
    <row r="903" customHeight="1" spans="6:12">
      <c r="F903" s="86">
        <v>44908</v>
      </c>
      <c r="G903" s="87">
        <v>18608</v>
      </c>
      <c r="H903" s="59"/>
      <c r="I903" s="5"/>
      <c r="J903" s="5"/>
      <c r="K903" s="5"/>
      <c r="L903" s="59"/>
    </row>
    <row r="904" customHeight="1" spans="6:12">
      <c r="F904" s="86">
        <v>44907</v>
      </c>
      <c r="G904" s="87">
        <v>18497.15</v>
      </c>
      <c r="H904" s="59"/>
      <c r="I904" s="5"/>
      <c r="J904" s="5"/>
      <c r="K904" s="5"/>
      <c r="L904" s="59"/>
    </row>
    <row r="905" customHeight="1" spans="6:12">
      <c r="F905" s="86">
        <v>44904</v>
      </c>
      <c r="G905" s="87">
        <v>18496.6</v>
      </c>
      <c r="H905" s="59"/>
      <c r="I905" s="5"/>
      <c r="J905" s="5"/>
      <c r="K905" s="5"/>
      <c r="L905" s="59"/>
    </row>
    <row r="906" customHeight="1" spans="6:12">
      <c r="F906" s="86">
        <v>44903</v>
      </c>
      <c r="G906" s="87">
        <v>18609.35</v>
      </c>
      <c r="H906" s="59"/>
      <c r="I906" s="5"/>
      <c r="J906" s="5"/>
      <c r="K906" s="5"/>
      <c r="L906" s="59"/>
    </row>
    <row r="907" customHeight="1" spans="6:12">
      <c r="F907" s="86">
        <v>44902</v>
      </c>
      <c r="G907" s="87">
        <v>18560.5</v>
      </c>
      <c r="H907" s="59"/>
      <c r="I907" s="5"/>
      <c r="J907" s="5"/>
      <c r="K907" s="5"/>
      <c r="L907" s="59"/>
    </row>
    <row r="908" customHeight="1" spans="6:12">
      <c r="F908" s="86">
        <v>44901</v>
      </c>
      <c r="G908" s="87">
        <v>18642.75</v>
      </c>
      <c r="H908" s="59"/>
      <c r="I908" s="5"/>
      <c r="J908" s="5"/>
      <c r="K908" s="5"/>
      <c r="L908" s="59"/>
    </row>
    <row r="909" customHeight="1" spans="6:12">
      <c r="F909" s="86">
        <v>44900</v>
      </c>
      <c r="G909" s="87">
        <v>18701.05</v>
      </c>
      <c r="H909" s="59"/>
      <c r="I909" s="5"/>
      <c r="J909" s="5"/>
      <c r="K909" s="5"/>
      <c r="L909" s="59"/>
    </row>
    <row r="910" customHeight="1" spans="6:12">
      <c r="F910" s="86">
        <v>44897</v>
      </c>
      <c r="G910" s="87">
        <v>18696.1</v>
      </c>
      <c r="H910" s="59"/>
      <c r="I910" s="5"/>
      <c r="J910" s="5"/>
      <c r="K910" s="5"/>
      <c r="L910" s="59"/>
    </row>
    <row r="911" customHeight="1" spans="6:12">
      <c r="F911" s="86">
        <v>44896</v>
      </c>
      <c r="G911" s="87">
        <v>18812.5</v>
      </c>
      <c r="H911" s="59"/>
      <c r="I911" s="5"/>
      <c r="J911" s="5"/>
      <c r="K911" s="5"/>
      <c r="L911" s="59"/>
    </row>
    <row r="912" customHeight="1" spans="6:12">
      <c r="F912" s="86">
        <v>44895</v>
      </c>
      <c r="G912" s="87">
        <v>18758.35</v>
      </c>
      <c r="H912" s="59"/>
      <c r="I912" s="5"/>
      <c r="J912" s="5"/>
      <c r="K912" s="5"/>
      <c r="L912" s="59"/>
    </row>
    <row r="913" customHeight="1" spans="6:12">
      <c r="F913" s="86">
        <v>44894</v>
      </c>
      <c r="G913" s="87">
        <v>18618.05</v>
      </c>
      <c r="H913" s="59"/>
      <c r="I913" s="5"/>
      <c r="J913" s="5"/>
      <c r="K913" s="5"/>
      <c r="L913" s="59"/>
    </row>
    <row r="914" customHeight="1" spans="6:12">
      <c r="F914" s="86">
        <v>44893</v>
      </c>
      <c r="G914" s="87">
        <v>18562.75</v>
      </c>
      <c r="H914" s="59"/>
      <c r="I914" s="5"/>
      <c r="J914" s="5"/>
      <c r="K914" s="5"/>
      <c r="L914" s="59"/>
    </row>
    <row r="915" customHeight="1" spans="6:12">
      <c r="F915" s="86">
        <v>44890</v>
      </c>
      <c r="G915" s="87">
        <v>18512.75</v>
      </c>
      <c r="H915" s="59"/>
      <c r="I915" s="5"/>
      <c r="J915" s="5"/>
      <c r="K915" s="5"/>
      <c r="L915" s="59"/>
    </row>
    <row r="916" customHeight="1" spans="6:12">
      <c r="F916" s="86">
        <v>44889</v>
      </c>
      <c r="G916" s="87">
        <v>18484.1</v>
      </c>
      <c r="H916" s="59"/>
      <c r="I916" s="5"/>
      <c r="J916" s="5"/>
      <c r="K916" s="5"/>
      <c r="L916" s="59"/>
    </row>
    <row r="917" customHeight="1" spans="6:12">
      <c r="F917" s="86">
        <v>44888</v>
      </c>
      <c r="G917" s="87">
        <v>18267.25</v>
      </c>
      <c r="H917" s="59"/>
      <c r="I917" s="5"/>
      <c r="J917" s="5"/>
      <c r="K917" s="5"/>
      <c r="L917" s="59"/>
    </row>
    <row r="918" customHeight="1" spans="6:12">
      <c r="F918" s="86">
        <v>44887</v>
      </c>
      <c r="G918" s="87">
        <v>18244.2</v>
      </c>
      <c r="H918" s="59"/>
      <c r="I918" s="5"/>
      <c r="J918" s="5"/>
      <c r="K918" s="5"/>
      <c r="L918" s="59"/>
    </row>
    <row r="919" customHeight="1" spans="6:12">
      <c r="F919" s="86">
        <v>44886</v>
      </c>
      <c r="G919" s="87">
        <v>18159.95</v>
      </c>
      <c r="H919" s="59"/>
      <c r="I919" s="5"/>
      <c r="J919" s="5"/>
      <c r="K919" s="5"/>
      <c r="L919" s="59"/>
    </row>
    <row r="920" customHeight="1" spans="6:12">
      <c r="F920" s="86">
        <v>44883</v>
      </c>
      <c r="G920" s="87">
        <v>18307.65</v>
      </c>
      <c r="H920" s="59"/>
      <c r="I920" s="5"/>
      <c r="J920" s="5"/>
      <c r="K920" s="5"/>
      <c r="L920" s="59"/>
    </row>
    <row r="921" customHeight="1" spans="6:12">
      <c r="F921" s="86">
        <v>44882</v>
      </c>
      <c r="G921" s="87">
        <v>18343.9</v>
      </c>
      <c r="H921" s="59"/>
      <c r="I921" s="5"/>
      <c r="J921" s="5"/>
      <c r="K921" s="5"/>
      <c r="L921" s="59"/>
    </row>
    <row r="922" customHeight="1" spans="6:12">
      <c r="F922" s="86">
        <v>44881</v>
      </c>
      <c r="G922" s="87">
        <v>18409.65</v>
      </c>
      <c r="H922" s="59"/>
      <c r="I922" s="5"/>
      <c r="J922" s="5"/>
      <c r="K922" s="5"/>
      <c r="L922" s="59"/>
    </row>
    <row r="923" customHeight="1" spans="6:12">
      <c r="F923" s="86">
        <v>44880</v>
      </c>
      <c r="G923" s="87">
        <v>18403.4</v>
      </c>
      <c r="H923" s="59"/>
      <c r="I923" s="5"/>
      <c r="J923" s="5"/>
      <c r="K923" s="5"/>
      <c r="L923" s="59"/>
    </row>
    <row r="924" customHeight="1" spans="6:12">
      <c r="F924" s="86">
        <v>44879</v>
      </c>
      <c r="G924" s="87">
        <v>18329.15</v>
      </c>
      <c r="H924" s="59"/>
      <c r="I924" s="5"/>
      <c r="J924" s="5"/>
      <c r="K924" s="5"/>
      <c r="L924" s="59"/>
    </row>
    <row r="925" customHeight="1" spans="6:12">
      <c r="F925" s="86">
        <v>44876</v>
      </c>
      <c r="G925" s="87">
        <v>18349.7</v>
      </c>
      <c r="H925" s="59"/>
      <c r="I925" s="5"/>
      <c r="J925" s="5"/>
      <c r="K925" s="5"/>
      <c r="L925" s="59"/>
    </row>
    <row r="926" customHeight="1" spans="6:12">
      <c r="F926" s="86">
        <v>44875</v>
      </c>
      <c r="G926" s="87">
        <v>18028.2</v>
      </c>
      <c r="H926" s="59"/>
      <c r="I926" s="5"/>
      <c r="J926" s="5"/>
      <c r="K926" s="5"/>
      <c r="L926" s="59"/>
    </row>
    <row r="927" customHeight="1" spans="6:12">
      <c r="F927" s="86">
        <v>44874</v>
      </c>
      <c r="G927" s="87">
        <v>18157</v>
      </c>
      <c r="H927" s="59"/>
      <c r="I927" s="5"/>
      <c r="J927" s="5"/>
      <c r="K927" s="5"/>
      <c r="L927" s="59"/>
    </row>
    <row r="928" customHeight="1" spans="6:12">
      <c r="F928" s="86">
        <v>44872</v>
      </c>
      <c r="G928" s="87">
        <v>18202.8</v>
      </c>
      <c r="H928" s="59"/>
      <c r="I928" s="5"/>
      <c r="J928" s="5"/>
      <c r="K928" s="5"/>
      <c r="L928" s="59"/>
    </row>
    <row r="929" customHeight="1" spans="6:12">
      <c r="F929" s="86">
        <v>44869</v>
      </c>
      <c r="G929" s="87">
        <v>18117.15</v>
      </c>
      <c r="H929" s="59"/>
      <c r="I929" s="5"/>
      <c r="J929" s="5"/>
      <c r="K929" s="5"/>
      <c r="L929" s="59"/>
    </row>
    <row r="930" customHeight="1" spans="6:12">
      <c r="F930" s="86">
        <v>44868</v>
      </c>
      <c r="G930" s="87">
        <v>18052.7</v>
      </c>
      <c r="H930" s="59"/>
      <c r="I930" s="5"/>
      <c r="J930" s="5"/>
      <c r="K930" s="5"/>
      <c r="L930" s="59"/>
    </row>
    <row r="931" customHeight="1" spans="6:12">
      <c r="F931" s="86">
        <v>44867</v>
      </c>
      <c r="G931" s="87">
        <v>18082.85</v>
      </c>
      <c r="H931" s="59"/>
      <c r="I931" s="5"/>
      <c r="J931" s="5"/>
      <c r="K931" s="5"/>
      <c r="L931" s="59"/>
    </row>
    <row r="932" customHeight="1" spans="6:12">
      <c r="F932" s="86">
        <v>44866</v>
      </c>
      <c r="G932" s="87">
        <v>18145.4</v>
      </c>
      <c r="H932" s="59"/>
      <c r="I932" s="5"/>
      <c r="J932" s="5"/>
      <c r="K932" s="5"/>
      <c r="L932" s="59"/>
    </row>
    <row r="933" customHeight="1" spans="6:12">
      <c r="F933" s="86">
        <v>44865</v>
      </c>
      <c r="G933" s="87">
        <v>18012.2</v>
      </c>
      <c r="H933" s="59"/>
      <c r="I933" s="5"/>
      <c r="J933" s="5"/>
      <c r="K933" s="5"/>
      <c r="L933" s="59"/>
    </row>
    <row r="934" customHeight="1" spans="6:12">
      <c r="F934" s="86">
        <v>44862</v>
      </c>
      <c r="G934" s="87">
        <v>17786.8</v>
      </c>
      <c r="H934" s="59"/>
      <c r="I934" s="5"/>
      <c r="J934" s="5"/>
      <c r="K934" s="5"/>
      <c r="L934" s="59"/>
    </row>
    <row r="935" customHeight="1" spans="6:12">
      <c r="F935" s="86">
        <v>44861</v>
      </c>
      <c r="G935" s="87">
        <v>17736.95</v>
      </c>
      <c r="H935" s="59"/>
      <c r="I935" s="5"/>
      <c r="J935" s="5"/>
      <c r="K935" s="5"/>
      <c r="L935" s="59"/>
    </row>
    <row r="936" customHeight="1" spans="6:12">
      <c r="F936" s="86">
        <v>44859</v>
      </c>
      <c r="G936" s="87">
        <v>17656.35</v>
      </c>
      <c r="H936" s="59"/>
      <c r="I936" s="5"/>
      <c r="J936" s="5"/>
      <c r="K936" s="5"/>
      <c r="L936" s="59"/>
    </row>
    <row r="937" customHeight="1" spans="6:12">
      <c r="F937" s="86">
        <v>44858</v>
      </c>
      <c r="G937" s="87">
        <v>17730.75</v>
      </c>
      <c r="H937" s="59"/>
      <c r="I937" s="5"/>
      <c r="J937" s="5"/>
      <c r="K937" s="5"/>
      <c r="L937" s="59"/>
    </row>
    <row r="938" customHeight="1" spans="6:12">
      <c r="F938" s="86">
        <v>44855</v>
      </c>
      <c r="G938" s="87">
        <v>17576.3</v>
      </c>
      <c r="H938" s="59"/>
      <c r="I938" s="5"/>
      <c r="J938" s="5"/>
      <c r="K938" s="5"/>
      <c r="L938" s="59"/>
    </row>
    <row r="939" customHeight="1" spans="6:12">
      <c r="F939" s="86">
        <v>44854</v>
      </c>
      <c r="G939" s="87">
        <v>17563.95</v>
      </c>
      <c r="H939" s="59"/>
      <c r="I939" s="5"/>
      <c r="J939" s="5"/>
      <c r="K939" s="5"/>
      <c r="L939" s="59"/>
    </row>
    <row r="940" customHeight="1" spans="6:12">
      <c r="F940" s="86">
        <v>44853</v>
      </c>
      <c r="G940" s="87">
        <v>17512.25</v>
      </c>
      <c r="H940" s="59"/>
      <c r="I940" s="5"/>
      <c r="J940" s="5"/>
      <c r="K940" s="5"/>
      <c r="L940" s="59"/>
    </row>
    <row r="941" customHeight="1" spans="6:12">
      <c r="F941" s="86">
        <v>44852</v>
      </c>
      <c r="G941" s="87">
        <v>17486.95</v>
      </c>
      <c r="H941" s="59"/>
      <c r="I941" s="5"/>
      <c r="J941" s="5"/>
      <c r="K941" s="5"/>
      <c r="L941" s="59"/>
    </row>
    <row r="942" customHeight="1" spans="6:12">
      <c r="F942" s="86">
        <v>44851</v>
      </c>
      <c r="G942" s="87">
        <v>17311.8</v>
      </c>
      <c r="H942" s="59"/>
      <c r="I942" s="5"/>
      <c r="J942" s="5"/>
      <c r="K942" s="5"/>
      <c r="L942" s="59"/>
    </row>
    <row r="943" customHeight="1" spans="6:12">
      <c r="F943" s="86">
        <v>44848</v>
      </c>
      <c r="G943" s="87">
        <v>17185.7</v>
      </c>
      <c r="H943" s="59"/>
      <c r="I943" s="5"/>
      <c r="J943" s="5"/>
      <c r="K943" s="5"/>
      <c r="L943" s="59"/>
    </row>
    <row r="944" customHeight="1" spans="6:12">
      <c r="F944" s="86">
        <v>44847</v>
      </c>
      <c r="G944" s="87">
        <v>17014.35</v>
      </c>
      <c r="H944" s="59"/>
      <c r="I944" s="5"/>
      <c r="J944" s="5"/>
      <c r="K944" s="5"/>
      <c r="L944" s="59"/>
    </row>
    <row r="945" customHeight="1" spans="6:12">
      <c r="F945" s="86">
        <v>44846</v>
      </c>
      <c r="G945" s="87">
        <v>17123.6</v>
      </c>
      <c r="H945" s="59"/>
      <c r="I945" s="5"/>
      <c r="J945" s="5"/>
      <c r="K945" s="5"/>
      <c r="L945" s="59"/>
    </row>
    <row r="946" customHeight="1" spans="6:12">
      <c r="F946" s="86">
        <v>44845</v>
      </c>
      <c r="G946" s="87">
        <v>16983.55</v>
      </c>
      <c r="H946" s="59"/>
      <c r="I946" s="5"/>
      <c r="J946" s="5"/>
      <c r="K946" s="5"/>
      <c r="L946" s="59"/>
    </row>
    <row r="947" customHeight="1" spans="6:12">
      <c r="F947" s="86">
        <v>44844</v>
      </c>
      <c r="G947" s="87">
        <v>17241</v>
      </c>
      <c r="H947" s="59"/>
      <c r="I947" s="5"/>
      <c r="J947" s="5"/>
      <c r="K947" s="5"/>
      <c r="L947" s="59"/>
    </row>
    <row r="948" customHeight="1" spans="6:12">
      <c r="F948" s="86">
        <v>44841</v>
      </c>
      <c r="G948" s="87">
        <v>17314.65</v>
      </c>
      <c r="H948" s="59"/>
      <c r="I948" s="5"/>
      <c r="J948" s="5"/>
      <c r="K948" s="5"/>
      <c r="L948" s="59"/>
    </row>
    <row r="949" customHeight="1" spans="6:12">
      <c r="F949" s="86">
        <v>44840</v>
      </c>
      <c r="G949" s="87">
        <v>17331.8</v>
      </c>
      <c r="H949" s="59"/>
      <c r="I949" s="5"/>
      <c r="J949" s="5"/>
      <c r="K949" s="5"/>
      <c r="L949" s="59"/>
    </row>
    <row r="950" customHeight="1" spans="6:12">
      <c r="F950" s="86">
        <v>44838</v>
      </c>
      <c r="G950" s="87">
        <v>17274.3</v>
      </c>
      <c r="H950" s="59"/>
      <c r="I950" s="5"/>
      <c r="J950" s="5"/>
      <c r="K950" s="5"/>
      <c r="L950" s="59"/>
    </row>
    <row r="951" customHeight="1" spans="6:12">
      <c r="F951" s="86">
        <v>44837</v>
      </c>
      <c r="G951" s="87">
        <v>16887.35</v>
      </c>
      <c r="H951" s="59"/>
      <c r="I951" s="5"/>
      <c r="J951" s="5"/>
      <c r="K951" s="5"/>
      <c r="L951" s="59"/>
    </row>
    <row r="952" customHeight="1" spans="6:12">
      <c r="F952" s="86">
        <v>44834</v>
      </c>
      <c r="G952" s="87">
        <v>17094.35</v>
      </c>
      <c r="H952" s="59"/>
      <c r="I952" s="5"/>
      <c r="J952" s="5"/>
      <c r="K952" s="5"/>
      <c r="L952" s="59"/>
    </row>
    <row r="953" customHeight="1" spans="6:12">
      <c r="F953" s="86">
        <v>44833</v>
      </c>
      <c r="G953" s="87">
        <v>16818.1</v>
      </c>
      <c r="H953" s="59"/>
      <c r="I953" s="5"/>
      <c r="J953" s="5"/>
      <c r="K953" s="5"/>
      <c r="L953" s="59"/>
    </row>
    <row r="954" customHeight="1" spans="6:12">
      <c r="F954" s="86">
        <v>44832</v>
      </c>
      <c r="G954" s="87">
        <v>16858.6</v>
      </c>
      <c r="H954" s="59"/>
      <c r="I954" s="5"/>
      <c r="J954" s="5"/>
      <c r="K954" s="5"/>
      <c r="L954" s="59"/>
    </row>
    <row r="955" customHeight="1" spans="6:12">
      <c r="F955" s="86">
        <v>44831</v>
      </c>
      <c r="G955" s="87">
        <v>17007.4</v>
      </c>
      <c r="H955" s="59"/>
      <c r="I955" s="5"/>
      <c r="J955" s="5"/>
      <c r="K955" s="5"/>
      <c r="L955" s="59"/>
    </row>
    <row r="956" customHeight="1" spans="6:12">
      <c r="F956" s="86">
        <v>44830</v>
      </c>
      <c r="G956" s="87">
        <v>17016.3</v>
      </c>
      <c r="H956" s="59"/>
      <c r="I956" s="5"/>
      <c r="J956" s="5"/>
      <c r="K956" s="5"/>
      <c r="L956" s="59"/>
    </row>
    <row r="957" customHeight="1" spans="6:12">
      <c r="F957" s="86">
        <v>44827</v>
      </c>
      <c r="G957" s="87">
        <v>17327.35</v>
      </c>
      <c r="H957" s="59"/>
      <c r="I957" s="5"/>
      <c r="J957" s="5"/>
      <c r="K957" s="5"/>
      <c r="L957" s="59"/>
    </row>
    <row r="958" customHeight="1" spans="6:12">
      <c r="F958" s="86">
        <v>44826</v>
      </c>
      <c r="G958" s="87">
        <v>17629.8</v>
      </c>
      <c r="H958" s="59"/>
      <c r="I958" s="5"/>
      <c r="J958" s="5"/>
      <c r="K958" s="5"/>
      <c r="L958" s="59"/>
    </row>
    <row r="959" customHeight="1" spans="6:12">
      <c r="F959" s="86">
        <v>44825</v>
      </c>
      <c r="G959" s="87">
        <v>17718.35</v>
      </c>
      <c r="H959" s="59"/>
      <c r="I959" s="5"/>
      <c r="J959" s="5"/>
      <c r="K959" s="5"/>
      <c r="L959" s="59"/>
    </row>
    <row r="960" customHeight="1" spans="6:12">
      <c r="F960" s="86">
        <v>44824</v>
      </c>
      <c r="G960" s="87">
        <v>17816.25</v>
      </c>
      <c r="H960" s="59"/>
      <c r="I960" s="5"/>
      <c r="J960" s="5"/>
      <c r="K960" s="5"/>
      <c r="L960" s="59"/>
    </row>
    <row r="961" customHeight="1" spans="6:12">
      <c r="F961" s="86">
        <v>44823</v>
      </c>
      <c r="G961" s="87">
        <v>17622.25</v>
      </c>
      <c r="H961" s="59"/>
      <c r="I961" s="5"/>
      <c r="J961" s="5"/>
      <c r="K961" s="5"/>
      <c r="L961" s="59"/>
    </row>
    <row r="962" customHeight="1" spans="6:12">
      <c r="F962" s="86">
        <v>44820</v>
      </c>
      <c r="G962" s="87">
        <v>17530.85</v>
      </c>
      <c r="H962" s="59"/>
      <c r="I962" s="5"/>
      <c r="J962" s="5"/>
      <c r="K962" s="5"/>
      <c r="L962" s="59"/>
    </row>
    <row r="963" customHeight="1" spans="6:12">
      <c r="F963" s="86">
        <v>44819</v>
      </c>
      <c r="G963" s="87">
        <v>17877.4</v>
      </c>
      <c r="H963" s="59"/>
      <c r="I963" s="5"/>
      <c r="J963" s="5"/>
      <c r="K963" s="5"/>
      <c r="L963" s="59"/>
    </row>
    <row r="964" customHeight="1" spans="6:12">
      <c r="F964" s="86">
        <v>44818</v>
      </c>
      <c r="G964" s="87">
        <v>18003.75</v>
      </c>
      <c r="H964" s="59"/>
      <c r="I964" s="5"/>
      <c r="J964" s="5"/>
      <c r="K964" s="5"/>
      <c r="L964" s="59"/>
    </row>
    <row r="965" customHeight="1" spans="6:12">
      <c r="F965" s="86">
        <v>44817</v>
      </c>
      <c r="G965" s="87">
        <v>18070.05</v>
      </c>
      <c r="H965" s="59"/>
      <c r="I965" s="5"/>
      <c r="J965" s="5"/>
      <c r="K965" s="5"/>
      <c r="L965" s="59"/>
    </row>
    <row r="966" customHeight="1" spans="6:12">
      <c r="F966" s="86">
        <v>44816</v>
      </c>
      <c r="G966" s="87">
        <v>17936.35</v>
      </c>
      <c r="H966" s="59"/>
      <c r="I966" s="5"/>
      <c r="J966" s="5"/>
      <c r="K966" s="5"/>
      <c r="L966" s="59"/>
    </row>
    <row r="967" customHeight="1" spans="6:12">
      <c r="F967" s="86">
        <v>44813</v>
      </c>
      <c r="G967" s="87">
        <v>17833.35</v>
      </c>
      <c r="H967" s="59"/>
      <c r="I967" s="5"/>
      <c r="J967" s="5"/>
      <c r="K967" s="5"/>
      <c r="L967" s="59"/>
    </row>
    <row r="968" customHeight="1" spans="6:12">
      <c r="F968" s="86">
        <v>44812</v>
      </c>
      <c r="G968" s="87">
        <v>17798.75</v>
      </c>
      <c r="H968" s="59"/>
      <c r="I968" s="5"/>
      <c r="J968" s="5"/>
      <c r="K968" s="5"/>
      <c r="L968" s="59"/>
    </row>
    <row r="969" customHeight="1" spans="6:12">
      <c r="F969" s="86">
        <v>44811</v>
      </c>
      <c r="G969" s="87">
        <v>17624.4</v>
      </c>
      <c r="H969" s="59"/>
      <c r="I969" s="5"/>
      <c r="J969" s="5"/>
      <c r="K969" s="5"/>
      <c r="L969" s="59"/>
    </row>
    <row r="970" customHeight="1" spans="6:12">
      <c r="F970" s="86">
        <v>44810</v>
      </c>
      <c r="G970" s="87">
        <v>17655.6</v>
      </c>
      <c r="H970" s="59"/>
      <c r="I970" s="5"/>
      <c r="J970" s="5"/>
      <c r="K970" s="5"/>
      <c r="L970" s="59"/>
    </row>
    <row r="971" customHeight="1" spans="6:12">
      <c r="F971" s="86">
        <v>44809</v>
      </c>
      <c r="G971" s="87">
        <v>17665.8</v>
      </c>
      <c r="H971" s="59"/>
      <c r="I971" s="5"/>
      <c r="J971" s="5"/>
      <c r="K971" s="5"/>
      <c r="L971" s="59"/>
    </row>
    <row r="972" customHeight="1" spans="6:12">
      <c r="F972" s="86">
        <v>44806</v>
      </c>
      <c r="G972" s="87">
        <v>17539.45</v>
      </c>
      <c r="H972" s="59"/>
      <c r="I972" s="5"/>
      <c r="J972" s="5"/>
      <c r="K972" s="5"/>
      <c r="L972" s="59"/>
    </row>
    <row r="973" customHeight="1" spans="6:12">
      <c r="F973" s="86">
        <v>44805</v>
      </c>
      <c r="G973" s="87">
        <v>17542.8</v>
      </c>
      <c r="H973" s="59"/>
      <c r="I973" s="5"/>
      <c r="J973" s="5"/>
      <c r="K973" s="5"/>
      <c r="L973" s="59"/>
    </row>
    <row r="974" customHeight="1" spans="6:12">
      <c r="F974" s="86">
        <v>44803</v>
      </c>
      <c r="G974" s="87">
        <v>17759.3</v>
      </c>
      <c r="H974" s="59"/>
      <c r="I974" s="5"/>
      <c r="J974" s="5"/>
      <c r="K974" s="5"/>
      <c r="L974" s="59"/>
    </row>
    <row r="975" customHeight="1" spans="6:12">
      <c r="F975" s="86">
        <v>44802</v>
      </c>
      <c r="G975" s="87">
        <v>17312.9</v>
      </c>
      <c r="H975" s="59"/>
      <c r="I975" s="5"/>
      <c r="J975" s="5"/>
      <c r="K975" s="5"/>
      <c r="L975" s="59"/>
    </row>
    <row r="976" customHeight="1" spans="6:12">
      <c r="F976" s="86">
        <v>44799</v>
      </c>
      <c r="G976" s="87">
        <v>17558.9</v>
      </c>
      <c r="H976" s="59"/>
      <c r="I976" s="5"/>
      <c r="J976" s="5"/>
      <c r="K976" s="5"/>
      <c r="L976" s="59"/>
    </row>
    <row r="977" customHeight="1" spans="6:12">
      <c r="F977" s="86">
        <v>44798</v>
      </c>
      <c r="G977" s="87">
        <v>17522.45</v>
      </c>
      <c r="H977" s="59"/>
      <c r="I977" s="5"/>
      <c r="J977" s="5"/>
      <c r="K977" s="5"/>
      <c r="L977" s="59"/>
    </row>
    <row r="978" customHeight="1" spans="6:12">
      <c r="F978" s="86">
        <v>44797</v>
      </c>
      <c r="G978" s="87">
        <v>17604.95</v>
      </c>
      <c r="H978" s="59"/>
      <c r="I978" s="5"/>
      <c r="J978" s="5"/>
      <c r="K978" s="5"/>
      <c r="L978" s="59"/>
    </row>
    <row r="979" customHeight="1" spans="6:12">
      <c r="F979" s="86">
        <v>44796</v>
      </c>
      <c r="G979" s="87">
        <v>17577.5</v>
      </c>
      <c r="H979" s="59"/>
      <c r="I979" s="5"/>
      <c r="J979" s="5"/>
      <c r="K979" s="5"/>
      <c r="L979" s="59"/>
    </row>
    <row r="980" customHeight="1" spans="6:12">
      <c r="F980" s="86">
        <v>44795</v>
      </c>
      <c r="G980" s="87">
        <v>17490.7</v>
      </c>
      <c r="H980" s="59"/>
      <c r="I980" s="5"/>
      <c r="J980" s="5"/>
      <c r="K980" s="5"/>
      <c r="L980" s="59"/>
    </row>
    <row r="981" customHeight="1" spans="6:12">
      <c r="F981" s="86">
        <v>44792</v>
      </c>
      <c r="G981" s="87">
        <v>17758.45</v>
      </c>
      <c r="H981" s="59"/>
      <c r="I981" s="5"/>
      <c r="J981" s="5"/>
      <c r="K981" s="5"/>
      <c r="L981" s="59"/>
    </row>
    <row r="982" customHeight="1" spans="6:12">
      <c r="F982" s="86">
        <v>44791</v>
      </c>
      <c r="G982" s="87">
        <v>17956.5</v>
      </c>
      <c r="H982" s="59"/>
      <c r="I982" s="5"/>
      <c r="J982" s="5"/>
      <c r="K982" s="5"/>
      <c r="L982" s="59"/>
    </row>
    <row r="983" customHeight="1" spans="6:12">
      <c r="F983" s="86">
        <v>44790</v>
      </c>
      <c r="G983" s="87">
        <v>17944.25</v>
      </c>
      <c r="H983" s="59"/>
      <c r="I983" s="5"/>
      <c r="J983" s="5"/>
      <c r="K983" s="5"/>
      <c r="L983" s="59"/>
    </row>
    <row r="984" customHeight="1" spans="6:12">
      <c r="F984" s="86">
        <v>44789</v>
      </c>
      <c r="G984" s="87">
        <v>17825.25</v>
      </c>
      <c r="H984" s="59"/>
      <c r="I984" s="5"/>
      <c r="J984" s="5"/>
      <c r="K984" s="5"/>
      <c r="L984" s="59"/>
    </row>
    <row r="985" customHeight="1" spans="6:12">
      <c r="F985" s="86">
        <v>44785</v>
      </c>
      <c r="G985" s="87">
        <v>17698.15</v>
      </c>
      <c r="H985" s="59"/>
      <c r="I985" s="5"/>
      <c r="J985" s="5"/>
      <c r="K985" s="5"/>
      <c r="L985" s="59"/>
    </row>
    <row r="986" customHeight="1" spans="6:12">
      <c r="F986" s="86">
        <v>44784</v>
      </c>
      <c r="G986" s="87">
        <v>17659</v>
      </c>
      <c r="H986" s="59"/>
      <c r="I986" s="5"/>
      <c r="J986" s="5"/>
      <c r="K986" s="5"/>
      <c r="L986" s="59"/>
    </row>
    <row r="987" customHeight="1" spans="6:12">
      <c r="F987" s="86">
        <v>44783</v>
      </c>
      <c r="G987" s="87">
        <v>17534.75</v>
      </c>
      <c r="H987" s="59"/>
      <c r="I987" s="5"/>
      <c r="J987" s="5"/>
      <c r="K987" s="5"/>
      <c r="L987" s="59"/>
    </row>
    <row r="988" customHeight="1" spans="6:12">
      <c r="F988" s="86">
        <v>44781</v>
      </c>
      <c r="G988" s="87">
        <v>17525.1</v>
      </c>
      <c r="H988" s="59"/>
      <c r="I988" s="5"/>
      <c r="J988" s="5"/>
      <c r="K988" s="5"/>
      <c r="L988" s="59"/>
    </row>
    <row r="989" customHeight="1" spans="6:12">
      <c r="F989" s="86">
        <v>44778</v>
      </c>
      <c r="G989" s="87">
        <v>17397.5</v>
      </c>
      <c r="H989" s="59"/>
      <c r="I989" s="5"/>
      <c r="J989" s="5"/>
      <c r="K989" s="5"/>
      <c r="L989" s="59"/>
    </row>
    <row r="990" customHeight="1" spans="6:12">
      <c r="F990" s="86">
        <v>44777</v>
      </c>
      <c r="G990" s="87">
        <v>17382</v>
      </c>
      <c r="H990" s="59"/>
      <c r="I990" s="5"/>
      <c r="J990" s="5"/>
      <c r="K990" s="5"/>
      <c r="L990" s="59"/>
    </row>
    <row r="991" customHeight="1" spans="6:12">
      <c r="F991" s="86">
        <v>44776</v>
      </c>
      <c r="G991" s="87">
        <v>17388.15</v>
      </c>
      <c r="H991" s="59"/>
      <c r="I991" s="5"/>
      <c r="J991" s="5"/>
      <c r="K991" s="5"/>
      <c r="L991" s="59"/>
    </row>
    <row r="992" customHeight="1" spans="6:12">
      <c r="F992" s="86">
        <v>44775</v>
      </c>
      <c r="G992" s="87">
        <v>17345.45</v>
      </c>
      <c r="H992" s="59"/>
      <c r="I992" s="5"/>
      <c r="J992" s="5"/>
      <c r="K992" s="5"/>
      <c r="L992" s="59"/>
    </row>
    <row r="993" customHeight="1" spans="6:12">
      <c r="F993" s="86">
        <v>44774</v>
      </c>
      <c r="G993" s="87">
        <v>17340.05</v>
      </c>
      <c r="H993" s="59"/>
      <c r="I993" s="5"/>
      <c r="J993" s="5"/>
      <c r="K993" s="5"/>
      <c r="L993" s="59"/>
    </row>
    <row r="994" customHeight="1" spans="6:12">
      <c r="F994" s="86">
        <v>44771</v>
      </c>
      <c r="G994" s="87">
        <v>17158.25</v>
      </c>
      <c r="H994" s="59"/>
      <c r="I994" s="5"/>
      <c r="J994" s="5"/>
      <c r="K994" s="5"/>
      <c r="L994" s="59"/>
    </row>
    <row r="995" customHeight="1" spans="6:12">
      <c r="F995" s="86">
        <v>44770</v>
      </c>
      <c r="G995" s="87">
        <v>16929.6</v>
      </c>
      <c r="H995" s="59"/>
      <c r="I995" s="5"/>
      <c r="J995" s="5"/>
      <c r="K995" s="5"/>
      <c r="L995" s="59"/>
    </row>
    <row r="996" customHeight="1" spans="6:12">
      <c r="F996" s="86">
        <v>44769</v>
      </c>
      <c r="G996" s="87">
        <v>16641.8</v>
      </c>
      <c r="H996" s="59"/>
      <c r="I996" s="5"/>
      <c r="J996" s="5"/>
      <c r="K996" s="5"/>
      <c r="L996" s="59"/>
    </row>
    <row r="997" customHeight="1" spans="6:12">
      <c r="F997" s="86">
        <v>44768</v>
      </c>
      <c r="G997" s="87">
        <v>16483.85</v>
      </c>
      <c r="H997" s="59"/>
      <c r="I997" s="5"/>
      <c r="J997" s="5"/>
      <c r="K997" s="5"/>
      <c r="L997" s="59"/>
    </row>
    <row r="998" customHeight="1" spans="6:12">
      <c r="F998" s="86">
        <v>44767</v>
      </c>
      <c r="G998" s="87">
        <v>16631</v>
      </c>
      <c r="H998" s="59"/>
      <c r="I998" s="5"/>
      <c r="J998" s="5"/>
      <c r="K998" s="5"/>
      <c r="L998" s="59"/>
    </row>
    <row r="999" customHeight="1" spans="6:12">
      <c r="F999" s="86">
        <v>44764</v>
      </c>
      <c r="G999" s="87">
        <v>16719.45</v>
      </c>
      <c r="H999" s="59"/>
      <c r="I999" s="5"/>
      <c r="J999" s="5"/>
      <c r="K999" s="5"/>
      <c r="L999" s="59"/>
    </row>
    <row r="1000" customHeight="1" spans="6:12">
      <c r="F1000" s="86">
        <v>44763</v>
      </c>
      <c r="G1000" s="87">
        <v>16605.25</v>
      </c>
      <c r="H1000" s="59"/>
      <c r="I1000" s="5"/>
      <c r="J1000" s="5"/>
      <c r="K1000" s="5"/>
      <c r="L1000" s="59"/>
    </row>
    <row r="1001" customHeight="1" spans="6:12">
      <c r="F1001" s="86">
        <v>44762</v>
      </c>
      <c r="G1001" s="87">
        <v>16520.85</v>
      </c>
      <c r="H1001" s="59"/>
      <c r="I1001" s="5"/>
      <c r="J1001" s="5"/>
      <c r="K1001" s="5"/>
      <c r="L1001" s="59"/>
    </row>
    <row r="1002" customHeight="1" spans="6:12">
      <c r="F1002" s="86">
        <v>44761</v>
      </c>
      <c r="G1002" s="87">
        <v>16340.55</v>
      </c>
      <c r="H1002" s="59"/>
      <c r="I1002" s="5"/>
      <c r="J1002" s="5"/>
      <c r="K1002" s="5"/>
      <c r="L1002" s="59"/>
    </row>
    <row r="1003" customHeight="1" spans="6:12">
      <c r="F1003" s="86">
        <v>44760</v>
      </c>
      <c r="G1003" s="87">
        <v>16278.5</v>
      </c>
      <c r="H1003" s="59"/>
      <c r="I1003" s="5"/>
      <c r="J1003" s="5"/>
      <c r="K1003" s="5"/>
      <c r="L1003" s="59"/>
    </row>
    <row r="1004" customHeight="1" spans="6:12">
      <c r="F1004" s="86">
        <v>44757</v>
      </c>
      <c r="G1004" s="87">
        <v>16049.2</v>
      </c>
      <c r="H1004" s="59"/>
      <c r="I1004" s="5"/>
      <c r="J1004" s="5"/>
      <c r="K1004" s="5"/>
      <c r="L1004" s="59"/>
    </row>
    <row r="1005" customHeight="1" spans="6:12">
      <c r="F1005" s="86">
        <v>44756</v>
      </c>
      <c r="G1005" s="87">
        <v>15938.65</v>
      </c>
      <c r="H1005" s="59"/>
      <c r="I1005" s="5"/>
      <c r="J1005" s="5"/>
      <c r="K1005" s="5"/>
      <c r="L1005" s="59"/>
    </row>
    <row r="1006" customHeight="1" spans="6:12">
      <c r="F1006" s="86">
        <v>44755</v>
      </c>
      <c r="G1006" s="87">
        <v>15966.65</v>
      </c>
      <c r="H1006" s="59"/>
      <c r="I1006" s="5"/>
      <c r="J1006" s="5"/>
      <c r="K1006" s="5"/>
      <c r="L1006" s="59"/>
    </row>
    <row r="1007" customHeight="1" spans="6:12">
      <c r="F1007" s="86">
        <v>44754</v>
      </c>
      <c r="G1007" s="87">
        <v>16058.3</v>
      </c>
      <c r="H1007" s="59"/>
      <c r="I1007" s="5"/>
      <c r="J1007" s="5"/>
      <c r="K1007" s="5"/>
      <c r="L1007" s="59"/>
    </row>
    <row r="1008" customHeight="1" spans="6:12">
      <c r="F1008" s="86">
        <v>44753</v>
      </c>
      <c r="G1008" s="87">
        <v>16216</v>
      </c>
      <c r="H1008" s="59"/>
      <c r="I1008" s="5"/>
      <c r="J1008" s="5"/>
      <c r="K1008" s="5"/>
      <c r="L1008" s="59"/>
    </row>
    <row r="1009" customHeight="1" spans="6:12">
      <c r="F1009" s="86">
        <v>44750</v>
      </c>
      <c r="G1009" s="87">
        <v>16220.6</v>
      </c>
      <c r="H1009" s="59"/>
      <c r="I1009" s="5"/>
      <c r="J1009" s="5"/>
      <c r="K1009" s="5"/>
      <c r="L1009" s="59"/>
    </row>
    <row r="1010" customHeight="1" spans="6:12">
      <c r="F1010" s="86">
        <v>44749</v>
      </c>
      <c r="G1010" s="87">
        <v>16132.9</v>
      </c>
      <c r="H1010" s="59"/>
      <c r="I1010" s="5"/>
      <c r="J1010" s="5"/>
      <c r="K1010" s="5"/>
      <c r="L1010" s="59"/>
    </row>
    <row r="1011" customHeight="1" spans="6:12">
      <c r="F1011" s="86">
        <v>44748</v>
      </c>
      <c r="G1011" s="87">
        <v>15989.8</v>
      </c>
      <c r="H1011" s="59"/>
      <c r="I1011" s="5"/>
      <c r="J1011" s="5"/>
      <c r="K1011" s="5"/>
      <c r="L1011" s="59"/>
    </row>
    <row r="1012" customHeight="1" spans="6:12">
      <c r="F1012" s="86">
        <v>44747</v>
      </c>
      <c r="G1012" s="87">
        <v>15810.85</v>
      </c>
      <c r="H1012" s="59"/>
      <c r="I1012" s="5"/>
      <c r="J1012" s="5"/>
      <c r="K1012" s="5"/>
      <c r="L1012" s="59"/>
    </row>
    <row r="1013" customHeight="1" spans="6:12">
      <c r="F1013" s="86">
        <v>44746</v>
      </c>
      <c r="G1013" s="87">
        <v>15835.35</v>
      </c>
      <c r="H1013" s="59"/>
      <c r="I1013" s="5"/>
      <c r="J1013" s="5"/>
      <c r="K1013" s="5"/>
      <c r="L1013" s="59"/>
    </row>
    <row r="1014" customHeight="1" spans="6:12">
      <c r="F1014" s="86">
        <v>44743</v>
      </c>
      <c r="G1014" s="87">
        <v>15752.05</v>
      </c>
      <c r="H1014" s="59"/>
      <c r="I1014" s="5"/>
      <c r="J1014" s="5"/>
      <c r="K1014" s="5"/>
      <c r="L1014" s="59"/>
    </row>
    <row r="1015" customHeight="1" spans="6:12">
      <c r="F1015" s="86">
        <v>44742</v>
      </c>
      <c r="G1015" s="87">
        <v>15780.25</v>
      </c>
      <c r="H1015" s="59"/>
      <c r="I1015" s="5"/>
      <c r="J1015" s="5"/>
      <c r="K1015" s="5"/>
      <c r="L1015" s="59"/>
    </row>
    <row r="1016" customHeight="1" spans="6:12">
      <c r="F1016" s="86">
        <v>44741</v>
      </c>
      <c r="G1016" s="87">
        <v>15799.1</v>
      </c>
      <c r="H1016" s="59"/>
      <c r="I1016" s="5"/>
      <c r="J1016" s="5"/>
      <c r="K1016" s="5"/>
      <c r="L1016" s="59"/>
    </row>
    <row r="1017" customHeight="1" spans="6:12">
      <c r="F1017" s="86">
        <v>44740</v>
      </c>
      <c r="G1017" s="87">
        <v>15850.2</v>
      </c>
      <c r="H1017" s="59"/>
      <c r="I1017" s="5"/>
      <c r="J1017" s="5"/>
      <c r="K1017" s="5"/>
      <c r="L1017" s="59"/>
    </row>
    <row r="1018" customHeight="1" spans="6:12">
      <c r="F1018" s="86">
        <v>44739</v>
      </c>
      <c r="G1018" s="87">
        <v>15832.05</v>
      </c>
      <c r="H1018" s="59"/>
      <c r="I1018" s="5"/>
      <c r="J1018" s="5"/>
      <c r="K1018" s="5"/>
      <c r="L1018" s="59"/>
    </row>
    <row r="1019" customHeight="1" spans="6:12">
      <c r="F1019" s="86">
        <v>44736</v>
      </c>
      <c r="G1019" s="87">
        <v>15699.25</v>
      </c>
      <c r="H1019" s="59"/>
      <c r="I1019" s="5"/>
      <c r="J1019" s="5"/>
      <c r="K1019" s="5"/>
      <c r="L1019" s="59"/>
    </row>
    <row r="1020" customHeight="1" spans="6:12">
      <c r="F1020" s="86">
        <v>44735</v>
      </c>
      <c r="G1020" s="87">
        <v>15556.65</v>
      </c>
      <c r="H1020" s="59"/>
      <c r="I1020" s="5"/>
      <c r="J1020" s="5"/>
      <c r="K1020" s="5"/>
      <c r="L1020" s="59"/>
    </row>
    <row r="1021" customHeight="1" spans="6:12">
      <c r="F1021" s="86">
        <v>44734</v>
      </c>
      <c r="G1021" s="87">
        <v>15413.3</v>
      </c>
      <c r="H1021" s="59"/>
      <c r="I1021" s="5"/>
      <c r="J1021" s="5"/>
      <c r="K1021" s="5"/>
      <c r="L1021" s="59"/>
    </row>
    <row r="1022" customHeight="1" spans="6:12">
      <c r="F1022" s="86">
        <v>44733</v>
      </c>
      <c r="G1022" s="87">
        <v>15638.8</v>
      </c>
      <c r="H1022" s="59"/>
      <c r="I1022" s="5"/>
      <c r="J1022" s="5"/>
      <c r="K1022" s="5"/>
      <c r="L1022" s="59"/>
    </row>
    <row r="1023" customHeight="1" spans="6:12">
      <c r="F1023" s="86">
        <v>44732</v>
      </c>
      <c r="G1023" s="87">
        <v>15350.15</v>
      </c>
      <c r="H1023" s="59"/>
      <c r="I1023" s="5"/>
      <c r="J1023" s="5"/>
      <c r="K1023" s="5"/>
      <c r="L1023" s="59"/>
    </row>
    <row r="1024" customHeight="1" spans="6:12">
      <c r="F1024" s="86">
        <v>44729</v>
      </c>
      <c r="G1024" s="87">
        <v>15293.5</v>
      </c>
      <c r="H1024" s="59"/>
      <c r="I1024" s="5"/>
      <c r="J1024" s="5"/>
      <c r="K1024" s="5"/>
      <c r="L1024" s="59"/>
    </row>
    <row r="1025" customHeight="1" spans="6:12">
      <c r="F1025" s="86">
        <v>44728</v>
      </c>
      <c r="G1025" s="87">
        <v>15360.6</v>
      </c>
      <c r="H1025" s="59"/>
      <c r="I1025" s="5"/>
      <c r="J1025" s="5"/>
      <c r="K1025" s="5"/>
      <c r="L1025" s="59"/>
    </row>
    <row r="1026" customHeight="1" spans="6:12">
      <c r="F1026" s="86">
        <v>44727</v>
      </c>
      <c r="G1026" s="87">
        <v>15692.15</v>
      </c>
      <c r="H1026" s="59"/>
      <c r="I1026" s="5"/>
      <c r="J1026" s="5"/>
      <c r="K1026" s="5"/>
      <c r="L1026" s="59"/>
    </row>
    <row r="1027" customHeight="1" spans="6:12">
      <c r="F1027" s="86">
        <v>44726</v>
      </c>
      <c r="G1027" s="87">
        <v>15732.1</v>
      </c>
      <c r="H1027" s="59"/>
      <c r="I1027" s="5"/>
      <c r="J1027" s="5"/>
      <c r="K1027" s="5"/>
      <c r="L1027" s="59"/>
    </row>
    <row r="1028" customHeight="1" spans="6:12">
      <c r="F1028" s="86">
        <v>44725</v>
      </c>
      <c r="G1028" s="87">
        <v>15774.4</v>
      </c>
      <c r="H1028" s="59"/>
      <c r="I1028" s="5"/>
      <c r="J1028" s="5"/>
      <c r="K1028" s="5"/>
      <c r="L1028" s="59"/>
    </row>
    <row r="1029" customHeight="1" spans="6:12">
      <c r="F1029" s="86">
        <v>44722</v>
      </c>
      <c r="G1029" s="87">
        <v>16201.8</v>
      </c>
      <c r="H1029" s="59"/>
      <c r="I1029" s="5"/>
      <c r="J1029" s="5"/>
      <c r="K1029" s="5"/>
      <c r="L1029" s="59"/>
    </row>
    <row r="1030" customHeight="1" spans="6:12">
      <c r="F1030" s="86">
        <v>44721</v>
      </c>
      <c r="G1030" s="87">
        <v>16478.1</v>
      </c>
      <c r="H1030" s="59"/>
      <c r="I1030" s="5"/>
      <c r="J1030" s="5"/>
      <c r="K1030" s="5"/>
      <c r="L1030" s="59"/>
    </row>
    <row r="1031" customHeight="1" spans="6:12">
      <c r="F1031" s="86">
        <v>44720</v>
      </c>
      <c r="G1031" s="87">
        <v>16356.25</v>
      </c>
      <c r="H1031" s="59"/>
      <c r="I1031" s="5"/>
      <c r="J1031" s="5"/>
      <c r="K1031" s="5"/>
      <c r="L1031" s="59"/>
    </row>
    <row r="1032" customHeight="1" spans="6:12">
      <c r="F1032" s="86">
        <v>44719</v>
      </c>
      <c r="G1032" s="87">
        <v>16416.35</v>
      </c>
      <c r="H1032" s="59"/>
      <c r="I1032" s="5"/>
      <c r="J1032" s="5"/>
      <c r="K1032" s="5"/>
      <c r="L1032" s="59"/>
    </row>
    <row r="1033" customHeight="1" spans="6:12">
      <c r="F1033" s="86">
        <v>44718</v>
      </c>
      <c r="G1033" s="87">
        <v>16569.55</v>
      </c>
      <c r="H1033" s="59"/>
      <c r="I1033" s="5"/>
      <c r="J1033" s="5"/>
      <c r="K1033" s="5"/>
      <c r="L1033" s="59"/>
    </row>
    <row r="1034" customHeight="1" spans="6:12">
      <c r="F1034" s="86">
        <v>44715</v>
      </c>
      <c r="G1034" s="87">
        <v>16584.3</v>
      </c>
      <c r="H1034" s="59"/>
      <c r="I1034" s="5"/>
      <c r="J1034" s="5"/>
      <c r="K1034" s="5"/>
      <c r="L1034" s="59"/>
    </row>
    <row r="1035" customHeight="1" spans="6:12">
      <c r="F1035" s="86">
        <v>44714</v>
      </c>
      <c r="G1035" s="87">
        <v>16628</v>
      </c>
      <c r="H1035" s="59"/>
      <c r="I1035" s="5"/>
      <c r="J1035" s="5"/>
      <c r="K1035" s="5"/>
      <c r="L1035" s="59"/>
    </row>
    <row r="1036" customHeight="1" spans="6:12">
      <c r="F1036" s="86">
        <v>44713</v>
      </c>
      <c r="G1036" s="87">
        <v>16522.75</v>
      </c>
      <c r="H1036" s="59"/>
      <c r="I1036" s="5"/>
      <c r="J1036" s="5"/>
      <c r="K1036" s="5"/>
      <c r="L1036" s="59"/>
    </row>
    <row r="1037" customHeight="1" spans="6:12">
      <c r="F1037" s="86">
        <v>44712</v>
      </c>
      <c r="G1037" s="87">
        <v>16584.55</v>
      </c>
      <c r="H1037" s="59"/>
      <c r="I1037" s="5"/>
      <c r="J1037" s="5"/>
      <c r="K1037" s="5"/>
      <c r="L1037" s="59"/>
    </row>
    <row r="1038" customHeight="1" spans="6:12">
      <c r="F1038" s="86">
        <v>44711</v>
      </c>
      <c r="G1038" s="87">
        <v>16661.4</v>
      </c>
      <c r="H1038" s="59"/>
      <c r="I1038" s="5"/>
      <c r="J1038" s="5"/>
      <c r="K1038" s="5"/>
      <c r="L1038" s="59"/>
    </row>
    <row r="1039" customHeight="1" spans="6:12">
      <c r="F1039" s="86">
        <v>44708</v>
      </c>
      <c r="G1039" s="87">
        <v>16352.45</v>
      </c>
      <c r="H1039" s="59"/>
      <c r="I1039" s="5"/>
      <c r="J1039" s="5"/>
      <c r="K1039" s="5"/>
      <c r="L1039" s="59"/>
    </row>
    <row r="1040" customHeight="1" spans="6:12">
      <c r="F1040" s="86">
        <v>44707</v>
      </c>
      <c r="G1040" s="87">
        <v>16170.15</v>
      </c>
      <c r="H1040" s="59"/>
      <c r="I1040" s="5"/>
      <c r="J1040" s="5"/>
      <c r="K1040" s="5"/>
      <c r="L1040" s="59"/>
    </row>
    <row r="1041" customHeight="1" spans="6:12">
      <c r="F1041" s="86">
        <v>44706</v>
      </c>
      <c r="G1041" s="87">
        <v>16025.8</v>
      </c>
      <c r="H1041" s="59"/>
      <c r="I1041" s="5"/>
      <c r="J1041" s="5"/>
      <c r="K1041" s="5"/>
      <c r="L1041" s="59"/>
    </row>
    <row r="1042" customHeight="1" spans="6:12">
      <c r="F1042" s="86">
        <v>44705</v>
      </c>
      <c r="G1042" s="87">
        <v>16125.15</v>
      </c>
      <c r="H1042" s="59"/>
      <c r="I1042" s="5"/>
      <c r="J1042" s="5"/>
      <c r="K1042" s="5"/>
      <c r="L1042" s="59"/>
    </row>
    <row r="1043" customHeight="1" spans="6:12">
      <c r="F1043" s="86">
        <v>44704</v>
      </c>
      <c r="G1043" s="87">
        <v>16214.7</v>
      </c>
      <c r="H1043" s="59"/>
      <c r="I1043" s="5"/>
      <c r="J1043" s="5"/>
      <c r="K1043" s="5"/>
      <c r="L1043" s="59"/>
    </row>
    <row r="1044" customHeight="1" spans="6:12">
      <c r="F1044" s="86">
        <v>44701</v>
      </c>
      <c r="G1044" s="87">
        <v>16266.15</v>
      </c>
      <c r="H1044" s="59"/>
      <c r="I1044" s="5"/>
      <c r="J1044" s="5"/>
      <c r="K1044" s="5"/>
      <c r="L1044" s="59"/>
    </row>
    <row r="1045" customHeight="1" spans="6:12">
      <c r="F1045" s="86">
        <v>44700</v>
      </c>
      <c r="G1045" s="87">
        <v>15809.4</v>
      </c>
      <c r="H1045" s="59"/>
      <c r="I1045" s="5"/>
      <c r="J1045" s="5"/>
      <c r="K1045" s="5"/>
      <c r="L1045" s="59"/>
    </row>
    <row r="1046" customHeight="1" spans="6:12">
      <c r="F1046" s="86">
        <v>44699</v>
      </c>
      <c r="G1046" s="87">
        <v>16240.3</v>
      </c>
      <c r="H1046" s="59"/>
      <c r="I1046" s="5"/>
      <c r="J1046" s="5"/>
      <c r="K1046" s="5"/>
      <c r="L1046" s="59"/>
    </row>
    <row r="1047" customHeight="1" spans="6:12">
      <c r="F1047" s="86">
        <v>44698</v>
      </c>
      <c r="G1047" s="87">
        <v>16259.3</v>
      </c>
      <c r="H1047" s="59"/>
      <c r="I1047" s="5"/>
      <c r="J1047" s="5"/>
      <c r="K1047" s="5"/>
      <c r="L1047" s="59"/>
    </row>
    <row r="1048" customHeight="1" spans="6:12">
      <c r="F1048" s="86">
        <v>44697</v>
      </c>
      <c r="G1048" s="87">
        <v>15842.3</v>
      </c>
      <c r="H1048" s="59"/>
      <c r="I1048" s="5"/>
      <c r="J1048" s="5"/>
      <c r="K1048" s="5"/>
      <c r="L1048" s="59"/>
    </row>
    <row r="1049" customHeight="1" spans="6:12">
      <c r="F1049" s="86">
        <v>44694</v>
      </c>
      <c r="G1049" s="87">
        <v>15782.15</v>
      </c>
      <c r="H1049" s="59"/>
      <c r="I1049" s="5"/>
      <c r="J1049" s="5"/>
      <c r="K1049" s="5"/>
      <c r="L1049" s="59"/>
    </row>
    <row r="1050" customHeight="1" spans="6:12">
      <c r="F1050" s="86">
        <v>44693</v>
      </c>
      <c r="G1050" s="87">
        <v>15808</v>
      </c>
      <c r="H1050" s="59"/>
      <c r="I1050" s="5"/>
      <c r="J1050" s="5"/>
      <c r="K1050" s="5"/>
      <c r="L1050" s="59"/>
    </row>
    <row r="1051" customHeight="1" spans="6:12">
      <c r="F1051" s="86">
        <v>44692</v>
      </c>
      <c r="G1051" s="87">
        <v>16167.1</v>
      </c>
      <c r="H1051" s="59"/>
      <c r="I1051" s="5"/>
      <c r="J1051" s="5"/>
      <c r="K1051" s="5"/>
      <c r="L1051" s="59"/>
    </row>
    <row r="1052" customHeight="1" spans="6:12">
      <c r="F1052" s="86">
        <v>44691</v>
      </c>
      <c r="G1052" s="87">
        <v>16240.05</v>
      </c>
      <c r="H1052" s="59"/>
      <c r="I1052" s="5"/>
      <c r="J1052" s="5"/>
      <c r="K1052" s="5"/>
      <c r="L1052" s="59"/>
    </row>
    <row r="1053" customHeight="1" spans="6:12">
      <c r="F1053" s="86">
        <v>44690</v>
      </c>
      <c r="G1053" s="87">
        <v>16301.85</v>
      </c>
      <c r="H1053" s="59"/>
      <c r="I1053" s="5"/>
      <c r="J1053" s="5"/>
      <c r="K1053" s="5"/>
      <c r="L1053" s="59"/>
    </row>
    <row r="1054" customHeight="1" spans="6:12">
      <c r="F1054" s="86">
        <v>44687</v>
      </c>
      <c r="G1054" s="87">
        <v>16411.25</v>
      </c>
      <c r="H1054" s="59"/>
      <c r="I1054" s="5"/>
      <c r="J1054" s="5"/>
      <c r="K1054" s="5"/>
      <c r="L1054" s="59"/>
    </row>
    <row r="1055" customHeight="1" spans="6:12">
      <c r="F1055" s="86">
        <v>44686</v>
      </c>
      <c r="G1055" s="87">
        <v>16682.65</v>
      </c>
      <c r="H1055" s="59"/>
      <c r="I1055" s="5"/>
      <c r="J1055" s="5"/>
      <c r="K1055" s="5"/>
      <c r="L1055" s="59"/>
    </row>
    <row r="1056" customHeight="1" spans="6:12">
      <c r="F1056" s="86">
        <v>44685</v>
      </c>
      <c r="G1056" s="87">
        <v>16677.6</v>
      </c>
      <c r="H1056" s="59"/>
      <c r="I1056" s="5"/>
      <c r="J1056" s="5"/>
      <c r="K1056" s="5"/>
      <c r="L1056" s="59"/>
    </row>
    <row r="1057" customHeight="1" spans="6:12">
      <c r="F1057" s="86">
        <v>44683</v>
      </c>
      <c r="G1057" s="87">
        <v>17069.1</v>
      </c>
      <c r="H1057" s="59"/>
      <c r="I1057" s="5"/>
      <c r="J1057" s="5"/>
      <c r="K1057" s="5"/>
      <c r="L1057" s="59"/>
    </row>
    <row r="1058" customHeight="1" spans="6:12">
      <c r="F1058" s="86">
        <v>44680</v>
      </c>
      <c r="G1058" s="87">
        <v>17102.55</v>
      </c>
      <c r="H1058" s="59"/>
      <c r="I1058" s="5"/>
      <c r="J1058" s="5"/>
      <c r="K1058" s="5"/>
      <c r="L1058" s="59"/>
    </row>
    <row r="1059" customHeight="1" spans="6:12">
      <c r="F1059" s="86">
        <v>44679</v>
      </c>
      <c r="G1059" s="87">
        <v>17245.05</v>
      </c>
      <c r="H1059" s="59"/>
      <c r="I1059" s="5"/>
      <c r="J1059" s="5"/>
      <c r="K1059" s="5"/>
      <c r="L1059" s="59"/>
    </row>
    <row r="1060" customHeight="1" spans="6:12">
      <c r="F1060" s="86">
        <v>44678</v>
      </c>
      <c r="G1060" s="87">
        <v>17038.4</v>
      </c>
      <c r="H1060" s="59"/>
      <c r="I1060" s="5"/>
      <c r="J1060" s="5"/>
      <c r="K1060" s="5"/>
      <c r="L1060" s="59"/>
    </row>
    <row r="1061" customHeight="1" spans="6:12">
      <c r="F1061" s="86">
        <v>44677</v>
      </c>
      <c r="G1061" s="87">
        <v>17200.8</v>
      </c>
      <c r="H1061" s="59"/>
      <c r="I1061" s="5"/>
      <c r="J1061" s="5"/>
      <c r="K1061" s="5"/>
      <c r="L1061" s="59"/>
    </row>
    <row r="1062" customHeight="1" spans="6:12">
      <c r="F1062" s="86">
        <v>44676</v>
      </c>
      <c r="G1062" s="87">
        <v>16953.95</v>
      </c>
      <c r="H1062" s="59"/>
      <c r="I1062" s="5"/>
      <c r="J1062" s="5"/>
      <c r="K1062" s="5"/>
      <c r="L1062" s="59"/>
    </row>
    <row r="1063" customHeight="1" spans="6:12">
      <c r="F1063" s="86">
        <v>44673</v>
      </c>
      <c r="G1063" s="87">
        <v>17171.95</v>
      </c>
      <c r="H1063" s="59"/>
      <c r="I1063" s="5"/>
      <c r="J1063" s="5"/>
      <c r="K1063" s="5"/>
      <c r="L1063" s="59"/>
    </row>
    <row r="1064" customHeight="1" spans="6:12">
      <c r="F1064" s="86">
        <v>44672</v>
      </c>
      <c r="G1064" s="87">
        <v>17392.6</v>
      </c>
      <c r="H1064" s="59"/>
      <c r="I1064" s="5"/>
      <c r="J1064" s="5"/>
      <c r="K1064" s="5"/>
      <c r="L1064" s="59"/>
    </row>
    <row r="1065" customHeight="1" spans="6:12">
      <c r="F1065" s="86">
        <v>44671</v>
      </c>
      <c r="G1065" s="87">
        <v>17136.55</v>
      </c>
      <c r="H1065" s="59"/>
      <c r="I1065" s="5"/>
      <c r="J1065" s="5"/>
      <c r="K1065" s="5"/>
      <c r="L1065" s="59"/>
    </row>
    <row r="1066" customHeight="1" spans="6:12">
      <c r="F1066" s="86">
        <v>44670</v>
      </c>
      <c r="G1066" s="87">
        <v>16958.65</v>
      </c>
      <c r="H1066" s="59"/>
      <c r="I1066" s="5"/>
      <c r="J1066" s="5"/>
      <c r="K1066" s="5"/>
      <c r="L1066" s="59"/>
    </row>
    <row r="1067" customHeight="1" spans="6:12">
      <c r="F1067" s="86">
        <v>44669</v>
      </c>
      <c r="G1067" s="87">
        <v>17173.65</v>
      </c>
      <c r="H1067" s="59"/>
      <c r="I1067" s="5"/>
      <c r="J1067" s="5"/>
      <c r="K1067" s="5"/>
      <c r="L1067" s="59"/>
    </row>
    <row r="1068" customHeight="1" spans="6:12">
      <c r="F1068" s="86">
        <v>44664</v>
      </c>
      <c r="G1068" s="87">
        <v>17475.65</v>
      </c>
      <c r="H1068" s="59"/>
      <c r="I1068" s="5"/>
      <c r="J1068" s="5"/>
      <c r="K1068" s="5"/>
      <c r="L1068" s="59"/>
    </row>
    <row r="1069" customHeight="1" spans="6:12">
      <c r="F1069" s="86">
        <v>44663</v>
      </c>
      <c r="G1069" s="87">
        <v>17530.3</v>
      </c>
      <c r="H1069" s="59"/>
      <c r="I1069" s="5"/>
      <c r="J1069" s="5"/>
      <c r="K1069" s="5"/>
      <c r="L1069" s="59"/>
    </row>
    <row r="1070" customHeight="1" spans="6:12">
      <c r="F1070" s="86">
        <v>44662</v>
      </c>
      <c r="G1070" s="87">
        <v>17674.95</v>
      </c>
      <c r="H1070" s="59"/>
      <c r="I1070" s="5"/>
      <c r="J1070" s="5"/>
      <c r="K1070" s="5"/>
      <c r="L1070" s="59"/>
    </row>
    <row r="1071" customHeight="1" spans="6:12">
      <c r="F1071" s="86">
        <v>44659</v>
      </c>
      <c r="G1071" s="87">
        <v>17784.35</v>
      </c>
      <c r="H1071" s="59"/>
      <c r="I1071" s="5"/>
      <c r="J1071" s="5"/>
      <c r="K1071" s="5"/>
      <c r="L1071" s="59"/>
    </row>
    <row r="1072" customHeight="1" spans="6:12">
      <c r="F1072" s="86">
        <v>44658</v>
      </c>
      <c r="G1072" s="87">
        <v>17639.55</v>
      </c>
      <c r="H1072" s="59"/>
      <c r="I1072" s="5"/>
      <c r="J1072" s="5"/>
      <c r="K1072" s="5"/>
      <c r="L1072" s="59"/>
    </row>
    <row r="1073" customHeight="1" spans="6:12">
      <c r="F1073" s="86">
        <v>44657</v>
      </c>
      <c r="G1073" s="87">
        <v>17807.65</v>
      </c>
      <c r="H1073" s="59"/>
      <c r="I1073" s="5"/>
      <c r="J1073" s="5"/>
      <c r="K1073" s="5"/>
      <c r="L1073" s="59"/>
    </row>
    <row r="1074" customHeight="1" spans="6:12">
      <c r="F1074" s="86">
        <v>44656</v>
      </c>
      <c r="G1074" s="87">
        <v>17957.4</v>
      </c>
      <c r="H1074" s="59"/>
      <c r="I1074" s="5"/>
      <c r="J1074" s="5"/>
      <c r="K1074" s="5"/>
      <c r="L1074" s="59"/>
    </row>
    <row r="1075" customHeight="1" spans="6:12">
      <c r="F1075" s="86">
        <v>44655</v>
      </c>
      <c r="G1075" s="87">
        <v>18053.4</v>
      </c>
      <c r="H1075" s="59"/>
      <c r="I1075" s="5"/>
      <c r="J1075" s="5"/>
      <c r="K1075" s="5"/>
      <c r="L1075" s="59"/>
    </row>
    <row r="1076" customHeight="1" spans="6:12">
      <c r="F1076" s="86">
        <v>44652</v>
      </c>
      <c r="G1076" s="87">
        <v>17670.45</v>
      </c>
      <c r="H1076" s="59"/>
      <c r="I1076" s="5"/>
      <c r="J1076" s="5"/>
      <c r="K1076" s="5"/>
      <c r="L1076" s="59"/>
    </row>
    <row r="1077" customHeight="1" spans="6:12">
      <c r="F1077" s="86">
        <v>44651</v>
      </c>
      <c r="G1077" s="87">
        <v>17464.75</v>
      </c>
      <c r="H1077" s="59"/>
      <c r="I1077" s="5"/>
      <c r="J1077" s="5"/>
      <c r="K1077" s="5"/>
      <c r="L1077" s="59"/>
    </row>
    <row r="1078" customHeight="1" spans="6:12">
      <c r="F1078" s="86">
        <v>44650</v>
      </c>
      <c r="G1078" s="87">
        <v>17498.25</v>
      </c>
      <c r="H1078" s="59"/>
      <c r="I1078" s="5"/>
      <c r="J1078" s="5"/>
      <c r="K1078" s="5"/>
      <c r="L1078" s="59"/>
    </row>
    <row r="1079" customHeight="1" spans="6:12">
      <c r="F1079" s="86">
        <v>44649</v>
      </c>
      <c r="G1079" s="87">
        <v>17325.3</v>
      </c>
      <c r="H1079" s="59"/>
      <c r="I1079" s="5"/>
      <c r="J1079" s="5"/>
      <c r="K1079" s="5"/>
      <c r="L1079" s="59"/>
    </row>
    <row r="1080" customHeight="1" spans="6:12">
      <c r="F1080" s="86">
        <v>44648</v>
      </c>
      <c r="G1080" s="87">
        <v>17222</v>
      </c>
      <c r="H1080" s="59"/>
      <c r="I1080" s="5"/>
      <c r="J1080" s="5"/>
      <c r="K1080" s="5"/>
      <c r="L1080" s="59"/>
    </row>
    <row r="1081" customHeight="1" spans="6:12">
      <c r="F1081" s="86">
        <v>44645</v>
      </c>
      <c r="G1081" s="87">
        <v>17153</v>
      </c>
      <c r="H1081" s="59"/>
      <c r="I1081" s="5"/>
      <c r="J1081" s="5"/>
      <c r="K1081" s="5"/>
      <c r="L1081" s="59"/>
    </row>
    <row r="1082" customHeight="1" spans="6:12">
      <c r="F1082" s="86">
        <v>44644</v>
      </c>
      <c r="G1082" s="87">
        <v>17222.75</v>
      </c>
      <c r="H1082" s="59"/>
      <c r="I1082" s="5"/>
      <c r="J1082" s="5"/>
      <c r="K1082" s="5"/>
      <c r="L1082" s="59"/>
    </row>
    <row r="1083" customHeight="1" spans="6:12">
      <c r="F1083" s="86">
        <v>44643</v>
      </c>
      <c r="G1083" s="87">
        <v>17245.65</v>
      </c>
      <c r="H1083" s="59"/>
      <c r="I1083" s="5"/>
      <c r="J1083" s="5"/>
      <c r="K1083" s="5"/>
      <c r="L1083" s="59"/>
    </row>
    <row r="1084" customHeight="1" spans="6:12">
      <c r="F1084" s="86">
        <v>44642</v>
      </c>
      <c r="G1084" s="87">
        <v>17315.5</v>
      </c>
      <c r="H1084" s="59"/>
      <c r="I1084" s="5"/>
      <c r="J1084" s="5"/>
      <c r="K1084" s="5"/>
      <c r="L1084" s="59"/>
    </row>
    <row r="1085" customHeight="1" spans="6:12">
      <c r="F1085" s="86">
        <v>44641</v>
      </c>
      <c r="G1085" s="87">
        <v>17117.6</v>
      </c>
      <c r="H1085" s="59"/>
      <c r="I1085" s="5"/>
      <c r="J1085" s="5"/>
      <c r="K1085" s="5"/>
      <c r="L1085" s="59"/>
    </row>
    <row r="1086" customHeight="1" spans="6:12">
      <c r="F1086" s="86">
        <v>44637</v>
      </c>
      <c r="G1086" s="87">
        <v>17287.05</v>
      </c>
      <c r="H1086" s="59"/>
      <c r="I1086" s="5"/>
      <c r="J1086" s="5"/>
      <c r="K1086" s="5"/>
      <c r="L1086" s="59"/>
    </row>
    <row r="1087" customHeight="1" spans="6:12">
      <c r="F1087" s="86">
        <v>44636</v>
      </c>
      <c r="G1087" s="87">
        <v>16975.35</v>
      </c>
      <c r="H1087" s="59"/>
      <c r="I1087" s="5"/>
      <c r="J1087" s="5"/>
      <c r="K1087" s="5"/>
      <c r="L1087" s="59"/>
    </row>
    <row r="1088" customHeight="1" spans="6:12">
      <c r="F1088" s="86">
        <v>44635</v>
      </c>
      <c r="G1088" s="87">
        <v>16663</v>
      </c>
      <c r="H1088" s="59"/>
      <c r="I1088" s="5"/>
      <c r="J1088" s="5"/>
      <c r="K1088" s="5"/>
      <c r="L1088" s="59"/>
    </row>
    <row r="1089" customHeight="1" spans="6:12">
      <c r="F1089" s="86">
        <v>44634</v>
      </c>
      <c r="G1089" s="87">
        <v>16871.3</v>
      </c>
      <c r="H1089" s="59"/>
      <c r="I1089" s="5"/>
      <c r="J1089" s="5"/>
      <c r="K1089" s="5"/>
      <c r="L1089" s="59"/>
    </row>
    <row r="1090" customHeight="1" spans="6:12">
      <c r="F1090" s="86">
        <v>44631</v>
      </c>
      <c r="G1090" s="87">
        <v>16630.45</v>
      </c>
      <c r="H1090" s="59"/>
      <c r="I1090" s="5"/>
      <c r="J1090" s="5"/>
      <c r="K1090" s="5"/>
      <c r="L1090" s="59"/>
    </row>
    <row r="1091" customHeight="1" spans="6:12">
      <c r="F1091" s="86">
        <v>44630</v>
      </c>
      <c r="G1091" s="87">
        <v>16594.9</v>
      </c>
      <c r="H1091" s="59"/>
      <c r="I1091" s="5"/>
      <c r="J1091" s="5"/>
      <c r="K1091" s="5"/>
      <c r="L1091" s="59"/>
    </row>
    <row r="1092" customHeight="1" spans="6:12">
      <c r="F1092" s="86">
        <v>44629</v>
      </c>
      <c r="G1092" s="87">
        <v>16345.35</v>
      </c>
      <c r="H1092" s="59"/>
      <c r="I1092" s="5"/>
      <c r="J1092" s="5"/>
      <c r="K1092" s="5"/>
      <c r="L1092" s="59"/>
    </row>
    <row r="1093" customHeight="1" spans="6:12">
      <c r="F1093" s="86">
        <v>44628</v>
      </c>
      <c r="G1093" s="87">
        <v>16013.45</v>
      </c>
      <c r="H1093" s="59"/>
      <c r="I1093" s="5"/>
      <c r="J1093" s="5"/>
      <c r="K1093" s="5"/>
      <c r="L1093" s="59"/>
    </row>
    <row r="1094" customHeight="1" spans="6:12">
      <c r="F1094" s="86">
        <v>44627</v>
      </c>
      <c r="G1094" s="87">
        <v>15863.15</v>
      </c>
      <c r="H1094" s="59"/>
      <c r="I1094" s="5"/>
      <c r="J1094" s="5"/>
      <c r="K1094" s="5"/>
      <c r="L1094" s="59"/>
    </row>
    <row r="1095" customHeight="1" spans="6:12">
      <c r="F1095" s="86">
        <v>44624</v>
      </c>
      <c r="G1095" s="87">
        <v>16245.35</v>
      </c>
      <c r="H1095" s="59"/>
      <c r="I1095" s="5"/>
      <c r="J1095" s="5"/>
      <c r="K1095" s="5"/>
      <c r="L1095" s="59"/>
    </row>
    <row r="1096" customHeight="1" spans="6:12">
      <c r="F1096" s="86">
        <v>44623</v>
      </c>
      <c r="G1096" s="87">
        <v>16498.05</v>
      </c>
      <c r="H1096" s="59"/>
      <c r="I1096" s="5"/>
      <c r="J1096" s="5"/>
      <c r="K1096" s="5"/>
      <c r="L1096" s="59"/>
    </row>
    <row r="1097" customHeight="1" spans="6:12">
      <c r="F1097" s="86">
        <v>44622</v>
      </c>
      <c r="G1097" s="87">
        <v>16605.95</v>
      </c>
      <c r="H1097" s="59"/>
      <c r="I1097" s="5"/>
      <c r="J1097" s="5"/>
      <c r="K1097" s="5"/>
      <c r="L1097" s="59"/>
    </row>
    <row r="1098" customHeight="1" spans="6:12">
      <c r="F1098" s="86">
        <v>44620</v>
      </c>
      <c r="G1098" s="87">
        <v>16793.9</v>
      </c>
      <c r="H1098" s="59"/>
      <c r="I1098" s="5"/>
      <c r="J1098" s="5"/>
      <c r="K1098" s="5"/>
      <c r="L1098" s="59"/>
    </row>
    <row r="1099" customHeight="1" spans="6:12">
      <c r="F1099" s="86">
        <v>44617</v>
      </c>
      <c r="G1099" s="87">
        <v>16658.4</v>
      </c>
      <c r="H1099" s="59"/>
      <c r="I1099" s="5"/>
      <c r="J1099" s="5"/>
      <c r="K1099" s="5"/>
      <c r="L1099" s="59"/>
    </row>
    <row r="1100" customHeight="1" spans="6:12">
      <c r="F1100" s="86">
        <v>44616</v>
      </c>
      <c r="G1100" s="87">
        <v>16247.95</v>
      </c>
      <c r="H1100" s="59"/>
      <c r="I1100" s="5"/>
      <c r="J1100" s="5"/>
      <c r="K1100" s="5"/>
      <c r="L1100" s="59"/>
    </row>
    <row r="1101" customHeight="1" spans="6:12">
      <c r="F1101" s="86">
        <v>44615</v>
      </c>
      <c r="G1101" s="87">
        <v>17063.25</v>
      </c>
      <c r="H1101" s="59"/>
      <c r="I1101" s="5"/>
      <c r="J1101" s="5"/>
      <c r="K1101" s="5"/>
      <c r="L1101" s="59"/>
    </row>
    <row r="1102" customHeight="1" spans="6:12">
      <c r="F1102" s="86">
        <v>44614</v>
      </c>
      <c r="G1102" s="87">
        <v>17092.2</v>
      </c>
      <c r="H1102" s="59"/>
      <c r="I1102" s="5"/>
      <c r="J1102" s="5"/>
      <c r="K1102" s="5"/>
      <c r="L1102" s="59"/>
    </row>
    <row r="1103" customHeight="1" spans="6:12">
      <c r="F1103" s="86">
        <v>44613</v>
      </c>
      <c r="G1103" s="87">
        <v>17206.65</v>
      </c>
      <c r="H1103" s="59"/>
      <c r="I1103" s="5"/>
      <c r="J1103" s="5"/>
      <c r="K1103" s="5"/>
      <c r="L1103" s="59"/>
    </row>
    <row r="1104" customHeight="1" spans="6:12">
      <c r="F1104" s="86">
        <v>44610</v>
      </c>
      <c r="G1104" s="87">
        <v>17276.3</v>
      </c>
      <c r="H1104" s="59"/>
      <c r="I1104" s="5"/>
      <c r="J1104" s="5"/>
      <c r="K1104" s="5"/>
      <c r="L1104" s="59"/>
    </row>
    <row r="1105" customHeight="1" spans="6:12">
      <c r="F1105" s="86">
        <v>44609</v>
      </c>
      <c r="G1105" s="87">
        <v>17304.6</v>
      </c>
      <c r="H1105" s="59"/>
      <c r="I1105" s="5"/>
      <c r="J1105" s="5"/>
      <c r="K1105" s="5"/>
      <c r="L1105" s="59"/>
    </row>
    <row r="1106" customHeight="1" spans="6:12">
      <c r="F1106" s="86">
        <v>44608</v>
      </c>
      <c r="G1106" s="87">
        <v>17322.2</v>
      </c>
      <c r="H1106" s="59"/>
      <c r="I1106" s="5"/>
      <c r="J1106" s="5"/>
      <c r="K1106" s="5"/>
      <c r="L1106" s="59"/>
    </row>
    <row r="1107" customHeight="1" spans="6:12">
      <c r="F1107" s="86">
        <v>44607</v>
      </c>
      <c r="G1107" s="87">
        <v>17352.45</v>
      </c>
      <c r="H1107" s="59"/>
      <c r="I1107" s="5"/>
      <c r="J1107" s="5"/>
      <c r="K1107" s="5"/>
      <c r="L1107" s="59"/>
    </row>
    <row r="1108" customHeight="1" spans="6:12">
      <c r="F1108" s="86">
        <v>44606</v>
      </c>
      <c r="G1108" s="87">
        <v>16842.8</v>
      </c>
      <c r="H1108" s="59"/>
      <c r="I1108" s="5"/>
      <c r="J1108" s="5"/>
      <c r="K1108" s="5"/>
      <c r="L1108" s="59"/>
    </row>
    <row r="1109" customHeight="1" spans="6:12">
      <c r="F1109" s="86">
        <v>44603</v>
      </c>
      <c r="G1109" s="87">
        <v>17374.75</v>
      </c>
      <c r="H1109" s="59"/>
      <c r="I1109" s="5"/>
      <c r="J1109" s="5"/>
      <c r="K1109" s="5"/>
      <c r="L1109" s="59"/>
    </row>
    <row r="1110" customHeight="1" spans="6:12">
      <c r="F1110" s="86">
        <v>44602</v>
      </c>
      <c r="G1110" s="87">
        <v>17605.85</v>
      </c>
      <c r="H1110" s="59"/>
      <c r="I1110" s="5"/>
      <c r="J1110" s="5"/>
      <c r="K1110" s="5"/>
      <c r="L1110" s="59"/>
    </row>
    <row r="1111" customHeight="1" spans="6:12">
      <c r="F1111" s="86">
        <v>44601</v>
      </c>
      <c r="G1111" s="87">
        <v>17463.8</v>
      </c>
      <c r="H1111" s="59"/>
      <c r="I1111" s="5"/>
      <c r="J1111" s="5"/>
      <c r="K1111" s="5"/>
      <c r="L1111" s="59"/>
    </row>
    <row r="1112" customHeight="1" spans="6:12">
      <c r="F1112" s="86">
        <v>44600</v>
      </c>
      <c r="G1112" s="87">
        <v>17266.75</v>
      </c>
      <c r="H1112" s="59"/>
      <c r="I1112" s="5"/>
      <c r="J1112" s="5"/>
      <c r="K1112" s="5"/>
      <c r="L1112" s="59"/>
    </row>
    <row r="1113" customHeight="1" spans="6:12">
      <c r="F1113" s="86">
        <v>44599</v>
      </c>
      <c r="G1113" s="87">
        <v>17213.6</v>
      </c>
      <c r="H1113" s="59"/>
      <c r="I1113" s="5"/>
      <c r="J1113" s="5"/>
      <c r="K1113" s="5"/>
      <c r="L1113" s="59"/>
    </row>
    <row r="1114" customHeight="1" spans="6:12">
      <c r="F1114" s="86">
        <v>44596</v>
      </c>
      <c r="G1114" s="87">
        <v>17516.3</v>
      </c>
      <c r="H1114" s="59"/>
      <c r="I1114" s="5"/>
      <c r="J1114" s="5"/>
      <c r="K1114" s="5"/>
      <c r="L1114" s="59"/>
    </row>
    <row r="1115" customHeight="1" spans="6:12">
      <c r="F1115" s="86">
        <v>44595</v>
      </c>
      <c r="G1115" s="87">
        <v>17560.2</v>
      </c>
      <c r="H1115" s="59"/>
      <c r="I1115" s="5"/>
      <c r="J1115" s="5"/>
      <c r="K1115" s="5"/>
      <c r="L1115" s="59"/>
    </row>
    <row r="1116" customHeight="1" spans="6:12">
      <c r="F1116" s="86">
        <v>44594</v>
      </c>
      <c r="G1116" s="87">
        <v>17780</v>
      </c>
      <c r="H1116" s="59"/>
      <c r="I1116" s="5"/>
      <c r="J1116" s="5"/>
      <c r="K1116" s="5"/>
      <c r="L1116" s="59"/>
    </row>
    <row r="1117" customHeight="1" spans="6:12">
      <c r="F1117" s="86">
        <v>44593</v>
      </c>
      <c r="G1117" s="87">
        <v>17576.85</v>
      </c>
      <c r="H1117" s="59"/>
      <c r="I1117" s="5"/>
      <c r="J1117" s="5"/>
      <c r="K1117" s="5"/>
      <c r="L1117" s="59"/>
    </row>
    <row r="1118" customHeight="1" spans="6:12">
      <c r="F1118" s="86">
        <v>44592</v>
      </c>
      <c r="G1118" s="87">
        <v>17339.85</v>
      </c>
      <c r="H1118" s="59"/>
      <c r="I1118" s="5"/>
      <c r="J1118" s="5"/>
      <c r="K1118" s="5"/>
      <c r="L1118" s="59"/>
    </row>
    <row r="1119" customHeight="1" spans="6:12">
      <c r="F1119" s="86">
        <v>44589</v>
      </c>
      <c r="G1119" s="87">
        <v>17101.95</v>
      </c>
      <c r="H1119" s="59"/>
      <c r="I1119" s="5"/>
      <c r="J1119" s="5"/>
      <c r="K1119" s="5"/>
      <c r="L1119" s="59"/>
    </row>
    <row r="1120" customHeight="1" spans="6:12">
      <c r="F1120" s="86">
        <v>44588</v>
      </c>
      <c r="G1120" s="87">
        <v>17110.15</v>
      </c>
      <c r="H1120" s="59"/>
      <c r="I1120" s="5"/>
      <c r="J1120" s="5"/>
      <c r="K1120" s="5"/>
      <c r="L1120" s="59"/>
    </row>
    <row r="1121" customHeight="1" spans="6:12">
      <c r="F1121" s="86">
        <v>44586</v>
      </c>
      <c r="G1121" s="87">
        <v>17277.95</v>
      </c>
      <c r="H1121" s="59"/>
      <c r="I1121" s="5"/>
      <c r="J1121" s="5"/>
      <c r="K1121" s="5"/>
      <c r="L1121" s="59"/>
    </row>
    <row r="1122" customHeight="1" spans="6:12">
      <c r="F1122" s="86">
        <v>44585</v>
      </c>
      <c r="G1122" s="87">
        <v>17149.1</v>
      </c>
      <c r="H1122" s="59"/>
      <c r="I1122" s="5"/>
      <c r="J1122" s="5"/>
      <c r="K1122" s="5"/>
      <c r="L1122" s="59"/>
    </row>
    <row r="1123" customHeight="1" spans="6:12">
      <c r="F1123" s="86">
        <v>44582</v>
      </c>
      <c r="G1123" s="87">
        <v>17617.15</v>
      </c>
      <c r="H1123" s="59"/>
      <c r="I1123" s="5"/>
      <c r="J1123" s="5"/>
      <c r="K1123" s="5"/>
      <c r="L1123" s="59"/>
    </row>
    <row r="1124" customHeight="1" spans="6:12">
      <c r="F1124" s="86">
        <v>44581</v>
      </c>
      <c r="G1124" s="87">
        <v>17757</v>
      </c>
      <c r="H1124" s="59"/>
      <c r="I1124" s="5"/>
      <c r="J1124" s="5"/>
      <c r="K1124" s="5"/>
      <c r="L1124" s="59"/>
    </row>
    <row r="1125" customHeight="1" spans="6:12">
      <c r="F1125" s="86">
        <v>44580</v>
      </c>
      <c r="G1125" s="87">
        <v>17938.4</v>
      </c>
      <c r="H1125" s="59"/>
      <c r="I1125" s="5"/>
      <c r="J1125" s="5"/>
      <c r="K1125" s="5"/>
      <c r="L1125" s="59"/>
    </row>
    <row r="1126" customHeight="1" spans="6:12">
      <c r="F1126" s="86">
        <v>44579</v>
      </c>
      <c r="G1126" s="87">
        <v>18113.05</v>
      </c>
      <c r="H1126" s="59"/>
      <c r="I1126" s="5"/>
      <c r="J1126" s="5"/>
      <c r="K1126" s="5"/>
      <c r="L1126" s="59"/>
    </row>
    <row r="1127" customHeight="1" spans="6:12">
      <c r="F1127" s="86">
        <v>44578</v>
      </c>
      <c r="G1127" s="87">
        <v>18308.1</v>
      </c>
      <c r="H1127" s="59"/>
      <c r="I1127" s="5"/>
      <c r="J1127" s="5"/>
      <c r="K1127" s="5"/>
      <c r="L1127" s="59"/>
    </row>
    <row r="1128" customHeight="1" spans="6:12">
      <c r="F1128" s="86">
        <v>44575</v>
      </c>
      <c r="G1128" s="87">
        <v>18255.75</v>
      </c>
      <c r="H1128" s="59"/>
      <c r="I1128" s="5"/>
      <c r="J1128" s="5"/>
      <c r="K1128" s="5"/>
      <c r="L1128" s="59"/>
    </row>
    <row r="1129" customHeight="1" spans="6:12">
      <c r="F1129" s="86">
        <v>44574</v>
      </c>
      <c r="G1129" s="87">
        <v>18257.8</v>
      </c>
      <c r="H1129" s="59"/>
      <c r="I1129" s="5"/>
      <c r="J1129" s="5"/>
      <c r="K1129" s="5"/>
      <c r="L1129" s="59"/>
    </row>
    <row r="1130" customHeight="1" spans="6:12">
      <c r="F1130" s="86">
        <v>44573</v>
      </c>
      <c r="G1130" s="87">
        <v>18212.35</v>
      </c>
      <c r="H1130" s="59"/>
      <c r="I1130" s="5"/>
      <c r="J1130" s="5"/>
      <c r="K1130" s="5"/>
      <c r="L1130" s="59"/>
    </row>
    <row r="1131" customHeight="1" spans="6:12">
      <c r="F1131" s="86">
        <v>44572</v>
      </c>
      <c r="G1131" s="87">
        <v>18055.75</v>
      </c>
      <c r="H1131" s="59"/>
      <c r="I1131" s="5"/>
      <c r="J1131" s="5"/>
      <c r="K1131" s="5"/>
      <c r="L1131" s="59"/>
    </row>
    <row r="1132" customHeight="1" spans="6:12">
      <c r="F1132" s="86">
        <v>44571</v>
      </c>
      <c r="G1132" s="87">
        <v>18003.3</v>
      </c>
      <c r="H1132" s="59"/>
      <c r="I1132" s="5"/>
      <c r="J1132" s="5"/>
      <c r="K1132" s="5"/>
      <c r="L1132" s="59"/>
    </row>
    <row r="1133" customHeight="1" spans="6:12">
      <c r="F1133" s="86">
        <v>44568</v>
      </c>
      <c r="G1133" s="87">
        <v>17812.7</v>
      </c>
      <c r="H1133" s="59"/>
      <c r="I1133" s="5"/>
      <c r="J1133" s="5"/>
      <c r="K1133" s="5"/>
      <c r="L1133" s="59"/>
    </row>
    <row r="1134" customHeight="1" spans="6:12">
      <c r="F1134" s="86">
        <v>44567</v>
      </c>
      <c r="G1134" s="87">
        <v>17745.9</v>
      </c>
      <c r="H1134" s="59"/>
      <c r="I1134" s="5"/>
      <c r="J1134" s="5"/>
      <c r="K1134" s="5"/>
      <c r="L1134" s="59"/>
    </row>
    <row r="1135" customHeight="1" spans="6:12">
      <c r="F1135" s="86">
        <v>44566</v>
      </c>
      <c r="G1135" s="87">
        <v>17925.25</v>
      </c>
      <c r="H1135" s="59"/>
      <c r="I1135" s="5"/>
      <c r="J1135" s="5"/>
      <c r="K1135" s="5"/>
      <c r="L1135" s="59"/>
    </row>
    <row r="1136" customHeight="1" spans="6:12">
      <c r="F1136" s="86">
        <v>44565</v>
      </c>
      <c r="G1136" s="87">
        <v>17805.25</v>
      </c>
      <c r="H1136" s="59"/>
      <c r="I1136" s="5"/>
      <c r="J1136" s="5"/>
      <c r="K1136" s="5"/>
      <c r="L1136" s="59"/>
    </row>
    <row r="1137" customHeight="1" spans="6:12">
      <c r="F1137" s="86">
        <v>44564</v>
      </c>
      <c r="G1137" s="87">
        <v>17625.7</v>
      </c>
      <c r="H1137" s="59"/>
      <c r="I1137" s="5"/>
      <c r="J1137" s="5"/>
      <c r="K1137" s="5"/>
      <c r="L1137" s="59"/>
    </row>
    <row r="1138" customHeight="1" spans="6:12">
      <c r="F1138" s="86">
        <v>44561</v>
      </c>
      <c r="G1138" s="87">
        <v>17354.05</v>
      </c>
      <c r="H1138" s="59"/>
      <c r="I1138" s="5"/>
      <c r="J1138" s="5"/>
      <c r="K1138" s="5"/>
      <c r="L1138" s="59"/>
    </row>
    <row r="1139" customHeight="1" spans="6:12">
      <c r="F1139" s="86">
        <v>44560</v>
      </c>
      <c r="G1139" s="87">
        <v>17203.95</v>
      </c>
      <c r="H1139" s="59"/>
      <c r="I1139" s="5"/>
      <c r="J1139" s="5"/>
      <c r="K1139" s="5"/>
      <c r="L1139" s="59"/>
    </row>
    <row r="1140" customHeight="1" spans="6:12">
      <c r="F1140" s="86">
        <v>44559</v>
      </c>
      <c r="G1140" s="87">
        <v>17213.6</v>
      </c>
      <c r="H1140" s="59"/>
      <c r="I1140" s="5"/>
      <c r="J1140" s="5"/>
      <c r="K1140" s="5"/>
      <c r="L1140" s="59"/>
    </row>
    <row r="1141" customHeight="1" spans="6:12">
      <c r="F1141" s="86">
        <v>44558</v>
      </c>
      <c r="G1141" s="87">
        <v>17233.25</v>
      </c>
      <c r="H1141" s="59"/>
      <c r="I1141" s="5"/>
      <c r="J1141" s="5"/>
      <c r="K1141" s="5"/>
      <c r="L1141" s="59"/>
    </row>
    <row r="1142" customHeight="1" spans="6:12">
      <c r="F1142" s="86">
        <v>44557</v>
      </c>
      <c r="G1142" s="87">
        <v>17086.25</v>
      </c>
      <c r="H1142" s="59"/>
      <c r="I1142" s="5"/>
      <c r="J1142" s="5"/>
      <c r="K1142" s="5"/>
      <c r="L1142" s="59"/>
    </row>
    <row r="1143" customHeight="1" spans="6:12">
      <c r="F1143" s="86">
        <v>44554</v>
      </c>
      <c r="G1143" s="87">
        <v>17003.75</v>
      </c>
      <c r="H1143" s="59"/>
      <c r="I1143" s="5"/>
      <c r="J1143" s="5"/>
      <c r="K1143" s="5"/>
      <c r="L1143" s="59"/>
    </row>
    <row r="1144" customHeight="1" spans="6:12">
      <c r="F1144" s="86">
        <v>44553</v>
      </c>
      <c r="G1144" s="87">
        <v>17072.6</v>
      </c>
      <c r="H1144" s="59"/>
      <c r="I1144" s="5"/>
      <c r="J1144" s="5"/>
      <c r="K1144" s="5"/>
      <c r="L1144" s="59"/>
    </row>
    <row r="1145" customHeight="1" spans="6:12">
      <c r="F1145" s="86">
        <v>44552</v>
      </c>
      <c r="G1145" s="87">
        <v>16955.45</v>
      </c>
      <c r="H1145" s="59"/>
      <c r="I1145" s="5"/>
      <c r="J1145" s="5"/>
      <c r="K1145" s="5"/>
      <c r="L1145" s="59"/>
    </row>
    <row r="1146" customHeight="1" spans="6:12">
      <c r="F1146" s="86">
        <v>44551</v>
      </c>
      <c r="G1146" s="87">
        <v>16770.85</v>
      </c>
      <c r="H1146" s="59"/>
      <c r="I1146" s="5"/>
      <c r="J1146" s="5"/>
      <c r="K1146" s="5"/>
      <c r="L1146" s="59"/>
    </row>
    <row r="1147" customHeight="1" spans="6:12">
      <c r="F1147" s="86">
        <v>44550</v>
      </c>
      <c r="G1147" s="87">
        <v>16614.2</v>
      </c>
      <c r="H1147" s="59"/>
      <c r="I1147" s="5"/>
      <c r="J1147" s="5"/>
      <c r="K1147" s="5"/>
      <c r="L1147" s="59"/>
    </row>
    <row r="1148" customHeight="1" spans="6:12">
      <c r="F1148" s="86">
        <v>44547</v>
      </c>
      <c r="G1148" s="87">
        <v>16985.2</v>
      </c>
      <c r="H1148" s="59"/>
      <c r="I1148" s="5"/>
      <c r="J1148" s="5"/>
      <c r="K1148" s="5"/>
      <c r="L1148" s="59"/>
    </row>
    <row r="1149" customHeight="1" spans="6:12">
      <c r="F1149" s="86">
        <v>44546</v>
      </c>
      <c r="G1149" s="87">
        <v>17248.4</v>
      </c>
      <c r="H1149" s="59"/>
      <c r="I1149" s="5"/>
      <c r="J1149" s="5"/>
      <c r="K1149" s="5"/>
      <c r="L1149" s="59"/>
    </row>
    <row r="1150" customHeight="1" spans="6:12">
      <c r="F1150" s="86">
        <v>44545</v>
      </c>
      <c r="G1150" s="87">
        <v>17221.4</v>
      </c>
      <c r="H1150" s="59"/>
      <c r="I1150" s="5"/>
      <c r="J1150" s="5"/>
      <c r="K1150" s="5"/>
      <c r="L1150" s="59"/>
    </row>
    <row r="1151" customHeight="1" spans="6:12">
      <c r="F1151" s="86">
        <v>44544</v>
      </c>
      <c r="G1151" s="87">
        <v>17324.9</v>
      </c>
      <c r="H1151" s="59"/>
      <c r="I1151" s="5"/>
      <c r="J1151" s="5"/>
      <c r="K1151" s="5"/>
      <c r="L1151" s="59"/>
    </row>
    <row r="1152" customHeight="1" spans="6:12">
      <c r="F1152" s="86">
        <v>44543</v>
      </c>
      <c r="G1152" s="87">
        <v>17368.25</v>
      </c>
      <c r="H1152" s="59"/>
      <c r="I1152" s="5"/>
      <c r="J1152" s="5"/>
      <c r="K1152" s="5"/>
      <c r="L1152" s="59"/>
    </row>
    <row r="1153" customHeight="1" spans="6:12">
      <c r="F1153" s="86">
        <v>44540</v>
      </c>
      <c r="G1153" s="87">
        <v>17511.3</v>
      </c>
      <c r="H1153" s="59"/>
      <c r="I1153" s="5"/>
      <c r="J1153" s="5"/>
      <c r="K1153" s="5"/>
      <c r="L1153" s="59"/>
    </row>
    <row r="1154" customHeight="1" spans="6:12">
      <c r="F1154" s="86">
        <v>44539</v>
      </c>
      <c r="G1154" s="87">
        <v>17516.85</v>
      </c>
      <c r="H1154" s="59"/>
      <c r="I1154" s="5"/>
      <c r="J1154" s="5"/>
      <c r="K1154" s="5"/>
      <c r="L1154" s="59"/>
    </row>
    <row r="1155" customHeight="1" spans="6:12">
      <c r="F1155" s="86">
        <v>44538</v>
      </c>
      <c r="G1155" s="87">
        <v>17469.75</v>
      </c>
      <c r="H1155" s="59"/>
      <c r="I1155" s="5"/>
      <c r="J1155" s="5"/>
      <c r="K1155" s="5"/>
      <c r="L1155" s="59"/>
    </row>
    <row r="1156" customHeight="1" spans="6:12">
      <c r="F1156" s="86">
        <v>44537</v>
      </c>
      <c r="G1156" s="87">
        <v>17176.7</v>
      </c>
      <c r="H1156" s="59"/>
      <c r="I1156" s="5"/>
      <c r="J1156" s="5"/>
      <c r="K1156" s="5"/>
      <c r="L1156" s="59"/>
    </row>
    <row r="1157" customHeight="1" spans="6:12">
      <c r="F1157" s="86">
        <v>44536</v>
      </c>
      <c r="G1157" s="87">
        <v>16912.25</v>
      </c>
      <c r="H1157" s="59"/>
      <c r="I1157" s="5"/>
      <c r="J1157" s="5"/>
      <c r="K1157" s="5"/>
      <c r="L1157" s="59"/>
    </row>
    <row r="1158" customHeight="1" spans="6:12">
      <c r="F1158" s="86">
        <v>44533</v>
      </c>
      <c r="G1158" s="87">
        <v>17196.7</v>
      </c>
      <c r="H1158" s="59"/>
      <c r="I1158" s="5"/>
      <c r="J1158" s="5"/>
      <c r="K1158" s="5"/>
      <c r="L1158" s="59"/>
    </row>
    <row r="1159" customHeight="1" spans="6:12">
      <c r="F1159" s="86">
        <v>44532</v>
      </c>
      <c r="G1159" s="87">
        <v>17401.65</v>
      </c>
      <c r="H1159" s="59"/>
      <c r="I1159" s="5"/>
      <c r="J1159" s="5"/>
      <c r="K1159" s="5"/>
      <c r="L1159" s="59"/>
    </row>
    <row r="1160" customHeight="1" spans="6:12">
      <c r="F1160" s="86">
        <v>44531</v>
      </c>
      <c r="G1160" s="87">
        <v>17166.9</v>
      </c>
      <c r="H1160" s="59"/>
      <c r="I1160" s="5"/>
      <c r="J1160" s="5"/>
      <c r="K1160" s="5"/>
      <c r="L1160" s="59"/>
    </row>
    <row r="1161" customHeight="1" spans="6:12">
      <c r="F1161" s="86">
        <v>44530</v>
      </c>
      <c r="G1161" s="87">
        <v>16983.2</v>
      </c>
      <c r="H1161" s="59"/>
      <c r="I1161" s="5"/>
      <c r="J1161" s="5"/>
      <c r="K1161" s="5"/>
      <c r="L1161" s="59"/>
    </row>
    <row r="1162" customHeight="1" spans="6:12">
      <c r="F1162" s="86">
        <v>44529</v>
      </c>
      <c r="G1162" s="87">
        <v>17053.95</v>
      </c>
      <c r="H1162" s="59"/>
      <c r="I1162" s="5"/>
      <c r="J1162" s="5"/>
      <c r="K1162" s="5"/>
      <c r="L1162" s="59"/>
    </row>
    <row r="1163" customHeight="1" spans="6:12">
      <c r="F1163" s="86">
        <v>44526</v>
      </c>
      <c r="G1163" s="87">
        <v>17026.45</v>
      </c>
      <c r="H1163" s="59"/>
      <c r="I1163" s="5"/>
      <c r="J1163" s="5"/>
      <c r="K1163" s="5"/>
      <c r="L1163" s="59"/>
    </row>
    <row r="1164" customHeight="1" spans="6:12">
      <c r="F1164" s="86">
        <v>44525</v>
      </c>
      <c r="G1164" s="87">
        <v>17536.25</v>
      </c>
      <c r="H1164" s="59"/>
      <c r="I1164" s="5"/>
      <c r="J1164" s="5"/>
      <c r="K1164" s="5"/>
      <c r="L1164" s="59"/>
    </row>
    <row r="1165" customHeight="1" spans="6:12">
      <c r="F1165" s="86">
        <v>44524</v>
      </c>
      <c r="G1165" s="87">
        <v>17415.05</v>
      </c>
      <c r="H1165" s="59"/>
      <c r="I1165" s="5"/>
      <c r="J1165" s="5"/>
      <c r="K1165" s="5"/>
      <c r="L1165" s="59"/>
    </row>
    <row r="1166" customHeight="1" spans="6:12">
      <c r="F1166" s="86">
        <v>44523</v>
      </c>
      <c r="G1166" s="87">
        <v>17503.35</v>
      </c>
      <c r="H1166" s="59"/>
      <c r="I1166" s="5"/>
      <c r="J1166" s="5"/>
      <c r="K1166" s="5"/>
      <c r="L1166" s="59"/>
    </row>
    <row r="1167" customHeight="1" spans="6:12">
      <c r="F1167" s="86">
        <v>44522</v>
      </c>
      <c r="G1167" s="87">
        <v>17416.55</v>
      </c>
      <c r="H1167" s="59"/>
      <c r="I1167" s="5"/>
      <c r="J1167" s="5"/>
      <c r="K1167" s="5"/>
      <c r="L1167" s="59"/>
    </row>
    <row r="1168" customHeight="1" spans="6:12">
      <c r="F1168" s="86">
        <v>44518</v>
      </c>
      <c r="G1168" s="87">
        <v>17764.8</v>
      </c>
      <c r="H1168" s="59"/>
      <c r="I1168" s="5"/>
      <c r="J1168" s="5"/>
      <c r="K1168" s="5"/>
      <c r="L1168" s="59"/>
    </row>
    <row r="1169" customHeight="1" spans="6:12">
      <c r="F1169" s="86">
        <v>44517</v>
      </c>
      <c r="G1169" s="87">
        <v>17898.65</v>
      </c>
      <c r="H1169" s="59"/>
      <c r="I1169" s="5"/>
      <c r="J1169" s="5"/>
      <c r="K1169" s="5"/>
      <c r="L1169" s="59"/>
    </row>
    <row r="1170" customHeight="1" spans="6:12">
      <c r="F1170" s="86">
        <v>44516</v>
      </c>
      <c r="G1170" s="87">
        <v>17999.2</v>
      </c>
      <c r="H1170" s="59"/>
      <c r="I1170" s="5"/>
      <c r="J1170" s="5"/>
      <c r="K1170" s="5"/>
      <c r="L1170" s="59"/>
    </row>
    <row r="1171" customHeight="1" spans="6:12">
      <c r="F1171" s="86">
        <v>44515</v>
      </c>
      <c r="G1171" s="87">
        <v>18109.45</v>
      </c>
      <c r="H1171" s="59"/>
      <c r="I1171" s="5"/>
      <c r="J1171" s="5"/>
      <c r="K1171" s="5"/>
      <c r="L1171" s="59"/>
    </row>
    <row r="1172" customHeight="1" spans="6:12">
      <c r="F1172" s="86">
        <v>44512</v>
      </c>
      <c r="G1172" s="87">
        <v>18102.75</v>
      </c>
      <c r="H1172" s="59"/>
      <c r="I1172" s="5"/>
      <c r="J1172" s="5"/>
      <c r="K1172" s="5"/>
      <c r="L1172" s="59"/>
    </row>
    <row r="1173" customHeight="1" spans="6:12">
      <c r="F1173" s="86">
        <v>44511</v>
      </c>
      <c r="G1173" s="87">
        <v>17873.6</v>
      </c>
      <c r="H1173" s="59"/>
      <c r="I1173" s="5"/>
      <c r="J1173" s="5"/>
      <c r="K1173" s="5"/>
      <c r="L1173" s="59"/>
    </row>
    <row r="1174" customHeight="1" spans="6:12">
      <c r="F1174" s="86">
        <v>44510</v>
      </c>
      <c r="G1174" s="87">
        <v>18017.2</v>
      </c>
      <c r="H1174" s="59"/>
      <c r="I1174" s="5"/>
      <c r="J1174" s="5"/>
      <c r="K1174" s="5"/>
      <c r="L1174" s="59"/>
    </row>
    <row r="1175" customHeight="1" spans="6:12">
      <c r="F1175" s="86">
        <v>44509</v>
      </c>
      <c r="G1175" s="87">
        <v>18044.25</v>
      </c>
      <c r="H1175" s="59"/>
      <c r="I1175" s="5"/>
      <c r="J1175" s="5"/>
      <c r="K1175" s="5"/>
      <c r="L1175" s="59"/>
    </row>
    <row r="1176" customHeight="1" spans="6:12">
      <c r="F1176" s="86">
        <v>44508</v>
      </c>
      <c r="G1176" s="87">
        <v>18068.55</v>
      </c>
      <c r="H1176" s="59"/>
      <c r="I1176" s="5"/>
      <c r="J1176" s="5"/>
      <c r="K1176" s="5"/>
      <c r="L1176" s="59"/>
    </row>
    <row r="1177" customHeight="1" spans="6:12">
      <c r="F1177" s="86">
        <v>44504</v>
      </c>
      <c r="G1177" s="87">
        <v>17916.8</v>
      </c>
      <c r="H1177" s="59"/>
      <c r="I1177" s="5"/>
      <c r="J1177" s="5"/>
      <c r="K1177" s="5"/>
      <c r="L1177" s="59"/>
    </row>
    <row r="1178" customHeight="1" spans="6:12">
      <c r="F1178" s="86">
        <v>44503</v>
      </c>
      <c r="G1178" s="87">
        <v>17829.2</v>
      </c>
      <c r="H1178" s="59"/>
      <c r="I1178" s="5"/>
      <c r="J1178" s="5"/>
      <c r="K1178" s="5"/>
      <c r="L1178" s="59"/>
    </row>
    <row r="1179" customHeight="1" spans="6:12">
      <c r="F1179" s="86">
        <v>44502</v>
      </c>
      <c r="G1179" s="87">
        <v>17888.95</v>
      </c>
      <c r="H1179" s="59"/>
      <c r="I1179" s="5"/>
      <c r="J1179" s="5"/>
      <c r="K1179" s="5"/>
      <c r="L1179" s="59"/>
    </row>
    <row r="1180" customHeight="1" spans="6:12">
      <c r="F1180" s="86">
        <v>44501</v>
      </c>
      <c r="G1180" s="87">
        <v>17929.65</v>
      </c>
      <c r="H1180" s="59"/>
      <c r="I1180" s="5"/>
      <c r="J1180" s="5"/>
      <c r="K1180" s="5"/>
      <c r="L1180" s="59"/>
    </row>
    <row r="1181" customHeight="1" spans="6:12">
      <c r="F1181" s="86">
        <v>44498</v>
      </c>
      <c r="G1181" s="87">
        <v>17671.65</v>
      </c>
      <c r="H1181" s="59"/>
      <c r="I1181" s="5"/>
      <c r="J1181" s="5"/>
      <c r="K1181" s="5"/>
      <c r="L1181" s="59"/>
    </row>
    <row r="1182" customHeight="1" spans="6:12">
      <c r="F1182" s="86">
        <v>44497</v>
      </c>
      <c r="G1182" s="87">
        <v>17857.25</v>
      </c>
      <c r="H1182" s="59"/>
      <c r="I1182" s="5"/>
      <c r="J1182" s="5"/>
      <c r="K1182" s="5"/>
      <c r="L1182" s="59"/>
    </row>
    <row r="1183" customHeight="1" spans="6:12">
      <c r="F1183" s="86">
        <v>44496</v>
      </c>
      <c r="G1183" s="87">
        <v>18210.95</v>
      </c>
      <c r="H1183" s="59"/>
      <c r="I1183" s="5"/>
      <c r="J1183" s="5"/>
      <c r="K1183" s="5"/>
      <c r="L1183" s="59"/>
    </row>
    <row r="1184" customHeight="1" spans="6:12">
      <c r="F1184" s="86">
        <v>44495</v>
      </c>
      <c r="G1184" s="87">
        <v>18268.4</v>
      </c>
      <c r="H1184" s="59"/>
      <c r="I1184" s="5"/>
      <c r="J1184" s="5"/>
      <c r="K1184" s="5"/>
      <c r="L1184" s="59"/>
    </row>
    <row r="1185" customHeight="1" spans="6:12">
      <c r="F1185" s="86">
        <v>44494</v>
      </c>
      <c r="G1185" s="87">
        <v>18125.4</v>
      </c>
      <c r="H1185" s="59"/>
      <c r="I1185" s="5"/>
      <c r="J1185" s="5"/>
      <c r="K1185" s="5"/>
      <c r="L1185" s="59"/>
    </row>
    <row r="1186" customHeight="1" spans="6:12">
      <c r="F1186" s="86">
        <v>44491</v>
      </c>
      <c r="G1186" s="87">
        <v>18114.9</v>
      </c>
      <c r="H1186" s="59"/>
      <c r="I1186" s="5"/>
      <c r="J1186" s="5"/>
      <c r="K1186" s="5"/>
      <c r="L1186" s="59"/>
    </row>
    <row r="1187" customHeight="1" spans="6:12">
      <c r="F1187" s="86">
        <v>44490</v>
      </c>
      <c r="G1187" s="87">
        <v>18178.1</v>
      </c>
      <c r="H1187" s="59"/>
      <c r="I1187" s="5"/>
      <c r="J1187" s="5"/>
      <c r="K1187" s="5"/>
      <c r="L1187" s="59"/>
    </row>
    <row r="1188" customHeight="1" spans="6:12">
      <c r="F1188" s="86">
        <v>44489</v>
      </c>
      <c r="G1188" s="87">
        <v>18266.6</v>
      </c>
      <c r="H1188" s="59"/>
      <c r="I1188" s="5"/>
      <c r="J1188" s="5"/>
      <c r="K1188" s="5"/>
      <c r="L1188" s="59"/>
    </row>
    <row r="1189" customHeight="1" spans="6:12">
      <c r="F1189" s="86">
        <v>44488</v>
      </c>
      <c r="G1189" s="87">
        <v>18418.75</v>
      </c>
      <c r="H1189" s="59"/>
      <c r="I1189" s="5"/>
      <c r="J1189" s="5"/>
      <c r="K1189" s="5"/>
      <c r="L1189" s="59"/>
    </row>
    <row r="1190" customHeight="1" spans="6:12">
      <c r="F1190" s="86">
        <v>44487</v>
      </c>
      <c r="G1190" s="87">
        <v>18477.05</v>
      </c>
      <c r="H1190" s="59"/>
      <c r="I1190" s="5"/>
      <c r="J1190" s="5"/>
      <c r="K1190" s="5"/>
      <c r="L1190" s="59"/>
    </row>
    <row r="1191" customHeight="1" spans="6:12">
      <c r="F1191" s="86">
        <v>44483</v>
      </c>
      <c r="G1191" s="87">
        <v>18338.55</v>
      </c>
      <c r="H1191" s="59"/>
      <c r="I1191" s="5"/>
      <c r="J1191" s="5"/>
      <c r="K1191" s="5"/>
      <c r="L1191" s="59"/>
    </row>
    <row r="1192" customHeight="1" spans="6:12">
      <c r="F1192" s="86">
        <v>44482</v>
      </c>
      <c r="G1192" s="87">
        <v>18161.75</v>
      </c>
      <c r="H1192" s="59"/>
      <c r="I1192" s="5"/>
      <c r="J1192" s="5"/>
      <c r="K1192" s="5"/>
      <c r="L1192" s="59"/>
    </row>
    <row r="1193" customHeight="1" spans="6:12">
      <c r="F1193" s="86">
        <v>44481</v>
      </c>
      <c r="G1193" s="87">
        <v>17991.95</v>
      </c>
      <c r="H1193" s="59"/>
      <c r="I1193" s="5"/>
      <c r="J1193" s="5"/>
      <c r="K1193" s="5"/>
      <c r="L1193" s="59"/>
    </row>
    <row r="1194" customHeight="1" spans="6:12">
      <c r="F1194" s="86">
        <v>44480</v>
      </c>
      <c r="G1194" s="87">
        <v>17945.95</v>
      </c>
      <c r="H1194" s="59"/>
      <c r="I1194" s="5"/>
      <c r="J1194" s="5"/>
      <c r="K1194" s="5"/>
      <c r="L1194" s="59"/>
    </row>
    <row r="1195" customHeight="1" spans="6:12">
      <c r="F1195" s="86">
        <v>44477</v>
      </c>
      <c r="G1195" s="87">
        <v>17895.2</v>
      </c>
      <c r="H1195" s="59"/>
      <c r="I1195" s="5"/>
      <c r="J1195" s="5"/>
      <c r="K1195" s="5"/>
      <c r="L1195" s="59"/>
    </row>
    <row r="1196" customHeight="1" spans="6:12">
      <c r="F1196" s="86">
        <v>44476</v>
      </c>
      <c r="G1196" s="87">
        <v>17790.35</v>
      </c>
      <c r="H1196" s="59"/>
      <c r="I1196" s="5"/>
      <c r="J1196" s="5"/>
      <c r="K1196" s="5"/>
      <c r="L1196" s="59"/>
    </row>
    <row r="1197" customHeight="1" spans="6:12">
      <c r="F1197" s="86">
        <v>44475</v>
      </c>
      <c r="G1197" s="87">
        <v>17646</v>
      </c>
      <c r="H1197" s="59"/>
      <c r="I1197" s="5"/>
      <c r="J1197" s="5"/>
      <c r="K1197" s="5"/>
      <c r="L1197" s="59"/>
    </row>
    <row r="1198" customHeight="1" spans="6:12">
      <c r="F1198" s="86">
        <v>44474</v>
      </c>
      <c r="G1198" s="87">
        <v>17822.3</v>
      </c>
      <c r="H1198" s="59"/>
      <c r="I1198" s="5"/>
      <c r="J1198" s="5"/>
      <c r="K1198" s="5"/>
      <c r="L1198" s="59"/>
    </row>
    <row r="1199" customHeight="1" spans="6:12">
      <c r="F1199" s="86">
        <v>44473</v>
      </c>
      <c r="G1199" s="87">
        <v>17691.25</v>
      </c>
      <c r="H1199" s="59"/>
      <c r="I1199" s="5"/>
      <c r="J1199" s="5"/>
      <c r="K1199" s="5"/>
      <c r="L1199" s="59"/>
    </row>
    <row r="1200" customHeight="1" spans="6:12">
      <c r="F1200" s="86">
        <v>44470</v>
      </c>
      <c r="G1200" s="87">
        <v>17532.05</v>
      </c>
      <c r="H1200" s="59"/>
      <c r="I1200" s="5"/>
      <c r="J1200" s="5"/>
      <c r="K1200" s="5"/>
      <c r="L1200" s="59"/>
    </row>
    <row r="1201" customHeight="1" spans="6:12">
      <c r="F1201" s="86">
        <v>44469</v>
      </c>
      <c r="G1201" s="87">
        <v>17618.15</v>
      </c>
      <c r="H1201" s="59"/>
      <c r="I1201" s="5"/>
      <c r="J1201" s="5"/>
      <c r="K1201" s="5"/>
      <c r="L1201" s="59"/>
    </row>
    <row r="1202" customHeight="1" spans="6:12">
      <c r="F1202" s="86">
        <v>44468</v>
      </c>
      <c r="G1202" s="87">
        <v>17711.3</v>
      </c>
      <c r="H1202" s="59"/>
      <c r="I1202" s="5"/>
      <c r="J1202" s="5"/>
      <c r="K1202" s="5"/>
      <c r="L1202" s="59"/>
    </row>
    <row r="1203" customHeight="1" spans="6:12">
      <c r="F1203" s="86">
        <v>44467</v>
      </c>
      <c r="G1203" s="87">
        <v>17748.6</v>
      </c>
      <c r="H1203" s="59"/>
      <c r="I1203" s="5"/>
      <c r="J1203" s="5"/>
      <c r="K1203" s="5"/>
      <c r="L1203" s="59"/>
    </row>
    <row r="1204" customHeight="1" spans="6:12">
      <c r="F1204" s="86">
        <v>44466</v>
      </c>
      <c r="G1204" s="87">
        <v>17855.1</v>
      </c>
      <c r="H1204" s="59"/>
      <c r="I1204" s="5"/>
      <c r="J1204" s="5"/>
      <c r="K1204" s="5"/>
      <c r="L1204" s="59"/>
    </row>
    <row r="1205" customHeight="1" spans="6:12">
      <c r="F1205" s="86">
        <v>44463</v>
      </c>
      <c r="G1205" s="87">
        <v>17853.2</v>
      </c>
      <c r="H1205" s="59"/>
      <c r="I1205" s="5"/>
      <c r="J1205" s="5"/>
      <c r="K1205" s="5"/>
      <c r="L1205" s="59"/>
    </row>
    <row r="1206" customHeight="1" spans="6:12">
      <c r="F1206" s="86">
        <v>44462</v>
      </c>
      <c r="G1206" s="87">
        <v>17822.95</v>
      </c>
      <c r="H1206" s="59"/>
      <c r="I1206" s="5"/>
      <c r="J1206" s="5"/>
      <c r="K1206" s="5"/>
      <c r="L1206" s="59"/>
    </row>
    <row r="1207" customHeight="1" spans="6:12">
      <c r="F1207" s="86">
        <v>44461</v>
      </c>
      <c r="G1207" s="87">
        <v>17546.65</v>
      </c>
      <c r="H1207" s="59"/>
      <c r="I1207" s="5"/>
      <c r="J1207" s="5"/>
      <c r="K1207" s="5"/>
      <c r="L1207" s="59"/>
    </row>
    <row r="1208" customHeight="1" spans="6:12">
      <c r="F1208" s="86">
        <v>44460</v>
      </c>
      <c r="G1208" s="87">
        <v>17562</v>
      </c>
      <c r="H1208" s="59"/>
      <c r="I1208" s="5"/>
      <c r="J1208" s="5"/>
      <c r="K1208" s="5"/>
      <c r="L1208" s="59"/>
    </row>
    <row r="1209" customHeight="1" spans="6:12">
      <c r="F1209" s="86">
        <v>44459</v>
      </c>
      <c r="G1209" s="87">
        <v>17396.9</v>
      </c>
      <c r="H1209" s="59"/>
      <c r="I1209" s="5"/>
      <c r="J1209" s="5"/>
      <c r="K1209" s="5"/>
      <c r="L1209" s="59"/>
    </row>
    <row r="1210" customHeight="1" spans="6:12">
      <c r="F1210" s="86">
        <v>44456</v>
      </c>
      <c r="G1210" s="87">
        <v>17585.15</v>
      </c>
      <c r="H1210" s="59"/>
      <c r="I1210" s="5"/>
      <c r="J1210" s="5"/>
      <c r="K1210" s="5"/>
      <c r="L1210" s="59"/>
    </row>
    <row r="1211" customHeight="1" spans="6:12">
      <c r="F1211" s="86">
        <v>44455</v>
      </c>
      <c r="G1211" s="87">
        <v>17629.5</v>
      </c>
      <c r="H1211" s="59"/>
      <c r="I1211" s="5"/>
      <c r="J1211" s="5"/>
      <c r="K1211" s="5"/>
      <c r="L1211" s="59"/>
    </row>
    <row r="1212" customHeight="1" spans="6:12">
      <c r="F1212" s="86">
        <v>44454</v>
      </c>
      <c r="G1212" s="87">
        <v>17519.45</v>
      </c>
      <c r="H1212" s="59"/>
      <c r="I1212" s="5"/>
      <c r="J1212" s="5"/>
      <c r="K1212" s="5"/>
      <c r="L1212" s="59"/>
    </row>
    <row r="1213" customHeight="1" spans="6:12">
      <c r="F1213" s="86">
        <v>44453</v>
      </c>
      <c r="G1213" s="87">
        <v>17380</v>
      </c>
      <c r="H1213" s="59"/>
      <c r="I1213" s="5"/>
      <c r="J1213" s="5"/>
      <c r="K1213" s="5"/>
      <c r="L1213" s="59"/>
    </row>
    <row r="1214" customHeight="1" spans="6:12">
      <c r="F1214" s="86">
        <v>44452</v>
      </c>
      <c r="G1214" s="87">
        <v>17355.3</v>
      </c>
      <c r="H1214" s="59"/>
      <c r="I1214" s="5"/>
      <c r="J1214" s="5"/>
      <c r="K1214" s="5"/>
      <c r="L1214" s="59"/>
    </row>
    <row r="1215" customHeight="1" spans="6:12">
      <c r="F1215" s="86">
        <v>44448</v>
      </c>
      <c r="G1215" s="87">
        <v>17369.25</v>
      </c>
      <c r="H1215" s="59"/>
      <c r="I1215" s="5"/>
      <c r="J1215" s="5"/>
      <c r="K1215" s="5"/>
      <c r="L1215" s="59"/>
    </row>
    <row r="1216" customHeight="1" spans="6:12">
      <c r="F1216" s="86">
        <v>44447</v>
      </c>
      <c r="G1216" s="87">
        <v>17353.5</v>
      </c>
      <c r="H1216" s="59"/>
      <c r="I1216" s="5"/>
      <c r="J1216" s="5"/>
      <c r="K1216" s="5"/>
      <c r="L1216" s="59"/>
    </row>
    <row r="1217" customHeight="1" spans="6:12">
      <c r="F1217" s="86">
        <v>44446</v>
      </c>
      <c r="G1217" s="87">
        <v>17362.1</v>
      </c>
      <c r="H1217" s="59"/>
      <c r="I1217" s="5"/>
      <c r="J1217" s="5"/>
      <c r="K1217" s="5"/>
      <c r="L1217" s="59"/>
    </row>
    <row r="1218" customHeight="1" spans="6:12">
      <c r="F1218" s="86">
        <v>44445</v>
      </c>
      <c r="G1218" s="87">
        <v>17377.8</v>
      </c>
      <c r="H1218" s="59"/>
      <c r="I1218" s="5"/>
      <c r="J1218" s="5"/>
      <c r="K1218" s="5"/>
      <c r="L1218" s="59"/>
    </row>
    <row r="1219" customHeight="1" spans="6:12">
      <c r="F1219" s="86">
        <v>44442</v>
      </c>
      <c r="G1219" s="87">
        <v>17323.6</v>
      </c>
      <c r="H1219" s="59"/>
      <c r="I1219" s="5"/>
      <c r="J1219" s="5"/>
      <c r="K1219" s="5"/>
      <c r="L1219" s="59"/>
    </row>
    <row r="1220" customHeight="1" spans="6:12">
      <c r="F1220" s="86">
        <v>44441</v>
      </c>
      <c r="G1220" s="87">
        <v>17234.15</v>
      </c>
      <c r="H1220" s="59"/>
      <c r="I1220" s="5"/>
      <c r="J1220" s="5"/>
      <c r="K1220" s="5"/>
      <c r="L1220" s="59"/>
    </row>
    <row r="1221" customHeight="1" spans="6:12">
      <c r="F1221" s="86">
        <v>44440</v>
      </c>
      <c r="G1221" s="87">
        <v>17076.25</v>
      </c>
      <c r="H1221" s="59"/>
      <c r="I1221" s="5"/>
      <c r="J1221" s="5"/>
      <c r="K1221" s="5"/>
      <c r="L1221" s="59"/>
    </row>
    <row r="1222" customHeight="1" spans="6:12">
      <c r="F1222" s="86">
        <v>44439</v>
      </c>
      <c r="G1222" s="87">
        <v>17132.2</v>
      </c>
      <c r="H1222" s="59"/>
      <c r="I1222" s="5"/>
      <c r="J1222" s="5"/>
      <c r="K1222" s="5"/>
      <c r="L1222" s="59"/>
    </row>
    <row r="1223" customHeight="1" spans="6:12">
      <c r="F1223" s="86">
        <v>44438</v>
      </c>
      <c r="G1223" s="87">
        <v>16931.05</v>
      </c>
      <c r="H1223" s="59"/>
      <c r="I1223" s="5"/>
      <c r="J1223" s="5"/>
      <c r="K1223" s="5"/>
      <c r="L1223" s="59"/>
    </row>
    <row r="1224" customHeight="1" spans="6:12">
      <c r="F1224" s="86">
        <v>44435</v>
      </c>
      <c r="G1224" s="87">
        <v>16705.2</v>
      </c>
      <c r="H1224" s="59"/>
      <c r="I1224" s="5"/>
      <c r="J1224" s="5"/>
      <c r="K1224" s="5"/>
      <c r="L1224" s="59"/>
    </row>
    <row r="1225" customHeight="1" spans="6:12">
      <c r="F1225" s="86">
        <v>44434</v>
      </c>
      <c r="G1225" s="87">
        <v>16636.9</v>
      </c>
      <c r="H1225" s="59"/>
      <c r="I1225" s="5"/>
      <c r="J1225" s="5"/>
      <c r="K1225" s="5"/>
      <c r="L1225" s="59"/>
    </row>
    <row r="1226" customHeight="1" spans="6:12">
      <c r="F1226" s="86">
        <v>44433</v>
      </c>
      <c r="G1226" s="87">
        <v>16634.65</v>
      </c>
      <c r="H1226" s="59"/>
      <c r="I1226" s="5"/>
      <c r="J1226" s="5"/>
      <c r="K1226" s="5"/>
      <c r="L1226" s="59"/>
    </row>
    <row r="1227" customHeight="1" spans="6:12">
      <c r="F1227" s="86">
        <v>44432</v>
      </c>
      <c r="G1227" s="87">
        <v>16624.6</v>
      </c>
      <c r="H1227" s="59"/>
      <c r="I1227" s="5"/>
      <c r="J1227" s="5"/>
      <c r="K1227" s="5"/>
      <c r="L1227" s="59"/>
    </row>
    <row r="1228" customHeight="1" spans="6:12">
      <c r="F1228" s="86">
        <v>44431</v>
      </c>
      <c r="G1228" s="87">
        <v>16496.45</v>
      </c>
      <c r="H1228" s="59"/>
      <c r="I1228" s="5"/>
      <c r="J1228" s="5"/>
      <c r="K1228" s="5"/>
      <c r="L1228" s="59"/>
    </row>
    <row r="1229" customHeight="1" spans="6:12">
      <c r="F1229" s="86">
        <v>44428</v>
      </c>
      <c r="G1229" s="87">
        <v>16450.5</v>
      </c>
      <c r="H1229" s="59"/>
      <c r="I1229" s="5"/>
      <c r="J1229" s="5"/>
      <c r="K1229" s="5"/>
      <c r="L1229" s="59"/>
    </row>
    <row r="1230" customHeight="1" spans="6:12">
      <c r="F1230" s="86">
        <v>44426</v>
      </c>
      <c r="G1230" s="87">
        <v>16568.85</v>
      </c>
      <c r="H1230" s="59"/>
      <c r="I1230" s="5"/>
      <c r="J1230" s="5"/>
      <c r="K1230" s="5"/>
      <c r="L1230" s="59"/>
    </row>
    <row r="1231" customHeight="1" spans="6:12">
      <c r="F1231" s="86">
        <v>44425</v>
      </c>
      <c r="G1231" s="87">
        <v>16614.6</v>
      </c>
      <c r="H1231" s="59"/>
      <c r="I1231" s="5"/>
      <c r="J1231" s="5"/>
      <c r="K1231" s="5"/>
      <c r="L1231" s="59"/>
    </row>
    <row r="1232" customHeight="1" spans="6:12">
      <c r="F1232" s="86">
        <v>44424</v>
      </c>
      <c r="G1232" s="87">
        <v>16563.05</v>
      </c>
      <c r="H1232" s="59"/>
      <c r="I1232" s="5"/>
      <c r="J1232" s="5"/>
      <c r="K1232" s="5"/>
      <c r="L1232" s="59"/>
    </row>
    <row r="1233" customHeight="1" spans="6:12">
      <c r="F1233" s="86">
        <v>44421</v>
      </c>
      <c r="G1233" s="87">
        <v>16529.1</v>
      </c>
      <c r="H1233" s="59"/>
      <c r="I1233" s="5"/>
      <c r="J1233" s="5"/>
      <c r="K1233" s="5"/>
      <c r="L1233" s="59"/>
    </row>
    <row r="1234" customHeight="1" spans="6:12">
      <c r="F1234" s="86">
        <v>44420</v>
      </c>
      <c r="G1234" s="87">
        <v>16364.4</v>
      </c>
      <c r="H1234" s="59"/>
      <c r="I1234" s="5"/>
      <c r="J1234" s="5"/>
      <c r="K1234" s="5"/>
      <c r="L1234" s="59"/>
    </row>
    <row r="1235" customHeight="1" spans="6:12">
      <c r="F1235" s="86">
        <v>44419</v>
      </c>
      <c r="G1235" s="87">
        <v>16282.25</v>
      </c>
      <c r="H1235" s="59"/>
      <c r="I1235" s="5"/>
      <c r="J1235" s="5"/>
      <c r="K1235" s="5"/>
      <c r="L1235" s="59"/>
    </row>
    <row r="1236" customHeight="1" spans="6:12">
      <c r="F1236" s="86">
        <v>44418</v>
      </c>
      <c r="G1236" s="87">
        <v>16280.1</v>
      </c>
      <c r="H1236" s="59"/>
      <c r="I1236" s="5"/>
      <c r="J1236" s="5"/>
      <c r="K1236" s="5"/>
      <c r="L1236" s="59"/>
    </row>
    <row r="1237" customHeight="1" spans="6:12">
      <c r="F1237" s="86">
        <v>44417</v>
      </c>
      <c r="G1237" s="87">
        <v>16258.25</v>
      </c>
      <c r="H1237" s="59"/>
      <c r="I1237" s="5"/>
      <c r="J1237" s="5"/>
      <c r="K1237" s="5"/>
      <c r="L1237" s="59"/>
    </row>
    <row r="1238" customHeight="1" spans="6:12">
      <c r="F1238" s="86">
        <v>44414</v>
      </c>
      <c r="G1238" s="87">
        <v>16238.2</v>
      </c>
      <c r="H1238" s="59"/>
      <c r="I1238" s="5"/>
      <c r="J1238" s="5"/>
      <c r="K1238" s="5"/>
      <c r="L1238" s="59"/>
    </row>
    <row r="1239" customHeight="1" spans="6:12">
      <c r="F1239" s="86">
        <v>44413</v>
      </c>
      <c r="G1239" s="87">
        <v>16294.6</v>
      </c>
      <c r="H1239" s="59"/>
      <c r="I1239" s="5"/>
      <c r="J1239" s="5"/>
      <c r="K1239" s="5"/>
      <c r="L1239" s="59"/>
    </row>
    <row r="1240" customHeight="1" spans="6:12">
      <c r="F1240" s="86">
        <v>44412</v>
      </c>
      <c r="G1240" s="87">
        <v>16258.8</v>
      </c>
      <c r="H1240" s="59"/>
      <c r="I1240" s="5"/>
      <c r="J1240" s="5"/>
      <c r="K1240" s="5"/>
      <c r="L1240" s="59"/>
    </row>
    <row r="1241" customHeight="1" spans="6:12">
      <c r="F1241" s="86">
        <v>44411</v>
      </c>
      <c r="G1241" s="87">
        <v>16130.75</v>
      </c>
      <c r="H1241" s="59"/>
      <c r="I1241" s="5"/>
      <c r="J1241" s="5"/>
      <c r="K1241" s="5"/>
      <c r="L1241" s="59"/>
    </row>
    <row r="1242" customHeight="1" spans="6:12">
      <c r="F1242" s="86">
        <v>44410</v>
      </c>
      <c r="G1242" s="87">
        <v>15885.15</v>
      </c>
      <c r="H1242" s="59"/>
      <c r="I1242" s="5"/>
      <c r="J1242" s="5"/>
      <c r="K1242" s="5"/>
      <c r="L1242" s="59"/>
    </row>
    <row r="1243" customHeight="1" spans="6:12">
      <c r="F1243" s="86">
        <v>44407</v>
      </c>
      <c r="G1243" s="87">
        <v>15763.05</v>
      </c>
      <c r="H1243" s="59"/>
      <c r="I1243" s="5"/>
      <c r="J1243" s="5"/>
      <c r="K1243" s="5"/>
      <c r="L1243" s="59"/>
    </row>
    <row r="1244" customHeight="1" spans="6:12">
      <c r="F1244" s="86">
        <v>44406</v>
      </c>
      <c r="G1244" s="87">
        <v>15778.45</v>
      </c>
      <c r="H1244" s="59"/>
      <c r="I1244" s="5"/>
      <c r="J1244" s="5"/>
      <c r="K1244" s="5"/>
      <c r="L1244" s="59"/>
    </row>
    <row r="1245" customHeight="1" spans="6:12">
      <c r="F1245" s="86">
        <v>44405</v>
      </c>
      <c r="G1245" s="87">
        <v>15709.4</v>
      </c>
      <c r="H1245" s="59"/>
      <c r="I1245" s="5"/>
      <c r="J1245" s="5"/>
      <c r="K1245" s="5"/>
      <c r="L1245" s="59"/>
    </row>
    <row r="1246" customHeight="1" spans="6:12">
      <c r="F1246" s="86">
        <v>44404</v>
      </c>
      <c r="G1246" s="87">
        <v>15746.45</v>
      </c>
      <c r="H1246" s="59"/>
      <c r="I1246" s="5"/>
      <c r="J1246" s="5"/>
      <c r="K1246" s="5"/>
      <c r="L1246" s="59"/>
    </row>
    <row r="1247" customHeight="1" spans="6:12">
      <c r="F1247" s="86">
        <v>44403</v>
      </c>
      <c r="G1247" s="87">
        <v>15824.45</v>
      </c>
      <c r="H1247" s="59"/>
      <c r="I1247" s="5"/>
      <c r="J1247" s="5"/>
      <c r="K1247" s="5"/>
      <c r="L1247" s="59"/>
    </row>
    <row r="1248" customHeight="1" spans="6:12">
      <c r="F1248" s="86">
        <v>44400</v>
      </c>
      <c r="G1248" s="87">
        <v>15856.05</v>
      </c>
      <c r="H1248" s="59"/>
      <c r="I1248" s="5"/>
      <c r="J1248" s="5"/>
      <c r="K1248" s="5"/>
      <c r="L1248" s="59"/>
    </row>
    <row r="1249" customHeight="1" spans="6:12">
      <c r="F1249" s="86">
        <v>44399</v>
      </c>
      <c r="G1249" s="87">
        <v>15824.05</v>
      </c>
      <c r="H1249" s="59"/>
      <c r="I1249" s="5"/>
      <c r="J1249" s="5"/>
      <c r="K1249" s="5"/>
      <c r="L1249" s="59"/>
    </row>
    <row r="1250" customHeight="1" spans="6:12">
      <c r="F1250" s="86">
        <v>44397</v>
      </c>
      <c r="G1250" s="87">
        <v>15632.1</v>
      </c>
      <c r="H1250" s="59"/>
      <c r="I1250" s="5"/>
      <c r="J1250" s="5"/>
      <c r="K1250" s="5"/>
      <c r="L1250" s="59"/>
    </row>
    <row r="1251" customHeight="1" spans="6:12">
      <c r="F1251" s="86">
        <v>44396</v>
      </c>
      <c r="G1251" s="87">
        <v>15752.4</v>
      </c>
      <c r="H1251" s="59"/>
      <c r="I1251" s="5"/>
      <c r="J1251" s="5"/>
      <c r="K1251" s="5"/>
      <c r="L1251" s="59"/>
    </row>
    <row r="1252" customHeight="1" spans="6:12">
      <c r="F1252" s="86">
        <v>44393</v>
      </c>
      <c r="G1252" s="87">
        <v>15923.4</v>
      </c>
      <c r="H1252" s="59"/>
      <c r="I1252" s="5"/>
      <c r="J1252" s="5"/>
      <c r="K1252" s="5"/>
      <c r="L1252" s="59"/>
    </row>
    <row r="1253" customHeight="1" spans="6:12">
      <c r="F1253" s="86">
        <v>44392</v>
      </c>
      <c r="G1253" s="87">
        <v>15924.2</v>
      </c>
      <c r="H1253" s="59"/>
      <c r="I1253" s="5"/>
      <c r="J1253" s="5"/>
      <c r="K1253" s="5"/>
      <c r="L1253" s="59"/>
    </row>
    <row r="1254" customHeight="1" spans="6:12">
      <c r="F1254" s="86">
        <v>44391</v>
      </c>
      <c r="G1254" s="87">
        <v>15853.95</v>
      </c>
      <c r="H1254" s="59"/>
      <c r="I1254" s="5"/>
      <c r="J1254" s="5"/>
      <c r="K1254" s="5"/>
      <c r="L1254" s="59"/>
    </row>
    <row r="1255" customHeight="1" spans="6:12">
      <c r="F1255" s="86">
        <v>44390</v>
      </c>
      <c r="G1255" s="87">
        <v>15812.35</v>
      </c>
      <c r="H1255" s="59"/>
      <c r="I1255" s="5"/>
      <c r="J1255" s="5"/>
      <c r="K1255" s="5"/>
      <c r="L1255" s="59"/>
    </row>
    <row r="1256" customHeight="1" spans="6:12">
      <c r="F1256" s="86">
        <v>44389</v>
      </c>
      <c r="G1256" s="87">
        <v>15692.6</v>
      </c>
      <c r="H1256" s="59"/>
      <c r="I1256" s="5"/>
      <c r="J1256" s="5"/>
      <c r="K1256" s="5"/>
      <c r="L1256" s="59"/>
    </row>
    <row r="1257" customHeight="1" spans="6:12">
      <c r="F1257" s="86">
        <v>44386</v>
      </c>
      <c r="G1257" s="87">
        <v>15689.8</v>
      </c>
      <c r="H1257" s="59"/>
      <c r="I1257" s="5"/>
      <c r="J1257" s="5"/>
      <c r="K1257" s="5"/>
      <c r="L1257" s="59"/>
    </row>
    <row r="1258" customHeight="1" spans="6:12">
      <c r="F1258" s="86">
        <v>44385</v>
      </c>
      <c r="G1258" s="87">
        <v>15727.9</v>
      </c>
      <c r="H1258" s="59"/>
      <c r="I1258" s="5"/>
      <c r="J1258" s="5"/>
      <c r="K1258" s="5"/>
      <c r="L1258" s="59"/>
    </row>
    <row r="1259" customHeight="1" spans="6:12">
      <c r="F1259" s="86">
        <v>44384</v>
      </c>
      <c r="G1259" s="87">
        <v>15879.65</v>
      </c>
      <c r="H1259" s="59"/>
      <c r="I1259" s="5"/>
      <c r="J1259" s="5"/>
      <c r="K1259" s="5"/>
      <c r="L1259" s="59"/>
    </row>
    <row r="1260" customHeight="1" spans="6:12">
      <c r="F1260" s="86">
        <v>44383</v>
      </c>
      <c r="G1260" s="87">
        <v>15818.25</v>
      </c>
      <c r="H1260" s="59"/>
      <c r="I1260" s="5"/>
      <c r="J1260" s="5"/>
      <c r="K1260" s="5"/>
      <c r="L1260" s="59"/>
    </row>
    <row r="1261" customHeight="1" spans="6:12">
      <c r="F1261" s="86">
        <v>44382</v>
      </c>
      <c r="G1261" s="87">
        <v>15834.35</v>
      </c>
      <c r="H1261" s="59"/>
      <c r="I1261" s="5"/>
      <c r="J1261" s="5"/>
      <c r="K1261" s="5"/>
      <c r="L1261" s="59"/>
    </row>
    <row r="1262" customHeight="1" spans="6:12">
      <c r="F1262" s="86">
        <v>44379</v>
      </c>
      <c r="G1262" s="87">
        <v>15722.2</v>
      </c>
      <c r="H1262" s="59"/>
      <c r="I1262" s="5"/>
      <c r="J1262" s="5"/>
      <c r="K1262" s="5"/>
      <c r="L1262" s="59"/>
    </row>
    <row r="1263" customHeight="1" spans="6:12">
      <c r="F1263" s="86">
        <v>44378</v>
      </c>
      <c r="G1263" s="87">
        <v>15680</v>
      </c>
      <c r="H1263" s="59"/>
      <c r="I1263" s="5"/>
      <c r="J1263" s="5"/>
      <c r="K1263" s="5"/>
      <c r="L1263" s="59"/>
    </row>
    <row r="1264" customHeight="1" spans="6:12">
      <c r="F1264" s="86">
        <v>44377</v>
      </c>
      <c r="G1264" s="87">
        <v>15721.5</v>
      </c>
      <c r="H1264" s="59"/>
      <c r="I1264" s="5"/>
      <c r="J1264" s="5"/>
      <c r="K1264" s="5"/>
      <c r="L1264" s="59"/>
    </row>
    <row r="1265" customHeight="1" spans="6:12">
      <c r="F1265" s="86">
        <v>44376</v>
      </c>
      <c r="G1265" s="87">
        <v>15748.45</v>
      </c>
      <c r="H1265" s="59"/>
      <c r="I1265" s="5"/>
      <c r="J1265" s="5"/>
      <c r="K1265" s="5"/>
      <c r="L1265" s="59"/>
    </row>
    <row r="1266" customHeight="1" spans="6:12">
      <c r="F1266" s="86">
        <v>44375</v>
      </c>
      <c r="G1266" s="87">
        <v>15814.7</v>
      </c>
      <c r="H1266" s="59"/>
      <c r="I1266" s="5"/>
      <c r="J1266" s="5"/>
      <c r="K1266" s="5"/>
      <c r="L1266" s="59"/>
    </row>
    <row r="1267" customHeight="1" spans="6:12">
      <c r="F1267" s="86">
        <v>44372</v>
      </c>
      <c r="G1267" s="87">
        <v>15860.35</v>
      </c>
      <c r="H1267" s="59"/>
      <c r="I1267" s="5"/>
      <c r="J1267" s="5"/>
      <c r="K1267" s="5"/>
      <c r="L1267" s="59"/>
    </row>
    <row r="1268" customHeight="1" spans="6:12">
      <c r="F1268" s="86">
        <v>44371</v>
      </c>
      <c r="G1268" s="87">
        <v>15790.45</v>
      </c>
      <c r="H1268" s="59"/>
      <c r="I1268" s="5"/>
      <c r="J1268" s="5"/>
      <c r="K1268" s="5"/>
      <c r="L1268" s="59"/>
    </row>
    <row r="1269" customHeight="1" spans="6:12">
      <c r="F1269" s="86">
        <v>44370</v>
      </c>
      <c r="G1269" s="87">
        <v>15686.95</v>
      </c>
      <c r="H1269" s="59"/>
      <c r="I1269" s="5"/>
      <c r="J1269" s="5"/>
      <c r="K1269" s="5"/>
      <c r="L1269" s="59"/>
    </row>
    <row r="1270" customHeight="1" spans="6:12">
      <c r="F1270" s="86">
        <v>44369</v>
      </c>
      <c r="G1270" s="87">
        <v>15772.75</v>
      </c>
      <c r="H1270" s="59"/>
      <c r="I1270" s="5"/>
      <c r="J1270" s="5"/>
      <c r="K1270" s="5"/>
      <c r="L1270" s="59"/>
    </row>
    <row r="1271" customHeight="1" spans="6:12">
      <c r="F1271" s="86">
        <v>44368</v>
      </c>
      <c r="G1271" s="87">
        <v>15746.5</v>
      </c>
      <c r="H1271" s="59"/>
      <c r="I1271" s="5"/>
      <c r="J1271" s="5"/>
      <c r="K1271" s="5"/>
      <c r="L1271" s="59"/>
    </row>
    <row r="1272" customHeight="1" spans="6:12">
      <c r="F1272" s="86">
        <v>44365</v>
      </c>
      <c r="G1272" s="87">
        <v>15683.35</v>
      </c>
      <c r="H1272" s="59"/>
      <c r="I1272" s="5"/>
      <c r="J1272" s="5"/>
      <c r="K1272" s="5"/>
      <c r="L1272" s="59"/>
    </row>
    <row r="1273" customHeight="1" spans="6:12">
      <c r="F1273" s="86">
        <v>44364</v>
      </c>
      <c r="G1273" s="87">
        <v>15691.4</v>
      </c>
      <c r="H1273" s="59"/>
      <c r="I1273" s="5"/>
      <c r="J1273" s="5"/>
      <c r="K1273" s="5"/>
      <c r="L1273" s="59"/>
    </row>
    <row r="1274" customHeight="1" spans="6:12">
      <c r="F1274" s="86">
        <v>44363</v>
      </c>
      <c r="G1274" s="87">
        <v>15767.55</v>
      </c>
      <c r="H1274" s="59"/>
      <c r="I1274" s="5"/>
      <c r="J1274" s="5"/>
      <c r="K1274" s="5"/>
      <c r="L1274" s="59"/>
    </row>
    <row r="1275" customHeight="1" spans="6:12">
      <c r="F1275" s="86">
        <v>44362</v>
      </c>
      <c r="G1275" s="87">
        <v>15869.25</v>
      </c>
      <c r="H1275" s="59"/>
      <c r="I1275" s="5"/>
      <c r="J1275" s="5"/>
      <c r="K1275" s="5"/>
      <c r="L1275" s="59"/>
    </row>
    <row r="1276" customHeight="1" spans="6:12">
      <c r="F1276" s="86">
        <v>44361</v>
      </c>
      <c r="G1276" s="87">
        <v>15811.85</v>
      </c>
      <c r="H1276" s="59"/>
      <c r="I1276" s="5"/>
      <c r="J1276" s="5"/>
      <c r="K1276" s="5"/>
      <c r="L1276" s="59"/>
    </row>
    <row r="1277" customHeight="1" spans="6:12">
      <c r="F1277" s="86">
        <v>44358</v>
      </c>
      <c r="G1277" s="87">
        <v>15799.35</v>
      </c>
      <c r="H1277" s="59"/>
      <c r="I1277" s="5"/>
      <c r="J1277" s="5"/>
      <c r="K1277" s="5"/>
      <c r="L1277" s="59"/>
    </row>
    <row r="1278" customHeight="1" spans="6:12">
      <c r="F1278" s="86">
        <v>44357</v>
      </c>
      <c r="G1278" s="87">
        <v>15737.75</v>
      </c>
      <c r="H1278" s="59"/>
      <c r="I1278" s="5"/>
      <c r="J1278" s="5"/>
      <c r="K1278" s="5"/>
      <c r="L1278" s="59"/>
    </row>
    <row r="1279" customHeight="1" spans="6:12">
      <c r="F1279" s="86">
        <v>44356</v>
      </c>
      <c r="G1279" s="87">
        <v>15635.35</v>
      </c>
      <c r="H1279" s="59"/>
      <c r="I1279" s="5"/>
      <c r="J1279" s="5"/>
      <c r="K1279" s="5"/>
      <c r="L1279" s="59"/>
    </row>
    <row r="1280" customHeight="1" spans="6:12">
      <c r="F1280" s="86">
        <v>44355</v>
      </c>
      <c r="G1280" s="87">
        <v>15740.1</v>
      </c>
      <c r="H1280" s="59"/>
      <c r="I1280" s="5"/>
      <c r="J1280" s="5"/>
      <c r="K1280" s="5"/>
      <c r="L1280" s="59"/>
    </row>
    <row r="1281" customHeight="1" spans="6:12">
      <c r="F1281" s="86">
        <v>44354</v>
      </c>
      <c r="G1281" s="87">
        <v>15751.65</v>
      </c>
      <c r="H1281" s="59"/>
      <c r="I1281" s="5"/>
      <c r="J1281" s="5"/>
      <c r="K1281" s="5"/>
      <c r="L1281" s="59"/>
    </row>
    <row r="1282" customHeight="1" spans="6:12">
      <c r="F1282" s="86">
        <v>44351</v>
      </c>
      <c r="G1282" s="87">
        <v>15670.25</v>
      </c>
      <c r="H1282" s="59"/>
      <c r="I1282" s="5"/>
      <c r="J1282" s="5"/>
      <c r="K1282" s="5"/>
      <c r="L1282" s="59"/>
    </row>
    <row r="1283" customHeight="1" spans="6:12">
      <c r="F1283" s="86">
        <v>44350</v>
      </c>
      <c r="G1283" s="87">
        <v>15690.35</v>
      </c>
      <c r="H1283" s="59"/>
      <c r="I1283" s="5"/>
      <c r="J1283" s="5"/>
      <c r="K1283" s="5"/>
      <c r="L1283" s="59"/>
    </row>
    <row r="1284" customHeight="1" spans="6:12">
      <c r="F1284" s="86">
        <v>44349</v>
      </c>
      <c r="G1284" s="87">
        <v>15576.2</v>
      </c>
      <c r="H1284" s="59"/>
      <c r="I1284" s="5"/>
      <c r="J1284" s="5"/>
      <c r="K1284" s="5"/>
      <c r="L1284" s="59"/>
    </row>
    <row r="1285" customHeight="1" spans="6:12">
      <c r="F1285" s="86">
        <v>44348</v>
      </c>
      <c r="G1285" s="87">
        <v>15574.85</v>
      </c>
      <c r="H1285" s="59"/>
      <c r="I1285" s="5"/>
      <c r="J1285" s="5"/>
      <c r="K1285" s="5"/>
      <c r="L1285" s="59"/>
    </row>
    <row r="1286" customHeight="1" spans="6:12">
      <c r="F1286" s="86">
        <v>44347</v>
      </c>
      <c r="G1286" s="87">
        <v>15582.8</v>
      </c>
      <c r="H1286" s="59"/>
      <c r="I1286" s="5"/>
      <c r="J1286" s="5"/>
      <c r="K1286" s="5"/>
      <c r="L1286" s="59"/>
    </row>
    <row r="1287" customHeight="1" spans="6:12">
      <c r="F1287" s="86">
        <v>44344</v>
      </c>
      <c r="G1287" s="87">
        <v>15435.65</v>
      </c>
      <c r="H1287" s="59"/>
      <c r="I1287" s="5"/>
      <c r="J1287" s="5"/>
      <c r="K1287" s="5"/>
      <c r="L1287" s="59"/>
    </row>
    <row r="1288" customHeight="1" spans="6:12">
      <c r="F1288" s="86">
        <v>44343</v>
      </c>
      <c r="G1288" s="87">
        <v>15337.85</v>
      </c>
      <c r="H1288" s="59"/>
      <c r="I1288" s="5"/>
      <c r="J1288" s="5"/>
      <c r="K1288" s="5"/>
      <c r="L1288" s="59"/>
    </row>
    <row r="1289" customHeight="1" spans="6:12">
      <c r="F1289" s="86">
        <v>44342</v>
      </c>
      <c r="G1289" s="87">
        <v>15301.45</v>
      </c>
      <c r="H1289" s="59"/>
      <c r="I1289" s="5"/>
      <c r="J1289" s="5"/>
      <c r="K1289" s="5"/>
      <c r="L1289" s="59"/>
    </row>
    <row r="1290" customHeight="1" spans="6:12">
      <c r="F1290" s="86">
        <v>44341</v>
      </c>
      <c r="G1290" s="87">
        <v>15208.45</v>
      </c>
      <c r="H1290" s="59"/>
      <c r="I1290" s="5"/>
      <c r="J1290" s="5"/>
      <c r="K1290" s="5"/>
      <c r="L1290" s="59"/>
    </row>
    <row r="1291" customHeight="1" spans="6:12">
      <c r="F1291" s="86">
        <v>44340</v>
      </c>
      <c r="G1291" s="87">
        <v>15197.7</v>
      </c>
      <c r="H1291" s="59"/>
      <c r="I1291" s="5"/>
      <c r="J1291" s="5"/>
      <c r="K1291" s="5"/>
      <c r="L1291" s="59"/>
    </row>
    <row r="1292" customHeight="1" spans="6:12">
      <c r="F1292" s="86">
        <v>44337</v>
      </c>
      <c r="G1292" s="87">
        <v>15175.3</v>
      </c>
      <c r="H1292" s="59"/>
      <c r="I1292" s="5"/>
      <c r="J1292" s="5"/>
      <c r="K1292" s="5"/>
      <c r="L1292" s="59"/>
    </row>
    <row r="1293" customHeight="1" spans="6:12">
      <c r="F1293" s="86">
        <v>44336</v>
      </c>
      <c r="G1293" s="87">
        <v>14906.05</v>
      </c>
      <c r="H1293" s="59"/>
      <c r="I1293" s="5"/>
      <c r="J1293" s="5"/>
      <c r="K1293" s="5"/>
      <c r="L1293" s="59"/>
    </row>
    <row r="1294" customHeight="1" spans="6:12">
      <c r="F1294" s="86">
        <v>44335</v>
      </c>
      <c r="G1294" s="87">
        <v>15030.15</v>
      </c>
      <c r="H1294" s="59"/>
      <c r="I1294" s="5"/>
      <c r="J1294" s="5"/>
      <c r="K1294" s="5"/>
      <c r="L1294" s="59"/>
    </row>
    <row r="1295" customHeight="1" spans="6:12">
      <c r="F1295" s="86">
        <v>44334</v>
      </c>
      <c r="G1295" s="87">
        <v>15108.1</v>
      </c>
      <c r="H1295" s="59"/>
      <c r="I1295" s="5"/>
      <c r="J1295" s="5"/>
      <c r="K1295" s="5"/>
      <c r="L1295" s="59"/>
    </row>
    <row r="1296" customHeight="1" spans="6:12">
      <c r="F1296" s="86">
        <v>44333</v>
      </c>
      <c r="G1296" s="87">
        <v>14923.15</v>
      </c>
      <c r="H1296" s="59"/>
      <c r="I1296" s="5"/>
      <c r="J1296" s="5"/>
      <c r="K1296" s="5"/>
      <c r="L1296" s="59"/>
    </row>
    <row r="1297" customHeight="1" spans="6:12">
      <c r="F1297" s="86">
        <v>44330</v>
      </c>
      <c r="G1297" s="87">
        <v>14677.8</v>
      </c>
      <c r="H1297" s="59"/>
      <c r="I1297" s="5"/>
      <c r="J1297" s="5"/>
      <c r="K1297" s="5"/>
      <c r="L1297" s="59"/>
    </row>
    <row r="1298" customHeight="1" spans="6:12">
      <c r="F1298" s="86">
        <v>44328</v>
      </c>
      <c r="G1298" s="87">
        <v>14696.5</v>
      </c>
      <c r="H1298" s="59"/>
      <c r="I1298" s="5"/>
      <c r="J1298" s="5"/>
      <c r="K1298" s="5"/>
      <c r="L1298" s="59"/>
    </row>
    <row r="1299" customHeight="1" spans="6:12">
      <c r="F1299" s="86">
        <v>44327</v>
      </c>
      <c r="G1299" s="87">
        <v>14850.75</v>
      </c>
      <c r="H1299" s="59"/>
      <c r="I1299" s="5"/>
      <c r="J1299" s="5"/>
      <c r="K1299" s="5"/>
      <c r="L1299" s="59"/>
    </row>
    <row r="1300" customHeight="1" spans="6:12">
      <c r="F1300" s="86">
        <v>44326</v>
      </c>
      <c r="G1300" s="87">
        <v>14942.35</v>
      </c>
      <c r="H1300" s="59"/>
      <c r="I1300" s="5"/>
      <c r="J1300" s="5"/>
      <c r="K1300" s="5"/>
      <c r="L1300" s="59"/>
    </row>
    <row r="1301" customHeight="1" spans="6:12">
      <c r="F1301" s="86">
        <v>44323</v>
      </c>
      <c r="G1301" s="87">
        <v>14823.15</v>
      </c>
      <c r="H1301" s="59"/>
      <c r="I1301" s="5"/>
      <c r="J1301" s="5"/>
      <c r="K1301" s="5"/>
      <c r="L1301" s="59"/>
    </row>
    <row r="1302" customHeight="1" spans="6:12">
      <c r="F1302" s="86">
        <v>44322</v>
      </c>
      <c r="G1302" s="87">
        <v>14724.8</v>
      </c>
      <c r="H1302" s="59"/>
      <c r="I1302" s="5"/>
      <c r="J1302" s="5"/>
      <c r="K1302" s="5"/>
      <c r="L1302" s="59"/>
    </row>
    <row r="1303" customHeight="1" spans="6:12">
      <c r="F1303" s="86">
        <v>44321</v>
      </c>
      <c r="G1303" s="87">
        <v>14617.85</v>
      </c>
      <c r="H1303" s="59"/>
      <c r="I1303" s="5"/>
      <c r="J1303" s="5"/>
      <c r="K1303" s="5"/>
      <c r="L1303" s="59"/>
    </row>
    <row r="1304" customHeight="1" spans="6:12">
      <c r="F1304" s="86">
        <v>44320</v>
      </c>
      <c r="G1304" s="87">
        <v>14496.5</v>
      </c>
      <c r="H1304" s="59"/>
      <c r="I1304" s="5"/>
      <c r="J1304" s="5"/>
      <c r="K1304" s="5"/>
      <c r="L1304" s="59"/>
    </row>
    <row r="1305" customHeight="1" spans="6:12">
      <c r="F1305" s="86">
        <v>44319</v>
      </c>
      <c r="G1305" s="87">
        <v>14634.15</v>
      </c>
      <c r="H1305" s="59"/>
      <c r="I1305" s="5"/>
      <c r="J1305" s="5"/>
      <c r="K1305" s="5"/>
      <c r="L1305" s="59"/>
    </row>
    <row r="1306" customHeight="1" spans="6:12">
      <c r="F1306" s="86">
        <v>44316</v>
      </c>
      <c r="G1306" s="87">
        <v>14631.1</v>
      </c>
      <c r="H1306" s="59"/>
      <c r="I1306" s="5"/>
      <c r="J1306" s="5"/>
      <c r="K1306" s="5"/>
      <c r="L1306" s="59"/>
    </row>
    <row r="1307" customHeight="1" spans="6:12">
      <c r="F1307" s="86">
        <v>44315</v>
      </c>
      <c r="G1307" s="87">
        <v>14894.9</v>
      </c>
      <c r="H1307" s="59"/>
      <c r="I1307" s="5"/>
      <c r="J1307" s="5"/>
      <c r="K1307" s="5"/>
      <c r="L1307" s="59"/>
    </row>
    <row r="1308" customHeight="1" spans="6:12">
      <c r="F1308" s="86">
        <v>44314</v>
      </c>
      <c r="G1308" s="87">
        <v>14864.55</v>
      </c>
      <c r="H1308" s="59"/>
      <c r="I1308" s="5"/>
      <c r="J1308" s="5"/>
      <c r="K1308" s="5"/>
      <c r="L1308" s="59"/>
    </row>
    <row r="1309" customHeight="1" spans="6:12">
      <c r="F1309" s="86">
        <v>44313</v>
      </c>
      <c r="G1309" s="87">
        <v>14653.05</v>
      </c>
      <c r="H1309" s="59"/>
      <c r="I1309" s="5"/>
      <c r="J1309" s="5"/>
      <c r="K1309" s="5"/>
      <c r="L1309" s="59"/>
    </row>
    <row r="1310" customHeight="1" spans="6:12">
      <c r="F1310" s="86">
        <v>44312</v>
      </c>
      <c r="G1310" s="87">
        <v>14485</v>
      </c>
      <c r="H1310" s="59"/>
      <c r="I1310" s="5"/>
      <c r="J1310" s="5"/>
      <c r="K1310" s="5"/>
      <c r="L1310" s="59"/>
    </row>
    <row r="1311" customHeight="1" spans="6:12">
      <c r="F1311" s="86">
        <v>44309</v>
      </c>
      <c r="G1311" s="87">
        <v>14341.35</v>
      </c>
      <c r="H1311" s="59"/>
      <c r="I1311" s="5"/>
      <c r="J1311" s="5"/>
      <c r="K1311" s="5"/>
      <c r="L1311" s="59"/>
    </row>
    <row r="1312" customHeight="1" spans="6:12">
      <c r="F1312" s="86">
        <v>44308</v>
      </c>
      <c r="G1312" s="87">
        <v>14406.15</v>
      </c>
      <c r="H1312" s="59"/>
      <c r="I1312" s="5"/>
      <c r="J1312" s="5"/>
      <c r="K1312" s="5"/>
      <c r="L1312" s="59"/>
    </row>
    <row r="1313" customHeight="1" spans="6:12">
      <c r="F1313" s="86">
        <v>44306</v>
      </c>
      <c r="G1313" s="87">
        <v>14296.4</v>
      </c>
      <c r="H1313" s="59"/>
      <c r="I1313" s="5"/>
      <c r="J1313" s="5"/>
      <c r="K1313" s="5"/>
      <c r="L1313" s="59"/>
    </row>
    <row r="1314" customHeight="1" spans="6:12">
      <c r="F1314" s="86">
        <v>44305</v>
      </c>
      <c r="G1314" s="87">
        <v>14359.45</v>
      </c>
      <c r="H1314" s="59"/>
      <c r="I1314" s="5"/>
      <c r="J1314" s="5"/>
      <c r="K1314" s="5"/>
      <c r="L1314" s="59"/>
    </row>
    <row r="1315" customHeight="1" spans="6:12">
      <c r="F1315" s="86">
        <v>44302</v>
      </c>
      <c r="G1315" s="87">
        <v>14617.85</v>
      </c>
      <c r="H1315" s="59"/>
      <c r="I1315" s="5"/>
      <c r="J1315" s="5"/>
      <c r="K1315" s="5"/>
      <c r="L1315" s="59"/>
    </row>
    <row r="1316" customHeight="1" spans="6:12">
      <c r="F1316" s="86">
        <v>44301</v>
      </c>
      <c r="G1316" s="87">
        <v>14581.45</v>
      </c>
      <c r="H1316" s="59"/>
      <c r="I1316" s="5"/>
      <c r="J1316" s="5"/>
      <c r="K1316" s="5"/>
      <c r="L1316" s="59"/>
    </row>
    <row r="1317" customHeight="1" spans="6:12">
      <c r="F1317" s="86">
        <v>44299</v>
      </c>
      <c r="G1317" s="87">
        <v>14504.8</v>
      </c>
      <c r="H1317" s="59"/>
      <c r="I1317" s="5"/>
      <c r="J1317" s="5"/>
      <c r="K1317" s="5"/>
      <c r="L1317" s="59"/>
    </row>
    <row r="1318" customHeight="1" spans="6:12">
      <c r="F1318" s="86">
        <v>44298</v>
      </c>
      <c r="G1318" s="87">
        <v>14310.8</v>
      </c>
      <c r="H1318" s="59"/>
      <c r="I1318" s="5"/>
      <c r="J1318" s="5"/>
      <c r="K1318" s="5"/>
      <c r="L1318" s="59"/>
    </row>
    <row r="1319" customHeight="1" spans="6:12">
      <c r="F1319" s="86">
        <v>44295</v>
      </c>
      <c r="G1319" s="87">
        <v>14834.85</v>
      </c>
      <c r="H1319" s="59"/>
      <c r="I1319" s="5"/>
      <c r="J1319" s="5"/>
      <c r="K1319" s="5"/>
      <c r="L1319" s="59"/>
    </row>
    <row r="1320" customHeight="1" spans="6:12">
      <c r="F1320" s="86">
        <v>44294</v>
      </c>
      <c r="G1320" s="87">
        <v>14873.8</v>
      </c>
      <c r="H1320" s="59"/>
      <c r="I1320" s="5"/>
      <c r="J1320" s="5"/>
      <c r="K1320" s="5"/>
      <c r="L1320" s="59"/>
    </row>
    <row r="1321" customHeight="1" spans="6:12">
      <c r="F1321" s="86">
        <v>44293</v>
      </c>
      <c r="G1321" s="87">
        <v>14819.05</v>
      </c>
      <c r="H1321" s="59"/>
      <c r="I1321" s="5"/>
      <c r="J1321" s="5"/>
      <c r="K1321" s="5"/>
      <c r="L1321" s="59"/>
    </row>
    <row r="1322" customHeight="1" spans="6:12">
      <c r="F1322" s="86">
        <v>44292</v>
      </c>
      <c r="G1322" s="87">
        <v>14683.5</v>
      </c>
      <c r="H1322" s="59"/>
      <c r="I1322" s="5"/>
      <c r="J1322" s="5"/>
      <c r="K1322" s="5"/>
      <c r="L1322" s="59"/>
    </row>
    <row r="1323" customHeight="1" spans="6:12">
      <c r="F1323" s="86">
        <v>44291</v>
      </c>
      <c r="G1323" s="87">
        <v>14637.8</v>
      </c>
      <c r="H1323" s="59"/>
      <c r="I1323" s="5"/>
      <c r="J1323" s="5"/>
      <c r="K1323" s="5"/>
      <c r="L1323" s="59"/>
    </row>
    <row r="1324" customHeight="1" spans="6:12">
      <c r="F1324" s="86">
        <v>44287</v>
      </c>
      <c r="G1324" s="87">
        <v>14867.35</v>
      </c>
      <c r="H1324" s="59"/>
      <c r="I1324" s="5"/>
      <c r="J1324" s="5"/>
      <c r="K1324" s="5"/>
      <c r="L1324" s="59"/>
    </row>
    <row r="1325" customHeight="1" spans="6:12">
      <c r="F1325" s="86">
        <v>44286</v>
      </c>
      <c r="G1325" s="87">
        <v>14690.7</v>
      </c>
      <c r="H1325" s="59"/>
      <c r="I1325" s="5"/>
      <c r="J1325" s="5"/>
      <c r="K1325" s="5"/>
      <c r="L1325" s="59"/>
    </row>
    <row r="1326" customHeight="1" spans="6:12">
      <c r="F1326" s="86">
        <v>44285</v>
      </c>
      <c r="G1326" s="87">
        <v>14845.1</v>
      </c>
      <c r="H1326" s="59"/>
      <c r="I1326" s="5"/>
      <c r="J1326" s="5"/>
      <c r="K1326" s="5"/>
      <c r="L1326" s="59"/>
    </row>
    <row r="1327" customHeight="1" spans="6:12">
      <c r="F1327" s="86">
        <v>44281</v>
      </c>
      <c r="G1327" s="87">
        <v>14507.3</v>
      </c>
      <c r="H1327" s="59"/>
      <c r="I1327" s="5"/>
      <c r="J1327" s="5"/>
      <c r="K1327" s="5"/>
      <c r="L1327" s="59"/>
    </row>
    <row r="1328" customHeight="1" spans="6:12">
      <c r="F1328" s="86">
        <v>44280</v>
      </c>
      <c r="G1328" s="87">
        <v>14324.9</v>
      </c>
      <c r="H1328" s="59"/>
      <c r="I1328" s="5"/>
      <c r="J1328" s="5"/>
      <c r="K1328" s="5"/>
      <c r="L1328" s="59"/>
    </row>
    <row r="1329" customHeight="1" spans="6:12">
      <c r="F1329" s="86">
        <v>44279</v>
      </c>
      <c r="G1329" s="87">
        <v>14549.4</v>
      </c>
      <c r="H1329" s="59"/>
      <c r="I1329" s="5"/>
      <c r="J1329" s="5"/>
      <c r="K1329" s="5"/>
      <c r="L1329" s="59"/>
    </row>
    <row r="1330" customHeight="1" spans="6:12">
      <c r="F1330" s="86">
        <v>44278</v>
      </c>
      <c r="G1330" s="87">
        <v>14814.75</v>
      </c>
      <c r="H1330" s="59"/>
      <c r="I1330" s="5"/>
      <c r="J1330" s="5"/>
      <c r="K1330" s="5"/>
      <c r="L1330" s="59"/>
    </row>
    <row r="1331" customHeight="1" spans="6:12">
      <c r="F1331" s="86">
        <v>44277</v>
      </c>
      <c r="G1331" s="87">
        <v>14736.4</v>
      </c>
      <c r="H1331" s="59"/>
      <c r="I1331" s="5"/>
      <c r="J1331" s="5"/>
      <c r="K1331" s="5"/>
      <c r="L1331" s="59"/>
    </row>
    <row r="1332" customHeight="1" spans="6:12">
      <c r="F1332" s="86">
        <v>44274</v>
      </c>
      <c r="G1332" s="87">
        <v>14744</v>
      </c>
      <c r="H1332" s="59"/>
      <c r="I1332" s="5"/>
      <c r="J1332" s="5"/>
      <c r="K1332" s="5"/>
      <c r="L1332" s="59"/>
    </row>
    <row r="1333" customHeight="1" spans="6:12">
      <c r="F1333" s="86">
        <v>44273</v>
      </c>
      <c r="G1333" s="87">
        <v>14557.85</v>
      </c>
      <c r="H1333" s="59"/>
      <c r="I1333" s="5"/>
      <c r="J1333" s="5"/>
      <c r="K1333" s="5"/>
      <c r="L1333" s="59"/>
    </row>
    <row r="1334" customHeight="1" spans="6:12">
      <c r="F1334" s="86">
        <v>44272</v>
      </c>
      <c r="G1334" s="87">
        <v>14721.3</v>
      </c>
      <c r="H1334" s="59"/>
      <c r="I1334" s="5"/>
      <c r="J1334" s="5"/>
      <c r="K1334" s="5"/>
      <c r="L1334" s="59"/>
    </row>
    <row r="1335" customHeight="1" spans="6:12">
      <c r="F1335" s="86">
        <v>44271</v>
      </c>
      <c r="G1335" s="87">
        <v>14910.45</v>
      </c>
      <c r="H1335" s="59"/>
      <c r="I1335" s="5"/>
      <c r="J1335" s="5"/>
      <c r="K1335" s="5"/>
      <c r="L1335" s="59"/>
    </row>
    <row r="1336" customHeight="1" spans="6:12">
      <c r="F1336" s="86">
        <v>44270</v>
      </c>
      <c r="G1336" s="87">
        <v>14929.5</v>
      </c>
      <c r="H1336" s="59"/>
      <c r="I1336" s="5"/>
      <c r="J1336" s="5"/>
      <c r="K1336" s="5"/>
      <c r="L1336" s="59"/>
    </row>
    <row r="1337" customHeight="1" spans="6:12">
      <c r="F1337" s="86">
        <v>44267</v>
      </c>
      <c r="G1337" s="87">
        <v>15030.95</v>
      </c>
      <c r="H1337" s="59"/>
      <c r="I1337" s="5"/>
      <c r="J1337" s="5"/>
      <c r="K1337" s="5"/>
      <c r="L1337" s="59"/>
    </row>
    <row r="1338" customHeight="1" spans="6:12">
      <c r="F1338" s="86">
        <v>44265</v>
      </c>
      <c r="G1338" s="87">
        <v>15174.8</v>
      </c>
      <c r="H1338" s="59"/>
      <c r="I1338" s="5"/>
      <c r="J1338" s="5"/>
      <c r="K1338" s="5"/>
      <c r="L1338" s="59"/>
    </row>
    <row r="1339" customHeight="1" spans="6:12">
      <c r="F1339" s="86">
        <v>44264</v>
      </c>
      <c r="G1339" s="87">
        <v>15098.4</v>
      </c>
      <c r="H1339" s="59"/>
      <c r="I1339" s="5"/>
      <c r="J1339" s="5"/>
      <c r="K1339" s="5"/>
      <c r="L1339" s="59"/>
    </row>
    <row r="1340" customHeight="1" spans="6:12">
      <c r="F1340" s="86">
        <v>44263</v>
      </c>
      <c r="G1340" s="87">
        <v>14956.2</v>
      </c>
      <c r="H1340" s="59"/>
      <c r="I1340" s="5"/>
      <c r="J1340" s="5"/>
      <c r="K1340" s="5"/>
      <c r="L1340" s="59"/>
    </row>
    <row r="1341" customHeight="1" spans="6:12">
      <c r="F1341" s="86">
        <v>44260</v>
      </c>
      <c r="G1341" s="87">
        <v>14938.1</v>
      </c>
      <c r="H1341" s="59"/>
      <c r="I1341" s="5"/>
      <c r="J1341" s="5"/>
      <c r="K1341" s="5"/>
      <c r="L1341" s="59"/>
    </row>
    <row r="1342" customHeight="1" spans="6:12">
      <c r="F1342" s="86">
        <v>44259</v>
      </c>
      <c r="G1342" s="87">
        <v>15080.75</v>
      </c>
      <c r="H1342" s="59"/>
      <c r="I1342" s="5"/>
      <c r="J1342" s="5"/>
      <c r="K1342" s="5"/>
      <c r="L1342" s="59"/>
    </row>
    <row r="1343" customHeight="1" spans="6:12">
      <c r="F1343" s="86">
        <v>44258</v>
      </c>
      <c r="G1343" s="87">
        <v>15245.6</v>
      </c>
      <c r="H1343" s="59"/>
      <c r="I1343" s="5"/>
      <c r="J1343" s="5"/>
      <c r="K1343" s="5"/>
      <c r="L1343" s="59"/>
    </row>
    <row r="1344" customHeight="1" spans="6:12">
      <c r="F1344" s="86">
        <v>44257</v>
      </c>
      <c r="G1344" s="87">
        <v>14919.1</v>
      </c>
      <c r="H1344" s="59"/>
      <c r="I1344" s="5"/>
      <c r="J1344" s="5"/>
      <c r="K1344" s="5"/>
      <c r="L1344" s="59"/>
    </row>
    <row r="1345" customHeight="1" spans="6:12">
      <c r="F1345" s="86">
        <v>44256</v>
      </c>
      <c r="G1345" s="87">
        <v>14761.55</v>
      </c>
      <c r="H1345" s="59"/>
      <c r="I1345" s="5"/>
      <c r="J1345" s="5"/>
      <c r="K1345" s="5"/>
      <c r="L1345" s="59"/>
    </row>
    <row r="1346" customHeight="1" spans="6:12">
      <c r="F1346" s="86">
        <v>44253</v>
      </c>
      <c r="G1346" s="87">
        <v>14529.15</v>
      </c>
      <c r="H1346" s="59"/>
      <c r="I1346" s="5"/>
      <c r="J1346" s="5"/>
      <c r="K1346" s="5"/>
      <c r="L1346" s="59"/>
    </row>
    <row r="1347" customHeight="1" spans="6:12">
      <c r="F1347" s="86">
        <v>44252</v>
      </c>
      <c r="G1347" s="87">
        <v>15097.35</v>
      </c>
      <c r="H1347" s="59"/>
      <c r="I1347" s="5"/>
      <c r="J1347" s="5"/>
      <c r="K1347" s="5"/>
      <c r="L1347" s="59"/>
    </row>
    <row r="1348" customHeight="1" spans="6:12">
      <c r="F1348" s="86">
        <v>44251</v>
      </c>
      <c r="G1348" s="87">
        <v>14982</v>
      </c>
      <c r="H1348" s="59"/>
      <c r="I1348" s="5"/>
      <c r="J1348" s="5"/>
      <c r="K1348" s="5"/>
      <c r="L1348" s="59"/>
    </row>
    <row r="1349" customHeight="1" spans="6:12">
      <c r="F1349" s="86">
        <v>44250</v>
      </c>
      <c r="G1349" s="87">
        <v>14707.8</v>
      </c>
      <c r="H1349" s="59"/>
      <c r="I1349" s="5"/>
      <c r="J1349" s="5"/>
      <c r="K1349" s="5"/>
      <c r="L1349" s="59"/>
    </row>
    <row r="1350" customHeight="1" spans="6:12">
      <c r="F1350" s="86">
        <v>44249</v>
      </c>
      <c r="G1350" s="87">
        <v>14675.7</v>
      </c>
      <c r="H1350" s="59"/>
      <c r="I1350" s="5"/>
      <c r="J1350" s="5"/>
      <c r="K1350" s="5"/>
      <c r="L1350" s="59"/>
    </row>
    <row r="1351" customHeight="1" spans="6:12">
      <c r="F1351" s="86">
        <v>44246</v>
      </c>
      <c r="G1351" s="87">
        <v>14981.75</v>
      </c>
      <c r="H1351" s="59"/>
      <c r="I1351" s="5"/>
      <c r="J1351" s="5"/>
      <c r="K1351" s="5"/>
      <c r="L1351" s="59"/>
    </row>
    <row r="1352" customHeight="1" spans="6:12">
      <c r="F1352" s="86">
        <v>44245</v>
      </c>
      <c r="G1352" s="87">
        <v>15118.95</v>
      </c>
      <c r="H1352" s="59"/>
      <c r="I1352" s="5"/>
      <c r="J1352" s="5"/>
      <c r="K1352" s="5"/>
      <c r="L1352" s="59"/>
    </row>
    <row r="1353" customHeight="1" spans="6:12">
      <c r="F1353" s="86">
        <v>44244</v>
      </c>
      <c r="G1353" s="87">
        <v>15208.9</v>
      </c>
      <c r="H1353" s="59"/>
      <c r="I1353" s="5"/>
      <c r="J1353" s="5"/>
      <c r="K1353" s="5"/>
      <c r="L1353" s="59"/>
    </row>
    <row r="1354" customHeight="1" spans="6:12">
      <c r="F1354" s="86">
        <v>44243</v>
      </c>
      <c r="G1354" s="87">
        <v>15313.45</v>
      </c>
      <c r="H1354" s="59"/>
      <c r="I1354" s="5"/>
      <c r="J1354" s="5"/>
      <c r="K1354" s="5"/>
      <c r="L1354" s="59"/>
    </row>
    <row r="1355" customHeight="1" spans="6:12">
      <c r="F1355" s="86">
        <v>44242</v>
      </c>
      <c r="G1355" s="87">
        <v>15314.7</v>
      </c>
      <c r="H1355" s="59"/>
      <c r="I1355" s="5"/>
      <c r="J1355" s="5"/>
      <c r="K1355" s="5"/>
      <c r="L1355" s="59"/>
    </row>
    <row r="1356" customHeight="1" spans="6:12">
      <c r="F1356" s="86">
        <v>44239</v>
      </c>
      <c r="G1356" s="87">
        <v>15163.3</v>
      </c>
      <c r="H1356" s="59"/>
      <c r="I1356" s="5"/>
      <c r="J1356" s="5"/>
      <c r="K1356" s="5"/>
      <c r="L1356" s="59"/>
    </row>
    <row r="1357" customHeight="1" spans="6:12">
      <c r="F1357" s="86">
        <v>44238</v>
      </c>
      <c r="G1357" s="87">
        <v>15173.3</v>
      </c>
      <c r="H1357" s="59"/>
      <c r="I1357" s="5"/>
      <c r="J1357" s="5"/>
      <c r="K1357" s="5"/>
      <c r="L1357" s="59"/>
    </row>
    <row r="1358" customHeight="1" spans="6:12">
      <c r="F1358" s="86">
        <v>44237</v>
      </c>
      <c r="G1358" s="87">
        <v>15106.5</v>
      </c>
      <c r="H1358" s="59"/>
      <c r="I1358" s="5"/>
      <c r="J1358" s="5"/>
      <c r="K1358" s="5"/>
      <c r="L1358" s="59"/>
    </row>
    <row r="1359" customHeight="1" spans="6:12">
      <c r="F1359" s="86">
        <v>44236</v>
      </c>
      <c r="G1359" s="87">
        <v>15109.3</v>
      </c>
      <c r="H1359" s="59"/>
      <c r="I1359" s="5"/>
      <c r="J1359" s="5"/>
      <c r="K1359" s="5"/>
      <c r="L1359" s="59"/>
    </row>
    <row r="1360" customHeight="1" spans="6:12">
      <c r="F1360" s="86">
        <v>44235</v>
      </c>
      <c r="G1360" s="87">
        <v>15115.8</v>
      </c>
      <c r="H1360" s="59"/>
      <c r="I1360" s="5"/>
      <c r="J1360" s="5"/>
      <c r="K1360" s="5"/>
      <c r="L1360" s="59"/>
    </row>
    <row r="1361" customHeight="1" spans="6:12">
      <c r="F1361" s="86">
        <v>44232</v>
      </c>
      <c r="G1361" s="87">
        <v>14924.25</v>
      </c>
      <c r="H1361" s="59"/>
      <c r="I1361" s="5"/>
      <c r="J1361" s="5"/>
      <c r="K1361" s="5"/>
      <c r="L1361" s="59"/>
    </row>
    <row r="1362" customHeight="1" spans="6:12">
      <c r="F1362" s="86">
        <v>44231</v>
      </c>
      <c r="G1362" s="87">
        <v>14895.65</v>
      </c>
      <c r="H1362" s="59"/>
      <c r="I1362" s="5"/>
      <c r="J1362" s="5"/>
      <c r="K1362" s="5"/>
      <c r="L1362" s="59"/>
    </row>
    <row r="1363" customHeight="1" spans="6:12">
      <c r="F1363" s="86">
        <v>44230</v>
      </c>
      <c r="G1363" s="87">
        <v>14789.95</v>
      </c>
      <c r="H1363" s="59"/>
      <c r="I1363" s="5"/>
      <c r="J1363" s="5"/>
      <c r="K1363" s="5"/>
      <c r="L1363" s="59"/>
    </row>
    <row r="1364" customHeight="1" spans="6:12">
      <c r="F1364" s="86">
        <v>44229</v>
      </c>
      <c r="G1364" s="87">
        <v>14647.85</v>
      </c>
      <c r="H1364" s="59"/>
      <c r="I1364" s="5"/>
      <c r="J1364" s="5"/>
      <c r="K1364" s="5"/>
      <c r="L1364" s="59"/>
    </row>
    <row r="1365" customHeight="1" spans="6:12">
      <c r="F1365" s="86">
        <v>44228</v>
      </c>
      <c r="G1365" s="87">
        <v>14281.2</v>
      </c>
      <c r="H1365" s="59"/>
      <c r="I1365" s="5"/>
      <c r="J1365" s="5"/>
      <c r="K1365" s="5"/>
      <c r="L1365" s="59"/>
    </row>
    <row r="1366" customHeight="1" spans="6:12">
      <c r="F1366" s="86">
        <v>44225</v>
      </c>
      <c r="G1366" s="87">
        <v>13634.6</v>
      </c>
      <c r="H1366" s="59"/>
      <c r="I1366" s="5"/>
      <c r="J1366" s="5"/>
      <c r="K1366" s="5"/>
      <c r="L1366" s="59"/>
    </row>
    <row r="1367" customHeight="1" spans="6:12">
      <c r="F1367" s="86">
        <v>44224</v>
      </c>
      <c r="G1367" s="87">
        <v>13817.55</v>
      </c>
      <c r="H1367" s="59"/>
      <c r="I1367" s="5"/>
      <c r="J1367" s="5"/>
      <c r="K1367" s="5"/>
      <c r="L1367" s="59"/>
    </row>
    <row r="1368" customHeight="1" spans="6:12">
      <c r="F1368" s="86">
        <v>44223</v>
      </c>
      <c r="G1368" s="87">
        <v>13967.5</v>
      </c>
      <c r="H1368" s="59"/>
      <c r="I1368" s="5"/>
      <c r="J1368" s="5"/>
      <c r="K1368" s="5"/>
      <c r="L1368" s="59"/>
    </row>
    <row r="1369" customHeight="1" spans="6:12">
      <c r="F1369" s="86">
        <v>44221</v>
      </c>
      <c r="G1369" s="87">
        <v>14238.9</v>
      </c>
      <c r="H1369" s="59"/>
      <c r="I1369" s="5"/>
      <c r="J1369" s="5"/>
      <c r="K1369" s="5"/>
      <c r="L1369" s="59"/>
    </row>
    <row r="1370" customHeight="1" spans="6:12">
      <c r="F1370" s="86">
        <v>44218</v>
      </c>
      <c r="G1370" s="87">
        <v>14371.9</v>
      </c>
      <c r="H1370" s="59"/>
      <c r="I1370" s="5"/>
      <c r="J1370" s="5"/>
      <c r="K1370" s="5"/>
      <c r="L1370" s="59"/>
    </row>
    <row r="1371" customHeight="1" spans="6:12">
      <c r="F1371" s="86">
        <v>44217</v>
      </c>
      <c r="G1371" s="87">
        <v>14590.35</v>
      </c>
      <c r="H1371" s="59"/>
      <c r="I1371" s="5"/>
      <c r="J1371" s="5"/>
      <c r="K1371" s="5"/>
      <c r="L1371" s="59"/>
    </row>
    <row r="1372" customHeight="1" spans="6:12">
      <c r="F1372" s="86">
        <v>44216</v>
      </c>
      <c r="G1372" s="87">
        <v>14644.7</v>
      </c>
      <c r="H1372" s="59"/>
      <c r="I1372" s="5"/>
      <c r="J1372" s="5"/>
      <c r="K1372" s="5"/>
      <c r="L1372" s="59"/>
    </row>
    <row r="1373" customHeight="1" spans="6:12">
      <c r="F1373" s="86">
        <v>44215</v>
      </c>
      <c r="G1373" s="87">
        <v>14521.15</v>
      </c>
      <c r="H1373" s="59"/>
      <c r="I1373" s="5"/>
      <c r="J1373" s="5"/>
      <c r="K1373" s="5"/>
      <c r="L1373" s="59"/>
    </row>
    <row r="1374" customHeight="1" spans="6:12">
      <c r="F1374" s="86">
        <v>44214</v>
      </c>
      <c r="G1374" s="87">
        <v>14281.3</v>
      </c>
      <c r="H1374" s="59"/>
      <c r="I1374" s="5"/>
      <c r="J1374" s="5"/>
      <c r="K1374" s="5"/>
      <c r="L1374" s="59"/>
    </row>
    <row r="1375" customHeight="1" spans="6:12">
      <c r="F1375" s="86">
        <v>44211</v>
      </c>
      <c r="G1375" s="87">
        <v>14433.7</v>
      </c>
      <c r="H1375" s="59"/>
      <c r="I1375" s="5"/>
      <c r="J1375" s="5"/>
      <c r="K1375" s="5"/>
      <c r="L1375" s="59"/>
    </row>
    <row r="1376" customHeight="1" spans="6:12">
      <c r="F1376" s="86">
        <v>44210</v>
      </c>
      <c r="G1376" s="87">
        <v>14595.6</v>
      </c>
      <c r="H1376" s="59"/>
      <c r="I1376" s="5"/>
      <c r="J1376" s="5"/>
      <c r="K1376" s="5"/>
      <c r="L1376" s="59"/>
    </row>
    <row r="1377" customHeight="1" spans="6:12">
      <c r="F1377" s="86">
        <v>44209</v>
      </c>
      <c r="G1377" s="87">
        <v>14564.85</v>
      </c>
      <c r="H1377" s="59"/>
      <c r="I1377" s="5"/>
      <c r="J1377" s="5"/>
      <c r="K1377" s="5"/>
      <c r="L1377" s="59"/>
    </row>
    <row r="1378" customHeight="1" spans="6:12">
      <c r="F1378" s="86">
        <v>44208</v>
      </c>
      <c r="G1378" s="87">
        <v>14563.45</v>
      </c>
      <c r="H1378" s="59"/>
      <c r="I1378" s="5"/>
      <c r="J1378" s="5"/>
      <c r="K1378" s="5"/>
      <c r="L1378" s="59"/>
    </row>
    <row r="1379" customHeight="1" spans="6:12">
      <c r="F1379" s="86">
        <v>44207</v>
      </c>
      <c r="G1379" s="87">
        <v>14484.75</v>
      </c>
      <c r="H1379" s="59"/>
      <c r="I1379" s="5"/>
      <c r="J1379" s="5"/>
      <c r="K1379" s="5"/>
      <c r="L1379" s="59"/>
    </row>
    <row r="1380" customHeight="1" spans="6:12">
      <c r="F1380" s="86">
        <v>44204</v>
      </c>
      <c r="G1380" s="87">
        <v>14347.25</v>
      </c>
      <c r="H1380" s="59"/>
      <c r="I1380" s="5"/>
      <c r="J1380" s="5"/>
      <c r="K1380" s="5"/>
      <c r="L1380" s="59"/>
    </row>
    <row r="1381" customHeight="1" spans="6:12">
      <c r="F1381" s="86">
        <v>44203</v>
      </c>
      <c r="G1381" s="87">
        <v>14137.35</v>
      </c>
      <c r="H1381" s="59"/>
      <c r="I1381" s="5"/>
      <c r="J1381" s="5"/>
      <c r="K1381" s="5"/>
      <c r="L1381" s="59"/>
    </row>
    <row r="1382" customHeight="1" spans="6:12">
      <c r="F1382" s="86">
        <v>44202</v>
      </c>
      <c r="G1382" s="87">
        <v>14146.25</v>
      </c>
      <c r="H1382" s="59"/>
      <c r="I1382" s="5"/>
      <c r="J1382" s="5"/>
      <c r="K1382" s="5"/>
      <c r="L1382" s="59"/>
    </row>
    <row r="1383" customHeight="1" spans="6:12">
      <c r="F1383" s="86">
        <v>44201</v>
      </c>
      <c r="G1383" s="87">
        <v>14199.5</v>
      </c>
      <c r="H1383" s="59"/>
      <c r="I1383" s="5"/>
      <c r="J1383" s="5"/>
      <c r="K1383" s="5"/>
      <c r="L1383" s="59"/>
    </row>
    <row r="1384" customHeight="1" spans="6:12">
      <c r="F1384" s="86">
        <v>44200</v>
      </c>
      <c r="G1384" s="87">
        <v>14132.9</v>
      </c>
      <c r="H1384" s="59"/>
      <c r="I1384" s="5"/>
      <c r="J1384" s="5"/>
      <c r="K1384" s="5"/>
      <c r="L1384" s="59"/>
    </row>
    <row r="1385" customHeight="1" spans="6:12">
      <c r="F1385" s="86">
        <v>44197</v>
      </c>
      <c r="G1385" s="87">
        <v>14018.5</v>
      </c>
      <c r="H1385" s="59"/>
      <c r="I1385" s="5"/>
      <c r="J1385" s="5"/>
      <c r="K1385" s="5"/>
      <c r="L1385" s="59"/>
    </row>
    <row r="1386" customHeight="1" spans="6:12">
      <c r="F1386" s="86">
        <v>44196</v>
      </c>
      <c r="G1386" s="87">
        <v>13981.75</v>
      </c>
      <c r="H1386" s="59"/>
      <c r="I1386" s="5"/>
      <c r="J1386" s="5"/>
      <c r="K1386" s="5"/>
      <c r="L1386" s="59"/>
    </row>
    <row r="1387" customHeight="1" spans="6:12">
      <c r="F1387" s="86">
        <v>44195</v>
      </c>
      <c r="G1387" s="87">
        <v>13981.95</v>
      </c>
      <c r="H1387" s="59"/>
      <c r="I1387" s="5"/>
      <c r="J1387" s="5"/>
      <c r="K1387" s="5"/>
      <c r="L1387" s="59"/>
    </row>
    <row r="1388" customHeight="1" spans="6:12">
      <c r="F1388" s="86">
        <v>44194</v>
      </c>
      <c r="G1388" s="87">
        <v>13932.6</v>
      </c>
      <c r="H1388" s="59"/>
      <c r="I1388" s="5"/>
      <c r="J1388" s="5"/>
      <c r="K1388" s="5"/>
      <c r="L1388" s="59"/>
    </row>
    <row r="1389" customHeight="1" spans="6:12">
      <c r="F1389" s="86">
        <v>44193</v>
      </c>
      <c r="G1389" s="87">
        <v>13873.2</v>
      </c>
      <c r="H1389" s="59"/>
      <c r="I1389" s="5"/>
      <c r="J1389" s="5"/>
      <c r="K1389" s="5"/>
      <c r="L1389" s="59"/>
    </row>
    <row r="1390" customHeight="1" spans="6:12">
      <c r="F1390" s="86">
        <v>44189</v>
      </c>
      <c r="G1390" s="87">
        <v>13749.25</v>
      </c>
      <c r="H1390" s="59"/>
      <c r="I1390" s="5"/>
      <c r="J1390" s="5"/>
      <c r="K1390" s="5"/>
      <c r="L1390" s="59"/>
    </row>
    <row r="1391" customHeight="1" spans="6:12">
      <c r="F1391" s="86">
        <v>44188</v>
      </c>
      <c r="G1391" s="87">
        <v>13601.1</v>
      </c>
      <c r="H1391" s="59"/>
      <c r="I1391" s="5"/>
      <c r="J1391" s="5"/>
      <c r="K1391" s="5"/>
      <c r="L1391" s="59"/>
    </row>
    <row r="1392" customHeight="1" spans="6:12">
      <c r="F1392" s="86">
        <v>44187</v>
      </c>
      <c r="G1392" s="87">
        <v>13466.3</v>
      </c>
      <c r="H1392" s="59"/>
      <c r="I1392" s="5"/>
      <c r="J1392" s="5"/>
      <c r="K1392" s="5"/>
      <c r="L1392" s="59"/>
    </row>
    <row r="1393" customHeight="1" spans="6:12">
      <c r="F1393" s="86">
        <v>44186</v>
      </c>
      <c r="G1393" s="87">
        <v>13328.4</v>
      </c>
      <c r="H1393" s="59"/>
      <c r="I1393" s="5"/>
      <c r="J1393" s="5"/>
      <c r="K1393" s="5"/>
      <c r="L1393" s="59"/>
    </row>
    <row r="1394" customHeight="1" spans="6:12">
      <c r="F1394" s="86">
        <v>44183</v>
      </c>
      <c r="G1394" s="87">
        <v>13760.55</v>
      </c>
      <c r="H1394" s="59"/>
      <c r="I1394" s="5"/>
      <c r="J1394" s="5"/>
      <c r="K1394" s="5"/>
      <c r="L1394" s="59"/>
    </row>
    <row r="1395" customHeight="1" spans="6:12">
      <c r="F1395" s="86">
        <v>44182</v>
      </c>
      <c r="G1395" s="87">
        <v>13740.7</v>
      </c>
      <c r="H1395" s="59"/>
      <c r="I1395" s="5"/>
      <c r="J1395" s="5"/>
      <c r="K1395" s="5"/>
      <c r="L1395" s="59"/>
    </row>
    <row r="1396" customHeight="1" spans="6:12">
      <c r="F1396" s="86">
        <v>44181</v>
      </c>
      <c r="G1396" s="87">
        <v>13682.7</v>
      </c>
      <c r="H1396" s="59"/>
      <c r="I1396" s="5"/>
      <c r="J1396" s="5"/>
      <c r="K1396" s="5"/>
      <c r="L1396" s="59"/>
    </row>
    <row r="1397" customHeight="1" spans="6:12">
      <c r="F1397" s="86">
        <v>44180</v>
      </c>
      <c r="G1397" s="87">
        <v>13567.85</v>
      </c>
      <c r="H1397" s="59"/>
      <c r="I1397" s="5"/>
      <c r="J1397" s="5"/>
      <c r="K1397" s="5"/>
      <c r="L1397" s="59"/>
    </row>
    <row r="1398" customHeight="1" spans="6:12">
      <c r="F1398" s="86">
        <v>44179</v>
      </c>
      <c r="G1398" s="87">
        <v>13558.15</v>
      </c>
      <c r="H1398" s="59"/>
      <c r="I1398" s="5"/>
      <c r="J1398" s="5"/>
      <c r="K1398" s="5"/>
      <c r="L1398" s="59"/>
    </row>
    <row r="1399" customHeight="1" spans="6:12">
      <c r="F1399" s="86">
        <v>44176</v>
      </c>
      <c r="G1399" s="87">
        <v>13513.85</v>
      </c>
      <c r="H1399" s="59"/>
      <c r="I1399" s="5"/>
      <c r="J1399" s="5"/>
      <c r="K1399" s="5"/>
      <c r="L1399" s="59"/>
    </row>
    <row r="1400" customHeight="1" spans="6:12">
      <c r="F1400" s="86">
        <v>44175</v>
      </c>
      <c r="G1400" s="87">
        <v>13478.3</v>
      </c>
      <c r="H1400" s="59"/>
      <c r="I1400" s="5"/>
      <c r="J1400" s="5"/>
      <c r="K1400" s="5"/>
      <c r="L1400" s="59"/>
    </row>
    <row r="1401" customHeight="1" spans="6:12">
      <c r="F1401" s="86">
        <v>44174</v>
      </c>
      <c r="G1401" s="87">
        <v>13529.1</v>
      </c>
      <c r="H1401" s="59"/>
      <c r="I1401" s="5"/>
      <c r="J1401" s="5"/>
      <c r="K1401" s="5"/>
      <c r="L1401" s="59"/>
    </row>
    <row r="1402" customHeight="1" spans="6:12">
      <c r="F1402" s="86">
        <v>44173</v>
      </c>
      <c r="G1402" s="87">
        <v>13392.95</v>
      </c>
      <c r="H1402" s="59"/>
      <c r="I1402" s="5"/>
      <c r="J1402" s="5"/>
      <c r="K1402" s="5"/>
      <c r="L1402" s="59"/>
    </row>
    <row r="1403" customHeight="1" spans="6:12">
      <c r="F1403" s="86">
        <v>44172</v>
      </c>
      <c r="G1403" s="87">
        <v>13355.75</v>
      </c>
      <c r="H1403" s="59"/>
      <c r="I1403" s="5"/>
      <c r="J1403" s="5"/>
      <c r="K1403" s="5"/>
      <c r="L1403" s="59"/>
    </row>
    <row r="1404" customHeight="1" spans="6:12">
      <c r="F1404" s="86">
        <v>44169</v>
      </c>
      <c r="G1404" s="87">
        <v>13258.55</v>
      </c>
      <c r="H1404" s="59"/>
      <c r="I1404" s="5"/>
      <c r="J1404" s="5"/>
      <c r="K1404" s="5"/>
      <c r="L1404" s="59"/>
    </row>
    <row r="1405" customHeight="1" spans="6:12">
      <c r="F1405" s="86">
        <v>44168</v>
      </c>
      <c r="G1405" s="87">
        <v>13133.9</v>
      </c>
      <c r="H1405" s="59"/>
      <c r="I1405" s="5"/>
      <c r="J1405" s="5"/>
      <c r="K1405" s="5"/>
      <c r="L1405" s="59"/>
    </row>
    <row r="1406" customHeight="1" spans="6:12">
      <c r="F1406" s="86">
        <v>44167</v>
      </c>
      <c r="G1406" s="87">
        <v>13113.75</v>
      </c>
      <c r="H1406" s="59"/>
      <c r="I1406" s="5"/>
      <c r="J1406" s="5"/>
      <c r="K1406" s="5"/>
      <c r="L1406" s="59"/>
    </row>
    <row r="1407" customHeight="1" spans="6:12">
      <c r="F1407" s="86">
        <v>44166</v>
      </c>
      <c r="G1407" s="87">
        <v>13109.05</v>
      </c>
      <c r="H1407" s="59"/>
      <c r="I1407" s="5"/>
      <c r="J1407" s="5"/>
      <c r="K1407" s="5"/>
      <c r="L1407" s="59"/>
    </row>
    <row r="1408" customHeight="1" spans="6:12">
      <c r="F1408" s="86">
        <v>44162</v>
      </c>
      <c r="G1408" s="87">
        <v>12968.95</v>
      </c>
      <c r="H1408" s="59"/>
      <c r="I1408" s="5"/>
      <c r="J1408" s="5"/>
      <c r="K1408" s="5"/>
      <c r="L1408" s="59"/>
    </row>
    <row r="1409" customHeight="1" spans="6:12">
      <c r="F1409" s="86">
        <v>44161</v>
      </c>
      <c r="G1409" s="87">
        <v>12987</v>
      </c>
      <c r="H1409" s="59"/>
      <c r="I1409" s="5"/>
      <c r="J1409" s="5"/>
      <c r="K1409" s="5"/>
      <c r="L1409" s="59"/>
    </row>
    <row r="1410" customHeight="1" spans="6:12">
      <c r="F1410" s="86">
        <v>44160</v>
      </c>
      <c r="G1410" s="87">
        <v>12858.4</v>
      </c>
      <c r="H1410" s="59"/>
      <c r="I1410" s="5"/>
      <c r="J1410" s="5"/>
      <c r="K1410" s="5"/>
      <c r="L1410" s="59"/>
    </row>
    <row r="1411" customHeight="1" spans="6:12">
      <c r="F1411" s="86">
        <v>44159</v>
      </c>
      <c r="G1411" s="87">
        <v>13055.15</v>
      </c>
      <c r="H1411" s="59"/>
      <c r="I1411" s="5"/>
      <c r="J1411" s="5"/>
      <c r="K1411" s="5"/>
      <c r="L1411" s="59"/>
    </row>
    <row r="1412" customHeight="1" spans="6:12">
      <c r="F1412" s="86">
        <v>44158</v>
      </c>
      <c r="G1412" s="87">
        <v>12926.45</v>
      </c>
      <c r="H1412" s="59"/>
      <c r="I1412" s="5"/>
      <c r="J1412" s="5"/>
      <c r="K1412" s="5"/>
      <c r="L1412" s="59"/>
    </row>
    <row r="1413" customHeight="1" spans="6:12">
      <c r="F1413" s="86">
        <v>44155</v>
      </c>
      <c r="G1413" s="87">
        <v>12859.05</v>
      </c>
      <c r="H1413" s="59"/>
      <c r="I1413" s="5"/>
      <c r="J1413" s="5"/>
      <c r="K1413" s="5"/>
      <c r="L1413" s="59"/>
    </row>
    <row r="1414" customHeight="1" spans="6:12">
      <c r="F1414" s="86">
        <v>44154</v>
      </c>
      <c r="G1414" s="87">
        <v>12771.7</v>
      </c>
      <c r="H1414" s="59"/>
      <c r="I1414" s="5"/>
      <c r="J1414" s="5"/>
      <c r="K1414" s="5"/>
      <c r="L1414" s="59"/>
    </row>
    <row r="1415" customHeight="1" spans="6:12">
      <c r="F1415" s="86">
        <v>44153</v>
      </c>
      <c r="G1415" s="87">
        <v>12938.25</v>
      </c>
      <c r="H1415" s="59"/>
      <c r="I1415" s="5"/>
      <c r="J1415" s="5"/>
      <c r="K1415" s="5"/>
      <c r="L1415" s="59"/>
    </row>
    <row r="1416" customHeight="1" spans="6:12">
      <c r="F1416" s="86">
        <v>44152</v>
      </c>
      <c r="G1416" s="87">
        <v>12874.2</v>
      </c>
      <c r="H1416" s="59"/>
      <c r="I1416" s="5"/>
      <c r="J1416" s="5"/>
      <c r="K1416" s="5"/>
      <c r="L1416" s="59"/>
    </row>
    <row r="1417" customHeight="1" spans="6:12">
      <c r="F1417" s="86">
        <v>44149</v>
      </c>
      <c r="G1417" s="87">
        <v>12780.25</v>
      </c>
      <c r="H1417" s="59"/>
      <c r="I1417" s="5"/>
      <c r="J1417" s="5"/>
      <c r="K1417" s="5"/>
      <c r="L1417" s="59"/>
    </row>
    <row r="1418" customHeight="1" spans="6:12">
      <c r="F1418" s="86">
        <v>44148</v>
      </c>
      <c r="G1418" s="87">
        <v>12719.95</v>
      </c>
      <c r="H1418" s="59"/>
      <c r="I1418" s="5"/>
      <c r="J1418" s="5"/>
      <c r="K1418" s="5"/>
      <c r="L1418" s="59"/>
    </row>
    <row r="1419" customHeight="1" spans="6:12">
      <c r="F1419" s="86">
        <v>44147</v>
      </c>
      <c r="G1419" s="87">
        <v>12690.8</v>
      </c>
      <c r="H1419" s="59"/>
      <c r="I1419" s="5"/>
      <c r="J1419" s="5"/>
      <c r="K1419" s="5"/>
      <c r="L1419" s="59"/>
    </row>
    <row r="1420" customHeight="1" spans="6:12">
      <c r="F1420" s="86">
        <v>44146</v>
      </c>
      <c r="G1420" s="87">
        <v>12749.15</v>
      </c>
      <c r="H1420" s="59"/>
      <c r="I1420" s="5"/>
      <c r="J1420" s="5"/>
      <c r="K1420" s="5"/>
      <c r="L1420" s="59"/>
    </row>
    <row r="1421" customHeight="1" spans="6:12">
      <c r="F1421" s="86">
        <v>44145</v>
      </c>
      <c r="G1421" s="87">
        <v>12631.1</v>
      </c>
      <c r="H1421" s="59"/>
      <c r="I1421" s="5"/>
      <c r="J1421" s="5"/>
      <c r="K1421" s="5"/>
      <c r="L1421" s="59"/>
    </row>
    <row r="1422" customHeight="1" spans="6:12">
      <c r="F1422" s="86">
        <v>44144</v>
      </c>
      <c r="G1422" s="87">
        <v>12461.05</v>
      </c>
      <c r="H1422" s="59"/>
      <c r="I1422" s="5"/>
      <c r="J1422" s="5"/>
      <c r="K1422" s="5"/>
      <c r="L1422" s="59"/>
    </row>
    <row r="1423" customHeight="1" spans="6:12">
      <c r="F1423" s="86">
        <v>44141</v>
      </c>
      <c r="G1423" s="87">
        <v>12263.55</v>
      </c>
      <c r="H1423" s="59"/>
      <c r="I1423" s="5"/>
      <c r="J1423" s="5"/>
      <c r="K1423" s="5"/>
      <c r="L1423" s="59"/>
    </row>
    <row r="1424" customHeight="1" spans="6:12">
      <c r="F1424" s="86">
        <v>44140</v>
      </c>
      <c r="G1424" s="87">
        <v>12120.3</v>
      </c>
      <c r="H1424" s="59"/>
      <c r="I1424" s="5"/>
      <c r="J1424" s="5"/>
      <c r="K1424" s="5"/>
      <c r="L1424" s="59"/>
    </row>
    <row r="1425" customHeight="1" spans="6:12">
      <c r="F1425" s="86">
        <v>44139</v>
      </c>
      <c r="G1425" s="87">
        <v>11908.5</v>
      </c>
      <c r="H1425" s="59"/>
      <c r="I1425" s="5"/>
      <c r="J1425" s="5"/>
      <c r="K1425" s="5"/>
      <c r="L1425" s="59"/>
    </row>
    <row r="1426" customHeight="1" spans="6:12">
      <c r="F1426" s="86">
        <v>44138</v>
      </c>
      <c r="G1426" s="87">
        <v>11813.5</v>
      </c>
      <c r="H1426" s="59"/>
      <c r="I1426" s="5"/>
      <c r="J1426" s="5"/>
      <c r="K1426" s="5"/>
      <c r="L1426" s="59"/>
    </row>
    <row r="1427" customHeight="1" spans="6:12">
      <c r="F1427" s="86">
        <v>44137</v>
      </c>
      <c r="G1427" s="87">
        <v>11669.15</v>
      </c>
      <c r="H1427" s="59"/>
      <c r="I1427" s="5"/>
      <c r="J1427" s="5"/>
      <c r="K1427" s="5"/>
      <c r="L1427" s="59"/>
    </row>
    <row r="1428" customHeight="1" spans="6:12">
      <c r="F1428" s="86">
        <v>44134</v>
      </c>
      <c r="G1428" s="87">
        <v>11642.4</v>
      </c>
      <c r="H1428" s="59"/>
      <c r="I1428" s="5"/>
      <c r="J1428" s="5"/>
      <c r="K1428" s="5"/>
      <c r="L1428" s="59"/>
    </row>
    <row r="1429" customHeight="1" spans="6:12">
      <c r="F1429" s="86">
        <v>44133</v>
      </c>
      <c r="G1429" s="87">
        <v>11670.8</v>
      </c>
      <c r="H1429" s="59"/>
      <c r="I1429" s="5"/>
      <c r="J1429" s="5"/>
      <c r="K1429" s="5"/>
      <c r="L1429" s="59"/>
    </row>
    <row r="1430" customHeight="1" spans="6:12">
      <c r="F1430" s="86">
        <v>44132</v>
      </c>
      <c r="G1430" s="87">
        <v>11729.6</v>
      </c>
      <c r="H1430" s="59"/>
      <c r="I1430" s="5"/>
      <c r="J1430" s="5"/>
      <c r="K1430" s="5"/>
      <c r="L1430" s="59"/>
    </row>
    <row r="1431" customHeight="1" spans="6:12">
      <c r="F1431" s="86">
        <v>44131</v>
      </c>
      <c r="G1431" s="87">
        <v>11889.4</v>
      </c>
      <c r="H1431" s="59"/>
      <c r="I1431" s="5"/>
      <c r="J1431" s="5"/>
      <c r="K1431" s="5"/>
      <c r="L1431" s="59"/>
    </row>
    <row r="1432" customHeight="1" spans="6:12">
      <c r="F1432" s="86">
        <v>44130</v>
      </c>
      <c r="G1432" s="87">
        <v>11767.75</v>
      </c>
      <c r="H1432" s="59"/>
      <c r="I1432" s="5"/>
      <c r="J1432" s="5"/>
      <c r="K1432" s="5"/>
      <c r="L1432" s="59"/>
    </row>
    <row r="1433" customHeight="1" spans="6:12">
      <c r="F1433" s="86">
        <v>44127</v>
      </c>
      <c r="G1433" s="87">
        <v>11930.35</v>
      </c>
      <c r="H1433" s="59"/>
      <c r="I1433" s="5"/>
      <c r="J1433" s="5"/>
      <c r="K1433" s="5"/>
      <c r="L1433" s="59"/>
    </row>
    <row r="1434" customHeight="1" spans="6:12">
      <c r="F1434" s="86">
        <v>44126</v>
      </c>
      <c r="G1434" s="87">
        <v>11896.45</v>
      </c>
      <c r="H1434" s="59"/>
      <c r="I1434" s="5"/>
      <c r="J1434" s="5"/>
      <c r="K1434" s="5"/>
      <c r="L1434" s="59"/>
    </row>
    <row r="1435" customHeight="1" spans="6:12">
      <c r="F1435" s="86">
        <v>44125</v>
      </c>
      <c r="G1435" s="87">
        <v>11937.65</v>
      </c>
      <c r="H1435" s="59"/>
      <c r="I1435" s="5"/>
      <c r="J1435" s="5"/>
      <c r="K1435" s="5"/>
      <c r="L1435" s="59"/>
    </row>
    <row r="1436" customHeight="1" spans="6:12">
      <c r="F1436" s="86">
        <v>44124</v>
      </c>
      <c r="G1436" s="87">
        <v>11896.8</v>
      </c>
      <c r="H1436" s="59"/>
      <c r="I1436" s="5"/>
      <c r="J1436" s="5"/>
      <c r="K1436" s="5"/>
      <c r="L1436" s="59"/>
    </row>
    <row r="1437" customHeight="1" spans="6:12">
      <c r="F1437" s="86">
        <v>44123</v>
      </c>
      <c r="G1437" s="87">
        <v>11873.05</v>
      </c>
      <c r="H1437" s="59"/>
      <c r="I1437" s="5"/>
      <c r="J1437" s="5"/>
      <c r="K1437" s="5"/>
      <c r="L1437" s="59"/>
    </row>
    <row r="1438" customHeight="1" spans="6:12">
      <c r="F1438" s="86">
        <v>44120</v>
      </c>
      <c r="G1438" s="87">
        <v>11762.45</v>
      </c>
      <c r="H1438" s="59"/>
      <c r="I1438" s="5"/>
      <c r="J1438" s="5"/>
      <c r="K1438" s="5"/>
      <c r="L1438" s="59"/>
    </row>
    <row r="1439" customHeight="1" spans="6:12">
      <c r="F1439" s="86">
        <v>44119</v>
      </c>
      <c r="G1439" s="87">
        <v>11680.35</v>
      </c>
      <c r="H1439" s="59"/>
      <c r="I1439" s="5"/>
      <c r="J1439" s="5"/>
      <c r="K1439" s="5"/>
      <c r="L1439" s="59"/>
    </row>
    <row r="1440" customHeight="1" spans="6:12">
      <c r="F1440" s="86">
        <v>44118</v>
      </c>
      <c r="G1440" s="87">
        <v>11971.05</v>
      </c>
      <c r="H1440" s="59"/>
      <c r="I1440" s="5"/>
      <c r="J1440" s="5"/>
      <c r="K1440" s="5"/>
      <c r="L1440" s="59"/>
    </row>
    <row r="1441" customHeight="1" spans="6:12">
      <c r="F1441" s="86">
        <v>44117</v>
      </c>
      <c r="G1441" s="87">
        <v>11934.5</v>
      </c>
      <c r="H1441" s="59"/>
      <c r="I1441" s="5"/>
      <c r="J1441" s="5"/>
      <c r="K1441" s="5"/>
      <c r="L1441" s="59"/>
    </row>
    <row r="1442" customHeight="1" spans="6:12">
      <c r="F1442" s="86">
        <v>44116</v>
      </c>
      <c r="G1442" s="87">
        <v>11930.95</v>
      </c>
      <c r="H1442" s="59"/>
      <c r="I1442" s="5"/>
      <c r="J1442" s="5"/>
      <c r="K1442" s="5"/>
      <c r="L1442" s="59"/>
    </row>
    <row r="1443" customHeight="1" spans="6:12">
      <c r="F1443" s="86">
        <v>44113</v>
      </c>
      <c r="G1443" s="87">
        <v>11914.2</v>
      </c>
      <c r="H1443" s="59"/>
      <c r="I1443" s="5"/>
      <c r="J1443" s="5"/>
      <c r="K1443" s="5"/>
      <c r="L1443" s="59"/>
    </row>
    <row r="1444" customHeight="1" spans="6:12">
      <c r="F1444" s="86">
        <v>44112</v>
      </c>
      <c r="G1444" s="87">
        <v>11834.6</v>
      </c>
      <c r="H1444" s="59"/>
      <c r="I1444" s="5"/>
      <c r="J1444" s="5"/>
      <c r="K1444" s="5"/>
      <c r="L1444" s="59"/>
    </row>
    <row r="1445" customHeight="1" spans="6:12">
      <c r="F1445" s="86">
        <v>44111</v>
      </c>
      <c r="G1445" s="87">
        <v>11738.85</v>
      </c>
      <c r="H1445" s="59"/>
      <c r="I1445" s="5"/>
      <c r="J1445" s="5"/>
      <c r="K1445" s="5"/>
      <c r="L1445" s="59"/>
    </row>
    <row r="1446" customHeight="1" spans="6:12">
      <c r="F1446" s="86">
        <v>44110</v>
      </c>
      <c r="G1446" s="87">
        <v>11662.4</v>
      </c>
      <c r="H1446" s="59"/>
      <c r="I1446" s="5"/>
      <c r="J1446" s="5"/>
      <c r="K1446" s="5"/>
      <c r="L1446" s="59"/>
    </row>
    <row r="1447" customHeight="1" spans="6:12">
      <c r="F1447" s="86">
        <v>44109</v>
      </c>
      <c r="G1447" s="87">
        <v>11503.35</v>
      </c>
      <c r="H1447" s="59"/>
      <c r="I1447" s="5"/>
      <c r="J1447" s="5"/>
      <c r="K1447" s="5"/>
      <c r="L1447" s="59"/>
    </row>
    <row r="1448" customHeight="1" spans="6:12">
      <c r="F1448" s="86">
        <v>44105</v>
      </c>
      <c r="G1448" s="87">
        <v>11416.95</v>
      </c>
      <c r="H1448" s="59"/>
      <c r="I1448" s="5"/>
      <c r="J1448" s="5"/>
      <c r="K1448" s="5"/>
      <c r="L1448" s="59"/>
    </row>
    <row r="1449" customHeight="1" spans="6:12">
      <c r="F1449" s="86">
        <v>44104</v>
      </c>
      <c r="G1449" s="87">
        <v>11247.55</v>
      </c>
      <c r="H1449" s="59"/>
      <c r="I1449" s="5"/>
      <c r="J1449" s="5"/>
      <c r="K1449" s="5"/>
      <c r="L1449" s="59"/>
    </row>
    <row r="1450" customHeight="1" spans="6:12">
      <c r="F1450" s="86">
        <v>44103</v>
      </c>
      <c r="G1450" s="87">
        <v>11222.4</v>
      </c>
      <c r="H1450" s="59"/>
      <c r="I1450" s="5"/>
      <c r="J1450" s="5"/>
      <c r="K1450" s="5"/>
      <c r="L1450" s="59"/>
    </row>
    <row r="1451" customHeight="1" spans="6:12">
      <c r="F1451" s="86">
        <v>44102</v>
      </c>
      <c r="G1451" s="87">
        <v>11227.55</v>
      </c>
      <c r="H1451" s="59"/>
      <c r="I1451" s="5"/>
      <c r="J1451" s="5"/>
      <c r="K1451" s="5"/>
      <c r="L1451" s="59"/>
    </row>
    <row r="1452" customHeight="1" spans="6:12">
      <c r="F1452" s="86">
        <v>44099</v>
      </c>
      <c r="G1452" s="87">
        <v>11050.25</v>
      </c>
      <c r="H1452" s="59"/>
      <c r="I1452" s="5"/>
      <c r="J1452" s="5"/>
      <c r="K1452" s="5"/>
      <c r="L1452" s="59"/>
    </row>
    <row r="1453" customHeight="1" spans="6:12">
      <c r="F1453" s="86">
        <v>44098</v>
      </c>
      <c r="G1453" s="87">
        <v>10805.55</v>
      </c>
      <c r="H1453" s="59"/>
      <c r="I1453" s="5"/>
      <c r="J1453" s="5"/>
      <c r="K1453" s="5"/>
      <c r="L1453" s="59"/>
    </row>
    <row r="1454" customHeight="1" spans="6:12">
      <c r="F1454" s="86">
        <v>44097</v>
      </c>
      <c r="G1454" s="87">
        <v>11131.85</v>
      </c>
      <c r="H1454" s="59"/>
      <c r="I1454" s="5"/>
      <c r="J1454" s="5"/>
      <c r="K1454" s="5"/>
      <c r="L1454" s="59"/>
    </row>
    <row r="1455" customHeight="1" spans="6:12">
      <c r="F1455" s="86">
        <v>44096</v>
      </c>
      <c r="G1455" s="87">
        <v>11153.65</v>
      </c>
      <c r="H1455" s="59"/>
      <c r="I1455" s="5"/>
      <c r="J1455" s="5"/>
      <c r="K1455" s="5"/>
      <c r="L1455" s="59"/>
    </row>
    <row r="1456" customHeight="1" spans="6:12">
      <c r="F1456" s="86">
        <v>44095</v>
      </c>
      <c r="G1456" s="87">
        <v>11250.55</v>
      </c>
      <c r="H1456" s="59"/>
      <c r="I1456" s="5"/>
      <c r="J1456" s="5"/>
      <c r="K1456" s="5"/>
      <c r="L1456" s="59"/>
    </row>
    <row r="1457" customHeight="1" spans="6:12">
      <c r="F1457" s="86">
        <v>44092</v>
      </c>
      <c r="G1457" s="87">
        <v>11504.95</v>
      </c>
      <c r="H1457" s="59"/>
      <c r="I1457" s="5"/>
      <c r="J1457" s="5"/>
      <c r="K1457" s="5"/>
      <c r="L1457" s="59"/>
    </row>
    <row r="1458" customHeight="1" spans="6:12">
      <c r="F1458" s="86">
        <v>44091</v>
      </c>
      <c r="G1458" s="87">
        <v>11516.1</v>
      </c>
      <c r="H1458" s="59"/>
      <c r="I1458" s="5"/>
      <c r="J1458" s="5"/>
      <c r="K1458" s="5"/>
      <c r="L1458" s="59"/>
    </row>
    <row r="1459" customHeight="1" spans="6:12">
      <c r="F1459" s="86">
        <v>44090</v>
      </c>
      <c r="G1459" s="87">
        <v>11604.55</v>
      </c>
      <c r="H1459" s="59"/>
      <c r="I1459" s="5"/>
      <c r="J1459" s="5"/>
      <c r="K1459" s="5"/>
      <c r="L1459" s="59"/>
    </row>
    <row r="1460" customHeight="1" spans="6:12">
      <c r="F1460" s="86">
        <v>44089</v>
      </c>
      <c r="G1460" s="87">
        <v>11521.8</v>
      </c>
      <c r="H1460" s="59"/>
      <c r="I1460" s="5"/>
      <c r="J1460" s="5"/>
      <c r="K1460" s="5"/>
      <c r="L1460" s="59"/>
    </row>
    <row r="1461" customHeight="1" spans="6:12">
      <c r="F1461" s="86">
        <v>44088</v>
      </c>
      <c r="G1461" s="87">
        <v>11440.05</v>
      </c>
      <c r="H1461" s="59"/>
      <c r="I1461" s="5"/>
      <c r="J1461" s="5"/>
      <c r="K1461" s="5"/>
      <c r="L1461" s="59"/>
    </row>
    <row r="1462" customHeight="1" spans="6:12">
      <c r="F1462" s="86">
        <v>44085</v>
      </c>
      <c r="G1462" s="87">
        <v>11464.45</v>
      </c>
      <c r="H1462" s="59"/>
      <c r="I1462" s="5"/>
      <c r="J1462" s="5"/>
      <c r="K1462" s="5"/>
      <c r="L1462" s="59"/>
    </row>
    <row r="1463" customHeight="1" spans="6:12">
      <c r="F1463" s="86">
        <v>44084</v>
      </c>
      <c r="G1463" s="87">
        <v>11449.25</v>
      </c>
      <c r="H1463" s="59"/>
      <c r="I1463" s="5"/>
      <c r="J1463" s="5"/>
      <c r="K1463" s="5"/>
      <c r="L1463" s="59"/>
    </row>
    <row r="1464" customHeight="1" spans="6:12">
      <c r="F1464" s="86">
        <v>44083</v>
      </c>
      <c r="G1464" s="87">
        <v>11278</v>
      </c>
      <c r="H1464" s="59"/>
      <c r="I1464" s="5"/>
      <c r="J1464" s="5"/>
      <c r="K1464" s="5"/>
      <c r="L1464" s="59"/>
    </row>
    <row r="1465" customHeight="1" spans="6:12">
      <c r="F1465" s="86">
        <v>44082</v>
      </c>
      <c r="G1465" s="87">
        <v>11317.35</v>
      </c>
      <c r="H1465" s="59"/>
      <c r="I1465" s="5"/>
      <c r="J1465" s="5"/>
      <c r="K1465" s="5"/>
      <c r="L1465" s="59"/>
    </row>
    <row r="1466" customHeight="1" spans="6:12">
      <c r="F1466" s="86">
        <v>44081</v>
      </c>
      <c r="G1466" s="87">
        <v>11355.05</v>
      </c>
      <c r="H1466" s="59"/>
      <c r="I1466" s="5"/>
      <c r="J1466" s="5"/>
      <c r="K1466" s="5"/>
      <c r="L1466" s="59"/>
    </row>
    <row r="1467" customHeight="1" spans="6:12">
      <c r="F1467" s="86">
        <v>44078</v>
      </c>
      <c r="G1467" s="87">
        <v>11333.85</v>
      </c>
      <c r="H1467" s="59"/>
      <c r="I1467" s="5"/>
      <c r="J1467" s="5"/>
      <c r="K1467" s="5"/>
      <c r="L1467" s="59"/>
    </row>
    <row r="1468" customHeight="1" spans="6:12">
      <c r="F1468" s="86">
        <v>44077</v>
      </c>
      <c r="G1468" s="87">
        <v>11527.45</v>
      </c>
      <c r="H1468" s="59"/>
      <c r="I1468" s="5"/>
      <c r="J1468" s="5"/>
      <c r="K1468" s="5"/>
      <c r="L1468" s="59"/>
    </row>
    <row r="1469" customHeight="1" spans="6:12">
      <c r="F1469" s="86">
        <v>44076</v>
      </c>
      <c r="G1469" s="87">
        <v>11535</v>
      </c>
      <c r="H1469" s="59"/>
      <c r="I1469" s="5"/>
      <c r="J1469" s="5"/>
      <c r="K1469" s="5"/>
      <c r="L1469" s="59"/>
    </row>
    <row r="1470" customHeight="1" spans="6:12">
      <c r="F1470" s="86">
        <v>44075</v>
      </c>
      <c r="G1470" s="87">
        <v>11470.25</v>
      </c>
      <c r="H1470" s="59"/>
      <c r="I1470" s="5"/>
      <c r="J1470" s="5"/>
      <c r="K1470" s="5"/>
      <c r="L1470" s="59"/>
    </row>
    <row r="1471" customHeight="1" spans="6:12">
      <c r="F1471" s="86">
        <v>44074</v>
      </c>
      <c r="G1471" s="87">
        <v>11387.5</v>
      </c>
      <c r="H1471" s="59"/>
      <c r="I1471" s="5"/>
      <c r="J1471" s="5"/>
      <c r="K1471" s="5"/>
      <c r="L1471" s="59"/>
    </row>
    <row r="1472" customHeight="1" spans="6:12">
      <c r="F1472" s="86">
        <v>44071</v>
      </c>
      <c r="G1472" s="87">
        <v>11647.6</v>
      </c>
      <c r="H1472" s="59"/>
      <c r="I1472" s="5"/>
      <c r="J1472" s="5"/>
      <c r="K1472" s="5"/>
      <c r="L1472" s="59"/>
    </row>
    <row r="1473" customHeight="1" spans="6:12">
      <c r="F1473" s="86">
        <v>44070</v>
      </c>
      <c r="G1473" s="87">
        <v>11559.25</v>
      </c>
      <c r="H1473" s="59"/>
      <c r="I1473" s="5"/>
      <c r="J1473" s="5"/>
      <c r="K1473" s="5"/>
      <c r="L1473" s="59"/>
    </row>
    <row r="1474" customHeight="1" spans="6:12">
      <c r="F1474" s="86">
        <v>44069</v>
      </c>
      <c r="G1474" s="87">
        <v>11549.6</v>
      </c>
      <c r="H1474" s="59"/>
      <c r="I1474" s="5"/>
      <c r="J1474" s="5"/>
      <c r="K1474" s="5"/>
      <c r="L1474" s="59"/>
    </row>
    <row r="1475" customHeight="1" spans="6:12">
      <c r="F1475" s="86">
        <v>44068</v>
      </c>
      <c r="G1475" s="87">
        <v>11472.25</v>
      </c>
      <c r="H1475" s="59"/>
      <c r="I1475" s="5"/>
      <c r="J1475" s="5"/>
      <c r="K1475" s="5"/>
      <c r="L1475" s="59"/>
    </row>
    <row r="1476" customHeight="1" spans="6:12">
      <c r="F1476" s="86">
        <v>44067</v>
      </c>
      <c r="G1476" s="87">
        <v>11466.45</v>
      </c>
      <c r="H1476" s="59"/>
      <c r="I1476" s="5"/>
      <c r="J1476" s="5"/>
      <c r="K1476" s="5"/>
      <c r="L1476" s="59"/>
    </row>
    <row r="1477" customHeight="1" spans="6:12">
      <c r="F1477" s="86">
        <v>44064</v>
      </c>
      <c r="G1477" s="87">
        <v>11371.6</v>
      </c>
      <c r="H1477" s="59"/>
      <c r="I1477" s="5"/>
      <c r="J1477" s="5"/>
      <c r="K1477" s="5"/>
      <c r="L1477" s="59"/>
    </row>
    <row r="1478" customHeight="1" spans="6:12">
      <c r="F1478" s="86">
        <v>44063</v>
      </c>
      <c r="G1478" s="87">
        <v>11312.2</v>
      </c>
      <c r="H1478" s="59"/>
      <c r="I1478" s="5"/>
      <c r="J1478" s="5"/>
      <c r="K1478" s="5"/>
      <c r="L1478" s="59"/>
    </row>
    <row r="1479" customHeight="1" spans="6:12">
      <c r="F1479" s="86">
        <v>44062</v>
      </c>
      <c r="G1479" s="87">
        <v>11408.4</v>
      </c>
      <c r="H1479" s="59"/>
      <c r="I1479" s="5"/>
      <c r="J1479" s="5"/>
      <c r="K1479" s="5"/>
      <c r="L1479" s="59"/>
    </row>
    <row r="1480" customHeight="1" spans="6:12">
      <c r="F1480" s="86">
        <v>44061</v>
      </c>
      <c r="G1480" s="87">
        <v>11385.35</v>
      </c>
      <c r="H1480" s="59"/>
      <c r="I1480" s="5"/>
      <c r="J1480" s="5"/>
      <c r="K1480" s="5"/>
      <c r="L1480" s="59"/>
    </row>
    <row r="1481" customHeight="1" spans="6:12">
      <c r="F1481" s="86">
        <v>44060</v>
      </c>
      <c r="G1481" s="87">
        <v>11247.1</v>
      </c>
      <c r="H1481" s="59"/>
      <c r="I1481" s="5"/>
      <c r="J1481" s="5"/>
      <c r="K1481" s="5"/>
      <c r="L1481" s="59"/>
    </row>
    <row r="1482" customHeight="1" spans="6:12">
      <c r="F1482" s="86">
        <v>44057</v>
      </c>
      <c r="G1482" s="87">
        <v>11178.4</v>
      </c>
      <c r="H1482" s="59"/>
      <c r="I1482" s="5"/>
      <c r="J1482" s="5"/>
      <c r="K1482" s="5"/>
      <c r="L1482" s="59"/>
    </row>
    <row r="1483" customHeight="1" spans="6:12">
      <c r="F1483" s="86">
        <v>44056</v>
      </c>
      <c r="G1483" s="87">
        <v>11300.45</v>
      </c>
      <c r="H1483" s="59"/>
      <c r="I1483" s="5"/>
      <c r="J1483" s="5"/>
      <c r="K1483" s="5"/>
      <c r="L1483" s="59"/>
    </row>
    <row r="1484" customHeight="1" spans="6:12">
      <c r="F1484" s="86">
        <v>44055</v>
      </c>
      <c r="G1484" s="87">
        <v>11308.4</v>
      </c>
      <c r="H1484" s="59"/>
      <c r="I1484" s="5"/>
      <c r="J1484" s="5"/>
      <c r="K1484" s="5"/>
      <c r="L1484" s="59"/>
    </row>
    <row r="1485" customHeight="1" spans="6:12">
      <c r="F1485" s="86">
        <v>44054</v>
      </c>
      <c r="G1485" s="87">
        <v>11322.5</v>
      </c>
      <c r="H1485" s="59"/>
      <c r="I1485" s="5"/>
      <c r="J1485" s="5"/>
      <c r="K1485" s="5"/>
      <c r="L1485" s="59"/>
    </row>
    <row r="1486" customHeight="1" spans="6:12">
      <c r="F1486" s="86">
        <v>44053</v>
      </c>
      <c r="G1486" s="87">
        <v>11270.15</v>
      </c>
      <c r="H1486" s="59"/>
      <c r="I1486" s="5"/>
      <c r="J1486" s="5"/>
      <c r="K1486" s="5"/>
      <c r="L1486" s="59"/>
    </row>
    <row r="1487" customHeight="1" spans="6:12">
      <c r="F1487" s="86">
        <v>44050</v>
      </c>
      <c r="G1487" s="87">
        <v>11214.05</v>
      </c>
      <c r="H1487" s="59"/>
      <c r="I1487" s="5"/>
      <c r="J1487" s="5"/>
      <c r="K1487" s="5"/>
      <c r="L1487" s="59"/>
    </row>
    <row r="1488" customHeight="1" spans="6:12">
      <c r="F1488" s="86">
        <v>44049</v>
      </c>
      <c r="G1488" s="87">
        <v>11200.15</v>
      </c>
      <c r="H1488" s="59"/>
      <c r="I1488" s="5"/>
      <c r="J1488" s="5"/>
      <c r="K1488" s="5"/>
      <c r="L1488" s="59"/>
    </row>
    <row r="1489" customHeight="1" spans="6:12">
      <c r="F1489" s="86">
        <v>44048</v>
      </c>
      <c r="G1489" s="87">
        <v>11101.65</v>
      </c>
      <c r="H1489" s="59"/>
      <c r="I1489" s="5"/>
      <c r="J1489" s="5"/>
      <c r="K1489" s="5"/>
      <c r="L1489" s="59"/>
    </row>
    <row r="1490" customHeight="1" spans="6:12">
      <c r="F1490" s="86">
        <v>44047</v>
      </c>
      <c r="G1490" s="87">
        <v>11095.25</v>
      </c>
      <c r="H1490" s="59"/>
      <c r="I1490" s="5"/>
      <c r="J1490" s="5"/>
      <c r="K1490" s="5"/>
      <c r="L1490" s="59"/>
    </row>
    <row r="1491" customHeight="1" spans="6:12">
      <c r="F1491" s="86">
        <v>44046</v>
      </c>
      <c r="G1491" s="87">
        <v>10891.6</v>
      </c>
      <c r="H1491" s="59"/>
      <c r="I1491" s="5"/>
      <c r="J1491" s="5"/>
      <c r="K1491" s="5"/>
      <c r="L1491" s="59"/>
    </row>
    <row r="1492" customHeight="1" spans="6:12">
      <c r="F1492" s="86">
        <v>44043</v>
      </c>
      <c r="G1492" s="87">
        <v>11073.45</v>
      </c>
      <c r="H1492" s="59"/>
      <c r="I1492" s="5"/>
      <c r="J1492" s="5"/>
      <c r="K1492" s="5"/>
      <c r="L1492" s="59"/>
    </row>
    <row r="1493" customHeight="1" spans="6:12">
      <c r="F1493" s="86">
        <v>44042</v>
      </c>
      <c r="G1493" s="87">
        <v>11102.15</v>
      </c>
      <c r="H1493" s="59"/>
      <c r="I1493" s="5"/>
      <c r="J1493" s="5"/>
      <c r="K1493" s="5"/>
      <c r="L1493" s="59"/>
    </row>
    <row r="1494" customHeight="1" spans="6:12">
      <c r="F1494" s="86">
        <v>44041</v>
      </c>
      <c r="G1494" s="87">
        <v>11202.85</v>
      </c>
      <c r="H1494" s="59"/>
      <c r="I1494" s="5"/>
      <c r="J1494" s="5"/>
      <c r="K1494" s="5"/>
      <c r="L1494" s="59"/>
    </row>
    <row r="1495" customHeight="1" spans="6:12">
      <c r="F1495" s="86">
        <v>44040</v>
      </c>
      <c r="G1495" s="87">
        <v>11300.55</v>
      </c>
      <c r="H1495" s="59"/>
      <c r="I1495" s="5"/>
      <c r="J1495" s="5"/>
      <c r="K1495" s="5"/>
      <c r="L1495" s="59"/>
    </row>
    <row r="1496" customHeight="1" spans="6:12">
      <c r="F1496" s="86">
        <v>44039</v>
      </c>
      <c r="G1496" s="87">
        <v>11131.8</v>
      </c>
      <c r="H1496" s="59"/>
      <c r="I1496" s="5"/>
      <c r="J1496" s="5"/>
      <c r="K1496" s="5"/>
      <c r="L1496" s="59"/>
    </row>
    <row r="1497" customHeight="1" spans="6:12">
      <c r="F1497" s="86">
        <v>44036</v>
      </c>
      <c r="G1497" s="87">
        <v>11194.15</v>
      </c>
      <c r="H1497" s="59"/>
      <c r="I1497" s="5"/>
      <c r="J1497" s="5"/>
      <c r="K1497" s="5"/>
      <c r="L1497" s="59"/>
    </row>
    <row r="1498" customHeight="1" spans="6:12">
      <c r="F1498" s="86">
        <v>44035</v>
      </c>
      <c r="G1498" s="87">
        <v>11215.45</v>
      </c>
      <c r="H1498" s="59"/>
      <c r="I1498" s="5"/>
      <c r="J1498" s="5"/>
      <c r="K1498" s="5"/>
      <c r="L1498" s="59"/>
    </row>
    <row r="1499" customHeight="1" spans="6:12">
      <c r="F1499" s="86">
        <v>44034</v>
      </c>
      <c r="G1499" s="87">
        <v>11132.6</v>
      </c>
      <c r="H1499" s="59"/>
      <c r="I1499" s="5"/>
      <c r="J1499" s="5"/>
      <c r="K1499" s="5"/>
      <c r="L1499" s="59"/>
    </row>
    <row r="1500" customHeight="1" spans="6:12">
      <c r="F1500" s="86">
        <v>44033</v>
      </c>
      <c r="G1500" s="87">
        <v>11162.25</v>
      </c>
      <c r="H1500" s="59"/>
      <c r="I1500" s="5"/>
      <c r="J1500" s="5"/>
      <c r="K1500" s="5"/>
      <c r="L1500" s="59"/>
    </row>
    <row r="1501" customHeight="1" spans="6:12">
      <c r="F1501" s="86">
        <v>44032</v>
      </c>
      <c r="G1501" s="87">
        <v>11022.2</v>
      </c>
      <c r="H1501" s="59"/>
      <c r="I1501" s="5"/>
      <c r="J1501" s="5"/>
      <c r="K1501" s="5"/>
      <c r="L1501" s="59"/>
    </row>
    <row r="1502" customHeight="1" spans="6:12">
      <c r="F1502" s="86">
        <v>44029</v>
      </c>
      <c r="G1502" s="87">
        <v>10901.7</v>
      </c>
      <c r="H1502" s="59"/>
      <c r="I1502" s="5"/>
      <c r="J1502" s="5"/>
      <c r="K1502" s="5"/>
      <c r="L1502" s="59"/>
    </row>
    <row r="1503" customHeight="1" spans="6:12">
      <c r="F1503" s="86">
        <v>44028</v>
      </c>
      <c r="G1503" s="87">
        <v>10739.95</v>
      </c>
      <c r="H1503" s="59"/>
      <c r="I1503" s="5"/>
      <c r="J1503" s="5"/>
      <c r="K1503" s="5"/>
      <c r="L1503" s="59"/>
    </row>
    <row r="1504" customHeight="1" spans="6:12">
      <c r="F1504" s="86">
        <v>44027</v>
      </c>
      <c r="G1504" s="87">
        <v>10618.2</v>
      </c>
      <c r="H1504" s="59"/>
      <c r="I1504" s="5"/>
      <c r="J1504" s="5"/>
      <c r="K1504" s="5"/>
      <c r="L1504" s="59"/>
    </row>
    <row r="1505" customHeight="1" spans="6:12">
      <c r="F1505" s="86">
        <v>44026</v>
      </c>
      <c r="G1505" s="87">
        <v>10607.35</v>
      </c>
      <c r="H1505" s="59"/>
      <c r="I1505" s="5"/>
      <c r="J1505" s="5"/>
      <c r="K1505" s="5"/>
      <c r="L1505" s="59"/>
    </row>
    <row r="1506" customHeight="1" spans="6:12">
      <c r="F1506" s="86">
        <v>44025</v>
      </c>
      <c r="G1506" s="87">
        <v>10802.7</v>
      </c>
      <c r="H1506" s="59"/>
      <c r="I1506" s="5"/>
      <c r="J1506" s="5"/>
      <c r="K1506" s="5"/>
      <c r="L1506" s="59"/>
    </row>
    <row r="1507" customHeight="1" spans="6:12">
      <c r="F1507" s="86">
        <v>44022</v>
      </c>
      <c r="G1507" s="87">
        <v>10768.05</v>
      </c>
      <c r="H1507" s="59"/>
      <c r="I1507" s="5"/>
      <c r="J1507" s="5"/>
      <c r="K1507" s="5"/>
      <c r="L1507" s="59"/>
    </row>
    <row r="1508" customHeight="1" spans="6:12">
      <c r="F1508" s="86">
        <v>44021</v>
      </c>
      <c r="G1508" s="87">
        <v>10813.45</v>
      </c>
      <c r="H1508" s="59"/>
      <c r="I1508" s="5"/>
      <c r="J1508" s="5"/>
      <c r="K1508" s="5"/>
      <c r="L1508" s="59"/>
    </row>
    <row r="1509" customHeight="1" spans="6:12">
      <c r="F1509" s="86">
        <v>44020</v>
      </c>
      <c r="G1509" s="87">
        <v>10705.75</v>
      </c>
      <c r="H1509" s="59"/>
      <c r="I1509" s="5"/>
      <c r="J1509" s="5"/>
      <c r="K1509" s="5"/>
      <c r="L1509" s="59"/>
    </row>
    <row r="1510" customHeight="1" spans="6:12">
      <c r="F1510" s="86">
        <v>44019</v>
      </c>
      <c r="G1510" s="87">
        <v>10799.65</v>
      </c>
      <c r="H1510" s="59"/>
      <c r="I1510" s="5"/>
      <c r="J1510" s="5"/>
      <c r="K1510" s="5"/>
      <c r="L1510" s="59"/>
    </row>
    <row r="1511" customHeight="1" spans="6:12">
      <c r="F1511" s="86">
        <v>44018</v>
      </c>
      <c r="G1511" s="87">
        <v>10763.65</v>
      </c>
      <c r="H1511" s="59"/>
      <c r="I1511" s="5"/>
      <c r="J1511" s="5"/>
      <c r="K1511" s="5"/>
      <c r="L1511" s="59"/>
    </row>
    <row r="1512" customHeight="1" spans="6:12">
      <c r="F1512" s="86">
        <v>44015</v>
      </c>
      <c r="G1512" s="87">
        <v>10607.35</v>
      </c>
      <c r="H1512" s="59"/>
      <c r="I1512" s="5"/>
      <c r="J1512" s="5"/>
      <c r="K1512" s="5"/>
      <c r="L1512" s="59"/>
    </row>
    <row r="1513" customHeight="1" spans="6:12">
      <c r="F1513" s="86">
        <v>44014</v>
      </c>
      <c r="G1513" s="87">
        <v>10551.7</v>
      </c>
      <c r="H1513" s="59"/>
      <c r="I1513" s="5"/>
      <c r="J1513" s="5"/>
      <c r="K1513" s="5"/>
      <c r="L1513" s="59"/>
    </row>
    <row r="1514" customHeight="1" spans="6:12">
      <c r="F1514" s="86">
        <v>44013</v>
      </c>
      <c r="G1514" s="87">
        <v>10430.05</v>
      </c>
      <c r="H1514" s="59"/>
      <c r="I1514" s="5"/>
      <c r="J1514" s="5"/>
      <c r="K1514" s="5"/>
      <c r="L1514" s="59"/>
    </row>
    <row r="1515" customHeight="1" spans="6:12">
      <c r="F1515" s="86">
        <v>44012</v>
      </c>
      <c r="G1515" s="87">
        <v>10302.1</v>
      </c>
      <c r="H1515" s="59"/>
      <c r="I1515" s="5"/>
      <c r="J1515" s="5"/>
      <c r="K1515" s="5"/>
      <c r="L1515" s="59"/>
    </row>
    <row r="1516" customHeight="1" spans="6:12">
      <c r="F1516" s="86">
        <v>44011</v>
      </c>
      <c r="G1516" s="87">
        <v>10312.4</v>
      </c>
      <c r="H1516" s="59"/>
      <c r="I1516" s="5"/>
      <c r="J1516" s="5"/>
      <c r="K1516" s="5"/>
      <c r="L1516" s="59"/>
    </row>
    <row r="1517" customHeight="1" spans="6:12">
      <c r="F1517" s="86">
        <v>44008</v>
      </c>
      <c r="G1517" s="87">
        <v>10383</v>
      </c>
      <c r="H1517" s="59"/>
      <c r="I1517" s="5"/>
      <c r="J1517" s="5"/>
      <c r="K1517" s="5"/>
      <c r="L1517" s="59"/>
    </row>
    <row r="1518" customHeight="1" spans="6:12">
      <c r="F1518" s="86">
        <v>44007</v>
      </c>
      <c r="G1518" s="87">
        <v>10288.9</v>
      </c>
      <c r="H1518" s="59"/>
      <c r="I1518" s="5"/>
      <c r="J1518" s="5"/>
      <c r="K1518" s="5"/>
      <c r="L1518" s="59"/>
    </row>
    <row r="1519" customHeight="1" spans="6:12">
      <c r="F1519" s="86">
        <v>44006</v>
      </c>
      <c r="G1519" s="87">
        <v>10305.3</v>
      </c>
      <c r="H1519" s="59"/>
      <c r="I1519" s="5"/>
      <c r="J1519" s="5"/>
      <c r="K1519" s="5"/>
      <c r="L1519" s="59"/>
    </row>
    <row r="1520" customHeight="1" spans="6:12">
      <c r="F1520" s="86">
        <v>44005</v>
      </c>
      <c r="G1520" s="87">
        <v>10471</v>
      </c>
      <c r="H1520" s="59"/>
      <c r="I1520" s="5"/>
      <c r="J1520" s="5"/>
      <c r="K1520" s="5"/>
      <c r="L1520" s="59"/>
    </row>
    <row r="1521" customHeight="1" spans="6:12">
      <c r="F1521" s="86">
        <v>44004</v>
      </c>
      <c r="G1521" s="87">
        <v>10311.2</v>
      </c>
      <c r="H1521" s="59"/>
      <c r="I1521" s="5"/>
      <c r="J1521" s="5"/>
      <c r="K1521" s="5"/>
      <c r="L1521" s="59"/>
    </row>
    <row r="1522" customHeight="1" spans="6:12">
      <c r="F1522" s="86">
        <v>44001</v>
      </c>
      <c r="G1522" s="87">
        <v>10244.4</v>
      </c>
      <c r="H1522" s="59"/>
      <c r="I1522" s="5"/>
      <c r="J1522" s="5"/>
      <c r="K1522" s="5"/>
      <c r="L1522" s="59"/>
    </row>
    <row r="1523" customHeight="1" spans="6:12">
      <c r="F1523" s="86">
        <v>44000</v>
      </c>
      <c r="G1523" s="87">
        <v>10091.65</v>
      </c>
      <c r="H1523" s="59"/>
      <c r="I1523" s="5"/>
      <c r="J1523" s="5"/>
      <c r="K1523" s="5"/>
      <c r="L1523" s="59"/>
    </row>
    <row r="1524" customHeight="1" spans="6:12">
      <c r="F1524" s="86">
        <v>43999</v>
      </c>
      <c r="G1524" s="87">
        <v>9881.15</v>
      </c>
      <c r="H1524" s="59"/>
      <c r="I1524" s="5"/>
      <c r="J1524" s="5"/>
      <c r="K1524" s="5"/>
      <c r="L1524" s="59"/>
    </row>
    <row r="1525" customHeight="1" spans="6:12">
      <c r="F1525" s="86">
        <v>43998</v>
      </c>
      <c r="G1525" s="87">
        <v>9914</v>
      </c>
      <c r="H1525" s="59"/>
      <c r="I1525" s="5"/>
      <c r="J1525" s="5"/>
      <c r="K1525" s="5"/>
      <c r="L1525" s="59"/>
    </row>
    <row r="1526" customHeight="1" spans="6:12">
      <c r="F1526" s="86">
        <v>43997</v>
      </c>
      <c r="G1526" s="87">
        <v>9813.7</v>
      </c>
      <c r="H1526" s="59"/>
      <c r="I1526" s="5"/>
      <c r="J1526" s="5"/>
      <c r="K1526" s="5"/>
      <c r="L1526" s="59"/>
    </row>
    <row r="1527" customHeight="1" spans="6:12">
      <c r="F1527" s="86">
        <v>43994</v>
      </c>
      <c r="G1527" s="87">
        <v>9972.9</v>
      </c>
      <c r="H1527" s="59"/>
      <c r="I1527" s="5"/>
      <c r="J1527" s="5"/>
      <c r="K1527" s="5"/>
      <c r="L1527" s="59"/>
    </row>
    <row r="1528" customHeight="1" spans="6:12">
      <c r="F1528" s="86">
        <v>43993</v>
      </c>
      <c r="G1528" s="87">
        <v>9902</v>
      </c>
      <c r="H1528" s="59"/>
      <c r="I1528" s="5"/>
      <c r="J1528" s="5"/>
      <c r="K1528" s="5"/>
      <c r="L1528" s="59"/>
    </row>
    <row r="1529" customHeight="1" spans="6:12">
      <c r="F1529" s="86">
        <v>43992</v>
      </c>
      <c r="G1529" s="87">
        <v>10116.15</v>
      </c>
      <c r="H1529" s="59"/>
      <c r="I1529" s="5"/>
      <c r="J1529" s="5"/>
      <c r="K1529" s="5"/>
      <c r="L1529" s="59"/>
    </row>
    <row r="1530" customHeight="1" spans="6:12">
      <c r="F1530" s="86">
        <v>43991</v>
      </c>
      <c r="G1530" s="87">
        <v>10046.65</v>
      </c>
      <c r="H1530" s="59"/>
      <c r="I1530" s="5"/>
      <c r="J1530" s="5"/>
      <c r="K1530" s="5"/>
      <c r="L1530" s="59"/>
    </row>
    <row r="1531" customHeight="1" spans="6:12">
      <c r="F1531" s="86">
        <v>43990</v>
      </c>
      <c r="G1531" s="87">
        <v>10167.45</v>
      </c>
      <c r="H1531" s="59"/>
      <c r="I1531" s="5"/>
      <c r="J1531" s="5"/>
      <c r="K1531" s="5"/>
      <c r="L1531" s="59"/>
    </row>
    <row r="1532" customHeight="1" spans="6:12">
      <c r="F1532" s="86">
        <v>43987</v>
      </c>
      <c r="G1532" s="87">
        <v>10142.15</v>
      </c>
      <c r="H1532" s="59"/>
      <c r="I1532" s="5"/>
      <c r="J1532" s="5"/>
      <c r="K1532" s="5"/>
      <c r="L1532" s="59"/>
    </row>
    <row r="1533" customHeight="1" spans="6:12">
      <c r="F1533" s="86">
        <v>43986</v>
      </c>
      <c r="G1533" s="87">
        <v>10029.1</v>
      </c>
      <c r="H1533" s="59"/>
      <c r="I1533" s="5"/>
      <c r="J1533" s="5"/>
      <c r="K1533" s="5"/>
      <c r="L1533" s="59"/>
    </row>
    <row r="1534" customHeight="1" spans="6:12">
      <c r="F1534" s="86">
        <v>43985</v>
      </c>
      <c r="G1534" s="87">
        <v>10061.55</v>
      </c>
      <c r="H1534" s="59"/>
      <c r="I1534" s="5"/>
      <c r="J1534" s="5"/>
      <c r="K1534" s="5"/>
      <c r="L1534" s="59"/>
    </row>
    <row r="1535" customHeight="1" spans="6:12">
      <c r="F1535" s="86">
        <v>43984</v>
      </c>
      <c r="G1535" s="87">
        <v>9979.1</v>
      </c>
      <c r="H1535" s="59"/>
      <c r="I1535" s="5"/>
      <c r="J1535" s="5"/>
      <c r="K1535" s="5"/>
      <c r="L1535" s="59"/>
    </row>
    <row r="1536" customHeight="1" spans="6:12">
      <c r="F1536" s="86">
        <v>43983</v>
      </c>
      <c r="G1536" s="87">
        <v>9826.15</v>
      </c>
      <c r="H1536" s="59"/>
      <c r="I1536" s="5"/>
      <c r="J1536" s="5"/>
      <c r="K1536" s="5"/>
      <c r="L1536" s="59"/>
    </row>
    <row r="1537" customHeight="1" spans="6:12">
      <c r="F1537" s="86">
        <v>43980</v>
      </c>
      <c r="G1537" s="87">
        <v>9580.3</v>
      </c>
      <c r="H1537" s="59"/>
      <c r="I1537" s="5"/>
      <c r="J1537" s="5"/>
      <c r="K1537" s="5"/>
      <c r="L1537" s="59"/>
    </row>
    <row r="1538" customHeight="1" spans="6:12">
      <c r="F1538" s="86">
        <v>43979</v>
      </c>
      <c r="G1538" s="87">
        <v>9490.1</v>
      </c>
      <c r="H1538" s="59"/>
      <c r="I1538" s="5"/>
      <c r="J1538" s="5"/>
      <c r="K1538" s="5"/>
      <c r="L1538" s="59"/>
    </row>
    <row r="1539" customHeight="1" spans="6:12">
      <c r="F1539" s="86">
        <v>43978</v>
      </c>
      <c r="G1539" s="87">
        <v>9314.95</v>
      </c>
      <c r="H1539" s="59"/>
      <c r="I1539" s="5"/>
      <c r="J1539" s="5"/>
      <c r="K1539" s="5"/>
      <c r="L1539" s="59"/>
    </row>
    <row r="1540" customHeight="1" spans="6:12">
      <c r="F1540" s="86">
        <v>43977</v>
      </c>
      <c r="G1540" s="87">
        <v>9029.05</v>
      </c>
      <c r="H1540" s="59"/>
      <c r="I1540" s="5"/>
      <c r="J1540" s="5"/>
      <c r="K1540" s="5"/>
      <c r="L1540" s="59"/>
    </row>
    <row r="1541" customHeight="1" spans="6:12">
      <c r="F1541" s="86">
        <v>43973</v>
      </c>
      <c r="G1541" s="87">
        <v>9039.25</v>
      </c>
      <c r="H1541" s="59"/>
      <c r="I1541" s="5"/>
      <c r="J1541" s="5"/>
      <c r="K1541" s="5"/>
      <c r="L1541" s="59"/>
    </row>
    <row r="1542" customHeight="1" spans="6:12">
      <c r="F1542" s="86">
        <v>43972</v>
      </c>
      <c r="G1542" s="87">
        <v>9106.25</v>
      </c>
      <c r="H1542" s="59"/>
      <c r="I1542" s="5"/>
      <c r="J1542" s="5"/>
      <c r="K1542" s="5"/>
      <c r="L1542" s="59"/>
    </row>
    <row r="1543" customHeight="1" spans="6:12">
      <c r="F1543" s="86">
        <v>43971</v>
      </c>
      <c r="G1543" s="87">
        <v>9066.55</v>
      </c>
      <c r="H1543" s="59"/>
      <c r="I1543" s="5"/>
      <c r="J1543" s="5"/>
      <c r="K1543" s="5"/>
      <c r="L1543" s="59"/>
    </row>
    <row r="1544" customHeight="1" spans="6:12">
      <c r="F1544" s="86">
        <v>43970</v>
      </c>
      <c r="G1544" s="87">
        <v>8879.1</v>
      </c>
      <c r="H1544" s="59"/>
      <c r="I1544" s="5"/>
      <c r="J1544" s="5"/>
      <c r="K1544" s="5"/>
      <c r="L1544" s="59"/>
    </row>
    <row r="1545" customHeight="1" spans="6:12">
      <c r="F1545" s="86">
        <v>43969</v>
      </c>
      <c r="G1545" s="87">
        <v>8823.25</v>
      </c>
      <c r="H1545" s="59"/>
      <c r="I1545" s="5"/>
      <c r="J1545" s="5"/>
      <c r="K1545" s="5"/>
      <c r="L1545" s="59"/>
    </row>
    <row r="1546" customHeight="1" spans="6:12">
      <c r="F1546" s="86">
        <v>43966</v>
      </c>
      <c r="G1546" s="87">
        <v>9136.85</v>
      </c>
      <c r="H1546" s="59"/>
      <c r="I1546" s="5"/>
      <c r="J1546" s="5"/>
      <c r="K1546" s="5"/>
      <c r="L1546" s="59"/>
    </row>
    <row r="1547" customHeight="1" spans="6:12">
      <c r="F1547" s="86">
        <v>43965</v>
      </c>
      <c r="G1547" s="87">
        <v>9142.75</v>
      </c>
      <c r="H1547" s="59"/>
      <c r="I1547" s="5"/>
      <c r="J1547" s="5"/>
      <c r="K1547" s="5"/>
      <c r="L1547" s="59"/>
    </row>
    <row r="1548" customHeight="1" spans="6:12">
      <c r="F1548" s="86">
        <v>43964</v>
      </c>
      <c r="G1548" s="87">
        <v>9383.55</v>
      </c>
      <c r="H1548" s="59"/>
      <c r="I1548" s="5"/>
      <c r="J1548" s="5"/>
      <c r="K1548" s="5"/>
      <c r="L1548" s="59"/>
    </row>
    <row r="1549" customHeight="1" spans="6:12">
      <c r="F1549" s="86">
        <v>43963</v>
      </c>
      <c r="G1549" s="87">
        <v>9196.55</v>
      </c>
      <c r="H1549" s="59"/>
      <c r="I1549" s="5"/>
      <c r="J1549" s="5"/>
      <c r="K1549" s="5"/>
      <c r="L1549" s="59"/>
    </row>
    <row r="1550" customHeight="1" spans="6:12">
      <c r="F1550" s="86">
        <v>43962</v>
      </c>
      <c r="G1550" s="87">
        <v>9239.2</v>
      </c>
      <c r="H1550" s="59"/>
      <c r="I1550" s="5"/>
      <c r="J1550" s="5"/>
      <c r="K1550" s="5"/>
      <c r="L1550" s="59"/>
    </row>
    <row r="1551" customHeight="1" spans="6:12">
      <c r="F1551" s="86">
        <v>43959</v>
      </c>
      <c r="G1551" s="87">
        <v>9251.5</v>
      </c>
      <c r="H1551" s="59"/>
      <c r="I1551" s="5"/>
      <c r="J1551" s="5"/>
      <c r="K1551" s="5"/>
      <c r="L1551" s="59"/>
    </row>
    <row r="1552" customHeight="1" spans="6:12">
      <c r="F1552" s="86">
        <v>43958</v>
      </c>
      <c r="G1552" s="87">
        <v>9199.05</v>
      </c>
      <c r="H1552" s="59"/>
      <c r="I1552" s="5"/>
      <c r="J1552" s="5"/>
      <c r="K1552" s="5"/>
      <c r="L1552" s="59"/>
    </row>
    <row r="1553" customHeight="1" spans="6:12">
      <c r="F1553" s="86">
        <v>43957</v>
      </c>
      <c r="G1553" s="87">
        <v>9270.9</v>
      </c>
      <c r="H1553" s="59"/>
      <c r="I1553" s="5"/>
      <c r="J1553" s="5"/>
      <c r="K1553" s="5"/>
      <c r="L1553" s="59"/>
    </row>
    <row r="1554" customHeight="1" spans="6:12">
      <c r="F1554" s="86">
        <v>43956</v>
      </c>
      <c r="G1554" s="87">
        <v>9205.6</v>
      </c>
      <c r="H1554" s="59"/>
      <c r="I1554" s="5"/>
      <c r="J1554" s="5"/>
      <c r="K1554" s="5"/>
      <c r="L1554" s="59"/>
    </row>
    <row r="1555" customHeight="1" spans="6:12">
      <c r="F1555" s="86">
        <v>43955</v>
      </c>
      <c r="G1555" s="87">
        <v>9293.5</v>
      </c>
      <c r="H1555" s="59"/>
      <c r="I1555" s="5"/>
      <c r="J1555" s="5"/>
      <c r="K1555" s="5"/>
      <c r="L1555" s="59"/>
    </row>
    <row r="1556" customHeight="1" spans="6:12">
      <c r="F1556" s="86">
        <v>43951</v>
      </c>
      <c r="G1556" s="87">
        <v>9859.9</v>
      </c>
      <c r="H1556" s="59"/>
      <c r="I1556" s="5"/>
      <c r="J1556" s="5"/>
      <c r="K1556" s="5"/>
      <c r="L1556" s="59"/>
    </row>
    <row r="1557" customHeight="1" spans="6:12">
      <c r="F1557" s="86">
        <v>43950</v>
      </c>
      <c r="G1557" s="87">
        <v>9553.35</v>
      </c>
      <c r="H1557" s="59"/>
      <c r="I1557" s="5"/>
      <c r="J1557" s="5"/>
      <c r="K1557" s="5"/>
      <c r="L1557" s="59"/>
    </row>
    <row r="1558" customHeight="1" spans="6:12">
      <c r="F1558" s="86">
        <v>43949</v>
      </c>
      <c r="G1558" s="87">
        <v>9380.9</v>
      </c>
      <c r="H1558" s="59"/>
      <c r="I1558" s="5"/>
      <c r="J1558" s="5"/>
      <c r="K1558" s="5"/>
      <c r="L1558" s="59"/>
    </row>
    <row r="1559" customHeight="1" spans="6:12">
      <c r="F1559" s="86">
        <v>43948</v>
      </c>
      <c r="G1559" s="87">
        <v>9282.3</v>
      </c>
      <c r="H1559" s="59"/>
      <c r="I1559" s="5"/>
      <c r="J1559" s="5"/>
      <c r="K1559" s="5"/>
      <c r="L1559" s="59"/>
    </row>
    <row r="1560" customHeight="1" spans="6:12">
      <c r="F1560" s="86">
        <v>43945</v>
      </c>
      <c r="G1560" s="87">
        <v>9154.4</v>
      </c>
      <c r="H1560" s="59"/>
      <c r="I1560" s="5"/>
      <c r="J1560" s="5"/>
      <c r="K1560" s="5"/>
      <c r="L1560" s="59"/>
    </row>
    <row r="1561" customHeight="1" spans="6:12">
      <c r="F1561" s="86">
        <v>43944</v>
      </c>
      <c r="G1561" s="87">
        <v>9313.9</v>
      </c>
      <c r="H1561" s="59"/>
      <c r="I1561" s="5"/>
      <c r="J1561" s="5"/>
      <c r="K1561" s="5"/>
      <c r="L1561" s="59"/>
    </row>
    <row r="1562" customHeight="1" spans="6:12">
      <c r="F1562" s="86">
        <v>43943</v>
      </c>
      <c r="G1562" s="87">
        <v>9187.3</v>
      </c>
      <c r="H1562" s="59"/>
      <c r="I1562" s="5"/>
      <c r="J1562" s="5"/>
      <c r="K1562" s="5"/>
      <c r="L1562" s="59"/>
    </row>
    <row r="1563" customHeight="1" spans="6:12">
      <c r="F1563" s="86">
        <v>43942</v>
      </c>
      <c r="G1563" s="87">
        <v>8981.45</v>
      </c>
      <c r="H1563" s="59"/>
      <c r="I1563" s="5"/>
      <c r="J1563" s="5"/>
      <c r="K1563" s="5"/>
      <c r="L1563" s="59"/>
    </row>
    <row r="1564" customHeight="1" spans="6:12">
      <c r="F1564" s="86">
        <v>43941</v>
      </c>
      <c r="G1564" s="87">
        <v>9261.85</v>
      </c>
      <c r="H1564" s="59"/>
      <c r="I1564" s="5"/>
      <c r="J1564" s="5"/>
      <c r="K1564" s="5"/>
      <c r="L1564" s="59"/>
    </row>
    <row r="1565" customHeight="1" spans="6:12">
      <c r="F1565" s="86">
        <v>43938</v>
      </c>
      <c r="G1565" s="87">
        <v>9266.75</v>
      </c>
      <c r="H1565" s="59"/>
      <c r="I1565" s="5"/>
      <c r="J1565" s="5"/>
      <c r="K1565" s="5"/>
      <c r="L1565" s="59"/>
    </row>
    <row r="1566" customHeight="1" spans="6:12">
      <c r="F1566" s="86">
        <v>43937</v>
      </c>
      <c r="G1566" s="87">
        <v>8992.8</v>
      </c>
      <c r="H1566" s="59"/>
      <c r="I1566" s="5"/>
      <c r="J1566" s="5"/>
      <c r="K1566" s="5"/>
      <c r="L1566" s="59"/>
    </row>
    <row r="1567" customHeight="1" spans="6:12">
      <c r="F1567" s="86">
        <v>43936</v>
      </c>
      <c r="G1567" s="87">
        <v>8925.3</v>
      </c>
      <c r="H1567" s="59"/>
      <c r="I1567" s="5"/>
      <c r="J1567" s="5"/>
      <c r="K1567" s="5"/>
      <c r="L1567" s="59"/>
    </row>
    <row r="1568" customHeight="1" spans="6:12">
      <c r="F1568" s="86">
        <v>43934</v>
      </c>
      <c r="G1568" s="87">
        <v>8993.85</v>
      </c>
      <c r="H1568" s="59"/>
      <c r="I1568" s="5"/>
      <c r="J1568" s="5"/>
      <c r="K1568" s="5"/>
      <c r="L1568" s="59"/>
    </row>
    <row r="1569" customHeight="1" spans="6:12">
      <c r="F1569" s="86">
        <v>43930</v>
      </c>
      <c r="G1569" s="87">
        <v>9111.9</v>
      </c>
      <c r="H1569" s="59"/>
      <c r="I1569" s="5"/>
      <c r="J1569" s="5"/>
      <c r="K1569" s="5"/>
      <c r="L1569" s="59"/>
    </row>
    <row r="1570" customHeight="1" spans="6:12">
      <c r="F1570" s="86">
        <v>43929</v>
      </c>
      <c r="G1570" s="87">
        <v>8748.75</v>
      </c>
      <c r="H1570" s="59"/>
      <c r="I1570" s="5"/>
      <c r="J1570" s="5"/>
      <c r="K1570" s="5"/>
      <c r="L1570" s="59"/>
    </row>
    <row r="1571" customHeight="1" spans="6:12">
      <c r="F1571" s="86">
        <v>43928</v>
      </c>
      <c r="G1571" s="87">
        <v>8792.2</v>
      </c>
      <c r="H1571" s="59"/>
      <c r="I1571" s="5"/>
      <c r="J1571" s="5"/>
      <c r="K1571" s="5"/>
      <c r="L1571" s="59"/>
    </row>
    <row r="1572" customHeight="1" spans="6:12">
      <c r="F1572" s="86">
        <v>43924</v>
      </c>
      <c r="G1572" s="87">
        <v>8083.8</v>
      </c>
      <c r="H1572" s="59"/>
      <c r="I1572" s="5"/>
      <c r="J1572" s="5"/>
      <c r="K1572" s="5"/>
      <c r="L1572" s="59"/>
    </row>
    <row r="1573" customHeight="1" spans="6:12">
      <c r="F1573" s="86">
        <v>43922</v>
      </c>
      <c r="G1573" s="87">
        <v>8253.8</v>
      </c>
      <c r="H1573" s="59"/>
      <c r="I1573" s="5"/>
      <c r="J1573" s="5"/>
      <c r="K1573" s="5"/>
      <c r="L1573" s="59"/>
    </row>
    <row r="1574" customHeight="1" spans="6:12">
      <c r="F1574" s="86">
        <v>43921</v>
      </c>
      <c r="G1574" s="87">
        <v>8597.75</v>
      </c>
      <c r="H1574" s="59"/>
      <c r="I1574" s="5"/>
      <c r="J1574" s="5"/>
      <c r="K1574" s="5"/>
      <c r="L1574" s="59"/>
    </row>
    <row r="1575" customHeight="1" spans="6:12">
      <c r="F1575" s="86">
        <v>43920</v>
      </c>
      <c r="G1575" s="87">
        <v>8281.1</v>
      </c>
      <c r="H1575" s="59"/>
      <c r="I1575" s="5"/>
      <c r="J1575" s="5"/>
      <c r="K1575" s="5"/>
      <c r="L1575" s="59"/>
    </row>
    <row r="1576" customHeight="1" spans="6:12">
      <c r="F1576" s="86">
        <v>43917</v>
      </c>
      <c r="G1576" s="87">
        <v>8660.25</v>
      </c>
      <c r="H1576" s="59"/>
      <c r="I1576" s="5"/>
      <c r="J1576" s="5"/>
      <c r="K1576" s="5"/>
      <c r="L1576" s="59"/>
    </row>
    <row r="1577" customHeight="1" spans="6:12">
      <c r="F1577" s="86">
        <v>43916</v>
      </c>
      <c r="G1577" s="87">
        <v>8641.45</v>
      </c>
      <c r="H1577" s="59"/>
      <c r="I1577" s="5"/>
      <c r="J1577" s="5"/>
      <c r="K1577" s="5"/>
      <c r="L1577" s="59"/>
    </row>
    <row r="1578" customHeight="1" spans="6:12">
      <c r="F1578" s="86">
        <v>43915</v>
      </c>
      <c r="G1578" s="87">
        <v>8317.85</v>
      </c>
      <c r="H1578" s="59"/>
      <c r="I1578" s="5"/>
      <c r="J1578" s="5"/>
      <c r="K1578" s="5"/>
      <c r="L1578" s="59"/>
    </row>
    <row r="1579" customHeight="1" spans="6:12">
      <c r="F1579" s="86">
        <v>43914</v>
      </c>
      <c r="G1579" s="87">
        <v>7801.05</v>
      </c>
      <c r="H1579" s="59"/>
      <c r="I1579" s="5"/>
      <c r="J1579" s="5"/>
      <c r="K1579" s="5"/>
      <c r="L1579" s="59"/>
    </row>
    <row r="1580" customHeight="1" spans="6:12">
      <c r="F1580" s="86">
        <v>43913</v>
      </c>
      <c r="G1580" s="87">
        <v>7610.25</v>
      </c>
      <c r="H1580" s="59"/>
      <c r="I1580" s="5"/>
      <c r="J1580" s="5"/>
      <c r="K1580" s="5"/>
      <c r="L1580" s="59"/>
    </row>
    <row r="1581" customHeight="1" spans="6:12">
      <c r="F1581" s="86">
        <v>43910</v>
      </c>
      <c r="G1581" s="87">
        <v>8745.45</v>
      </c>
      <c r="H1581" s="59"/>
      <c r="I1581" s="5"/>
      <c r="J1581" s="5"/>
      <c r="K1581" s="5"/>
      <c r="L1581" s="59"/>
    </row>
    <row r="1582" customHeight="1" spans="6:12">
      <c r="F1582" s="86">
        <v>43909</v>
      </c>
      <c r="G1582" s="87">
        <v>8263.45</v>
      </c>
      <c r="H1582" s="59"/>
      <c r="I1582" s="5"/>
      <c r="J1582" s="5"/>
      <c r="K1582" s="5"/>
      <c r="L1582" s="59"/>
    </row>
    <row r="1583" customHeight="1" spans="6:12">
      <c r="F1583" s="86">
        <v>43908</v>
      </c>
      <c r="G1583" s="87">
        <v>8468.8</v>
      </c>
      <c r="H1583" s="59"/>
      <c r="I1583" s="5"/>
      <c r="J1583" s="5"/>
      <c r="K1583" s="5"/>
      <c r="L1583" s="59"/>
    </row>
    <row r="1584" customHeight="1" spans="6:12">
      <c r="F1584" s="86">
        <v>43907</v>
      </c>
      <c r="G1584" s="87">
        <v>8967.05</v>
      </c>
      <c r="H1584" s="59"/>
      <c r="I1584" s="5"/>
      <c r="J1584" s="5"/>
      <c r="K1584" s="5"/>
      <c r="L1584" s="59"/>
    </row>
    <row r="1585" customHeight="1" spans="6:12">
      <c r="F1585" s="86">
        <v>43906</v>
      </c>
      <c r="G1585" s="87">
        <v>9197.4</v>
      </c>
      <c r="H1585" s="59"/>
      <c r="I1585" s="5"/>
      <c r="J1585" s="5"/>
      <c r="K1585" s="5"/>
      <c r="L1585" s="59"/>
    </row>
    <row r="1586" customHeight="1" spans="6:12">
      <c r="F1586" s="86">
        <v>43903</v>
      </c>
      <c r="G1586" s="87">
        <v>9955.2</v>
      </c>
      <c r="H1586" s="59"/>
      <c r="I1586" s="5"/>
      <c r="J1586" s="5"/>
      <c r="K1586" s="5"/>
      <c r="L1586" s="59"/>
    </row>
    <row r="1587" customHeight="1" spans="6:12">
      <c r="F1587" s="86">
        <v>43902</v>
      </c>
      <c r="G1587" s="87">
        <v>9590.15</v>
      </c>
      <c r="H1587" s="59"/>
      <c r="I1587" s="5"/>
      <c r="J1587" s="5"/>
      <c r="K1587" s="5"/>
      <c r="L1587" s="59"/>
    </row>
    <row r="1588" customHeight="1" spans="6:12">
      <c r="F1588" s="86">
        <v>43901</v>
      </c>
      <c r="G1588" s="87">
        <v>10458.4</v>
      </c>
      <c r="H1588" s="59"/>
      <c r="I1588" s="5"/>
      <c r="J1588" s="5"/>
      <c r="K1588" s="5"/>
      <c r="L1588" s="59"/>
    </row>
    <row r="1589" customHeight="1" spans="6:12">
      <c r="F1589" s="86">
        <v>43899</v>
      </c>
      <c r="G1589" s="87">
        <v>10451.45</v>
      </c>
      <c r="H1589" s="59"/>
      <c r="I1589" s="5"/>
      <c r="J1589" s="5"/>
      <c r="K1589" s="5"/>
      <c r="L1589" s="59"/>
    </row>
    <row r="1590" customHeight="1" spans="6:12">
      <c r="F1590" s="86">
        <v>43896</v>
      </c>
      <c r="G1590" s="87">
        <v>10989.45</v>
      </c>
      <c r="H1590" s="59"/>
      <c r="I1590" s="5"/>
      <c r="J1590" s="5"/>
      <c r="K1590" s="5"/>
      <c r="L1590" s="59"/>
    </row>
    <row r="1591" customHeight="1" spans="6:12">
      <c r="F1591" s="86">
        <v>43895</v>
      </c>
      <c r="G1591" s="87">
        <v>11269</v>
      </c>
      <c r="H1591" s="59"/>
      <c r="I1591" s="5"/>
      <c r="J1591" s="5"/>
      <c r="K1591" s="5"/>
      <c r="L1591" s="59"/>
    </row>
    <row r="1592" customHeight="1" spans="6:12">
      <c r="F1592" s="86">
        <v>43894</v>
      </c>
      <c r="G1592" s="87">
        <v>11251</v>
      </c>
      <c r="H1592" s="59"/>
      <c r="I1592" s="5"/>
      <c r="J1592" s="5"/>
      <c r="K1592" s="5"/>
      <c r="L1592" s="59"/>
    </row>
    <row r="1593" customHeight="1" spans="6:12">
      <c r="F1593" s="86">
        <v>43893</v>
      </c>
      <c r="G1593" s="87">
        <v>11303.3</v>
      </c>
      <c r="H1593" s="59"/>
      <c r="I1593" s="5"/>
      <c r="J1593" s="5"/>
      <c r="K1593" s="5"/>
      <c r="L1593" s="59"/>
    </row>
    <row r="1594" customHeight="1" spans="6:12">
      <c r="F1594" s="86">
        <v>43892</v>
      </c>
      <c r="G1594" s="87">
        <v>11132.75</v>
      </c>
      <c r="H1594" s="59"/>
      <c r="I1594" s="5"/>
      <c r="J1594" s="5"/>
      <c r="K1594" s="5"/>
      <c r="L1594" s="59"/>
    </row>
    <row r="1595" customHeight="1" spans="6:12">
      <c r="F1595" s="86">
        <v>43889</v>
      </c>
      <c r="G1595" s="87">
        <v>11201.75</v>
      </c>
      <c r="H1595" s="59"/>
      <c r="I1595" s="5"/>
      <c r="J1595" s="5"/>
      <c r="K1595" s="5"/>
      <c r="L1595" s="59"/>
    </row>
    <row r="1596" customHeight="1" spans="6:12">
      <c r="F1596" s="86">
        <v>43888</v>
      </c>
      <c r="G1596" s="87">
        <v>11633.3</v>
      </c>
      <c r="H1596" s="59"/>
      <c r="I1596" s="5"/>
      <c r="J1596" s="5"/>
      <c r="K1596" s="5"/>
      <c r="L1596" s="59"/>
    </row>
    <row r="1597" customHeight="1" spans="6:12">
      <c r="F1597" s="86">
        <v>43887</v>
      </c>
      <c r="G1597" s="87">
        <v>11678.5</v>
      </c>
      <c r="H1597" s="59"/>
      <c r="I1597" s="5"/>
      <c r="J1597" s="5"/>
      <c r="K1597" s="5"/>
      <c r="L1597" s="59"/>
    </row>
    <row r="1598" customHeight="1" spans="6:12">
      <c r="F1598" s="86">
        <v>43886</v>
      </c>
      <c r="G1598" s="87">
        <v>11797.9</v>
      </c>
      <c r="H1598" s="59"/>
      <c r="I1598" s="5"/>
      <c r="J1598" s="5"/>
      <c r="K1598" s="5"/>
      <c r="L1598" s="59"/>
    </row>
    <row r="1599" customHeight="1" spans="6:12">
      <c r="F1599" s="86">
        <v>43885</v>
      </c>
      <c r="G1599" s="87">
        <v>11829.4</v>
      </c>
      <c r="H1599" s="59"/>
      <c r="I1599" s="5"/>
      <c r="J1599" s="5"/>
      <c r="K1599" s="5"/>
      <c r="L1599" s="59"/>
    </row>
    <row r="1600" customHeight="1" spans="6:12">
      <c r="F1600" s="86">
        <v>43881</v>
      </c>
      <c r="G1600" s="87">
        <v>12080.85</v>
      </c>
      <c r="H1600" s="59"/>
      <c r="I1600" s="5"/>
      <c r="J1600" s="5"/>
      <c r="K1600" s="5"/>
      <c r="L1600" s="59"/>
    </row>
    <row r="1601" customHeight="1" spans="6:12">
      <c r="F1601" s="86">
        <v>43880</v>
      </c>
      <c r="G1601" s="87">
        <v>12125.9</v>
      </c>
      <c r="H1601" s="59"/>
      <c r="I1601" s="5"/>
      <c r="J1601" s="5"/>
      <c r="K1601" s="5"/>
      <c r="L1601" s="59"/>
    </row>
    <row r="1602" customHeight="1" spans="6:12">
      <c r="F1602" s="86">
        <v>43879</v>
      </c>
      <c r="G1602" s="87">
        <v>11992.5</v>
      </c>
      <c r="H1602" s="59"/>
      <c r="I1602" s="5"/>
      <c r="J1602" s="5"/>
      <c r="K1602" s="5"/>
      <c r="L1602" s="59"/>
    </row>
    <row r="1603" customHeight="1" spans="6:12">
      <c r="F1603" s="86">
        <v>43878</v>
      </c>
      <c r="G1603" s="87">
        <v>12045.8</v>
      </c>
      <c r="H1603" s="59"/>
      <c r="I1603" s="5"/>
      <c r="J1603" s="5"/>
      <c r="K1603" s="5"/>
      <c r="L1603" s="59"/>
    </row>
    <row r="1604" customHeight="1" spans="6:12">
      <c r="F1604" s="86">
        <v>43875</v>
      </c>
      <c r="G1604" s="87">
        <v>12113.45</v>
      </c>
      <c r="H1604" s="59"/>
      <c r="I1604" s="5"/>
      <c r="J1604" s="5"/>
      <c r="K1604" s="5"/>
      <c r="L1604" s="59"/>
    </row>
    <row r="1605" customHeight="1" spans="6:12">
      <c r="F1605" s="86">
        <v>43874</v>
      </c>
      <c r="G1605" s="87">
        <v>12174.65</v>
      </c>
      <c r="H1605" s="59"/>
      <c r="I1605" s="5"/>
      <c r="J1605" s="5"/>
      <c r="K1605" s="5"/>
      <c r="L1605" s="59"/>
    </row>
    <row r="1606" customHeight="1" spans="6:12">
      <c r="F1606" s="86">
        <v>43873</v>
      </c>
      <c r="G1606" s="87">
        <v>12201.2</v>
      </c>
      <c r="H1606" s="59"/>
      <c r="I1606" s="5"/>
      <c r="J1606" s="5"/>
      <c r="K1606" s="5"/>
      <c r="L1606" s="59"/>
    </row>
    <row r="1607" customHeight="1" spans="6:12">
      <c r="F1607" s="86">
        <v>43872</v>
      </c>
      <c r="G1607" s="87">
        <v>12107.9</v>
      </c>
      <c r="H1607" s="59"/>
      <c r="I1607" s="5"/>
      <c r="J1607" s="5"/>
      <c r="K1607" s="5"/>
      <c r="L1607" s="59"/>
    </row>
    <row r="1608" customHeight="1" spans="6:12">
      <c r="F1608" s="86">
        <v>43871</v>
      </c>
      <c r="G1608" s="87">
        <v>12031.5</v>
      </c>
      <c r="H1608" s="59"/>
      <c r="I1608" s="5"/>
      <c r="J1608" s="5"/>
      <c r="K1608" s="5"/>
      <c r="L1608" s="59"/>
    </row>
    <row r="1609" customHeight="1" spans="6:12">
      <c r="F1609" s="86">
        <v>43868</v>
      </c>
      <c r="G1609" s="87">
        <v>12098.35</v>
      </c>
      <c r="H1609" s="59"/>
      <c r="I1609" s="5"/>
      <c r="J1609" s="5"/>
      <c r="K1609" s="5"/>
      <c r="L1609" s="59"/>
    </row>
    <row r="1610" customHeight="1" spans="6:12">
      <c r="F1610" s="86">
        <v>43867</v>
      </c>
      <c r="G1610" s="87">
        <v>12137.95</v>
      </c>
      <c r="H1610" s="59"/>
      <c r="I1610" s="5"/>
      <c r="J1610" s="5"/>
      <c r="K1610" s="5"/>
      <c r="L1610" s="59"/>
    </row>
    <row r="1611" customHeight="1" spans="6:12">
      <c r="F1611" s="86">
        <v>43866</v>
      </c>
      <c r="G1611" s="87">
        <v>12089.15</v>
      </c>
      <c r="H1611" s="59"/>
      <c r="I1611" s="5"/>
      <c r="J1611" s="5"/>
      <c r="K1611" s="5"/>
      <c r="L1611" s="59"/>
    </row>
    <row r="1612" customHeight="1" spans="6:12">
      <c r="F1612" s="86">
        <v>43865</v>
      </c>
      <c r="G1612" s="87">
        <v>11979.65</v>
      </c>
      <c r="H1612" s="59"/>
      <c r="I1612" s="5"/>
      <c r="J1612" s="5"/>
      <c r="K1612" s="5"/>
      <c r="L1612" s="59"/>
    </row>
    <row r="1613" customHeight="1" spans="6:12">
      <c r="F1613" s="86">
        <v>43864</v>
      </c>
      <c r="G1613" s="87">
        <v>11707.9</v>
      </c>
      <c r="H1613" s="59"/>
      <c r="I1613" s="5"/>
      <c r="J1613" s="5"/>
      <c r="K1613" s="5"/>
      <c r="L1613" s="59"/>
    </row>
    <row r="1614" customHeight="1" spans="6:12">
      <c r="F1614" s="86">
        <v>43862</v>
      </c>
      <c r="G1614" s="87">
        <v>11661.85</v>
      </c>
      <c r="H1614" s="59"/>
      <c r="I1614" s="5"/>
      <c r="J1614" s="5"/>
      <c r="K1614" s="5"/>
      <c r="L1614" s="59"/>
    </row>
    <row r="1615" customHeight="1" spans="6:12">
      <c r="F1615" s="86">
        <v>43861</v>
      </c>
      <c r="G1615" s="87">
        <v>11962.1</v>
      </c>
      <c r="H1615" s="59"/>
      <c r="I1615" s="5"/>
      <c r="J1615" s="5"/>
      <c r="K1615" s="5"/>
      <c r="L1615" s="59"/>
    </row>
    <row r="1616" customHeight="1" spans="6:12">
      <c r="F1616" s="86">
        <v>43860</v>
      </c>
      <c r="G1616" s="87">
        <v>12035.8</v>
      </c>
      <c r="H1616" s="59"/>
      <c r="I1616" s="5"/>
      <c r="J1616" s="5"/>
      <c r="K1616" s="5"/>
      <c r="L1616" s="59"/>
    </row>
    <row r="1617" customHeight="1" spans="6:12">
      <c r="F1617" s="86">
        <v>43859</v>
      </c>
      <c r="G1617" s="87">
        <v>12129.5</v>
      </c>
      <c r="H1617" s="59"/>
      <c r="I1617" s="5"/>
      <c r="J1617" s="5"/>
      <c r="K1617" s="5"/>
      <c r="L1617" s="59"/>
    </row>
    <row r="1618" customHeight="1" spans="6:12">
      <c r="F1618" s="86">
        <v>43858</v>
      </c>
      <c r="G1618" s="87">
        <v>12055.8</v>
      </c>
      <c r="H1618" s="59"/>
      <c r="I1618" s="5"/>
      <c r="J1618" s="5"/>
      <c r="K1618" s="5"/>
      <c r="L1618" s="59"/>
    </row>
    <row r="1619" customHeight="1" spans="6:12">
      <c r="F1619" s="86">
        <v>43857</v>
      </c>
      <c r="G1619" s="87">
        <v>12119</v>
      </c>
      <c r="H1619" s="59"/>
      <c r="I1619" s="5"/>
      <c r="J1619" s="5"/>
      <c r="K1619" s="5"/>
      <c r="L1619" s="59"/>
    </row>
    <row r="1620" customHeight="1" spans="6:12">
      <c r="F1620" s="86">
        <v>43854</v>
      </c>
      <c r="G1620" s="87">
        <v>12248.25</v>
      </c>
      <c r="H1620" s="59"/>
      <c r="I1620" s="5"/>
      <c r="J1620" s="5"/>
      <c r="K1620" s="5"/>
      <c r="L1620" s="59"/>
    </row>
    <row r="1621" customHeight="1" spans="6:12">
      <c r="F1621" s="86">
        <v>43853</v>
      </c>
      <c r="G1621" s="87">
        <v>12180.35</v>
      </c>
      <c r="H1621" s="59"/>
      <c r="I1621" s="5"/>
      <c r="J1621" s="5"/>
      <c r="K1621" s="5"/>
      <c r="L1621" s="59"/>
    </row>
    <row r="1622" customHeight="1" spans="6:12">
      <c r="F1622" s="86">
        <v>43852</v>
      </c>
      <c r="G1622" s="87">
        <v>12106.9</v>
      </c>
      <c r="H1622" s="59"/>
      <c r="I1622" s="5"/>
      <c r="J1622" s="5"/>
      <c r="K1622" s="5"/>
      <c r="L1622" s="59"/>
    </row>
    <row r="1623" customHeight="1" spans="6:12">
      <c r="F1623" s="86">
        <v>43851</v>
      </c>
      <c r="G1623" s="87">
        <v>12169.85</v>
      </c>
      <c r="H1623" s="59"/>
      <c r="I1623" s="5"/>
      <c r="J1623" s="5"/>
      <c r="K1623" s="5"/>
      <c r="L1623" s="59"/>
    </row>
    <row r="1624" customHeight="1" spans="6:12">
      <c r="F1624" s="86">
        <v>43850</v>
      </c>
      <c r="G1624" s="87">
        <v>12224.55</v>
      </c>
      <c r="H1624" s="59"/>
      <c r="I1624" s="5"/>
      <c r="J1624" s="5"/>
      <c r="K1624" s="5"/>
      <c r="L1624" s="59"/>
    </row>
    <row r="1625" customHeight="1" spans="6:12">
      <c r="F1625" s="86">
        <v>43847</v>
      </c>
      <c r="G1625" s="87">
        <v>12352.35</v>
      </c>
      <c r="H1625" s="59"/>
      <c r="I1625" s="5"/>
      <c r="J1625" s="5"/>
      <c r="K1625" s="5"/>
      <c r="L1625" s="59"/>
    </row>
    <row r="1626" customHeight="1" spans="6:12">
      <c r="F1626" s="86">
        <v>43846</v>
      </c>
      <c r="G1626" s="87">
        <v>12355.5</v>
      </c>
      <c r="H1626" s="59"/>
      <c r="I1626" s="5"/>
      <c r="J1626" s="5"/>
      <c r="K1626" s="5"/>
      <c r="L1626" s="59"/>
    </row>
    <row r="1627" customHeight="1" spans="6:12">
      <c r="F1627" s="86">
        <v>43845</v>
      </c>
      <c r="G1627" s="87">
        <v>12343.3</v>
      </c>
      <c r="H1627" s="59"/>
      <c r="I1627" s="5"/>
      <c r="J1627" s="5"/>
      <c r="K1627" s="5"/>
      <c r="L1627" s="59"/>
    </row>
    <row r="1628" customHeight="1" spans="6:12">
      <c r="F1628" s="86">
        <v>43844</v>
      </c>
      <c r="G1628" s="87">
        <v>12362.3</v>
      </c>
      <c r="H1628" s="59"/>
      <c r="I1628" s="5"/>
      <c r="J1628" s="5"/>
      <c r="K1628" s="5"/>
      <c r="L1628" s="59"/>
    </row>
    <row r="1629" customHeight="1" spans="6:12">
      <c r="F1629" s="86">
        <v>43843</v>
      </c>
      <c r="G1629" s="87">
        <v>12329.55</v>
      </c>
      <c r="H1629" s="59"/>
      <c r="I1629" s="5"/>
      <c r="J1629" s="5"/>
      <c r="K1629" s="5"/>
      <c r="L1629" s="59"/>
    </row>
    <row r="1630" customHeight="1" spans="6:12">
      <c r="F1630" s="86">
        <v>43840</v>
      </c>
      <c r="G1630" s="87">
        <v>12256.8</v>
      </c>
      <c r="H1630" s="59"/>
      <c r="I1630" s="5"/>
      <c r="J1630" s="5"/>
      <c r="K1630" s="5"/>
      <c r="L1630" s="59"/>
    </row>
    <row r="1631" customHeight="1" spans="6:12">
      <c r="F1631" s="86">
        <v>43839</v>
      </c>
      <c r="G1631" s="87">
        <v>12215.9</v>
      </c>
      <c r="H1631" s="59"/>
      <c r="I1631" s="5"/>
      <c r="J1631" s="5"/>
      <c r="K1631" s="5"/>
      <c r="L1631" s="59"/>
    </row>
    <row r="1632" customHeight="1" spans="6:12">
      <c r="F1632" s="86">
        <v>43838</v>
      </c>
      <c r="G1632" s="87">
        <v>12025.35</v>
      </c>
      <c r="H1632" s="59"/>
      <c r="I1632" s="5"/>
      <c r="J1632" s="5"/>
      <c r="K1632" s="5"/>
      <c r="L1632" s="59"/>
    </row>
    <row r="1633" customHeight="1" spans="6:12">
      <c r="F1633" s="86">
        <v>43837</v>
      </c>
      <c r="G1633" s="87">
        <v>12052.95</v>
      </c>
      <c r="H1633" s="59"/>
      <c r="I1633" s="5"/>
      <c r="J1633" s="5"/>
      <c r="K1633" s="5"/>
      <c r="L1633" s="59"/>
    </row>
    <row r="1634" customHeight="1" spans="6:12">
      <c r="F1634" s="86">
        <v>43836</v>
      </c>
      <c r="G1634" s="87">
        <v>11993.05</v>
      </c>
      <c r="H1634" s="59"/>
      <c r="I1634" s="5"/>
      <c r="J1634" s="5"/>
      <c r="K1634" s="5"/>
      <c r="L1634" s="59"/>
    </row>
    <row r="1635" customHeight="1" spans="6:12">
      <c r="F1635" s="86">
        <v>43833</v>
      </c>
      <c r="G1635" s="87">
        <v>12226.65</v>
      </c>
      <c r="H1635" s="59"/>
      <c r="I1635" s="5"/>
      <c r="J1635" s="5"/>
      <c r="K1635" s="5"/>
      <c r="L1635" s="59"/>
    </row>
    <row r="1636" customHeight="1" spans="6:12">
      <c r="F1636" s="86">
        <v>43832</v>
      </c>
      <c r="G1636" s="87">
        <v>12282.2</v>
      </c>
      <c r="H1636" s="59"/>
      <c r="I1636" s="5"/>
      <c r="J1636" s="5"/>
      <c r="K1636" s="5"/>
      <c r="L1636" s="59"/>
    </row>
    <row r="1637" customHeight="1" spans="6:12">
      <c r="F1637" s="86">
        <v>43831</v>
      </c>
      <c r="G1637" s="87">
        <v>12182.5</v>
      </c>
      <c r="H1637" s="59"/>
      <c r="I1637" s="5"/>
      <c r="J1637" s="5"/>
      <c r="K1637" s="5"/>
      <c r="L1637" s="59"/>
    </row>
    <row r="1638" customHeight="1" spans="6:12">
      <c r="F1638" s="86">
        <v>43830</v>
      </c>
      <c r="G1638" s="87">
        <v>12168.45</v>
      </c>
      <c r="H1638" s="59"/>
      <c r="I1638" s="5"/>
      <c r="J1638" s="5"/>
      <c r="K1638" s="5"/>
      <c r="L1638" s="59"/>
    </row>
    <row r="1639" customHeight="1" spans="6:12">
      <c r="F1639" s="86">
        <v>43829</v>
      </c>
      <c r="G1639" s="87">
        <v>12255.85</v>
      </c>
      <c r="H1639" s="59"/>
      <c r="I1639" s="5"/>
      <c r="J1639" s="5"/>
      <c r="K1639" s="5"/>
      <c r="L1639" s="59"/>
    </row>
    <row r="1640" customHeight="1" spans="6:12">
      <c r="F1640" s="86">
        <v>43826</v>
      </c>
      <c r="G1640" s="87">
        <v>12245.8</v>
      </c>
      <c r="H1640" s="59"/>
      <c r="I1640" s="5"/>
      <c r="J1640" s="5"/>
      <c r="K1640" s="5"/>
      <c r="L1640" s="59"/>
    </row>
    <row r="1641" customHeight="1" spans="6:12">
      <c r="F1641" s="86">
        <v>43825</v>
      </c>
      <c r="G1641" s="87">
        <v>12126.55</v>
      </c>
      <c r="H1641" s="59"/>
      <c r="I1641" s="5"/>
      <c r="J1641" s="5"/>
      <c r="K1641" s="5"/>
      <c r="L1641" s="59"/>
    </row>
    <row r="1642" customHeight="1" spans="6:12">
      <c r="F1642" s="86">
        <v>43823</v>
      </c>
      <c r="G1642" s="87">
        <v>12214.55</v>
      </c>
      <c r="H1642" s="59"/>
      <c r="I1642" s="5"/>
      <c r="J1642" s="5"/>
      <c r="K1642" s="5"/>
      <c r="L1642" s="59"/>
    </row>
    <row r="1643" customHeight="1" spans="6:12">
      <c r="F1643" s="86">
        <v>43822</v>
      </c>
      <c r="G1643" s="87">
        <v>12262.75</v>
      </c>
      <c r="H1643" s="59"/>
      <c r="I1643" s="5"/>
      <c r="J1643" s="5"/>
      <c r="K1643" s="5"/>
      <c r="L1643" s="59"/>
    </row>
    <row r="1644" customHeight="1" spans="6:12">
      <c r="F1644" s="86">
        <v>43819</v>
      </c>
      <c r="G1644" s="87">
        <v>12271.8</v>
      </c>
      <c r="H1644" s="59"/>
      <c r="I1644" s="5"/>
      <c r="J1644" s="5"/>
      <c r="K1644" s="5"/>
      <c r="L1644" s="59"/>
    </row>
    <row r="1645" customHeight="1" spans="6:12">
      <c r="F1645" s="86">
        <v>43818</v>
      </c>
      <c r="G1645" s="87">
        <v>12259.7</v>
      </c>
      <c r="H1645" s="59"/>
      <c r="I1645" s="5"/>
      <c r="J1645" s="5"/>
      <c r="K1645" s="5"/>
      <c r="L1645" s="59"/>
    </row>
    <row r="1646" customHeight="1" spans="6:12">
      <c r="F1646" s="86">
        <v>43817</v>
      </c>
      <c r="G1646" s="87">
        <v>12221.65</v>
      </c>
      <c r="H1646" s="59"/>
      <c r="I1646" s="5"/>
      <c r="J1646" s="5"/>
      <c r="K1646" s="5"/>
      <c r="L1646" s="59"/>
    </row>
    <row r="1647" customHeight="1" spans="6:12">
      <c r="F1647" s="86">
        <v>43816</v>
      </c>
      <c r="G1647" s="87">
        <v>12165</v>
      </c>
      <c r="H1647" s="59"/>
      <c r="I1647" s="5"/>
      <c r="J1647" s="5"/>
      <c r="K1647" s="5"/>
      <c r="L1647" s="59"/>
    </row>
    <row r="1648" customHeight="1" spans="6:12">
      <c r="F1648" s="86">
        <v>43815</v>
      </c>
      <c r="G1648" s="87">
        <v>12053.95</v>
      </c>
      <c r="H1648" s="59"/>
      <c r="I1648" s="5"/>
      <c r="J1648" s="5"/>
      <c r="K1648" s="5"/>
      <c r="L1648" s="59"/>
    </row>
    <row r="1649" customHeight="1" spans="6:12">
      <c r="F1649" s="86">
        <v>43812</v>
      </c>
      <c r="G1649" s="87">
        <v>12086.7</v>
      </c>
      <c r="H1649" s="59"/>
      <c r="I1649" s="5"/>
      <c r="J1649" s="5"/>
      <c r="K1649" s="5"/>
      <c r="L1649" s="59"/>
    </row>
    <row r="1650" customHeight="1" spans="6:12">
      <c r="F1650" s="86">
        <v>43811</v>
      </c>
      <c r="G1650" s="87">
        <v>11971.8</v>
      </c>
      <c r="H1650" s="59"/>
      <c r="I1650" s="5"/>
      <c r="J1650" s="5"/>
      <c r="K1650" s="5"/>
      <c r="L1650" s="59"/>
    </row>
    <row r="1651" customHeight="1" spans="6:12">
      <c r="F1651" s="86">
        <v>43810</v>
      </c>
      <c r="G1651" s="87">
        <v>11910.15</v>
      </c>
      <c r="H1651" s="59"/>
      <c r="I1651" s="5"/>
      <c r="J1651" s="5"/>
      <c r="K1651" s="5"/>
      <c r="L1651" s="59"/>
    </row>
    <row r="1652" customHeight="1" spans="6:12">
      <c r="F1652" s="86">
        <v>43809</v>
      </c>
      <c r="G1652" s="87">
        <v>11856.8</v>
      </c>
      <c r="H1652" s="59"/>
      <c r="I1652" s="5"/>
      <c r="J1652" s="5"/>
      <c r="K1652" s="5"/>
      <c r="L1652" s="59"/>
    </row>
    <row r="1653" customHeight="1" spans="6:12">
      <c r="F1653" s="86">
        <v>43808</v>
      </c>
      <c r="G1653" s="87">
        <v>11937.5</v>
      </c>
      <c r="H1653" s="59"/>
      <c r="I1653" s="5"/>
      <c r="J1653" s="5"/>
      <c r="K1653" s="5"/>
      <c r="L1653" s="59"/>
    </row>
    <row r="1654" customHeight="1" spans="6:12">
      <c r="F1654" s="86">
        <v>43805</v>
      </c>
      <c r="G1654" s="87">
        <v>11921.5</v>
      </c>
      <c r="H1654" s="59"/>
      <c r="I1654" s="5"/>
      <c r="J1654" s="5"/>
      <c r="K1654" s="5"/>
      <c r="L1654" s="59"/>
    </row>
    <row r="1655" customHeight="1" spans="6:12">
      <c r="F1655" s="86">
        <v>43804</v>
      </c>
      <c r="G1655" s="87">
        <v>12018.4</v>
      </c>
      <c r="H1655" s="59"/>
      <c r="I1655" s="5"/>
      <c r="J1655" s="5"/>
      <c r="K1655" s="5"/>
      <c r="L1655" s="59"/>
    </row>
    <row r="1656" customHeight="1" spans="6:12">
      <c r="F1656" s="86">
        <v>43803</v>
      </c>
      <c r="G1656" s="87">
        <v>12043.2</v>
      </c>
      <c r="H1656" s="59"/>
      <c r="I1656" s="5"/>
      <c r="J1656" s="5"/>
      <c r="K1656" s="5"/>
      <c r="L1656" s="59"/>
    </row>
    <row r="1657" customHeight="1" spans="6:12">
      <c r="F1657" s="86">
        <v>43802</v>
      </c>
      <c r="G1657" s="87">
        <v>11994.2</v>
      </c>
      <c r="H1657" s="59"/>
      <c r="I1657" s="5"/>
      <c r="J1657" s="5"/>
      <c r="K1657" s="5"/>
      <c r="L1657" s="59"/>
    </row>
    <row r="1658" customHeight="1" spans="6:12">
      <c r="F1658" s="86">
        <v>43801</v>
      </c>
      <c r="G1658" s="87">
        <v>12048.2</v>
      </c>
      <c r="H1658" s="59"/>
      <c r="I1658" s="5"/>
      <c r="J1658" s="5"/>
      <c r="K1658" s="5"/>
      <c r="L1658" s="59"/>
    </row>
    <row r="1659" customHeight="1" spans="6:12">
      <c r="F1659" s="86">
        <v>43798</v>
      </c>
      <c r="G1659" s="87">
        <v>12056.05</v>
      </c>
      <c r="H1659" s="59"/>
      <c r="I1659" s="5"/>
      <c r="J1659" s="5"/>
      <c r="K1659" s="5"/>
      <c r="L1659" s="59"/>
    </row>
    <row r="1660" customHeight="1" spans="6:12">
      <c r="F1660" s="86">
        <v>43797</v>
      </c>
      <c r="G1660" s="87">
        <v>12151.15</v>
      </c>
      <c r="H1660" s="59"/>
      <c r="I1660" s="5"/>
      <c r="J1660" s="5"/>
      <c r="K1660" s="5"/>
      <c r="L1660" s="59"/>
    </row>
    <row r="1661" customHeight="1" spans="6:12">
      <c r="F1661" s="86">
        <v>43796</v>
      </c>
      <c r="G1661" s="87">
        <v>12100.7</v>
      </c>
      <c r="H1661" s="59"/>
      <c r="I1661" s="5"/>
      <c r="J1661" s="5"/>
      <c r="K1661" s="5"/>
      <c r="L1661" s="59"/>
    </row>
    <row r="1662" customHeight="1" spans="6:12">
      <c r="F1662" s="86">
        <v>43795</v>
      </c>
      <c r="G1662" s="87">
        <v>12037.7</v>
      </c>
      <c r="H1662" s="59"/>
      <c r="I1662" s="5"/>
      <c r="J1662" s="5"/>
      <c r="K1662" s="5"/>
      <c r="L1662" s="59"/>
    </row>
    <row r="1663" customHeight="1" spans="6:12">
      <c r="F1663" s="86">
        <v>43794</v>
      </c>
      <c r="G1663" s="87">
        <v>12073.75</v>
      </c>
      <c r="H1663" s="59"/>
      <c r="I1663" s="5"/>
      <c r="J1663" s="5"/>
      <c r="K1663" s="5"/>
      <c r="L1663" s="59"/>
    </row>
    <row r="1664" customHeight="1" spans="6:12">
      <c r="F1664" s="86">
        <v>43791</v>
      </c>
      <c r="G1664" s="87">
        <v>11914.4</v>
      </c>
      <c r="H1664" s="59"/>
      <c r="I1664" s="5"/>
      <c r="J1664" s="5"/>
      <c r="K1664" s="5"/>
      <c r="L1664" s="59"/>
    </row>
    <row r="1665" customHeight="1" spans="6:12">
      <c r="F1665" s="86">
        <v>43790</v>
      </c>
      <c r="G1665" s="87">
        <v>11968.4</v>
      </c>
      <c r="H1665" s="59"/>
      <c r="I1665" s="5"/>
      <c r="J1665" s="5"/>
      <c r="K1665" s="5"/>
      <c r="L1665" s="59"/>
    </row>
    <row r="1666" customHeight="1" spans="6:12">
      <c r="F1666" s="86">
        <v>43789</v>
      </c>
      <c r="G1666" s="87">
        <v>11999.1</v>
      </c>
      <c r="H1666" s="59"/>
      <c r="I1666" s="5"/>
      <c r="J1666" s="5"/>
      <c r="K1666" s="5"/>
      <c r="L1666" s="59"/>
    </row>
    <row r="1667" customHeight="1" spans="6:12">
      <c r="F1667" s="86">
        <v>43788</v>
      </c>
      <c r="G1667" s="87">
        <v>11940.1</v>
      </c>
      <c r="H1667" s="59"/>
      <c r="I1667" s="5"/>
      <c r="J1667" s="5"/>
      <c r="K1667" s="5"/>
      <c r="L1667" s="59"/>
    </row>
    <row r="1668" customHeight="1" spans="6:12">
      <c r="F1668" s="86">
        <v>43787</v>
      </c>
      <c r="G1668" s="87">
        <v>11884.5</v>
      </c>
      <c r="H1668" s="59"/>
      <c r="I1668" s="5"/>
      <c r="J1668" s="5"/>
      <c r="K1668" s="5"/>
      <c r="L1668" s="59"/>
    </row>
    <row r="1669" customHeight="1" spans="6:12">
      <c r="F1669" s="86">
        <v>43784</v>
      </c>
      <c r="G1669" s="87">
        <v>11895.45</v>
      </c>
      <c r="H1669" s="59"/>
      <c r="I1669" s="5"/>
      <c r="J1669" s="5"/>
      <c r="K1669" s="5"/>
      <c r="L1669" s="59"/>
    </row>
    <row r="1670" customHeight="1" spans="6:12">
      <c r="F1670" s="86">
        <v>43783</v>
      </c>
      <c r="G1670" s="87">
        <v>11872.1</v>
      </c>
      <c r="H1670" s="59"/>
      <c r="I1670" s="5"/>
      <c r="J1670" s="5"/>
      <c r="K1670" s="5"/>
      <c r="L1670" s="59"/>
    </row>
    <row r="1671" customHeight="1" spans="6:12">
      <c r="F1671" s="86">
        <v>43782</v>
      </c>
      <c r="G1671" s="87">
        <v>11840.45</v>
      </c>
      <c r="H1671" s="59"/>
      <c r="I1671" s="5"/>
      <c r="J1671" s="5"/>
      <c r="K1671" s="5"/>
      <c r="L1671" s="59"/>
    </row>
    <row r="1672" customHeight="1" spans="6:12">
      <c r="F1672" s="86">
        <v>43780</v>
      </c>
      <c r="G1672" s="87">
        <v>11913.45</v>
      </c>
      <c r="H1672" s="59"/>
      <c r="I1672" s="5"/>
      <c r="J1672" s="5"/>
      <c r="K1672" s="5"/>
      <c r="L1672" s="59"/>
    </row>
    <row r="1673" customHeight="1" spans="6:12">
      <c r="F1673" s="86">
        <v>43777</v>
      </c>
      <c r="G1673" s="87">
        <v>11908.15</v>
      </c>
      <c r="H1673" s="59"/>
      <c r="I1673" s="5"/>
      <c r="J1673" s="5"/>
      <c r="K1673" s="5"/>
      <c r="L1673" s="59"/>
    </row>
    <row r="1674" customHeight="1" spans="6:12">
      <c r="F1674" s="86">
        <v>43776</v>
      </c>
      <c r="G1674" s="87">
        <v>12012.05</v>
      </c>
      <c r="H1674" s="59"/>
      <c r="I1674" s="5"/>
      <c r="J1674" s="5"/>
      <c r="K1674" s="5"/>
      <c r="L1674" s="59"/>
    </row>
    <row r="1675" customHeight="1" spans="6:12">
      <c r="F1675" s="86">
        <v>43775</v>
      </c>
      <c r="G1675" s="87">
        <v>11966.05</v>
      </c>
      <c r="H1675" s="59"/>
      <c r="I1675" s="5"/>
      <c r="J1675" s="5"/>
      <c r="K1675" s="5"/>
      <c r="L1675" s="59"/>
    </row>
    <row r="1676" customHeight="1" spans="6:12">
      <c r="F1676" s="86">
        <v>43774</v>
      </c>
      <c r="G1676" s="87">
        <v>11917.2</v>
      </c>
      <c r="H1676" s="59"/>
      <c r="I1676" s="5"/>
      <c r="J1676" s="5"/>
      <c r="K1676" s="5"/>
      <c r="L1676" s="59"/>
    </row>
    <row r="1677" customHeight="1" spans="6:12">
      <c r="F1677" s="86">
        <v>43773</v>
      </c>
      <c r="G1677" s="87">
        <v>11941.3</v>
      </c>
      <c r="H1677" s="59"/>
      <c r="I1677" s="5"/>
      <c r="J1677" s="5"/>
      <c r="K1677" s="5"/>
      <c r="L1677" s="59"/>
    </row>
    <row r="1678" customHeight="1" spans="6:12">
      <c r="F1678" s="86">
        <v>43770</v>
      </c>
      <c r="G1678" s="87">
        <v>11890.6</v>
      </c>
      <c r="H1678" s="59"/>
      <c r="I1678" s="5"/>
      <c r="J1678" s="5"/>
      <c r="K1678" s="5"/>
      <c r="L1678" s="59"/>
    </row>
    <row r="1679" customHeight="1" spans="6:12">
      <c r="F1679" s="86">
        <v>43769</v>
      </c>
      <c r="G1679" s="87">
        <v>11877.45</v>
      </c>
      <c r="H1679" s="59"/>
      <c r="I1679" s="5"/>
      <c r="J1679" s="5"/>
      <c r="K1679" s="5"/>
      <c r="L1679" s="59"/>
    </row>
    <row r="1680" customHeight="1" spans="6:12">
      <c r="F1680" s="86">
        <v>43768</v>
      </c>
      <c r="G1680" s="87">
        <v>11844.1</v>
      </c>
      <c r="H1680" s="59"/>
      <c r="I1680" s="5"/>
      <c r="J1680" s="5"/>
      <c r="K1680" s="5"/>
      <c r="L1680" s="59"/>
    </row>
    <row r="1681" customHeight="1" spans="6:12">
      <c r="F1681" s="86">
        <v>43767</v>
      </c>
      <c r="G1681" s="87">
        <v>11786.85</v>
      </c>
      <c r="H1681" s="59"/>
      <c r="I1681" s="5"/>
      <c r="J1681" s="5"/>
      <c r="K1681" s="5"/>
      <c r="L1681" s="59"/>
    </row>
    <row r="1682" customHeight="1" spans="6:12">
      <c r="F1682" s="86">
        <v>43765</v>
      </c>
      <c r="G1682" s="87">
        <v>11627.15</v>
      </c>
      <c r="H1682" s="59"/>
      <c r="I1682" s="5"/>
      <c r="J1682" s="5"/>
      <c r="K1682" s="5"/>
      <c r="L1682" s="59"/>
    </row>
    <row r="1683" customHeight="1" spans="6:12">
      <c r="F1683" s="86">
        <v>43763</v>
      </c>
      <c r="G1683" s="87">
        <v>11583.9</v>
      </c>
      <c r="H1683" s="59"/>
      <c r="I1683" s="5"/>
      <c r="J1683" s="5"/>
      <c r="K1683" s="5"/>
      <c r="L1683" s="59"/>
    </row>
    <row r="1684" customHeight="1" spans="6:12">
      <c r="F1684" s="86">
        <v>43762</v>
      </c>
      <c r="G1684" s="87">
        <v>11582.6</v>
      </c>
      <c r="H1684" s="59"/>
      <c r="I1684" s="5"/>
      <c r="J1684" s="5"/>
      <c r="K1684" s="5"/>
      <c r="L1684" s="59"/>
    </row>
    <row r="1685" customHeight="1" spans="6:12">
      <c r="F1685" s="86">
        <v>43761</v>
      </c>
      <c r="G1685" s="87">
        <v>11604.1</v>
      </c>
      <c r="H1685" s="59"/>
      <c r="I1685" s="5"/>
      <c r="J1685" s="5"/>
      <c r="K1685" s="5"/>
      <c r="L1685" s="59"/>
    </row>
    <row r="1686" customHeight="1" spans="6:12">
      <c r="F1686" s="86">
        <v>43760</v>
      </c>
      <c r="G1686" s="87">
        <v>11588.35</v>
      </c>
      <c r="H1686" s="59"/>
      <c r="I1686" s="5"/>
      <c r="J1686" s="5"/>
      <c r="K1686" s="5"/>
      <c r="L1686" s="59"/>
    </row>
    <row r="1687" customHeight="1" spans="6:12">
      <c r="F1687" s="86">
        <v>43756</v>
      </c>
      <c r="G1687" s="87">
        <v>11661.85</v>
      </c>
      <c r="H1687" s="59"/>
      <c r="I1687" s="5"/>
      <c r="J1687" s="5"/>
      <c r="K1687" s="5"/>
      <c r="L1687" s="59"/>
    </row>
    <row r="1688" customHeight="1" spans="6:12">
      <c r="F1688" s="86">
        <v>43755</v>
      </c>
      <c r="G1688" s="87">
        <v>11586.35</v>
      </c>
      <c r="H1688" s="59"/>
      <c r="I1688" s="5"/>
      <c r="J1688" s="5"/>
      <c r="K1688" s="5"/>
      <c r="L1688" s="59"/>
    </row>
    <row r="1689" customHeight="1" spans="6:12">
      <c r="F1689" s="86">
        <v>43754</v>
      </c>
      <c r="G1689" s="87">
        <v>11464</v>
      </c>
      <c r="H1689" s="59"/>
      <c r="I1689" s="5"/>
      <c r="J1689" s="5"/>
      <c r="K1689" s="5"/>
      <c r="L1689" s="59"/>
    </row>
    <row r="1690" customHeight="1" spans="6:12">
      <c r="F1690" s="86">
        <v>43753</v>
      </c>
      <c r="G1690" s="87">
        <v>11428.3</v>
      </c>
      <c r="H1690" s="59"/>
      <c r="I1690" s="5"/>
      <c r="J1690" s="5"/>
      <c r="K1690" s="5"/>
      <c r="L1690" s="59"/>
    </row>
    <row r="1691" customHeight="1" spans="6:12">
      <c r="F1691" s="86">
        <v>43752</v>
      </c>
      <c r="G1691" s="87">
        <v>11341.15</v>
      </c>
      <c r="H1691" s="59"/>
      <c r="I1691" s="5"/>
      <c r="J1691" s="5"/>
      <c r="K1691" s="5"/>
      <c r="L1691" s="59"/>
    </row>
    <row r="1692" customHeight="1" spans="6:12">
      <c r="F1692" s="86">
        <v>43749</v>
      </c>
      <c r="G1692" s="87">
        <v>11305.05</v>
      </c>
      <c r="H1692" s="59"/>
      <c r="I1692" s="5"/>
      <c r="J1692" s="5"/>
      <c r="K1692" s="5"/>
      <c r="L1692" s="59"/>
    </row>
    <row r="1693" customHeight="1" spans="6:12">
      <c r="F1693" s="86">
        <v>43748</v>
      </c>
      <c r="G1693" s="87">
        <v>11234.55</v>
      </c>
      <c r="H1693" s="59"/>
      <c r="I1693" s="5"/>
      <c r="J1693" s="5"/>
      <c r="K1693" s="5"/>
      <c r="L1693" s="59"/>
    </row>
    <row r="1694" customHeight="1" spans="6:12">
      <c r="F1694" s="86">
        <v>43747</v>
      </c>
      <c r="G1694" s="87">
        <v>11313.3</v>
      </c>
      <c r="H1694" s="59"/>
      <c r="I1694" s="5"/>
      <c r="J1694" s="5"/>
      <c r="K1694" s="5"/>
      <c r="L1694" s="59"/>
    </row>
    <row r="1695" customHeight="1" spans="6:12">
      <c r="F1695" s="86">
        <v>43745</v>
      </c>
      <c r="G1695" s="87">
        <v>11126.4</v>
      </c>
      <c r="H1695" s="59"/>
      <c r="I1695" s="5"/>
      <c r="J1695" s="5"/>
      <c r="K1695" s="5"/>
      <c r="L1695" s="59"/>
    </row>
    <row r="1696" customHeight="1" spans="6:12">
      <c r="F1696" s="86">
        <v>43742</v>
      </c>
      <c r="G1696" s="87">
        <v>11174.75</v>
      </c>
      <c r="H1696" s="59"/>
      <c r="I1696" s="5"/>
      <c r="J1696" s="5"/>
      <c r="K1696" s="5"/>
      <c r="L1696" s="59"/>
    </row>
    <row r="1697" customHeight="1" spans="6:12">
      <c r="F1697" s="86">
        <v>43741</v>
      </c>
      <c r="G1697" s="87">
        <v>11314</v>
      </c>
      <c r="H1697" s="59"/>
      <c r="I1697" s="5"/>
      <c r="J1697" s="5"/>
      <c r="K1697" s="5"/>
      <c r="L1697" s="59"/>
    </row>
    <row r="1698" customHeight="1" spans="6:12">
      <c r="F1698" s="86">
        <v>43739</v>
      </c>
      <c r="G1698" s="87">
        <v>11359.9</v>
      </c>
      <c r="H1698" s="59"/>
      <c r="I1698" s="5"/>
      <c r="J1698" s="5"/>
      <c r="K1698" s="5"/>
      <c r="L1698" s="59"/>
    </row>
    <row r="1699" customHeight="1" spans="6:12">
      <c r="F1699" s="86">
        <v>43738</v>
      </c>
      <c r="G1699" s="87">
        <v>11474.45</v>
      </c>
      <c r="H1699" s="59"/>
      <c r="I1699" s="5"/>
      <c r="J1699" s="5"/>
      <c r="K1699" s="5"/>
      <c r="L1699" s="59"/>
    </row>
    <row r="1700" customHeight="1" spans="6:12">
      <c r="F1700" s="86">
        <v>43735</v>
      </c>
      <c r="G1700" s="87">
        <v>11512.4</v>
      </c>
      <c r="H1700" s="59"/>
      <c r="I1700" s="5"/>
      <c r="J1700" s="5"/>
      <c r="K1700" s="5"/>
      <c r="L1700" s="59"/>
    </row>
    <row r="1701" customHeight="1" spans="6:12">
      <c r="F1701" s="86">
        <v>43734</v>
      </c>
      <c r="G1701" s="87">
        <v>11571.2</v>
      </c>
      <c r="H1701" s="59"/>
      <c r="I1701" s="5"/>
      <c r="J1701" s="5"/>
      <c r="K1701" s="5"/>
      <c r="L1701" s="59"/>
    </row>
    <row r="1702" customHeight="1" spans="6:12">
      <c r="F1702" s="86">
        <v>43733</v>
      </c>
      <c r="G1702" s="87">
        <v>11440.2</v>
      </c>
      <c r="H1702" s="59"/>
      <c r="I1702" s="5"/>
      <c r="J1702" s="5"/>
      <c r="K1702" s="5"/>
      <c r="L1702" s="59"/>
    </row>
    <row r="1703" customHeight="1" spans="6:12">
      <c r="F1703" s="86">
        <v>43732</v>
      </c>
      <c r="G1703" s="87">
        <v>11588.2</v>
      </c>
      <c r="H1703" s="59"/>
      <c r="I1703" s="5"/>
      <c r="J1703" s="5"/>
      <c r="K1703" s="5"/>
      <c r="L1703" s="59"/>
    </row>
    <row r="1704" customHeight="1" spans="6:12">
      <c r="F1704" s="86">
        <v>43731</v>
      </c>
      <c r="G1704" s="87">
        <v>11600.2</v>
      </c>
      <c r="H1704" s="59"/>
      <c r="I1704" s="5"/>
      <c r="J1704" s="5"/>
      <c r="K1704" s="5"/>
      <c r="L1704" s="59"/>
    </row>
    <row r="1705" customHeight="1" spans="6:12">
      <c r="F1705" s="86">
        <v>43728</v>
      </c>
      <c r="G1705" s="87">
        <v>11274.2</v>
      </c>
      <c r="H1705" s="59"/>
      <c r="I1705" s="5"/>
      <c r="J1705" s="5"/>
      <c r="K1705" s="5"/>
      <c r="L1705" s="59"/>
    </row>
    <row r="1706" customHeight="1" spans="6:12">
      <c r="F1706" s="86">
        <v>43727</v>
      </c>
      <c r="G1706" s="87">
        <v>10704.8</v>
      </c>
      <c r="H1706" s="59"/>
      <c r="I1706" s="5"/>
      <c r="J1706" s="5"/>
      <c r="K1706" s="5"/>
      <c r="L1706" s="59"/>
    </row>
    <row r="1707" customHeight="1" spans="6:12">
      <c r="F1707" s="86">
        <v>43726</v>
      </c>
      <c r="G1707" s="87">
        <v>10840.65</v>
      </c>
      <c r="H1707" s="59"/>
      <c r="I1707" s="5"/>
      <c r="J1707" s="5"/>
      <c r="K1707" s="5"/>
      <c r="L1707" s="59"/>
    </row>
    <row r="1708" customHeight="1" spans="6:12">
      <c r="F1708" s="86">
        <v>43725</v>
      </c>
      <c r="G1708" s="87">
        <v>10817.6</v>
      </c>
      <c r="H1708" s="59"/>
      <c r="I1708" s="5"/>
      <c r="J1708" s="5"/>
      <c r="K1708" s="5"/>
      <c r="L1708" s="59"/>
    </row>
    <row r="1709" customHeight="1" spans="6:12">
      <c r="F1709" s="86">
        <v>43724</v>
      </c>
      <c r="G1709" s="87">
        <v>11003.5</v>
      </c>
      <c r="H1709" s="59"/>
      <c r="I1709" s="5"/>
      <c r="J1709" s="5"/>
      <c r="K1709" s="5"/>
      <c r="L1709" s="59"/>
    </row>
    <row r="1710" customHeight="1" spans="6:12">
      <c r="F1710" s="86">
        <v>43721</v>
      </c>
      <c r="G1710" s="87">
        <v>11075.9</v>
      </c>
      <c r="H1710" s="59"/>
      <c r="I1710" s="5"/>
      <c r="J1710" s="5"/>
      <c r="K1710" s="5"/>
      <c r="L1710" s="59"/>
    </row>
    <row r="1711" customHeight="1" spans="6:12">
      <c r="F1711" s="86">
        <v>43720</v>
      </c>
      <c r="G1711" s="87">
        <v>10982.8</v>
      </c>
      <c r="H1711" s="59"/>
      <c r="I1711" s="5"/>
      <c r="J1711" s="5"/>
      <c r="K1711" s="5"/>
      <c r="L1711" s="59"/>
    </row>
    <row r="1712" customHeight="1" spans="6:12">
      <c r="F1712" s="86">
        <v>43719</v>
      </c>
      <c r="G1712" s="87">
        <v>11035.7</v>
      </c>
      <c r="H1712" s="59"/>
      <c r="I1712" s="5"/>
      <c r="J1712" s="5"/>
      <c r="K1712" s="5"/>
      <c r="L1712" s="59"/>
    </row>
    <row r="1713" customHeight="1" spans="6:12">
      <c r="F1713" s="86">
        <v>43717</v>
      </c>
      <c r="G1713" s="87">
        <v>11003.05</v>
      </c>
      <c r="H1713" s="59"/>
      <c r="I1713" s="5"/>
      <c r="J1713" s="5"/>
      <c r="K1713" s="5"/>
      <c r="L1713" s="59"/>
    </row>
    <row r="1714" customHeight="1" spans="6:12">
      <c r="F1714" s="86">
        <v>43714</v>
      </c>
      <c r="G1714" s="87">
        <v>10946.2</v>
      </c>
      <c r="H1714" s="59"/>
      <c r="I1714" s="5"/>
      <c r="J1714" s="5"/>
      <c r="K1714" s="5"/>
      <c r="L1714" s="59"/>
    </row>
    <row r="1715" customHeight="1" spans="6:12">
      <c r="F1715" s="86">
        <v>43713</v>
      </c>
      <c r="G1715" s="87">
        <v>10847.9</v>
      </c>
      <c r="H1715" s="59"/>
      <c r="I1715" s="5"/>
      <c r="J1715" s="5"/>
      <c r="K1715" s="5"/>
      <c r="L1715" s="59"/>
    </row>
    <row r="1716" customHeight="1" spans="6:12">
      <c r="F1716" s="86">
        <v>43712</v>
      </c>
      <c r="G1716" s="87">
        <v>10844.65</v>
      </c>
      <c r="H1716" s="59"/>
      <c r="I1716" s="5"/>
      <c r="J1716" s="5"/>
      <c r="K1716" s="5"/>
      <c r="L1716" s="59"/>
    </row>
    <row r="1717" customHeight="1" spans="6:12">
      <c r="F1717" s="86">
        <v>43711</v>
      </c>
      <c r="G1717" s="87">
        <v>10797.9</v>
      </c>
      <c r="H1717" s="59"/>
      <c r="I1717" s="5"/>
      <c r="J1717" s="5"/>
      <c r="K1717" s="5"/>
      <c r="L1717" s="59"/>
    </row>
    <row r="1718" customHeight="1" spans="6:12">
      <c r="F1718" s="86">
        <v>43707</v>
      </c>
      <c r="G1718" s="87">
        <v>11023.25</v>
      </c>
      <c r="H1718" s="59"/>
      <c r="I1718" s="5"/>
      <c r="J1718" s="5"/>
      <c r="K1718" s="5"/>
      <c r="L1718" s="59"/>
    </row>
    <row r="1719" customHeight="1" spans="6:12">
      <c r="F1719" s="86">
        <v>43706</v>
      </c>
      <c r="G1719" s="87">
        <v>10948.3</v>
      </c>
      <c r="H1719" s="59"/>
      <c r="I1719" s="5"/>
      <c r="J1719" s="5"/>
      <c r="K1719" s="5"/>
      <c r="L1719" s="59"/>
    </row>
    <row r="1720" customHeight="1" spans="6:12">
      <c r="F1720" s="86">
        <v>43705</v>
      </c>
      <c r="G1720" s="87">
        <v>11046.1</v>
      </c>
      <c r="H1720" s="59"/>
      <c r="I1720" s="5"/>
      <c r="J1720" s="5"/>
      <c r="K1720" s="5"/>
      <c r="L1720" s="59"/>
    </row>
    <row r="1721" customHeight="1" spans="6:12">
      <c r="F1721" s="86">
        <v>43704</v>
      </c>
      <c r="G1721" s="87">
        <v>11105.35</v>
      </c>
      <c r="H1721" s="59"/>
      <c r="I1721" s="5"/>
      <c r="J1721" s="5"/>
      <c r="K1721" s="5"/>
      <c r="L1721" s="59"/>
    </row>
    <row r="1722" customHeight="1" spans="6:12">
      <c r="F1722" s="86">
        <v>43703</v>
      </c>
      <c r="G1722" s="87">
        <v>11057.85</v>
      </c>
      <c r="H1722" s="59"/>
      <c r="I1722" s="5"/>
      <c r="J1722" s="5"/>
      <c r="K1722" s="5"/>
      <c r="L1722" s="59"/>
    </row>
    <row r="1723" customHeight="1" spans="6:12">
      <c r="F1723" s="86">
        <v>43700</v>
      </c>
      <c r="G1723" s="87">
        <v>10829.35</v>
      </c>
      <c r="H1723" s="59"/>
      <c r="I1723" s="5"/>
      <c r="J1723" s="5"/>
      <c r="K1723" s="5"/>
      <c r="L1723" s="59"/>
    </row>
    <row r="1724" customHeight="1" spans="6:12">
      <c r="F1724" s="86">
        <v>43699</v>
      </c>
      <c r="G1724" s="87">
        <v>10741.35</v>
      </c>
      <c r="H1724" s="59"/>
      <c r="I1724" s="5"/>
      <c r="J1724" s="5"/>
      <c r="K1724" s="5"/>
      <c r="L1724" s="59"/>
    </row>
    <row r="1725" customHeight="1" spans="6:12">
      <c r="F1725" s="86">
        <v>43698</v>
      </c>
      <c r="G1725" s="87">
        <v>10918.7</v>
      </c>
      <c r="H1725" s="59"/>
      <c r="I1725" s="5"/>
      <c r="J1725" s="5"/>
      <c r="K1725" s="5"/>
      <c r="L1725" s="59"/>
    </row>
    <row r="1726" customHeight="1" spans="6:12">
      <c r="F1726" s="86">
        <v>43697</v>
      </c>
      <c r="G1726" s="87">
        <v>11017</v>
      </c>
      <c r="H1726" s="59"/>
      <c r="I1726" s="5"/>
      <c r="J1726" s="5"/>
      <c r="K1726" s="5"/>
      <c r="L1726" s="59"/>
    </row>
    <row r="1727" customHeight="1" spans="6:12">
      <c r="F1727" s="86">
        <v>43696</v>
      </c>
      <c r="G1727" s="87">
        <v>11053.9</v>
      </c>
      <c r="H1727" s="59"/>
      <c r="I1727" s="5"/>
      <c r="J1727" s="5"/>
      <c r="K1727" s="5"/>
      <c r="L1727" s="59"/>
    </row>
    <row r="1728" customHeight="1" spans="6:12">
      <c r="F1728" s="86">
        <v>43693</v>
      </c>
      <c r="G1728" s="87">
        <v>11047.8</v>
      </c>
      <c r="H1728" s="59"/>
      <c r="I1728" s="5"/>
      <c r="J1728" s="5"/>
      <c r="K1728" s="5"/>
      <c r="L1728" s="59"/>
    </row>
    <row r="1729" customHeight="1" spans="6:12">
      <c r="F1729" s="86">
        <v>43691</v>
      </c>
      <c r="G1729" s="87">
        <v>11029.4</v>
      </c>
      <c r="H1729" s="59"/>
      <c r="I1729" s="5"/>
      <c r="J1729" s="5"/>
      <c r="K1729" s="5"/>
      <c r="L1729" s="59"/>
    </row>
    <row r="1730" customHeight="1" spans="6:12">
      <c r="F1730" s="86">
        <v>43690</v>
      </c>
      <c r="G1730" s="87">
        <v>10925.85</v>
      </c>
      <c r="H1730" s="59"/>
      <c r="I1730" s="5"/>
      <c r="J1730" s="5"/>
      <c r="K1730" s="5"/>
      <c r="L1730" s="59"/>
    </row>
    <row r="1731" customHeight="1" spans="6:12">
      <c r="F1731" s="86">
        <v>43686</v>
      </c>
      <c r="G1731" s="87">
        <v>11109.65</v>
      </c>
      <c r="H1731" s="59"/>
      <c r="I1731" s="5"/>
      <c r="J1731" s="5"/>
      <c r="K1731" s="5"/>
      <c r="L1731" s="59"/>
    </row>
    <row r="1732" customHeight="1" spans="6:12">
      <c r="F1732" s="86">
        <v>43685</v>
      </c>
      <c r="G1732" s="87">
        <v>11032.45</v>
      </c>
      <c r="H1732" s="59"/>
      <c r="I1732" s="5"/>
      <c r="J1732" s="5"/>
      <c r="K1732" s="5"/>
      <c r="L1732" s="59"/>
    </row>
    <row r="1733" customHeight="1" spans="6:12">
      <c r="F1733" s="86">
        <v>43684</v>
      </c>
      <c r="G1733" s="87">
        <v>10855.5</v>
      </c>
      <c r="H1733" s="59"/>
      <c r="I1733" s="5"/>
      <c r="J1733" s="5"/>
      <c r="K1733" s="5"/>
      <c r="L1733" s="59"/>
    </row>
    <row r="1734" customHeight="1" spans="6:12">
      <c r="F1734" s="86">
        <v>43683</v>
      </c>
      <c r="G1734" s="87">
        <v>10948.25</v>
      </c>
      <c r="H1734" s="59"/>
      <c r="I1734" s="5"/>
      <c r="J1734" s="5"/>
      <c r="K1734" s="5"/>
      <c r="L1734" s="59"/>
    </row>
    <row r="1735" customHeight="1" spans="6:12">
      <c r="F1735" s="86">
        <v>43682</v>
      </c>
      <c r="G1735" s="87">
        <v>10862.6</v>
      </c>
      <c r="H1735" s="59"/>
      <c r="I1735" s="5"/>
      <c r="J1735" s="5"/>
      <c r="K1735" s="5"/>
      <c r="L1735" s="59"/>
    </row>
    <row r="1736" customHeight="1" spans="6:12">
      <c r="F1736" s="86">
        <v>43679</v>
      </c>
      <c r="G1736" s="87">
        <v>10997.35</v>
      </c>
      <c r="H1736" s="59"/>
      <c r="I1736" s="5"/>
      <c r="J1736" s="5"/>
      <c r="K1736" s="5"/>
      <c r="L1736" s="59"/>
    </row>
    <row r="1737" customHeight="1" spans="6:12">
      <c r="F1737" s="86">
        <v>43678</v>
      </c>
      <c r="G1737" s="87">
        <v>10980</v>
      </c>
      <c r="H1737" s="59"/>
      <c r="I1737" s="5"/>
      <c r="J1737" s="5"/>
      <c r="K1737" s="5"/>
      <c r="L1737" s="59"/>
    </row>
    <row r="1738" customHeight="1" spans="6:12">
      <c r="F1738" s="86">
        <v>43677</v>
      </c>
      <c r="G1738" s="87">
        <v>11118</v>
      </c>
      <c r="H1738" s="59"/>
      <c r="I1738" s="5"/>
      <c r="J1738" s="5"/>
      <c r="K1738" s="5"/>
      <c r="L1738" s="59"/>
    </row>
    <row r="1739" customHeight="1" spans="6:12">
      <c r="F1739" s="86">
        <v>43676</v>
      </c>
      <c r="G1739" s="87">
        <v>11085.4</v>
      </c>
      <c r="H1739" s="59"/>
      <c r="I1739" s="5"/>
      <c r="J1739" s="5"/>
      <c r="K1739" s="5"/>
      <c r="L1739" s="59"/>
    </row>
    <row r="1740" customHeight="1" spans="6:12">
      <c r="F1740" s="86">
        <v>43675</v>
      </c>
      <c r="G1740" s="87">
        <v>11189.2</v>
      </c>
      <c r="H1740" s="59"/>
      <c r="I1740" s="5"/>
      <c r="J1740" s="5"/>
      <c r="K1740" s="5"/>
      <c r="L1740" s="59"/>
    </row>
    <row r="1741" customHeight="1" spans="6:12">
      <c r="F1741" s="86">
        <v>43672</v>
      </c>
      <c r="G1741" s="87">
        <v>11284.3</v>
      </c>
      <c r="H1741" s="59"/>
      <c r="I1741" s="5"/>
      <c r="J1741" s="5"/>
      <c r="K1741" s="5"/>
      <c r="L1741" s="59"/>
    </row>
    <row r="1742" customHeight="1" spans="6:12">
      <c r="F1742" s="86">
        <v>43671</v>
      </c>
      <c r="G1742" s="87">
        <v>11252.15</v>
      </c>
      <c r="H1742" s="59"/>
      <c r="I1742" s="5"/>
      <c r="J1742" s="5"/>
      <c r="K1742" s="5"/>
      <c r="L1742" s="59"/>
    </row>
    <row r="1743" customHeight="1" spans="6:12">
      <c r="F1743" s="86">
        <v>43670</v>
      </c>
      <c r="G1743" s="87">
        <v>11271.3</v>
      </c>
      <c r="H1743" s="59"/>
      <c r="I1743" s="5"/>
      <c r="J1743" s="5"/>
      <c r="K1743" s="5"/>
      <c r="L1743" s="59"/>
    </row>
    <row r="1744" customHeight="1" spans="6:12">
      <c r="F1744" s="86">
        <v>43669</v>
      </c>
      <c r="G1744" s="87">
        <v>11331.05</v>
      </c>
      <c r="H1744" s="59"/>
      <c r="I1744" s="5"/>
      <c r="J1744" s="5"/>
      <c r="K1744" s="5"/>
      <c r="L1744" s="59"/>
    </row>
    <row r="1745" customHeight="1" spans="6:12">
      <c r="F1745" s="86">
        <v>43668</v>
      </c>
      <c r="G1745" s="87">
        <v>11346.2</v>
      </c>
      <c r="H1745" s="59"/>
      <c r="I1745" s="5"/>
      <c r="J1745" s="5"/>
      <c r="K1745" s="5"/>
      <c r="L1745" s="59"/>
    </row>
    <row r="1746" customHeight="1" spans="6:12">
      <c r="F1746" s="86">
        <v>43665</v>
      </c>
      <c r="G1746" s="87">
        <v>11419.25</v>
      </c>
      <c r="H1746" s="59"/>
      <c r="I1746" s="5"/>
      <c r="J1746" s="5"/>
      <c r="K1746" s="5"/>
      <c r="L1746" s="59"/>
    </row>
    <row r="1747" customHeight="1" spans="6:12">
      <c r="F1747" s="86">
        <v>43664</v>
      </c>
      <c r="G1747" s="87">
        <v>11596.9</v>
      </c>
      <c r="H1747" s="59"/>
      <c r="I1747" s="5"/>
      <c r="J1747" s="5"/>
      <c r="K1747" s="5"/>
      <c r="L1747" s="59"/>
    </row>
    <row r="1748" customHeight="1" spans="6:12">
      <c r="F1748" s="86">
        <v>43663</v>
      </c>
      <c r="G1748" s="87">
        <v>11687.5</v>
      </c>
      <c r="H1748" s="59"/>
      <c r="I1748" s="5"/>
      <c r="J1748" s="5"/>
      <c r="K1748" s="5"/>
      <c r="L1748" s="59"/>
    </row>
    <row r="1749" customHeight="1" spans="6:12">
      <c r="F1749" s="86">
        <v>43662</v>
      </c>
      <c r="G1749" s="87">
        <v>11662.6</v>
      </c>
      <c r="H1749" s="59"/>
      <c r="I1749" s="5"/>
      <c r="J1749" s="5"/>
      <c r="K1749" s="5"/>
      <c r="L1749" s="59"/>
    </row>
    <row r="1750" customHeight="1" spans="6:12">
      <c r="F1750" s="86">
        <v>43661</v>
      </c>
      <c r="G1750" s="87">
        <v>11588.35</v>
      </c>
      <c r="H1750" s="59"/>
      <c r="I1750" s="5"/>
      <c r="J1750" s="5"/>
      <c r="K1750" s="5"/>
      <c r="L1750" s="59"/>
    </row>
    <row r="1751" customHeight="1" spans="6:12">
      <c r="F1751" s="86">
        <v>43658</v>
      </c>
      <c r="G1751" s="87">
        <v>11552.5</v>
      </c>
      <c r="H1751" s="59"/>
      <c r="I1751" s="5"/>
      <c r="J1751" s="5"/>
      <c r="K1751" s="5"/>
      <c r="L1751" s="59"/>
    </row>
    <row r="1752" customHeight="1" spans="6:12">
      <c r="F1752" s="86">
        <v>43657</v>
      </c>
      <c r="G1752" s="87">
        <v>11582.9</v>
      </c>
      <c r="H1752" s="59"/>
      <c r="I1752" s="5"/>
      <c r="J1752" s="5"/>
      <c r="K1752" s="5"/>
      <c r="L1752" s="59"/>
    </row>
    <row r="1753" customHeight="1" spans="6:12">
      <c r="F1753" s="86">
        <v>43656</v>
      </c>
      <c r="G1753" s="87">
        <v>11498.9</v>
      </c>
      <c r="H1753" s="59"/>
      <c r="I1753" s="5"/>
      <c r="J1753" s="5"/>
      <c r="K1753" s="5"/>
      <c r="L1753" s="59"/>
    </row>
    <row r="1754" customHeight="1" spans="6:12">
      <c r="F1754" s="86">
        <v>43655</v>
      </c>
      <c r="G1754" s="87">
        <v>11555.9</v>
      </c>
      <c r="H1754" s="59"/>
      <c r="I1754" s="5"/>
      <c r="J1754" s="5"/>
      <c r="K1754" s="5"/>
      <c r="L1754" s="59"/>
    </row>
    <row r="1755" customHeight="1" spans="6:12">
      <c r="F1755" s="86">
        <v>43654</v>
      </c>
      <c r="G1755" s="87">
        <v>11558.6</v>
      </c>
      <c r="H1755" s="59"/>
      <c r="I1755" s="5"/>
      <c r="J1755" s="5"/>
      <c r="K1755" s="5"/>
      <c r="L1755" s="59"/>
    </row>
    <row r="1756" customHeight="1" spans="6:12">
      <c r="F1756" s="86">
        <v>43651</v>
      </c>
      <c r="G1756" s="87">
        <v>11811.15</v>
      </c>
      <c r="H1756" s="59"/>
      <c r="I1756" s="5"/>
      <c r="J1756" s="5"/>
      <c r="K1756" s="5"/>
      <c r="L1756" s="59"/>
    </row>
    <row r="1757" customHeight="1" spans="6:12">
      <c r="F1757" s="86">
        <v>43650</v>
      </c>
      <c r="G1757" s="87">
        <v>11946.75</v>
      </c>
      <c r="H1757" s="59"/>
      <c r="I1757" s="5"/>
      <c r="J1757" s="5"/>
      <c r="K1757" s="5"/>
      <c r="L1757" s="59"/>
    </row>
    <row r="1758" customHeight="1" spans="6:12">
      <c r="F1758" s="86">
        <v>43649</v>
      </c>
      <c r="G1758" s="87">
        <v>11916.75</v>
      </c>
      <c r="H1758" s="59"/>
      <c r="I1758" s="5"/>
      <c r="J1758" s="5"/>
      <c r="K1758" s="5"/>
      <c r="L1758" s="59"/>
    </row>
    <row r="1759" customHeight="1" spans="6:12">
      <c r="F1759" s="86">
        <v>43648</v>
      </c>
      <c r="G1759" s="87">
        <v>11910.3</v>
      </c>
      <c r="H1759" s="59"/>
      <c r="I1759" s="5"/>
      <c r="J1759" s="5"/>
      <c r="K1759" s="5"/>
      <c r="L1759" s="59"/>
    </row>
    <row r="1760" customHeight="1" spans="6:12">
      <c r="F1760" s="86">
        <v>43647</v>
      </c>
      <c r="G1760" s="87">
        <v>11865.6</v>
      </c>
      <c r="H1760" s="59"/>
      <c r="I1760" s="5"/>
      <c r="J1760" s="5"/>
      <c r="K1760" s="5"/>
      <c r="L1760" s="59"/>
    </row>
    <row r="1761" customHeight="1" spans="6:12">
      <c r="F1761" s="86">
        <v>43644</v>
      </c>
      <c r="G1761" s="87">
        <v>11788.85</v>
      </c>
      <c r="H1761" s="59"/>
      <c r="I1761" s="5"/>
      <c r="J1761" s="5"/>
      <c r="K1761" s="5"/>
      <c r="L1761" s="59"/>
    </row>
    <row r="1762" customHeight="1" spans="6:12">
      <c r="F1762" s="86">
        <v>43643</v>
      </c>
      <c r="G1762" s="87">
        <v>11841.55</v>
      </c>
      <c r="H1762" s="59"/>
      <c r="I1762" s="5"/>
      <c r="J1762" s="5"/>
      <c r="K1762" s="5"/>
      <c r="L1762" s="59"/>
    </row>
    <row r="1763" customHeight="1" spans="6:12">
      <c r="F1763" s="86">
        <v>43642</v>
      </c>
      <c r="G1763" s="87">
        <v>11847.55</v>
      </c>
      <c r="H1763" s="59"/>
      <c r="I1763" s="5"/>
      <c r="J1763" s="5"/>
      <c r="K1763" s="5"/>
      <c r="L1763" s="59"/>
    </row>
    <row r="1764" customHeight="1" spans="6:12">
      <c r="F1764" s="86">
        <v>43641</v>
      </c>
      <c r="G1764" s="87">
        <v>11796.45</v>
      </c>
      <c r="H1764" s="59"/>
      <c r="I1764" s="5"/>
      <c r="J1764" s="5"/>
      <c r="K1764" s="5"/>
      <c r="L1764" s="59"/>
    </row>
    <row r="1765" customHeight="1" spans="6:12">
      <c r="F1765" s="86">
        <v>43640</v>
      </c>
      <c r="G1765" s="87">
        <v>11699.65</v>
      </c>
      <c r="H1765" s="59"/>
      <c r="I1765" s="5"/>
      <c r="J1765" s="5"/>
      <c r="K1765" s="5"/>
      <c r="L1765" s="59"/>
    </row>
    <row r="1766" customHeight="1" spans="6:12">
      <c r="F1766" s="86">
        <v>43637</v>
      </c>
      <c r="G1766" s="87">
        <v>11724.1</v>
      </c>
      <c r="H1766" s="59"/>
      <c r="I1766" s="5"/>
      <c r="J1766" s="5"/>
      <c r="K1766" s="5"/>
      <c r="L1766" s="59"/>
    </row>
    <row r="1767" customHeight="1" spans="6:12">
      <c r="F1767" s="86">
        <v>43636</v>
      </c>
      <c r="G1767" s="87">
        <v>11831.75</v>
      </c>
      <c r="H1767" s="59"/>
      <c r="I1767" s="5"/>
      <c r="J1767" s="5"/>
      <c r="K1767" s="5"/>
      <c r="L1767" s="59"/>
    </row>
    <row r="1768" customHeight="1" spans="6:12">
      <c r="F1768" s="86">
        <v>43635</v>
      </c>
      <c r="G1768" s="87">
        <v>11691.45</v>
      </c>
      <c r="H1768" s="59"/>
      <c r="I1768" s="5"/>
      <c r="J1768" s="5"/>
      <c r="K1768" s="5"/>
      <c r="L1768" s="59"/>
    </row>
    <row r="1769" customHeight="1" spans="6:12">
      <c r="F1769" s="86">
        <v>43634</v>
      </c>
      <c r="G1769" s="87">
        <v>11691.5</v>
      </c>
      <c r="H1769" s="59"/>
      <c r="I1769" s="5"/>
      <c r="J1769" s="5"/>
      <c r="K1769" s="5"/>
      <c r="L1769" s="59"/>
    </row>
    <row r="1770" customHeight="1" spans="6:12">
      <c r="F1770" s="86">
        <v>43633</v>
      </c>
      <c r="G1770" s="87">
        <v>11672.15</v>
      </c>
      <c r="H1770" s="59"/>
      <c r="I1770" s="5"/>
      <c r="J1770" s="5"/>
      <c r="K1770" s="5"/>
      <c r="L1770" s="59"/>
    </row>
    <row r="1771" customHeight="1" spans="6:12">
      <c r="F1771" s="86">
        <v>43630</v>
      </c>
      <c r="G1771" s="87">
        <v>11823.3</v>
      </c>
      <c r="H1771" s="59"/>
      <c r="I1771" s="5"/>
      <c r="J1771" s="5"/>
      <c r="K1771" s="5"/>
      <c r="L1771" s="59"/>
    </row>
    <row r="1772" customHeight="1" spans="6:12">
      <c r="F1772" s="86">
        <v>43629</v>
      </c>
      <c r="G1772" s="87">
        <v>11914.05</v>
      </c>
      <c r="H1772" s="59"/>
      <c r="I1772" s="5"/>
      <c r="J1772" s="5"/>
      <c r="K1772" s="5"/>
      <c r="L1772" s="59"/>
    </row>
    <row r="1773" customHeight="1" spans="6:12">
      <c r="F1773" s="86">
        <v>43628</v>
      </c>
      <c r="G1773" s="87">
        <v>11906.2</v>
      </c>
      <c r="H1773" s="59"/>
      <c r="I1773" s="5"/>
      <c r="J1773" s="5"/>
      <c r="K1773" s="5"/>
      <c r="L1773" s="59"/>
    </row>
    <row r="1774" customHeight="1" spans="6:12">
      <c r="F1774" s="86">
        <v>43627</v>
      </c>
      <c r="G1774" s="87">
        <v>11965.6</v>
      </c>
      <c r="H1774" s="59"/>
      <c r="I1774" s="5"/>
      <c r="J1774" s="5"/>
      <c r="K1774" s="5"/>
      <c r="L1774" s="59"/>
    </row>
    <row r="1775" customHeight="1" spans="6:12">
      <c r="F1775" s="86">
        <v>43626</v>
      </c>
      <c r="G1775" s="87">
        <v>11922.7</v>
      </c>
      <c r="H1775" s="59"/>
      <c r="I1775" s="5"/>
      <c r="J1775" s="5"/>
      <c r="K1775" s="5"/>
      <c r="L1775" s="59"/>
    </row>
    <row r="1776" customHeight="1" spans="6:12">
      <c r="F1776" s="86">
        <v>43623</v>
      </c>
      <c r="G1776" s="87">
        <v>11870.65</v>
      </c>
      <c r="H1776" s="59"/>
      <c r="I1776" s="5"/>
      <c r="J1776" s="5"/>
      <c r="K1776" s="5"/>
      <c r="L1776" s="59"/>
    </row>
    <row r="1777" customHeight="1" spans="6:12">
      <c r="F1777" s="86">
        <v>43622</v>
      </c>
      <c r="G1777" s="87">
        <v>11843.75</v>
      </c>
      <c r="H1777" s="59"/>
      <c r="I1777" s="5"/>
      <c r="J1777" s="5"/>
      <c r="K1777" s="5"/>
      <c r="L1777" s="59"/>
    </row>
    <row r="1778" customHeight="1" spans="6:12">
      <c r="F1778" s="86">
        <v>43620</v>
      </c>
      <c r="G1778" s="87">
        <v>12021.65</v>
      </c>
      <c r="H1778" s="59"/>
      <c r="I1778" s="5"/>
      <c r="J1778" s="5"/>
      <c r="K1778" s="5"/>
      <c r="L1778" s="59"/>
    </row>
    <row r="1779" customHeight="1" spans="6:12">
      <c r="F1779" s="86">
        <v>43619</v>
      </c>
      <c r="G1779" s="87">
        <v>12088.55</v>
      </c>
      <c r="H1779" s="59"/>
      <c r="I1779" s="5"/>
      <c r="J1779" s="5"/>
      <c r="K1779" s="5"/>
      <c r="L1779" s="59"/>
    </row>
    <row r="1780" customHeight="1" spans="6:12">
      <c r="F1780" s="86">
        <v>43616</v>
      </c>
      <c r="G1780" s="87">
        <v>11922.8</v>
      </c>
      <c r="H1780" s="59"/>
      <c r="I1780" s="5"/>
      <c r="J1780" s="5"/>
      <c r="K1780" s="5"/>
      <c r="L1780" s="59"/>
    </row>
    <row r="1781" customHeight="1" spans="6:12">
      <c r="F1781" s="86">
        <v>43615</v>
      </c>
      <c r="G1781" s="87">
        <v>11945.9</v>
      </c>
      <c r="H1781" s="59"/>
      <c r="I1781" s="5"/>
      <c r="J1781" s="5"/>
      <c r="K1781" s="5"/>
      <c r="L1781" s="59"/>
    </row>
    <row r="1782" customHeight="1" spans="6:12">
      <c r="F1782" s="86">
        <v>43614</v>
      </c>
      <c r="G1782" s="87">
        <v>11861.1</v>
      </c>
      <c r="H1782" s="59"/>
      <c r="I1782" s="5"/>
      <c r="J1782" s="5"/>
      <c r="K1782" s="5"/>
      <c r="L1782" s="59"/>
    </row>
    <row r="1783" customHeight="1" spans="6:12">
      <c r="F1783" s="86">
        <v>43613</v>
      </c>
      <c r="G1783" s="87">
        <v>11928.75</v>
      </c>
      <c r="H1783" s="59"/>
      <c r="I1783" s="5"/>
      <c r="J1783" s="5"/>
      <c r="K1783" s="5"/>
      <c r="L1783" s="59"/>
    </row>
    <row r="1784" customHeight="1" spans="6:12">
      <c r="F1784" s="86">
        <v>43612</v>
      </c>
      <c r="G1784" s="87">
        <v>11924.75</v>
      </c>
      <c r="H1784" s="59"/>
      <c r="I1784" s="5"/>
      <c r="J1784" s="5"/>
      <c r="K1784" s="5"/>
      <c r="L1784" s="59"/>
    </row>
    <row r="1785" customHeight="1" spans="6:12">
      <c r="F1785" s="86">
        <v>43609</v>
      </c>
      <c r="G1785" s="87">
        <v>11844.1</v>
      </c>
      <c r="H1785" s="59"/>
      <c r="I1785" s="5"/>
      <c r="J1785" s="5"/>
      <c r="K1785" s="5"/>
      <c r="L1785" s="59"/>
    </row>
    <row r="1786" customHeight="1" spans="6:12">
      <c r="F1786" s="86">
        <v>43608</v>
      </c>
      <c r="G1786" s="87">
        <v>11657.05</v>
      </c>
      <c r="H1786" s="59"/>
      <c r="I1786" s="5"/>
      <c r="J1786" s="5"/>
      <c r="K1786" s="5"/>
      <c r="L1786" s="59"/>
    </row>
    <row r="1787" customHeight="1" spans="6:12">
      <c r="F1787" s="86">
        <v>43607</v>
      </c>
      <c r="G1787" s="87">
        <v>11737.9</v>
      </c>
      <c r="H1787" s="59"/>
      <c r="I1787" s="5"/>
      <c r="J1787" s="5"/>
      <c r="K1787" s="5"/>
      <c r="L1787" s="59"/>
    </row>
    <row r="1788" customHeight="1" spans="6:12">
      <c r="F1788" s="86">
        <v>43606</v>
      </c>
      <c r="G1788" s="87">
        <v>11709.1</v>
      </c>
      <c r="H1788" s="59"/>
      <c r="I1788" s="5"/>
      <c r="J1788" s="5"/>
      <c r="K1788" s="5"/>
      <c r="L1788" s="59"/>
    </row>
    <row r="1789" customHeight="1" spans="6:12">
      <c r="F1789" s="86">
        <v>43605</v>
      </c>
      <c r="G1789" s="87">
        <v>11828.25</v>
      </c>
      <c r="H1789" s="59"/>
      <c r="I1789" s="5"/>
      <c r="J1789" s="5"/>
      <c r="K1789" s="5"/>
      <c r="L1789" s="59"/>
    </row>
    <row r="1790" customHeight="1" spans="6:12">
      <c r="F1790" s="86">
        <v>43602</v>
      </c>
      <c r="G1790" s="87">
        <v>11407.15</v>
      </c>
      <c r="H1790" s="59"/>
      <c r="I1790" s="5"/>
      <c r="J1790" s="5"/>
      <c r="K1790" s="5"/>
      <c r="L1790" s="59"/>
    </row>
    <row r="1791" customHeight="1" spans="6:12">
      <c r="F1791" s="86">
        <v>43601</v>
      </c>
      <c r="G1791" s="87">
        <v>11257.1</v>
      </c>
      <c r="H1791" s="59"/>
      <c r="I1791" s="5"/>
      <c r="J1791" s="5"/>
      <c r="K1791" s="5"/>
      <c r="L1791" s="59"/>
    </row>
    <row r="1792" customHeight="1" spans="6:12">
      <c r="F1792" s="86">
        <v>43600</v>
      </c>
      <c r="G1792" s="87">
        <v>11157</v>
      </c>
      <c r="H1792" s="59"/>
      <c r="I1792" s="5"/>
      <c r="J1792" s="5"/>
      <c r="K1792" s="5"/>
      <c r="L1792" s="59"/>
    </row>
    <row r="1793" customHeight="1" spans="6:12">
      <c r="F1793" s="86">
        <v>43599</v>
      </c>
      <c r="G1793" s="87">
        <v>11222.05</v>
      </c>
      <c r="H1793" s="59"/>
      <c r="I1793" s="5"/>
      <c r="J1793" s="5"/>
      <c r="K1793" s="5"/>
      <c r="L1793" s="59"/>
    </row>
    <row r="1794" customHeight="1" spans="6:12">
      <c r="F1794" s="86">
        <v>43598</v>
      </c>
      <c r="G1794" s="87">
        <v>11148.2</v>
      </c>
      <c r="H1794" s="59"/>
      <c r="I1794" s="5"/>
      <c r="J1794" s="5"/>
      <c r="K1794" s="5"/>
      <c r="L1794" s="59"/>
    </row>
    <row r="1795" customHeight="1" spans="6:12">
      <c r="F1795" s="86">
        <v>43595</v>
      </c>
      <c r="G1795" s="87">
        <v>11278.9</v>
      </c>
      <c r="H1795" s="59"/>
      <c r="I1795" s="5"/>
      <c r="J1795" s="5"/>
      <c r="K1795" s="5"/>
      <c r="L1795" s="59"/>
    </row>
    <row r="1796" customHeight="1" spans="6:12">
      <c r="F1796" s="86">
        <v>43594</v>
      </c>
      <c r="G1796" s="87">
        <v>11301.8</v>
      </c>
      <c r="H1796" s="59"/>
      <c r="I1796" s="5"/>
      <c r="J1796" s="5"/>
      <c r="K1796" s="5"/>
      <c r="L1796" s="59"/>
    </row>
    <row r="1797" customHeight="1" spans="6:12">
      <c r="F1797" s="86">
        <v>43593</v>
      </c>
      <c r="G1797" s="87">
        <v>11359.45</v>
      </c>
      <c r="H1797" s="59"/>
      <c r="I1797" s="5"/>
      <c r="J1797" s="5"/>
      <c r="K1797" s="5"/>
      <c r="L1797" s="59"/>
    </row>
    <row r="1798" customHeight="1" spans="6:12">
      <c r="F1798" s="86">
        <v>43592</v>
      </c>
      <c r="G1798" s="87">
        <v>11497.9</v>
      </c>
      <c r="H1798" s="59"/>
      <c r="I1798" s="5"/>
      <c r="J1798" s="5"/>
      <c r="K1798" s="5"/>
      <c r="L1798" s="59"/>
    </row>
    <row r="1799" customHeight="1" spans="6:12">
      <c r="F1799" s="86">
        <v>43591</v>
      </c>
      <c r="G1799" s="87">
        <v>11598.25</v>
      </c>
      <c r="H1799" s="59"/>
      <c r="I1799" s="5"/>
      <c r="J1799" s="5"/>
      <c r="K1799" s="5"/>
      <c r="L1799" s="59"/>
    </row>
    <row r="1800" customHeight="1" spans="6:12">
      <c r="F1800" s="86">
        <v>43588</v>
      </c>
      <c r="G1800" s="87">
        <v>11712.25</v>
      </c>
      <c r="H1800" s="59"/>
      <c r="I1800" s="5"/>
      <c r="J1800" s="5"/>
      <c r="K1800" s="5"/>
      <c r="L1800" s="59"/>
    </row>
    <row r="1801" customHeight="1" spans="6:12">
      <c r="F1801" s="86">
        <v>43587</v>
      </c>
      <c r="G1801" s="87">
        <v>11724.75</v>
      </c>
      <c r="H1801" s="59"/>
      <c r="I1801" s="5"/>
      <c r="J1801" s="5"/>
      <c r="K1801" s="5"/>
      <c r="L1801" s="59"/>
    </row>
    <row r="1802" customHeight="1" spans="6:12">
      <c r="F1802" s="86">
        <v>43585</v>
      </c>
      <c r="G1802" s="87">
        <v>11748.15</v>
      </c>
      <c r="H1802" s="59"/>
      <c r="I1802" s="5"/>
      <c r="J1802" s="5"/>
      <c r="K1802" s="5"/>
      <c r="L1802" s="59"/>
    </row>
    <row r="1803" customHeight="1" spans="6:12">
      <c r="F1803" s="86">
        <v>43581</v>
      </c>
      <c r="G1803" s="87">
        <v>11754.65</v>
      </c>
      <c r="H1803" s="59"/>
      <c r="I1803" s="5"/>
      <c r="J1803" s="5"/>
      <c r="K1803" s="5"/>
      <c r="L1803" s="59"/>
    </row>
    <row r="1804" customHeight="1" spans="6:12">
      <c r="F1804" s="86">
        <v>43580</v>
      </c>
      <c r="G1804" s="87">
        <v>11641.8</v>
      </c>
      <c r="H1804" s="59"/>
      <c r="I1804" s="5"/>
      <c r="J1804" s="5"/>
      <c r="K1804" s="5"/>
      <c r="L1804" s="59"/>
    </row>
    <row r="1805" customHeight="1" spans="6:12">
      <c r="F1805" s="86">
        <v>43579</v>
      </c>
      <c r="G1805" s="87">
        <v>11726.15</v>
      </c>
      <c r="H1805" s="59"/>
      <c r="I1805" s="5"/>
      <c r="J1805" s="5"/>
      <c r="K1805" s="5"/>
      <c r="L1805" s="59"/>
    </row>
    <row r="1806" customHeight="1" spans="6:12">
      <c r="F1806" s="86">
        <v>43578</v>
      </c>
      <c r="G1806" s="87">
        <v>11575.95</v>
      </c>
      <c r="H1806" s="59"/>
      <c r="I1806" s="5"/>
      <c r="J1806" s="5"/>
      <c r="K1806" s="5"/>
      <c r="L1806" s="59"/>
    </row>
    <row r="1807" customHeight="1" spans="6:12">
      <c r="F1807" s="86">
        <v>43577</v>
      </c>
      <c r="G1807" s="87">
        <v>11594.45</v>
      </c>
      <c r="H1807" s="59"/>
      <c r="I1807" s="5"/>
      <c r="J1807" s="5"/>
      <c r="K1807" s="5"/>
      <c r="L1807" s="59"/>
    </row>
    <row r="1808" customHeight="1" spans="6:12">
      <c r="F1808" s="86">
        <v>43573</v>
      </c>
      <c r="G1808" s="87">
        <v>11752.8</v>
      </c>
      <c r="H1808" s="59"/>
      <c r="I1808" s="5"/>
      <c r="J1808" s="5"/>
      <c r="K1808" s="5"/>
      <c r="L1808" s="59"/>
    </row>
    <row r="1809" customHeight="1" spans="6:12">
      <c r="F1809" s="86">
        <v>43571</v>
      </c>
      <c r="G1809" s="87">
        <v>11787.15</v>
      </c>
      <c r="H1809" s="59"/>
      <c r="I1809" s="5"/>
      <c r="J1809" s="5"/>
      <c r="K1809" s="5"/>
      <c r="L1809" s="59"/>
    </row>
    <row r="1810" customHeight="1" spans="6:12">
      <c r="F1810" s="86">
        <v>43570</v>
      </c>
      <c r="G1810" s="87">
        <v>11690.35</v>
      </c>
      <c r="H1810" s="59"/>
      <c r="I1810" s="5"/>
      <c r="J1810" s="5"/>
      <c r="K1810" s="5"/>
      <c r="L1810" s="59"/>
    </row>
    <row r="1811" customHeight="1" spans="6:12">
      <c r="F1811" s="86">
        <v>43567</v>
      </c>
      <c r="G1811" s="87">
        <v>11643.45</v>
      </c>
      <c r="H1811" s="59"/>
      <c r="I1811" s="5"/>
      <c r="J1811" s="5"/>
      <c r="K1811" s="5"/>
      <c r="L1811" s="59"/>
    </row>
    <row r="1812" customHeight="1" spans="6:12">
      <c r="F1812" s="86">
        <v>43566</v>
      </c>
      <c r="G1812" s="87">
        <v>11596.7</v>
      </c>
      <c r="H1812" s="59"/>
      <c r="I1812" s="5"/>
      <c r="J1812" s="5"/>
      <c r="K1812" s="5"/>
      <c r="L1812" s="59"/>
    </row>
    <row r="1813" customHeight="1" spans="6:12">
      <c r="F1813" s="86">
        <v>43565</v>
      </c>
      <c r="G1813" s="87">
        <v>11584.3</v>
      </c>
      <c r="H1813" s="59"/>
      <c r="I1813" s="5"/>
      <c r="J1813" s="5"/>
      <c r="K1813" s="5"/>
      <c r="L1813" s="59"/>
    </row>
    <row r="1814" customHeight="1" spans="6:12">
      <c r="F1814" s="86">
        <v>43564</v>
      </c>
      <c r="G1814" s="87">
        <v>11671.95</v>
      </c>
      <c r="H1814" s="59"/>
      <c r="I1814" s="5"/>
      <c r="J1814" s="5"/>
      <c r="K1814" s="5"/>
      <c r="L1814" s="59"/>
    </row>
    <row r="1815" customHeight="1" spans="6:12">
      <c r="F1815" s="86">
        <v>43563</v>
      </c>
      <c r="G1815" s="87">
        <v>11604.5</v>
      </c>
      <c r="H1815" s="59"/>
      <c r="I1815" s="5"/>
      <c r="J1815" s="5"/>
      <c r="K1815" s="5"/>
      <c r="L1815" s="59"/>
    </row>
    <row r="1816" customHeight="1" spans="6:12">
      <c r="F1816" s="86">
        <v>43560</v>
      </c>
      <c r="G1816" s="87">
        <v>11665.95</v>
      </c>
      <c r="H1816" s="59"/>
      <c r="I1816" s="5"/>
      <c r="J1816" s="5"/>
      <c r="K1816" s="5"/>
      <c r="L1816" s="59"/>
    </row>
    <row r="1817" customHeight="1" spans="6:12">
      <c r="F1817" s="86">
        <v>43559</v>
      </c>
      <c r="G1817" s="87">
        <v>11598</v>
      </c>
      <c r="H1817" s="59"/>
      <c r="I1817" s="5"/>
      <c r="J1817" s="5"/>
      <c r="K1817" s="5"/>
      <c r="L1817" s="59"/>
    </row>
    <row r="1818" customHeight="1" spans="6:12">
      <c r="F1818" s="86">
        <v>43558</v>
      </c>
      <c r="G1818" s="87">
        <v>11643.95</v>
      </c>
      <c r="H1818" s="59"/>
      <c r="I1818" s="5"/>
      <c r="J1818" s="5"/>
      <c r="K1818" s="5"/>
      <c r="L1818" s="59"/>
    </row>
    <row r="1819" customHeight="1" spans="6:12">
      <c r="F1819" s="86">
        <v>43557</v>
      </c>
      <c r="G1819" s="87">
        <v>11713.2</v>
      </c>
      <c r="H1819" s="59"/>
      <c r="I1819" s="5"/>
      <c r="J1819" s="5"/>
      <c r="K1819" s="5"/>
      <c r="L1819" s="59"/>
    </row>
    <row r="1820" customHeight="1" spans="6:12">
      <c r="F1820" s="86">
        <v>43556</v>
      </c>
      <c r="G1820" s="87">
        <v>11669.15</v>
      </c>
      <c r="H1820" s="59"/>
      <c r="I1820" s="5"/>
      <c r="J1820" s="5"/>
      <c r="K1820" s="5"/>
      <c r="L1820" s="59"/>
    </row>
    <row r="1821" customHeight="1" spans="6:12">
      <c r="F1821" s="86">
        <v>43553</v>
      </c>
      <c r="G1821" s="87">
        <v>11623.9</v>
      </c>
      <c r="H1821" s="59"/>
      <c r="I1821" s="5"/>
      <c r="J1821" s="5"/>
      <c r="K1821" s="5"/>
      <c r="L1821" s="59"/>
    </row>
    <row r="1822" customHeight="1" spans="6:12">
      <c r="F1822" s="86">
        <v>43552</v>
      </c>
      <c r="G1822" s="87">
        <v>11570</v>
      </c>
      <c r="H1822" s="59"/>
      <c r="I1822" s="5"/>
      <c r="J1822" s="5"/>
      <c r="K1822" s="5"/>
      <c r="L1822" s="59"/>
    </row>
    <row r="1823" customHeight="1" spans="6:12">
      <c r="F1823" s="86">
        <v>43551</v>
      </c>
      <c r="G1823" s="87">
        <v>11445.05</v>
      </c>
      <c r="H1823" s="59"/>
      <c r="I1823" s="5"/>
      <c r="J1823" s="5"/>
      <c r="K1823" s="5"/>
      <c r="L1823" s="59"/>
    </row>
    <row r="1824" customHeight="1" spans="6:12">
      <c r="F1824" s="86">
        <v>43550</v>
      </c>
      <c r="G1824" s="87">
        <v>11483.25</v>
      </c>
      <c r="H1824" s="59"/>
      <c r="I1824" s="5"/>
      <c r="J1824" s="5"/>
      <c r="K1824" s="5"/>
      <c r="L1824" s="59"/>
    </row>
    <row r="1825" customHeight="1" spans="6:12">
      <c r="F1825" s="86">
        <v>43549</v>
      </c>
      <c r="G1825" s="87">
        <v>11354.25</v>
      </c>
      <c r="H1825" s="59"/>
      <c r="I1825" s="5"/>
      <c r="J1825" s="5"/>
      <c r="K1825" s="5"/>
      <c r="L1825" s="59"/>
    </row>
    <row r="1826" customHeight="1" spans="6:12">
      <c r="F1826" s="86">
        <v>43546</v>
      </c>
      <c r="G1826" s="87">
        <v>11456.9</v>
      </c>
      <c r="H1826" s="59"/>
      <c r="I1826" s="5"/>
      <c r="J1826" s="5"/>
      <c r="K1826" s="5"/>
      <c r="L1826" s="59"/>
    </row>
    <row r="1827" customHeight="1" spans="6:12">
      <c r="F1827" s="86">
        <v>43544</v>
      </c>
      <c r="G1827" s="87">
        <v>11521.05</v>
      </c>
      <c r="H1827" s="59"/>
      <c r="I1827" s="5"/>
      <c r="J1827" s="5"/>
      <c r="K1827" s="5"/>
      <c r="L1827" s="59"/>
    </row>
    <row r="1828" customHeight="1" spans="6:12">
      <c r="F1828" s="86">
        <v>43543</v>
      </c>
      <c r="G1828" s="87">
        <v>11532.4</v>
      </c>
      <c r="H1828" s="59"/>
      <c r="I1828" s="5"/>
      <c r="J1828" s="5"/>
      <c r="K1828" s="5"/>
      <c r="L1828" s="59"/>
    </row>
    <row r="1829" customHeight="1" spans="6:12">
      <c r="F1829" s="86">
        <v>43542</v>
      </c>
      <c r="G1829" s="87">
        <v>11462.2</v>
      </c>
      <c r="H1829" s="59"/>
      <c r="I1829" s="5"/>
      <c r="J1829" s="5"/>
      <c r="K1829" s="5"/>
      <c r="L1829" s="59"/>
    </row>
    <row r="1830" customHeight="1" spans="6:12">
      <c r="F1830" s="86">
        <v>43539</v>
      </c>
      <c r="G1830" s="87">
        <v>11426.85</v>
      </c>
      <c r="H1830" s="59"/>
      <c r="I1830" s="5"/>
      <c r="J1830" s="5"/>
      <c r="K1830" s="5"/>
      <c r="L1830" s="59"/>
    </row>
    <row r="1831" customHeight="1" spans="6:12">
      <c r="F1831" s="86">
        <v>43538</v>
      </c>
      <c r="G1831" s="87">
        <v>11343.25</v>
      </c>
      <c r="H1831" s="59"/>
      <c r="I1831" s="5"/>
      <c r="J1831" s="5"/>
      <c r="K1831" s="5"/>
      <c r="L1831" s="59"/>
    </row>
    <row r="1832" customHeight="1" spans="6:12">
      <c r="F1832" s="86">
        <v>43537</v>
      </c>
      <c r="G1832" s="87">
        <v>11341.7</v>
      </c>
      <c r="H1832" s="59"/>
      <c r="I1832" s="5"/>
      <c r="J1832" s="5"/>
      <c r="K1832" s="5"/>
      <c r="L1832" s="59"/>
    </row>
    <row r="1833" customHeight="1" spans="6:12">
      <c r="F1833" s="86">
        <v>43536</v>
      </c>
      <c r="G1833" s="87">
        <v>11301.2</v>
      </c>
      <c r="H1833" s="59"/>
      <c r="I1833" s="5"/>
      <c r="J1833" s="5"/>
      <c r="K1833" s="5"/>
      <c r="L1833" s="59"/>
    </row>
    <row r="1834" customHeight="1" spans="6:12">
      <c r="F1834" s="86">
        <v>43535</v>
      </c>
      <c r="G1834" s="87">
        <v>11168.05</v>
      </c>
      <c r="H1834" s="59"/>
      <c r="I1834" s="5"/>
      <c r="J1834" s="5"/>
      <c r="K1834" s="5"/>
      <c r="L1834" s="59"/>
    </row>
    <row r="1835" customHeight="1" spans="6:12">
      <c r="F1835" s="86">
        <v>43532</v>
      </c>
      <c r="G1835" s="87">
        <v>11035.4</v>
      </c>
      <c r="H1835" s="59"/>
      <c r="I1835" s="5"/>
      <c r="J1835" s="5"/>
      <c r="K1835" s="5"/>
      <c r="L1835" s="59"/>
    </row>
    <row r="1836" customHeight="1" spans="6:12">
      <c r="F1836" s="86">
        <v>43531</v>
      </c>
      <c r="G1836" s="87">
        <v>11058.2</v>
      </c>
      <c r="H1836" s="59"/>
      <c r="I1836" s="5"/>
      <c r="J1836" s="5"/>
      <c r="K1836" s="5"/>
      <c r="L1836" s="59"/>
    </row>
    <row r="1837" customHeight="1" spans="6:12">
      <c r="F1837" s="86">
        <v>43530</v>
      </c>
      <c r="G1837" s="87">
        <v>11053</v>
      </c>
      <c r="H1837" s="59"/>
      <c r="I1837" s="5"/>
      <c r="J1837" s="5"/>
      <c r="K1837" s="5"/>
      <c r="L1837" s="59"/>
    </row>
    <row r="1838" customHeight="1" spans="6:12">
      <c r="F1838" s="86">
        <v>43529</v>
      </c>
      <c r="G1838" s="87">
        <v>10987.45</v>
      </c>
      <c r="H1838" s="59"/>
      <c r="I1838" s="5"/>
      <c r="J1838" s="5"/>
      <c r="K1838" s="5"/>
      <c r="L1838" s="59"/>
    </row>
    <row r="1839" customHeight="1" spans="6:12">
      <c r="F1839" s="86">
        <v>43525</v>
      </c>
      <c r="G1839" s="87">
        <v>10863.5</v>
      </c>
      <c r="H1839" s="59"/>
      <c r="I1839" s="5"/>
      <c r="J1839" s="5"/>
      <c r="K1839" s="5"/>
      <c r="L1839" s="59"/>
    </row>
    <row r="1840" customHeight="1" spans="6:12">
      <c r="F1840" s="86">
        <v>43524</v>
      </c>
      <c r="G1840" s="87">
        <v>10792.5</v>
      </c>
      <c r="H1840" s="59"/>
      <c r="I1840" s="5"/>
      <c r="J1840" s="5"/>
      <c r="K1840" s="5"/>
      <c r="L1840" s="59"/>
    </row>
    <row r="1841" customHeight="1" spans="6:12">
      <c r="F1841" s="86">
        <v>43523</v>
      </c>
      <c r="G1841" s="87">
        <v>10806.65</v>
      </c>
      <c r="H1841" s="59"/>
      <c r="I1841" s="5"/>
      <c r="J1841" s="5"/>
      <c r="K1841" s="5"/>
      <c r="L1841" s="59"/>
    </row>
    <row r="1842" customHeight="1" spans="6:12">
      <c r="F1842" s="86">
        <v>43522</v>
      </c>
      <c r="G1842" s="87">
        <v>10835.3</v>
      </c>
      <c r="H1842" s="59"/>
      <c r="I1842" s="5"/>
      <c r="J1842" s="5"/>
      <c r="K1842" s="5"/>
      <c r="L1842" s="59"/>
    </row>
    <row r="1843" customHeight="1" spans="6:12">
      <c r="F1843" s="86">
        <v>43521</v>
      </c>
      <c r="G1843" s="87">
        <v>10880.1</v>
      </c>
      <c r="H1843" s="59"/>
      <c r="I1843" s="5"/>
      <c r="J1843" s="5"/>
      <c r="K1843" s="5"/>
      <c r="L1843" s="59"/>
    </row>
    <row r="1844" customHeight="1" spans="6:12">
      <c r="F1844" s="86">
        <v>43518</v>
      </c>
      <c r="G1844" s="87">
        <v>10791.65</v>
      </c>
      <c r="H1844" s="59"/>
      <c r="I1844" s="5"/>
      <c r="J1844" s="5"/>
      <c r="K1844" s="5"/>
      <c r="L1844" s="59"/>
    </row>
    <row r="1845" customHeight="1" spans="6:12">
      <c r="F1845" s="86">
        <v>43517</v>
      </c>
      <c r="G1845" s="87">
        <v>10789.85</v>
      </c>
      <c r="H1845" s="59"/>
      <c r="I1845" s="5"/>
      <c r="J1845" s="5"/>
      <c r="K1845" s="5"/>
      <c r="L1845" s="59"/>
    </row>
    <row r="1846" customHeight="1" spans="6:12">
      <c r="F1846" s="86">
        <v>43516</v>
      </c>
      <c r="G1846" s="87">
        <v>10735.45</v>
      </c>
      <c r="H1846" s="59"/>
      <c r="I1846" s="5"/>
      <c r="J1846" s="5"/>
      <c r="K1846" s="5"/>
      <c r="L1846" s="59"/>
    </row>
    <row r="1847" customHeight="1" spans="6:12">
      <c r="F1847" s="86">
        <v>43515</v>
      </c>
      <c r="G1847" s="87">
        <v>10604.35</v>
      </c>
      <c r="H1847" s="59"/>
      <c r="I1847" s="5"/>
      <c r="J1847" s="5"/>
      <c r="K1847" s="5"/>
      <c r="L1847" s="59"/>
    </row>
    <row r="1848" customHeight="1" spans="6:12">
      <c r="F1848" s="86">
        <v>43514</v>
      </c>
      <c r="G1848" s="87">
        <v>10640.95</v>
      </c>
      <c r="H1848" s="59"/>
      <c r="I1848" s="5"/>
      <c r="J1848" s="5"/>
      <c r="K1848" s="5"/>
      <c r="L1848" s="59"/>
    </row>
    <row r="1849" customHeight="1" spans="6:12">
      <c r="F1849" s="86">
        <v>43511</v>
      </c>
      <c r="G1849" s="87">
        <v>10724.4</v>
      </c>
      <c r="H1849" s="59"/>
      <c r="I1849" s="5"/>
      <c r="J1849" s="5"/>
      <c r="K1849" s="5"/>
      <c r="L1849" s="59"/>
    </row>
    <row r="1850" customHeight="1" spans="6:12">
      <c r="F1850" s="86">
        <v>43510</v>
      </c>
      <c r="G1850" s="87">
        <v>10746.05</v>
      </c>
      <c r="H1850" s="59"/>
      <c r="I1850" s="5"/>
      <c r="J1850" s="5"/>
      <c r="K1850" s="5"/>
      <c r="L1850" s="59"/>
    </row>
    <row r="1851" customHeight="1" spans="6:12">
      <c r="F1851" s="86">
        <v>43509</v>
      </c>
      <c r="G1851" s="87">
        <v>10793.65</v>
      </c>
      <c r="H1851" s="59"/>
      <c r="I1851" s="5"/>
      <c r="J1851" s="5"/>
      <c r="K1851" s="5"/>
      <c r="L1851" s="59"/>
    </row>
    <row r="1852" customHeight="1" spans="6:12">
      <c r="F1852" s="86">
        <v>43508</v>
      </c>
      <c r="G1852" s="87">
        <v>10831.4</v>
      </c>
      <c r="H1852" s="59"/>
      <c r="I1852" s="5"/>
      <c r="J1852" s="5"/>
      <c r="K1852" s="5"/>
      <c r="L1852" s="59"/>
    </row>
    <row r="1853" customHeight="1" spans="6:12">
      <c r="F1853" s="86">
        <v>43507</v>
      </c>
      <c r="G1853" s="87">
        <v>10888.8</v>
      </c>
      <c r="H1853" s="59"/>
      <c r="I1853" s="5"/>
      <c r="J1853" s="5"/>
      <c r="K1853" s="5"/>
      <c r="L1853" s="59"/>
    </row>
    <row r="1854" customHeight="1" spans="6:12">
      <c r="F1854" s="86">
        <v>43504</v>
      </c>
      <c r="G1854" s="87">
        <v>10943.6</v>
      </c>
      <c r="H1854" s="59"/>
      <c r="I1854" s="5"/>
      <c r="J1854" s="5"/>
      <c r="K1854" s="5"/>
      <c r="L1854" s="59"/>
    </row>
    <row r="1855" customHeight="1" spans="6:12">
      <c r="F1855" s="86">
        <v>43503</v>
      </c>
      <c r="G1855" s="87">
        <v>11069.4</v>
      </c>
      <c r="H1855" s="59"/>
      <c r="I1855" s="5"/>
      <c r="J1855" s="5"/>
      <c r="K1855" s="5"/>
      <c r="L1855" s="59"/>
    </row>
    <row r="1856" customHeight="1" spans="6:12">
      <c r="F1856" s="86">
        <v>43502</v>
      </c>
      <c r="G1856" s="87">
        <v>11062.45</v>
      </c>
      <c r="H1856" s="59"/>
      <c r="I1856" s="5"/>
      <c r="J1856" s="5"/>
      <c r="K1856" s="5"/>
      <c r="L1856" s="59"/>
    </row>
    <row r="1857" customHeight="1" spans="6:12">
      <c r="F1857" s="86">
        <v>43501</v>
      </c>
      <c r="G1857" s="87">
        <v>10934.35</v>
      </c>
      <c r="H1857" s="59"/>
      <c r="I1857" s="5"/>
      <c r="J1857" s="5"/>
      <c r="K1857" s="5"/>
      <c r="L1857" s="59"/>
    </row>
    <row r="1858" customHeight="1" spans="6:12">
      <c r="F1858" s="86">
        <v>43500</v>
      </c>
      <c r="G1858" s="87">
        <v>10912.25</v>
      </c>
      <c r="H1858" s="59"/>
      <c r="I1858" s="5"/>
      <c r="J1858" s="5"/>
      <c r="K1858" s="5"/>
      <c r="L1858" s="59"/>
    </row>
    <row r="1859" customHeight="1" spans="6:12">
      <c r="F1859" s="86">
        <v>43497</v>
      </c>
      <c r="G1859" s="87">
        <v>10893.65</v>
      </c>
      <c r="H1859" s="59"/>
      <c r="I1859" s="5"/>
      <c r="J1859" s="5"/>
      <c r="K1859" s="5"/>
      <c r="L1859" s="59"/>
    </row>
    <row r="1860" customHeight="1" spans="6:12">
      <c r="F1860" s="86">
        <v>43496</v>
      </c>
      <c r="G1860" s="87">
        <v>10830.95</v>
      </c>
      <c r="H1860" s="59"/>
      <c r="I1860" s="5"/>
      <c r="J1860" s="5"/>
      <c r="K1860" s="5"/>
      <c r="L1860" s="59"/>
    </row>
    <row r="1861" customHeight="1" spans="6:12">
      <c r="F1861" s="86">
        <v>43495</v>
      </c>
      <c r="G1861" s="87">
        <v>10651.8</v>
      </c>
      <c r="H1861" s="59"/>
      <c r="I1861" s="5"/>
      <c r="J1861" s="5"/>
      <c r="K1861" s="5"/>
      <c r="L1861" s="59"/>
    </row>
    <row r="1862" customHeight="1" spans="6:12">
      <c r="F1862" s="86">
        <v>43494</v>
      </c>
      <c r="G1862" s="87">
        <v>10652.2</v>
      </c>
      <c r="H1862" s="59"/>
      <c r="I1862" s="5"/>
      <c r="J1862" s="5"/>
      <c r="K1862" s="5"/>
      <c r="L1862" s="59"/>
    </row>
    <row r="1863" customHeight="1" spans="6:12">
      <c r="F1863" s="86">
        <v>43493</v>
      </c>
      <c r="G1863" s="87">
        <v>10661.55</v>
      </c>
      <c r="H1863" s="59"/>
      <c r="I1863" s="5"/>
      <c r="J1863" s="5"/>
      <c r="K1863" s="5"/>
      <c r="L1863" s="59"/>
    </row>
    <row r="1864" customHeight="1" spans="6:12">
      <c r="F1864" s="86">
        <v>43490</v>
      </c>
      <c r="G1864" s="87">
        <v>10780.55</v>
      </c>
      <c r="H1864" s="59"/>
      <c r="I1864" s="5"/>
      <c r="J1864" s="5"/>
      <c r="K1864" s="5"/>
      <c r="L1864" s="59"/>
    </row>
    <row r="1865" customHeight="1" spans="6:12">
      <c r="F1865" s="86">
        <v>43489</v>
      </c>
      <c r="G1865" s="87">
        <v>10849.8</v>
      </c>
      <c r="H1865" s="59"/>
      <c r="I1865" s="5"/>
      <c r="J1865" s="5"/>
      <c r="K1865" s="5"/>
      <c r="L1865" s="59"/>
    </row>
    <row r="1866" customHeight="1" spans="6:12">
      <c r="F1866" s="86">
        <v>43488</v>
      </c>
      <c r="G1866" s="87">
        <v>10831.5</v>
      </c>
      <c r="H1866" s="59"/>
      <c r="I1866" s="5"/>
      <c r="J1866" s="5"/>
      <c r="K1866" s="5"/>
      <c r="L1866" s="59"/>
    </row>
    <row r="1867" customHeight="1" spans="6:12">
      <c r="F1867" s="86">
        <v>43487</v>
      </c>
      <c r="G1867" s="87">
        <v>10922.75</v>
      </c>
      <c r="H1867" s="59"/>
      <c r="I1867" s="5"/>
      <c r="J1867" s="5"/>
      <c r="K1867" s="5"/>
      <c r="L1867" s="59"/>
    </row>
    <row r="1868" customHeight="1" spans="6:12">
      <c r="F1868" s="86">
        <v>43486</v>
      </c>
      <c r="G1868" s="87">
        <v>10961.85</v>
      </c>
      <c r="H1868" s="59"/>
      <c r="I1868" s="5"/>
      <c r="J1868" s="5"/>
      <c r="K1868" s="5"/>
      <c r="L1868" s="59"/>
    </row>
    <row r="1869" customHeight="1" spans="6:12">
      <c r="F1869" s="86">
        <v>43483</v>
      </c>
      <c r="G1869" s="87">
        <v>10906.95</v>
      </c>
      <c r="H1869" s="59"/>
      <c r="I1869" s="5"/>
      <c r="J1869" s="5"/>
      <c r="K1869" s="5"/>
      <c r="L1869" s="59"/>
    </row>
    <row r="1870" customHeight="1" spans="6:12">
      <c r="F1870" s="86">
        <v>43482</v>
      </c>
      <c r="G1870" s="87">
        <v>10905.2</v>
      </c>
      <c r="H1870" s="59"/>
      <c r="I1870" s="5"/>
      <c r="J1870" s="5"/>
      <c r="K1870" s="5"/>
      <c r="L1870" s="59"/>
    </row>
    <row r="1871" customHeight="1" spans="6:12">
      <c r="F1871" s="86">
        <v>43481</v>
      </c>
      <c r="G1871" s="87">
        <v>10890.3</v>
      </c>
      <c r="H1871" s="59"/>
      <c r="I1871" s="5"/>
      <c r="J1871" s="5"/>
      <c r="K1871" s="5"/>
      <c r="L1871" s="59"/>
    </row>
    <row r="1872" customHeight="1" spans="6:12">
      <c r="F1872" s="86">
        <v>43480</v>
      </c>
      <c r="G1872" s="87">
        <v>10886.8</v>
      </c>
      <c r="H1872" s="59"/>
      <c r="I1872" s="5"/>
      <c r="J1872" s="5"/>
      <c r="K1872" s="5"/>
      <c r="L1872" s="59"/>
    </row>
    <row r="1873" customHeight="1" spans="6:12">
      <c r="F1873" s="86">
        <v>43479</v>
      </c>
      <c r="G1873" s="87">
        <v>10737.6</v>
      </c>
      <c r="H1873" s="59"/>
      <c r="I1873" s="5"/>
      <c r="J1873" s="5"/>
      <c r="K1873" s="5"/>
      <c r="L1873" s="59"/>
    </row>
    <row r="1874" customHeight="1" spans="6:12">
      <c r="F1874" s="86">
        <v>43476</v>
      </c>
      <c r="G1874" s="87">
        <v>10794.95</v>
      </c>
      <c r="H1874" s="59"/>
      <c r="I1874" s="5"/>
      <c r="J1874" s="5"/>
      <c r="K1874" s="5"/>
      <c r="L1874" s="59"/>
    </row>
    <row r="1875" customHeight="1" spans="6:12">
      <c r="F1875" s="86">
        <v>43475</v>
      </c>
      <c r="G1875" s="87">
        <v>10821.6</v>
      </c>
      <c r="H1875" s="59"/>
      <c r="I1875" s="5"/>
      <c r="J1875" s="5"/>
      <c r="K1875" s="5"/>
      <c r="L1875" s="59"/>
    </row>
    <row r="1876" customHeight="1" spans="6:12">
      <c r="F1876" s="86">
        <v>43474</v>
      </c>
      <c r="G1876" s="87">
        <v>10855.15</v>
      </c>
      <c r="H1876" s="59"/>
      <c r="I1876" s="5"/>
      <c r="J1876" s="5"/>
      <c r="K1876" s="5"/>
      <c r="L1876" s="59"/>
    </row>
    <row r="1877" customHeight="1" spans="6:12">
      <c r="F1877" s="86">
        <v>43473</v>
      </c>
      <c r="G1877" s="87">
        <v>10802.15</v>
      </c>
      <c r="H1877" s="59"/>
      <c r="I1877" s="5"/>
      <c r="J1877" s="5"/>
      <c r="K1877" s="5"/>
      <c r="L1877" s="59"/>
    </row>
    <row r="1878" customHeight="1" spans="6:12">
      <c r="F1878" s="86">
        <v>43472</v>
      </c>
      <c r="G1878" s="87">
        <v>10771.8</v>
      </c>
      <c r="H1878" s="59"/>
      <c r="I1878" s="5"/>
      <c r="J1878" s="5"/>
      <c r="K1878" s="5"/>
      <c r="L1878" s="59"/>
    </row>
    <row r="1879" customHeight="1" spans="6:12">
      <c r="F1879" s="86">
        <v>43469</v>
      </c>
      <c r="G1879" s="87">
        <v>10727.35</v>
      </c>
      <c r="H1879" s="59"/>
      <c r="I1879" s="5"/>
      <c r="J1879" s="5"/>
      <c r="K1879" s="5"/>
      <c r="L1879" s="59"/>
    </row>
    <row r="1880" customHeight="1" spans="6:12">
      <c r="F1880" s="86">
        <v>43468</v>
      </c>
      <c r="G1880" s="87">
        <v>10672.25</v>
      </c>
      <c r="H1880" s="59"/>
      <c r="I1880" s="5"/>
      <c r="J1880" s="5"/>
      <c r="K1880" s="5"/>
      <c r="L1880" s="59"/>
    </row>
    <row r="1881" customHeight="1" spans="6:12">
      <c r="F1881" s="86">
        <v>43467</v>
      </c>
      <c r="G1881" s="87">
        <v>10792.5</v>
      </c>
      <c r="H1881" s="59"/>
      <c r="I1881" s="5"/>
      <c r="J1881" s="5"/>
      <c r="K1881" s="5"/>
      <c r="L1881" s="59"/>
    </row>
    <row r="1882" customHeight="1" spans="6:12">
      <c r="F1882" s="86">
        <v>43466</v>
      </c>
      <c r="G1882" s="87">
        <v>10910.1</v>
      </c>
      <c r="H1882" s="59"/>
      <c r="I1882" s="5"/>
      <c r="J1882" s="5"/>
      <c r="K1882" s="5"/>
      <c r="L1882" s="59"/>
    </row>
    <row r="1883" customHeight="1" spans="6:12">
      <c r="F1883" s="86">
        <v>43465</v>
      </c>
      <c r="G1883" s="87">
        <v>10862.55</v>
      </c>
      <c r="H1883" s="59"/>
      <c r="I1883" s="5"/>
      <c r="J1883" s="5"/>
      <c r="K1883" s="5"/>
      <c r="L1883" s="59"/>
    </row>
    <row r="1884" customHeight="1" spans="6:12">
      <c r="F1884" s="86">
        <v>43462</v>
      </c>
      <c r="G1884" s="87">
        <v>10859.9</v>
      </c>
      <c r="H1884" s="59"/>
      <c r="I1884" s="5"/>
      <c r="J1884" s="5"/>
      <c r="K1884" s="5"/>
      <c r="L1884" s="59"/>
    </row>
    <row r="1885" customHeight="1" spans="6:12">
      <c r="F1885" s="86">
        <v>43461</v>
      </c>
      <c r="G1885" s="87">
        <v>10779.8</v>
      </c>
      <c r="H1885" s="59"/>
      <c r="I1885" s="5"/>
      <c r="J1885" s="5"/>
      <c r="K1885" s="5"/>
      <c r="L1885" s="59"/>
    </row>
    <row r="1886" customHeight="1" spans="6:12">
      <c r="F1886" s="86">
        <v>43460</v>
      </c>
      <c r="G1886" s="87">
        <v>10729.85</v>
      </c>
      <c r="H1886" s="59"/>
      <c r="I1886" s="5"/>
      <c r="J1886" s="5"/>
      <c r="K1886" s="5"/>
      <c r="L1886" s="59"/>
    </row>
    <row r="1887" customHeight="1" spans="6:12">
      <c r="F1887" s="86">
        <v>43458</v>
      </c>
      <c r="G1887" s="87">
        <v>10663.5</v>
      </c>
      <c r="H1887" s="59"/>
      <c r="I1887" s="5"/>
      <c r="J1887" s="5"/>
      <c r="K1887" s="5"/>
      <c r="L1887" s="59"/>
    </row>
    <row r="1888" customHeight="1" spans="6:12">
      <c r="F1888" s="86">
        <v>43455</v>
      </c>
      <c r="G1888" s="87">
        <v>10754</v>
      </c>
      <c r="H1888" s="59"/>
      <c r="I1888" s="5"/>
      <c r="J1888" s="5"/>
      <c r="K1888" s="5"/>
      <c r="L1888" s="59"/>
    </row>
    <row r="1889" customHeight="1" spans="6:12">
      <c r="F1889" s="86">
        <v>43454</v>
      </c>
      <c r="G1889" s="87">
        <v>10951.7</v>
      </c>
      <c r="H1889" s="59"/>
      <c r="I1889" s="5"/>
      <c r="J1889" s="5"/>
      <c r="K1889" s="5"/>
      <c r="L1889" s="59"/>
    </row>
    <row r="1890" customHeight="1" spans="6:12">
      <c r="F1890" s="86">
        <v>43453</v>
      </c>
      <c r="G1890" s="87">
        <v>10967.3</v>
      </c>
      <c r="H1890" s="59"/>
      <c r="I1890" s="5"/>
      <c r="J1890" s="5"/>
      <c r="K1890" s="5"/>
      <c r="L1890" s="59"/>
    </row>
    <row r="1891" customHeight="1" spans="6:12">
      <c r="F1891" s="86">
        <v>43452</v>
      </c>
      <c r="G1891" s="87">
        <v>10908.7</v>
      </c>
      <c r="H1891" s="59"/>
      <c r="I1891" s="5"/>
      <c r="J1891" s="5"/>
      <c r="K1891" s="5"/>
      <c r="L1891" s="59"/>
    </row>
    <row r="1892" customHeight="1" spans="6:12">
      <c r="F1892" s="86">
        <v>43451</v>
      </c>
      <c r="G1892" s="87">
        <v>10888.35</v>
      </c>
      <c r="H1892" s="59"/>
      <c r="I1892" s="5"/>
      <c r="J1892" s="5"/>
      <c r="K1892" s="5"/>
      <c r="L1892" s="59"/>
    </row>
    <row r="1893" customHeight="1" spans="6:12">
      <c r="F1893" s="86">
        <v>43448</v>
      </c>
      <c r="G1893" s="87">
        <v>10805.45</v>
      </c>
      <c r="H1893" s="59"/>
      <c r="I1893" s="5"/>
      <c r="J1893" s="5"/>
      <c r="K1893" s="5"/>
      <c r="L1893" s="59"/>
    </row>
    <row r="1894" customHeight="1" spans="6:12">
      <c r="F1894" s="86">
        <v>43447</v>
      </c>
      <c r="G1894" s="87">
        <v>10791.55</v>
      </c>
      <c r="H1894" s="59"/>
      <c r="I1894" s="5"/>
      <c r="J1894" s="5"/>
      <c r="K1894" s="5"/>
      <c r="L1894" s="59"/>
    </row>
    <row r="1895" customHeight="1" spans="6:12">
      <c r="F1895" s="86">
        <v>43446</v>
      </c>
      <c r="G1895" s="87">
        <v>10737.6</v>
      </c>
      <c r="H1895" s="59"/>
      <c r="I1895" s="5"/>
      <c r="J1895" s="5"/>
      <c r="K1895" s="5"/>
      <c r="L1895" s="59"/>
    </row>
    <row r="1896" customHeight="1" spans="6:12">
      <c r="F1896" s="86">
        <v>43445</v>
      </c>
      <c r="G1896" s="87">
        <v>10549.15</v>
      </c>
      <c r="H1896" s="59"/>
      <c r="I1896" s="5"/>
      <c r="J1896" s="5"/>
      <c r="K1896" s="5"/>
      <c r="L1896" s="59"/>
    </row>
    <row r="1897" customHeight="1" spans="6:12">
      <c r="F1897" s="86">
        <v>43444</v>
      </c>
      <c r="G1897" s="87">
        <v>10488.45</v>
      </c>
      <c r="H1897" s="59"/>
      <c r="I1897" s="5"/>
      <c r="J1897" s="5"/>
      <c r="K1897" s="5"/>
      <c r="L1897" s="59"/>
    </row>
    <row r="1898" customHeight="1" spans="6:12">
      <c r="F1898" s="86">
        <v>43441</v>
      </c>
      <c r="G1898" s="87">
        <v>10693.7</v>
      </c>
      <c r="H1898" s="59"/>
      <c r="I1898" s="5"/>
      <c r="J1898" s="5"/>
      <c r="K1898" s="5"/>
      <c r="L1898" s="59"/>
    </row>
    <row r="1899" customHeight="1" spans="6:12">
      <c r="F1899" s="86">
        <v>43440</v>
      </c>
      <c r="G1899" s="87">
        <v>10601.15</v>
      </c>
      <c r="H1899" s="59"/>
      <c r="I1899" s="5"/>
      <c r="J1899" s="5"/>
      <c r="K1899" s="5"/>
      <c r="L1899" s="59"/>
    </row>
    <row r="1900" customHeight="1" spans="6:12">
      <c r="F1900" s="86">
        <v>43439</v>
      </c>
      <c r="G1900" s="87">
        <v>10782.9</v>
      </c>
      <c r="H1900" s="59"/>
      <c r="I1900" s="5"/>
      <c r="J1900" s="5"/>
      <c r="K1900" s="5"/>
      <c r="L1900" s="59"/>
    </row>
    <row r="1901" customHeight="1" spans="6:12">
      <c r="F1901" s="86">
        <v>43438</v>
      </c>
      <c r="G1901" s="87">
        <v>10869.5</v>
      </c>
      <c r="H1901" s="59"/>
      <c r="I1901" s="5"/>
      <c r="J1901" s="5"/>
      <c r="K1901" s="5"/>
      <c r="L1901" s="59"/>
    </row>
    <row r="1902" customHeight="1" spans="6:12">
      <c r="F1902" s="86">
        <v>43437</v>
      </c>
      <c r="G1902" s="87">
        <v>10883.75</v>
      </c>
      <c r="H1902" s="59"/>
      <c r="I1902" s="5"/>
      <c r="J1902" s="5"/>
      <c r="K1902" s="5"/>
      <c r="L1902" s="59"/>
    </row>
    <row r="1903" customHeight="1" spans="6:12">
      <c r="F1903" s="86">
        <v>43434</v>
      </c>
      <c r="G1903" s="87">
        <v>10876.75</v>
      </c>
      <c r="H1903" s="59"/>
      <c r="I1903" s="5"/>
      <c r="J1903" s="5"/>
      <c r="K1903" s="5"/>
      <c r="L1903" s="59"/>
    </row>
    <row r="1904" customHeight="1" spans="6:12">
      <c r="F1904" s="86">
        <v>43433</v>
      </c>
      <c r="G1904" s="87">
        <v>10858.7</v>
      </c>
      <c r="H1904" s="59"/>
      <c r="I1904" s="5"/>
      <c r="J1904" s="5"/>
      <c r="K1904" s="5"/>
      <c r="L1904" s="59"/>
    </row>
    <row r="1905" customHeight="1" spans="6:12">
      <c r="F1905" s="86">
        <v>43432</v>
      </c>
      <c r="G1905" s="87">
        <v>10728.85</v>
      </c>
      <c r="H1905" s="59"/>
      <c r="I1905" s="5"/>
      <c r="J1905" s="5"/>
      <c r="K1905" s="5"/>
      <c r="L1905" s="59"/>
    </row>
    <row r="1906" customHeight="1" spans="6:12">
      <c r="F1906" s="86">
        <v>43431</v>
      </c>
      <c r="G1906" s="87">
        <v>10685.6</v>
      </c>
      <c r="H1906" s="59"/>
      <c r="I1906" s="5"/>
      <c r="J1906" s="5"/>
      <c r="K1906" s="5"/>
      <c r="L1906" s="59"/>
    </row>
    <row r="1907" customHeight="1" spans="6:12">
      <c r="F1907" s="86">
        <v>43430</v>
      </c>
      <c r="G1907" s="87">
        <v>10628.6</v>
      </c>
      <c r="H1907" s="59"/>
      <c r="I1907" s="5"/>
      <c r="J1907" s="5"/>
      <c r="K1907" s="5"/>
      <c r="L1907" s="59"/>
    </row>
    <row r="1908" customHeight="1" spans="6:12">
      <c r="F1908" s="86">
        <v>43426</v>
      </c>
      <c r="G1908" s="87">
        <v>10526.75</v>
      </c>
      <c r="H1908" s="59"/>
      <c r="I1908" s="5"/>
      <c r="J1908" s="5"/>
      <c r="K1908" s="5"/>
      <c r="L1908" s="59"/>
    </row>
    <row r="1909" customHeight="1" spans="6:12">
      <c r="F1909" s="86">
        <v>43425</v>
      </c>
      <c r="G1909" s="87">
        <v>10600.05</v>
      </c>
      <c r="H1909" s="59"/>
      <c r="I1909" s="5"/>
      <c r="J1909" s="5"/>
      <c r="K1909" s="5"/>
      <c r="L1909" s="59"/>
    </row>
    <row r="1910" customHeight="1" spans="6:12">
      <c r="F1910" s="86">
        <v>43424</v>
      </c>
      <c r="G1910" s="87">
        <v>10656.2</v>
      </c>
      <c r="H1910" s="59"/>
      <c r="I1910" s="5"/>
      <c r="J1910" s="5"/>
      <c r="K1910" s="5"/>
      <c r="L1910" s="59"/>
    </row>
    <row r="1911" customHeight="1" spans="6:12">
      <c r="F1911" s="86">
        <v>43423</v>
      </c>
      <c r="G1911" s="87">
        <v>10763.4</v>
      </c>
      <c r="H1911" s="59"/>
      <c r="I1911" s="5"/>
      <c r="J1911" s="5"/>
      <c r="K1911" s="5"/>
      <c r="L1911" s="59"/>
    </row>
    <row r="1912" customHeight="1" spans="6:12">
      <c r="F1912" s="86">
        <v>43420</v>
      </c>
      <c r="G1912" s="87">
        <v>10682.2</v>
      </c>
      <c r="H1912" s="59"/>
      <c r="I1912" s="5"/>
      <c r="J1912" s="5"/>
      <c r="K1912" s="5"/>
      <c r="L1912" s="59"/>
    </row>
    <row r="1913" customHeight="1" spans="6:12">
      <c r="F1913" s="86">
        <v>43419</v>
      </c>
      <c r="G1913" s="87">
        <v>10616.7</v>
      </c>
      <c r="H1913" s="59"/>
      <c r="I1913" s="5"/>
      <c r="J1913" s="5"/>
      <c r="K1913" s="5"/>
      <c r="L1913" s="59"/>
    </row>
    <row r="1914" customHeight="1" spans="6:12">
      <c r="F1914" s="86">
        <v>43418</v>
      </c>
      <c r="G1914" s="87">
        <v>10576.3</v>
      </c>
      <c r="H1914" s="59"/>
      <c r="I1914" s="5"/>
      <c r="J1914" s="5"/>
      <c r="K1914" s="5"/>
      <c r="L1914" s="59"/>
    </row>
    <row r="1915" customHeight="1" spans="6:12">
      <c r="F1915" s="86">
        <v>43417</v>
      </c>
      <c r="G1915" s="87">
        <v>10582.5</v>
      </c>
      <c r="H1915" s="59"/>
      <c r="I1915" s="5"/>
      <c r="J1915" s="5"/>
      <c r="K1915" s="5"/>
      <c r="L1915" s="59"/>
    </row>
    <row r="1916" customHeight="1" spans="6:12">
      <c r="F1916" s="86">
        <v>43416</v>
      </c>
      <c r="G1916" s="87">
        <v>10482.2</v>
      </c>
      <c r="H1916" s="59"/>
      <c r="I1916" s="5"/>
      <c r="J1916" s="5"/>
      <c r="K1916" s="5"/>
      <c r="L1916" s="59"/>
    </row>
    <row r="1917" customHeight="1" spans="6:12">
      <c r="F1917" s="86">
        <v>43413</v>
      </c>
      <c r="G1917" s="87">
        <v>10585.2</v>
      </c>
      <c r="H1917" s="59"/>
      <c r="I1917" s="5"/>
      <c r="J1917" s="5"/>
      <c r="K1917" s="5"/>
      <c r="L1917" s="59"/>
    </row>
    <row r="1918" customHeight="1" spans="6:12">
      <c r="F1918" s="86">
        <v>43411</v>
      </c>
      <c r="G1918" s="87">
        <v>10598.4</v>
      </c>
      <c r="H1918" s="59"/>
      <c r="I1918" s="5"/>
      <c r="J1918" s="5"/>
      <c r="K1918" s="5"/>
      <c r="L1918" s="59"/>
    </row>
    <row r="1919" customHeight="1" spans="6:12">
      <c r="F1919" s="86">
        <v>43410</v>
      </c>
      <c r="G1919" s="87">
        <v>10530</v>
      </c>
      <c r="H1919" s="59"/>
      <c r="I1919" s="5"/>
      <c r="J1919" s="5"/>
      <c r="K1919" s="5"/>
      <c r="L1919" s="59"/>
    </row>
    <row r="1920" customHeight="1" spans="6:12">
      <c r="F1920" s="86">
        <v>43409</v>
      </c>
      <c r="G1920" s="87">
        <v>10524</v>
      </c>
      <c r="H1920" s="59"/>
      <c r="I1920" s="5"/>
      <c r="J1920" s="5"/>
      <c r="K1920" s="5"/>
      <c r="L1920" s="59"/>
    </row>
    <row r="1921" customHeight="1" spans="6:12">
      <c r="F1921" s="86">
        <v>43406</v>
      </c>
      <c r="G1921" s="87">
        <v>10553</v>
      </c>
      <c r="H1921" s="59"/>
      <c r="I1921" s="5"/>
      <c r="J1921" s="5"/>
      <c r="K1921" s="5"/>
      <c r="L1921" s="59"/>
    </row>
    <row r="1922" customHeight="1" spans="6:12">
      <c r="F1922" s="86">
        <v>43405</v>
      </c>
      <c r="G1922" s="87">
        <v>10380.45</v>
      </c>
      <c r="H1922" s="59"/>
      <c r="I1922" s="5"/>
      <c r="J1922" s="5"/>
      <c r="K1922" s="5"/>
      <c r="L1922" s="59"/>
    </row>
    <row r="1923" customHeight="1" spans="6:12">
      <c r="F1923" s="86">
        <v>43404</v>
      </c>
      <c r="G1923" s="87">
        <v>10386.6</v>
      </c>
      <c r="H1923" s="59"/>
      <c r="I1923" s="5"/>
      <c r="J1923" s="5"/>
      <c r="K1923" s="5"/>
      <c r="L1923" s="59"/>
    </row>
    <row r="1924" customHeight="1" spans="6:12">
      <c r="F1924" s="86">
        <v>43403</v>
      </c>
      <c r="G1924" s="87">
        <v>10198.4</v>
      </c>
      <c r="H1924" s="59"/>
      <c r="I1924" s="5"/>
      <c r="J1924" s="5"/>
      <c r="K1924" s="5"/>
      <c r="L1924" s="59"/>
    </row>
    <row r="1925" customHeight="1" spans="6:12">
      <c r="F1925" s="86">
        <v>43402</v>
      </c>
      <c r="G1925" s="87">
        <v>10250.85</v>
      </c>
      <c r="H1925" s="59"/>
      <c r="I1925" s="5"/>
      <c r="J1925" s="5"/>
      <c r="K1925" s="5"/>
      <c r="L1925" s="59"/>
    </row>
    <row r="1926" customHeight="1" spans="6:12">
      <c r="F1926" s="86">
        <v>43399</v>
      </c>
      <c r="G1926" s="87">
        <v>10030</v>
      </c>
      <c r="H1926" s="59"/>
      <c r="I1926" s="5"/>
      <c r="J1926" s="5"/>
      <c r="K1926" s="5"/>
      <c r="L1926" s="59"/>
    </row>
    <row r="1927" customHeight="1" spans="6:12">
      <c r="F1927" s="86">
        <v>43398</v>
      </c>
      <c r="G1927" s="87">
        <v>10124.9</v>
      </c>
      <c r="H1927" s="59"/>
      <c r="I1927" s="5"/>
      <c r="J1927" s="5"/>
      <c r="K1927" s="5"/>
      <c r="L1927" s="59"/>
    </row>
    <row r="1928" customHeight="1" spans="6:12">
      <c r="F1928" s="86">
        <v>43397</v>
      </c>
      <c r="G1928" s="87">
        <v>10224.75</v>
      </c>
      <c r="H1928" s="59"/>
      <c r="I1928" s="5"/>
      <c r="J1928" s="5"/>
      <c r="K1928" s="5"/>
      <c r="L1928" s="59"/>
    </row>
    <row r="1929" customHeight="1" spans="6:12">
      <c r="F1929" s="86">
        <v>43396</v>
      </c>
      <c r="G1929" s="87">
        <v>10146.8</v>
      </c>
      <c r="H1929" s="59"/>
      <c r="I1929" s="5"/>
      <c r="J1929" s="5"/>
      <c r="K1929" s="5"/>
      <c r="L1929" s="59"/>
    </row>
    <row r="1930" customHeight="1" spans="6:12">
      <c r="F1930" s="86">
        <v>43395</v>
      </c>
      <c r="G1930" s="87">
        <v>10245.25</v>
      </c>
      <c r="H1930" s="59"/>
      <c r="I1930" s="5"/>
      <c r="J1930" s="5"/>
      <c r="K1930" s="5"/>
      <c r="L1930" s="59"/>
    </row>
    <row r="1931" customHeight="1" spans="6:12">
      <c r="F1931" s="86">
        <v>43392</v>
      </c>
      <c r="G1931" s="87">
        <v>10303.55</v>
      </c>
      <c r="H1931" s="59"/>
      <c r="I1931" s="5"/>
      <c r="J1931" s="5"/>
      <c r="K1931" s="5"/>
      <c r="L1931" s="59"/>
    </row>
    <row r="1932" customHeight="1" spans="6:12">
      <c r="F1932" s="86">
        <v>43390</v>
      </c>
      <c r="G1932" s="87">
        <v>10453.05</v>
      </c>
      <c r="H1932" s="59"/>
      <c r="I1932" s="5"/>
      <c r="J1932" s="5"/>
      <c r="K1932" s="5"/>
      <c r="L1932" s="59"/>
    </row>
    <row r="1933" customHeight="1" spans="6:12">
      <c r="F1933" s="86">
        <v>43389</v>
      </c>
      <c r="G1933" s="87">
        <v>10584.75</v>
      </c>
      <c r="H1933" s="59"/>
      <c r="I1933" s="5"/>
      <c r="J1933" s="5"/>
      <c r="K1933" s="5"/>
      <c r="L1933" s="59"/>
    </row>
    <row r="1934" customHeight="1" spans="6:12">
      <c r="F1934" s="86">
        <v>43388</v>
      </c>
      <c r="G1934" s="87">
        <v>10512.5</v>
      </c>
      <c r="H1934" s="59"/>
      <c r="I1934" s="5"/>
      <c r="J1934" s="5"/>
      <c r="K1934" s="5"/>
      <c r="L1934" s="59"/>
    </row>
    <row r="1935" customHeight="1" spans="6:12">
      <c r="F1935" s="86">
        <v>43385</v>
      </c>
      <c r="G1935" s="87">
        <v>10472.5</v>
      </c>
      <c r="H1935" s="59"/>
      <c r="I1935" s="5"/>
      <c r="J1935" s="5"/>
      <c r="K1935" s="5"/>
      <c r="L1935" s="59"/>
    </row>
    <row r="1936" customHeight="1" spans="6:12">
      <c r="F1936" s="86">
        <v>43384</v>
      </c>
      <c r="G1936" s="87">
        <v>10234.65</v>
      </c>
      <c r="H1936" s="59"/>
      <c r="I1936" s="5"/>
      <c r="J1936" s="5"/>
      <c r="K1936" s="5"/>
      <c r="L1936" s="59"/>
    </row>
    <row r="1937" customHeight="1" spans="6:12">
      <c r="F1937" s="86">
        <v>43383</v>
      </c>
      <c r="G1937" s="87">
        <v>10460.1</v>
      </c>
      <c r="H1937" s="59"/>
      <c r="I1937" s="5"/>
      <c r="J1937" s="5"/>
      <c r="K1937" s="5"/>
      <c r="L1937" s="59"/>
    </row>
    <row r="1938" customHeight="1" spans="6:12">
      <c r="F1938" s="86">
        <v>43382</v>
      </c>
      <c r="G1938" s="87">
        <v>10301.05</v>
      </c>
      <c r="H1938" s="59"/>
      <c r="I1938" s="5"/>
      <c r="J1938" s="5"/>
      <c r="K1938" s="5"/>
      <c r="L1938" s="59"/>
    </row>
    <row r="1939" customHeight="1" spans="6:12">
      <c r="F1939" s="86">
        <v>43381</v>
      </c>
      <c r="G1939" s="87">
        <v>10348.05</v>
      </c>
      <c r="H1939" s="59"/>
      <c r="I1939" s="5"/>
      <c r="J1939" s="5"/>
      <c r="K1939" s="5"/>
      <c r="L1939" s="59"/>
    </row>
    <row r="1940" customHeight="1" spans="6:12">
      <c r="F1940" s="86">
        <v>43378</v>
      </c>
      <c r="G1940" s="87">
        <v>10316.45</v>
      </c>
      <c r="H1940" s="59"/>
      <c r="I1940" s="5"/>
      <c r="J1940" s="5"/>
      <c r="K1940" s="5"/>
      <c r="L1940" s="59"/>
    </row>
    <row r="1941" customHeight="1" spans="6:12">
      <c r="F1941" s="86">
        <v>43377</v>
      </c>
      <c r="G1941" s="87">
        <v>10599.25</v>
      </c>
      <c r="H1941" s="59"/>
      <c r="I1941" s="5"/>
      <c r="J1941" s="5"/>
      <c r="K1941" s="5"/>
      <c r="L1941" s="59"/>
    </row>
    <row r="1942" customHeight="1" spans="6:12">
      <c r="F1942" s="86">
        <v>43376</v>
      </c>
      <c r="G1942" s="87">
        <v>10858.25</v>
      </c>
      <c r="H1942" s="59"/>
      <c r="I1942" s="5"/>
      <c r="J1942" s="5"/>
      <c r="K1942" s="5"/>
      <c r="L1942" s="59"/>
    </row>
    <row r="1943" customHeight="1" spans="6:12">
      <c r="F1943" s="86">
        <v>43374</v>
      </c>
      <c r="G1943" s="87">
        <v>11008.3</v>
      </c>
      <c r="H1943" s="59"/>
      <c r="I1943" s="5"/>
      <c r="J1943" s="5"/>
      <c r="K1943" s="5"/>
      <c r="L1943" s="59"/>
    </row>
    <row r="1944" customHeight="1" spans="6:12">
      <c r="F1944" s="86">
        <v>43371</v>
      </c>
      <c r="G1944" s="87">
        <v>10930.45</v>
      </c>
      <c r="H1944" s="59"/>
      <c r="I1944" s="5"/>
      <c r="J1944" s="5"/>
      <c r="K1944" s="5"/>
      <c r="L1944" s="59"/>
    </row>
    <row r="1945" customHeight="1" spans="6:12">
      <c r="F1945" s="86">
        <v>43370</v>
      </c>
      <c r="G1945" s="87">
        <v>10977.55</v>
      </c>
      <c r="H1945" s="59"/>
      <c r="I1945" s="5"/>
      <c r="J1945" s="5"/>
      <c r="K1945" s="5"/>
      <c r="L1945" s="59"/>
    </row>
    <row r="1946" customHeight="1" spans="6:12">
      <c r="F1946" s="86">
        <v>43369</v>
      </c>
      <c r="G1946" s="87">
        <v>11053.8</v>
      </c>
      <c r="H1946" s="59"/>
      <c r="I1946" s="5"/>
      <c r="J1946" s="5"/>
      <c r="K1946" s="5"/>
      <c r="L1946" s="59"/>
    </row>
    <row r="1947" customHeight="1" spans="6:12">
      <c r="F1947" s="86">
        <v>43368</v>
      </c>
      <c r="G1947" s="87">
        <v>11067.45</v>
      </c>
      <c r="H1947" s="59"/>
      <c r="I1947" s="5"/>
      <c r="J1947" s="5"/>
      <c r="K1947" s="5"/>
      <c r="L1947" s="59"/>
    </row>
    <row r="1948" customHeight="1" spans="6:12">
      <c r="F1948" s="86">
        <v>43367</v>
      </c>
      <c r="G1948" s="87">
        <v>10967.4</v>
      </c>
      <c r="H1948" s="59"/>
      <c r="I1948" s="5"/>
      <c r="J1948" s="5"/>
      <c r="K1948" s="5"/>
      <c r="L1948" s="59"/>
    </row>
    <row r="1949" customHeight="1" spans="6:12">
      <c r="F1949" s="86">
        <v>43364</v>
      </c>
      <c r="G1949" s="87">
        <v>11143.1</v>
      </c>
      <c r="H1949" s="59"/>
      <c r="I1949" s="5"/>
      <c r="J1949" s="5"/>
      <c r="K1949" s="5"/>
      <c r="L1949" s="59"/>
    </row>
    <row r="1950" customHeight="1" spans="6:12">
      <c r="F1950" s="86">
        <v>43362</v>
      </c>
      <c r="G1950" s="87">
        <v>11234.35</v>
      </c>
      <c r="H1950" s="59"/>
      <c r="I1950" s="5"/>
      <c r="J1950" s="5"/>
      <c r="K1950" s="5"/>
      <c r="L1950" s="59"/>
    </row>
    <row r="1951" customHeight="1" spans="6:12">
      <c r="F1951" s="86">
        <v>43361</v>
      </c>
      <c r="G1951" s="87">
        <v>11278.9</v>
      </c>
      <c r="H1951" s="59"/>
      <c r="I1951" s="5"/>
      <c r="J1951" s="5"/>
      <c r="K1951" s="5"/>
      <c r="L1951" s="59"/>
    </row>
    <row r="1952" customHeight="1" spans="6:12">
      <c r="F1952" s="86">
        <v>43360</v>
      </c>
      <c r="G1952" s="87">
        <v>11377.75</v>
      </c>
      <c r="H1952" s="59"/>
      <c r="I1952" s="5"/>
      <c r="J1952" s="5"/>
      <c r="K1952" s="5"/>
      <c r="L1952" s="59"/>
    </row>
    <row r="1953" customHeight="1" spans="6:12">
      <c r="F1953" s="86">
        <v>43357</v>
      </c>
      <c r="G1953" s="87">
        <v>11515.2</v>
      </c>
      <c r="H1953" s="59"/>
      <c r="I1953" s="5"/>
      <c r="J1953" s="5"/>
      <c r="K1953" s="5"/>
      <c r="L1953" s="59"/>
    </row>
    <row r="1954" customHeight="1" spans="6:12">
      <c r="F1954" s="86">
        <v>43355</v>
      </c>
      <c r="G1954" s="87">
        <v>11369.9</v>
      </c>
      <c r="H1954" s="59"/>
      <c r="I1954" s="5"/>
      <c r="J1954" s="5"/>
      <c r="K1954" s="5"/>
      <c r="L1954" s="59"/>
    </row>
    <row r="1955" customHeight="1" spans="6:12">
      <c r="F1955" s="86">
        <v>43354</v>
      </c>
      <c r="G1955" s="87">
        <v>11287.5</v>
      </c>
      <c r="H1955" s="59"/>
      <c r="I1955" s="5"/>
      <c r="J1955" s="5"/>
      <c r="K1955" s="5"/>
      <c r="L1955" s="59"/>
    </row>
    <row r="1956" customHeight="1" spans="6:12">
      <c r="F1956" s="86">
        <v>43353</v>
      </c>
      <c r="G1956" s="87">
        <v>11438.1</v>
      </c>
      <c r="H1956" s="59"/>
      <c r="I1956" s="5"/>
      <c r="J1956" s="5"/>
      <c r="K1956" s="5"/>
      <c r="L1956" s="59"/>
    </row>
    <row r="1957" customHeight="1" spans="6:12">
      <c r="F1957" s="86">
        <v>43350</v>
      </c>
      <c r="G1957" s="87">
        <v>11589.1</v>
      </c>
      <c r="H1957" s="59"/>
      <c r="I1957" s="5"/>
      <c r="J1957" s="5"/>
      <c r="K1957" s="5"/>
      <c r="L1957" s="59"/>
    </row>
    <row r="1958" customHeight="1" spans="6:12">
      <c r="F1958" s="86">
        <v>43349</v>
      </c>
      <c r="G1958" s="87">
        <v>11536.9</v>
      </c>
      <c r="H1958" s="59"/>
      <c r="I1958" s="5"/>
      <c r="J1958" s="5"/>
      <c r="K1958" s="5"/>
      <c r="L1958" s="59"/>
    </row>
    <row r="1959" customHeight="1" spans="6:12">
      <c r="F1959" s="86">
        <v>43348</v>
      </c>
      <c r="G1959" s="87">
        <v>11476.95</v>
      </c>
      <c r="H1959" s="59"/>
      <c r="I1959" s="5"/>
      <c r="J1959" s="5"/>
      <c r="K1959" s="5"/>
      <c r="L1959" s="59"/>
    </row>
    <row r="1960" customHeight="1" spans="6:12">
      <c r="F1960" s="86">
        <v>43347</v>
      </c>
      <c r="G1960" s="87">
        <v>11520.3</v>
      </c>
      <c r="H1960" s="59"/>
      <c r="I1960" s="5"/>
      <c r="J1960" s="5"/>
      <c r="K1960" s="5"/>
      <c r="L1960" s="59"/>
    </row>
    <row r="1961" customHeight="1" spans="6:12">
      <c r="F1961" s="86">
        <v>43346</v>
      </c>
      <c r="G1961" s="87">
        <v>11582.35</v>
      </c>
      <c r="H1961" s="59"/>
      <c r="I1961" s="5"/>
      <c r="J1961" s="5"/>
      <c r="K1961" s="5"/>
      <c r="L1961" s="59"/>
    </row>
    <row r="1962" customHeight="1" spans="6:12">
      <c r="F1962" s="86">
        <v>43343</v>
      </c>
      <c r="G1962" s="87">
        <v>11680.5</v>
      </c>
      <c r="H1962" s="59"/>
      <c r="I1962" s="5"/>
      <c r="J1962" s="5"/>
      <c r="K1962" s="5"/>
      <c r="L1962" s="59"/>
    </row>
    <row r="1963" customHeight="1" spans="6:12">
      <c r="F1963" s="86">
        <v>43342</v>
      </c>
      <c r="G1963" s="87">
        <v>11676.8</v>
      </c>
      <c r="H1963" s="59"/>
      <c r="I1963" s="5"/>
      <c r="J1963" s="5"/>
      <c r="K1963" s="5"/>
      <c r="L1963" s="59"/>
    </row>
    <row r="1964" customHeight="1" spans="6:12">
      <c r="F1964" s="86">
        <v>43341</v>
      </c>
      <c r="G1964" s="87">
        <v>11691.9</v>
      </c>
      <c r="H1964" s="59"/>
      <c r="I1964" s="5"/>
      <c r="J1964" s="5"/>
      <c r="K1964" s="5"/>
      <c r="L1964" s="59"/>
    </row>
    <row r="1965" customHeight="1" spans="6:12">
      <c r="F1965" s="86">
        <v>43340</v>
      </c>
      <c r="G1965" s="87">
        <v>11738.5</v>
      </c>
      <c r="H1965" s="59"/>
      <c r="I1965" s="5"/>
      <c r="J1965" s="5"/>
      <c r="K1965" s="5"/>
      <c r="L1965" s="59"/>
    </row>
    <row r="1966" customHeight="1" spans="6:12">
      <c r="F1966" s="86">
        <v>43339</v>
      </c>
      <c r="G1966" s="87">
        <v>11691.95</v>
      </c>
      <c r="H1966" s="59"/>
      <c r="I1966" s="5"/>
      <c r="J1966" s="5"/>
      <c r="K1966" s="5"/>
      <c r="L1966" s="59"/>
    </row>
    <row r="1967" customHeight="1" spans="6:12">
      <c r="F1967" s="86">
        <v>43336</v>
      </c>
      <c r="G1967" s="87">
        <v>11557.1</v>
      </c>
      <c r="H1967" s="59"/>
      <c r="I1967" s="5"/>
      <c r="J1967" s="5"/>
      <c r="K1967" s="5"/>
      <c r="L1967" s="59"/>
    </row>
    <row r="1968" customHeight="1" spans="6:12">
      <c r="F1968" s="86">
        <v>43335</v>
      </c>
      <c r="G1968" s="87">
        <v>11582.75</v>
      </c>
      <c r="H1968" s="59"/>
      <c r="I1968" s="5"/>
      <c r="J1968" s="5"/>
      <c r="K1968" s="5"/>
      <c r="L1968" s="59"/>
    </row>
    <row r="1969" customHeight="1" spans="6:12">
      <c r="F1969" s="86">
        <v>43333</v>
      </c>
      <c r="G1969" s="87">
        <v>11570.9</v>
      </c>
      <c r="H1969" s="59"/>
      <c r="I1969" s="5"/>
      <c r="J1969" s="5"/>
      <c r="K1969" s="5"/>
      <c r="L1969" s="59"/>
    </row>
    <row r="1970" customHeight="1" spans="6:12">
      <c r="F1970" s="86">
        <v>43332</v>
      </c>
      <c r="G1970" s="87">
        <v>11551.75</v>
      </c>
      <c r="H1970" s="59"/>
      <c r="I1970" s="5"/>
      <c r="J1970" s="5"/>
      <c r="K1970" s="5"/>
      <c r="L1970" s="59"/>
    </row>
    <row r="1971" customHeight="1" spans="6:12">
      <c r="F1971" s="86">
        <v>43329</v>
      </c>
      <c r="G1971" s="87">
        <v>11470.75</v>
      </c>
      <c r="H1971" s="59"/>
      <c r="I1971" s="5"/>
      <c r="J1971" s="5"/>
      <c r="K1971" s="5"/>
      <c r="L1971" s="59"/>
    </row>
    <row r="1972" customHeight="1" spans="6:12">
      <c r="F1972" s="86">
        <v>43328</v>
      </c>
      <c r="G1972" s="87">
        <v>11385.05</v>
      </c>
      <c r="H1972" s="59"/>
      <c r="I1972" s="5"/>
      <c r="J1972" s="5"/>
      <c r="K1972" s="5"/>
      <c r="L1972" s="59"/>
    </row>
    <row r="1973" customHeight="1" spans="6:12">
      <c r="F1973" s="86">
        <v>43326</v>
      </c>
      <c r="G1973" s="87">
        <v>11435.1</v>
      </c>
      <c r="H1973" s="59"/>
      <c r="I1973" s="5"/>
      <c r="J1973" s="5"/>
      <c r="K1973" s="5"/>
      <c r="L1973" s="59"/>
    </row>
    <row r="1974" customHeight="1" spans="6:12">
      <c r="F1974" s="86">
        <v>43325</v>
      </c>
      <c r="G1974" s="87">
        <v>11355.75</v>
      </c>
      <c r="H1974" s="59"/>
      <c r="I1974" s="5"/>
      <c r="J1974" s="5"/>
      <c r="K1974" s="5"/>
      <c r="L1974" s="59"/>
    </row>
    <row r="1975" customHeight="1" spans="6:12">
      <c r="F1975" s="86">
        <v>43322</v>
      </c>
      <c r="G1975" s="87">
        <v>11429.5</v>
      </c>
      <c r="H1975" s="59"/>
      <c r="I1975" s="5"/>
      <c r="J1975" s="5"/>
      <c r="K1975" s="5"/>
      <c r="L1975" s="59"/>
    </row>
    <row r="1976" customHeight="1" spans="6:12">
      <c r="F1976" s="86">
        <v>43321</v>
      </c>
      <c r="G1976" s="87">
        <v>11470.7</v>
      </c>
      <c r="H1976" s="59"/>
      <c r="I1976" s="5"/>
      <c r="J1976" s="5"/>
      <c r="K1976" s="5"/>
      <c r="L1976" s="59"/>
    </row>
    <row r="1977" customHeight="1" spans="6:12">
      <c r="F1977" s="86">
        <v>43320</v>
      </c>
      <c r="G1977" s="87">
        <v>11450</v>
      </c>
      <c r="H1977" s="59"/>
      <c r="I1977" s="5"/>
      <c r="J1977" s="5"/>
      <c r="K1977" s="5"/>
      <c r="L1977" s="59"/>
    </row>
    <row r="1978" customHeight="1" spans="6:12">
      <c r="F1978" s="86">
        <v>43319</v>
      </c>
      <c r="G1978" s="87">
        <v>11389.45</v>
      </c>
      <c r="H1978" s="59"/>
      <c r="I1978" s="5"/>
      <c r="J1978" s="5"/>
      <c r="K1978" s="5"/>
      <c r="L1978" s="59"/>
    </row>
    <row r="1979" customHeight="1" spans="6:12">
      <c r="F1979" s="86">
        <v>43318</v>
      </c>
      <c r="G1979" s="87">
        <v>11387.1</v>
      </c>
      <c r="H1979" s="59"/>
      <c r="I1979" s="5"/>
      <c r="J1979" s="5"/>
      <c r="K1979" s="5"/>
      <c r="L1979" s="59"/>
    </row>
    <row r="1980" customHeight="1" spans="6:12">
      <c r="F1980" s="86">
        <v>43315</v>
      </c>
      <c r="G1980" s="87">
        <v>11360.8</v>
      </c>
      <c r="H1980" s="59"/>
      <c r="I1980" s="5"/>
      <c r="J1980" s="5"/>
      <c r="K1980" s="5"/>
      <c r="L1980" s="59"/>
    </row>
    <row r="1981" customHeight="1" spans="6:12">
      <c r="F1981" s="86">
        <v>43314</v>
      </c>
      <c r="G1981" s="87">
        <v>11244.7</v>
      </c>
      <c r="H1981" s="59"/>
      <c r="I1981" s="5"/>
      <c r="J1981" s="5"/>
      <c r="K1981" s="5"/>
      <c r="L1981" s="59"/>
    </row>
    <row r="1982" customHeight="1" spans="6:12">
      <c r="F1982" s="86">
        <v>43313</v>
      </c>
      <c r="G1982" s="87">
        <v>11346.2</v>
      </c>
      <c r="H1982" s="59"/>
      <c r="I1982" s="5"/>
      <c r="J1982" s="5"/>
      <c r="K1982" s="5"/>
      <c r="L1982" s="59"/>
    </row>
    <row r="1983" customHeight="1" spans="6:12">
      <c r="F1983" s="86">
        <v>43312</v>
      </c>
      <c r="G1983" s="87">
        <v>11356.5</v>
      </c>
      <c r="H1983" s="59"/>
      <c r="I1983" s="5"/>
      <c r="J1983" s="5"/>
      <c r="K1983" s="5"/>
      <c r="L1983" s="59"/>
    </row>
    <row r="1984" customHeight="1" spans="6:12">
      <c r="F1984" s="86">
        <v>43311</v>
      </c>
      <c r="G1984" s="87">
        <v>11319.55</v>
      </c>
      <c r="H1984" s="59"/>
      <c r="I1984" s="5"/>
      <c r="J1984" s="5"/>
      <c r="K1984" s="5"/>
      <c r="L1984" s="59"/>
    </row>
    <row r="1985" customHeight="1" spans="6:12">
      <c r="F1985" s="86">
        <v>43308</v>
      </c>
      <c r="G1985" s="87">
        <v>11278.35</v>
      </c>
      <c r="H1985" s="59"/>
      <c r="I1985" s="5"/>
      <c r="J1985" s="5"/>
      <c r="K1985" s="5"/>
      <c r="L1985" s="59"/>
    </row>
    <row r="1986" customHeight="1" spans="6:12">
      <c r="F1986" s="86">
        <v>43307</v>
      </c>
      <c r="G1986" s="87">
        <v>11167.3</v>
      </c>
      <c r="H1986" s="59"/>
      <c r="I1986" s="5"/>
      <c r="J1986" s="5"/>
      <c r="K1986" s="5"/>
      <c r="L1986" s="59"/>
    </row>
    <row r="1987" customHeight="1" spans="6:12">
      <c r="F1987" s="86">
        <v>43306</v>
      </c>
      <c r="G1987" s="87">
        <v>11132</v>
      </c>
      <c r="H1987" s="59"/>
      <c r="I1987" s="5"/>
      <c r="J1987" s="5"/>
      <c r="K1987" s="5"/>
      <c r="L1987" s="59"/>
    </row>
    <row r="1988" customHeight="1" spans="6:12">
      <c r="F1988" s="86">
        <v>43305</v>
      </c>
      <c r="G1988" s="87">
        <v>11134.3</v>
      </c>
      <c r="H1988" s="59"/>
      <c r="I1988" s="5"/>
      <c r="J1988" s="5"/>
      <c r="K1988" s="5"/>
      <c r="L1988" s="59"/>
    </row>
    <row r="1989" customHeight="1" spans="6:12">
      <c r="F1989" s="86">
        <v>43304</v>
      </c>
      <c r="G1989" s="87">
        <v>11084.75</v>
      </c>
      <c r="H1989" s="59"/>
      <c r="I1989" s="5"/>
      <c r="J1989" s="5"/>
      <c r="K1989" s="5"/>
      <c r="L1989" s="59"/>
    </row>
    <row r="1990" customHeight="1" spans="6:12">
      <c r="F1990" s="86">
        <v>43301</v>
      </c>
      <c r="G1990" s="87">
        <v>11010.2</v>
      </c>
      <c r="H1990" s="59"/>
      <c r="I1990" s="5"/>
      <c r="J1990" s="5"/>
      <c r="K1990" s="5"/>
      <c r="L1990" s="59"/>
    </row>
    <row r="1991" customHeight="1" spans="6:12">
      <c r="F1991" s="86">
        <v>43300</v>
      </c>
      <c r="G1991" s="87">
        <v>10957.1</v>
      </c>
      <c r="H1991" s="59"/>
      <c r="I1991" s="5"/>
      <c r="J1991" s="5"/>
      <c r="K1991" s="5"/>
      <c r="L1991" s="59"/>
    </row>
    <row r="1992" customHeight="1" spans="6:12">
      <c r="F1992" s="86">
        <v>43299</v>
      </c>
      <c r="G1992" s="87">
        <v>10980.45</v>
      </c>
      <c r="H1992" s="59"/>
      <c r="I1992" s="5"/>
      <c r="J1992" s="5"/>
      <c r="K1992" s="5"/>
      <c r="L1992" s="59"/>
    </row>
    <row r="1993" customHeight="1" spans="6:12">
      <c r="F1993" s="86">
        <v>43298</v>
      </c>
      <c r="G1993" s="87">
        <v>11008.05</v>
      </c>
      <c r="H1993" s="59"/>
      <c r="I1993" s="5"/>
      <c r="J1993" s="5"/>
      <c r="K1993" s="5"/>
      <c r="L1993" s="59"/>
    </row>
    <row r="1994" customHeight="1" spans="6:12">
      <c r="F1994" s="86">
        <v>43297</v>
      </c>
      <c r="G1994" s="87">
        <v>10936.85</v>
      </c>
      <c r="H1994" s="59"/>
      <c r="I1994" s="5"/>
      <c r="J1994" s="5"/>
      <c r="K1994" s="5"/>
      <c r="L1994" s="59"/>
    </row>
    <row r="1995" customHeight="1" spans="6:12">
      <c r="F1995" s="86">
        <v>43294</v>
      </c>
      <c r="G1995" s="87">
        <v>11018.9</v>
      </c>
      <c r="H1995" s="59"/>
      <c r="I1995" s="5"/>
      <c r="J1995" s="5"/>
      <c r="K1995" s="5"/>
      <c r="L1995" s="59"/>
    </row>
    <row r="1996" customHeight="1" spans="6:12">
      <c r="F1996" s="86">
        <v>43293</v>
      </c>
      <c r="G1996" s="87">
        <v>11023.2</v>
      </c>
      <c r="H1996" s="59"/>
      <c r="I1996" s="5"/>
      <c r="J1996" s="5"/>
      <c r="K1996" s="5"/>
      <c r="L1996" s="59"/>
    </row>
    <row r="1997" customHeight="1" spans="6:12">
      <c r="F1997" s="86">
        <v>43292</v>
      </c>
      <c r="G1997" s="87">
        <v>10948.3</v>
      </c>
      <c r="H1997" s="59"/>
      <c r="I1997" s="5"/>
      <c r="J1997" s="5"/>
      <c r="K1997" s="5"/>
      <c r="L1997" s="59"/>
    </row>
    <row r="1998" customHeight="1" spans="6:12">
      <c r="F1998" s="86">
        <v>43291</v>
      </c>
      <c r="G1998" s="87">
        <v>10947.25</v>
      </c>
      <c r="H1998" s="59"/>
      <c r="I1998" s="5"/>
      <c r="J1998" s="5"/>
      <c r="K1998" s="5"/>
      <c r="L1998" s="59"/>
    </row>
    <row r="1999" customHeight="1" spans="6:12">
      <c r="F1999" s="86">
        <v>43290</v>
      </c>
      <c r="G1999" s="87">
        <v>10852.9</v>
      </c>
      <c r="H1999" s="59"/>
      <c r="I1999" s="5"/>
      <c r="J1999" s="5"/>
      <c r="K1999" s="5"/>
      <c r="L1999" s="59"/>
    </row>
    <row r="2000" customHeight="1" spans="6:12">
      <c r="F2000" s="86">
        <v>43287</v>
      </c>
      <c r="G2000" s="87">
        <v>10772.65</v>
      </c>
      <c r="H2000" s="59"/>
      <c r="I2000" s="5"/>
      <c r="J2000" s="5"/>
      <c r="K2000" s="5"/>
      <c r="L2000" s="59"/>
    </row>
    <row r="2001" customHeight="1" spans="6:12">
      <c r="F2001" s="86">
        <v>43286</v>
      </c>
      <c r="G2001" s="87">
        <v>10749.75</v>
      </c>
      <c r="H2001" s="59"/>
      <c r="I2001" s="5"/>
      <c r="J2001" s="5"/>
      <c r="K2001" s="5"/>
      <c r="L2001" s="59"/>
    </row>
    <row r="2002" customHeight="1" spans="6:12">
      <c r="F2002" s="86">
        <v>43285</v>
      </c>
      <c r="G2002" s="87">
        <v>10769.9</v>
      </c>
      <c r="H2002" s="59"/>
      <c r="I2002" s="5"/>
      <c r="J2002" s="5"/>
      <c r="K2002" s="5"/>
      <c r="L2002" s="59"/>
    </row>
    <row r="2003" customHeight="1" spans="6:12">
      <c r="F2003" s="86">
        <v>43284</v>
      </c>
      <c r="G2003" s="87">
        <v>10699.9</v>
      </c>
      <c r="H2003" s="59"/>
      <c r="I2003" s="5"/>
      <c r="J2003" s="5"/>
      <c r="K2003" s="5"/>
      <c r="L2003" s="59"/>
    </row>
    <row r="2004" customHeight="1" spans="6:12">
      <c r="F2004" s="86">
        <v>43283</v>
      </c>
      <c r="G2004" s="87">
        <v>10657.3</v>
      </c>
      <c r="H2004" s="59"/>
      <c r="I2004" s="5"/>
      <c r="J2004" s="5"/>
      <c r="K2004" s="5"/>
      <c r="L2004" s="59"/>
    </row>
    <row r="2005" customHeight="1" spans="6:12">
      <c r="F2005" s="86">
        <v>43280</v>
      </c>
      <c r="G2005" s="87">
        <v>10714.3</v>
      </c>
      <c r="H2005" s="59"/>
      <c r="I2005" s="5"/>
      <c r="J2005" s="5"/>
      <c r="K2005" s="5"/>
      <c r="L2005" s="59"/>
    </row>
    <row r="2006" customHeight="1" spans="6:12">
      <c r="F2006" s="86">
        <v>43279</v>
      </c>
      <c r="G2006" s="87">
        <v>10589.1</v>
      </c>
      <c r="H2006" s="59"/>
      <c r="I2006" s="5"/>
      <c r="J2006" s="5"/>
      <c r="K2006" s="5"/>
      <c r="L2006" s="59"/>
    </row>
    <row r="2007" customHeight="1" spans="6:12">
      <c r="F2007" s="86">
        <v>43278</v>
      </c>
      <c r="G2007" s="87">
        <v>10671.4</v>
      </c>
      <c r="H2007" s="59"/>
      <c r="I2007" s="5"/>
      <c r="J2007" s="5"/>
      <c r="K2007" s="5"/>
      <c r="L2007" s="59"/>
    </row>
    <row r="2008" customHeight="1" spans="6:12">
      <c r="F2008" s="86">
        <v>43277</v>
      </c>
      <c r="G2008" s="87">
        <v>10769.15</v>
      </c>
      <c r="H2008" s="59"/>
      <c r="I2008" s="5"/>
      <c r="J2008" s="5"/>
      <c r="K2008" s="5"/>
      <c r="L2008" s="59"/>
    </row>
    <row r="2009" customHeight="1" spans="6:12">
      <c r="F2009" s="86">
        <v>43276</v>
      </c>
      <c r="G2009" s="87">
        <v>10762.45</v>
      </c>
      <c r="H2009" s="59"/>
      <c r="I2009" s="5"/>
      <c r="J2009" s="5"/>
      <c r="K2009" s="5"/>
      <c r="L2009" s="59"/>
    </row>
    <row r="2010" customHeight="1" spans="6:12">
      <c r="F2010" s="86">
        <v>43273</v>
      </c>
      <c r="G2010" s="87">
        <v>10821.85</v>
      </c>
      <c r="H2010" s="59"/>
      <c r="I2010" s="5"/>
      <c r="J2010" s="5"/>
      <c r="K2010" s="5"/>
      <c r="L2010" s="59"/>
    </row>
    <row r="2011" customHeight="1" spans="6:12">
      <c r="F2011" s="86">
        <v>43272</v>
      </c>
      <c r="G2011" s="87">
        <v>10741.1</v>
      </c>
      <c r="H2011" s="59"/>
      <c r="I2011" s="5"/>
      <c r="J2011" s="5"/>
      <c r="K2011" s="5"/>
      <c r="L2011" s="59"/>
    </row>
    <row r="2012" customHeight="1" spans="6:12">
      <c r="F2012" s="86">
        <v>43271</v>
      </c>
      <c r="G2012" s="87">
        <v>10772.05</v>
      </c>
      <c r="H2012" s="59"/>
      <c r="I2012" s="5"/>
      <c r="J2012" s="5"/>
      <c r="K2012" s="5"/>
      <c r="L2012" s="59"/>
    </row>
    <row r="2013" customHeight="1" spans="6:12">
      <c r="F2013" s="86">
        <v>43270</v>
      </c>
      <c r="G2013" s="87">
        <v>10710.45</v>
      </c>
      <c r="H2013" s="59"/>
      <c r="I2013" s="5"/>
      <c r="J2013" s="5"/>
      <c r="K2013" s="5"/>
      <c r="L2013" s="59"/>
    </row>
    <row r="2014" customHeight="1" spans="6:12">
      <c r="F2014" s="86">
        <v>43269</v>
      </c>
      <c r="G2014" s="87">
        <v>10799.85</v>
      </c>
      <c r="H2014" s="59"/>
      <c r="I2014" s="5"/>
      <c r="J2014" s="5"/>
      <c r="K2014" s="5"/>
      <c r="L2014" s="59"/>
    </row>
    <row r="2015" customHeight="1" spans="6:12">
      <c r="F2015" s="86">
        <v>43266</v>
      </c>
      <c r="G2015" s="87">
        <v>10817.7</v>
      </c>
      <c r="H2015" s="59"/>
      <c r="I2015" s="5"/>
      <c r="J2015" s="5"/>
      <c r="K2015" s="5"/>
      <c r="L2015" s="59"/>
    </row>
    <row r="2016" customHeight="1" spans="6:12">
      <c r="F2016" s="86">
        <v>43265</v>
      </c>
      <c r="G2016" s="87">
        <v>10808.05</v>
      </c>
      <c r="H2016" s="59"/>
      <c r="I2016" s="5"/>
      <c r="J2016" s="5"/>
      <c r="K2016" s="5"/>
      <c r="L2016" s="59"/>
    </row>
    <row r="2017" customHeight="1" spans="6:12">
      <c r="F2017" s="86">
        <v>43264</v>
      </c>
      <c r="G2017" s="87">
        <v>10856.7</v>
      </c>
      <c r="H2017" s="59"/>
      <c r="I2017" s="5"/>
      <c r="J2017" s="5"/>
      <c r="K2017" s="5"/>
      <c r="L2017" s="59"/>
    </row>
    <row r="2018" customHeight="1" spans="6:12">
      <c r="F2018" s="86">
        <v>43263</v>
      </c>
      <c r="G2018" s="87">
        <v>10842.85</v>
      </c>
      <c r="H2018" s="59"/>
      <c r="I2018" s="5"/>
      <c r="J2018" s="5"/>
      <c r="K2018" s="5"/>
      <c r="L2018" s="59"/>
    </row>
    <row r="2019" customHeight="1" spans="6:12">
      <c r="F2019" s="86">
        <v>43262</v>
      </c>
      <c r="G2019" s="87">
        <v>10786.95</v>
      </c>
      <c r="H2019" s="59"/>
      <c r="I2019" s="5"/>
      <c r="J2019" s="5"/>
      <c r="K2019" s="5"/>
      <c r="L2019" s="59"/>
    </row>
    <row r="2020" customHeight="1" spans="6:12">
      <c r="F2020" s="86">
        <v>43259</v>
      </c>
      <c r="G2020" s="87">
        <v>10767.65</v>
      </c>
      <c r="H2020" s="59"/>
      <c r="I2020" s="5"/>
      <c r="J2020" s="5"/>
      <c r="K2020" s="5"/>
      <c r="L2020" s="59"/>
    </row>
    <row r="2021" customHeight="1" spans="6:12">
      <c r="F2021" s="86">
        <v>43258</v>
      </c>
      <c r="G2021" s="87">
        <v>10768.35</v>
      </c>
      <c r="H2021" s="59"/>
      <c r="I2021" s="5"/>
      <c r="J2021" s="5"/>
      <c r="K2021" s="5"/>
      <c r="L2021" s="59"/>
    </row>
    <row r="2022" customHeight="1" spans="6:12">
      <c r="F2022" s="86">
        <v>43257</v>
      </c>
      <c r="G2022" s="87">
        <v>10684.65</v>
      </c>
      <c r="H2022" s="59"/>
      <c r="I2022" s="5"/>
      <c r="J2022" s="5"/>
      <c r="K2022" s="5"/>
      <c r="L2022" s="59"/>
    </row>
    <row r="2023" customHeight="1" spans="6:12">
      <c r="F2023" s="86">
        <v>43256</v>
      </c>
      <c r="G2023" s="87">
        <v>10593.15</v>
      </c>
      <c r="H2023" s="59"/>
      <c r="I2023" s="5"/>
      <c r="J2023" s="5"/>
      <c r="K2023" s="5"/>
      <c r="L2023" s="59"/>
    </row>
    <row r="2024" customHeight="1" spans="6:12">
      <c r="F2024" s="86">
        <v>43255</v>
      </c>
      <c r="G2024" s="87">
        <v>10628.5</v>
      </c>
      <c r="H2024" s="59"/>
      <c r="I2024" s="5"/>
      <c r="J2024" s="5"/>
      <c r="K2024" s="5"/>
      <c r="L2024" s="59"/>
    </row>
    <row r="2025" customHeight="1" spans="6:12">
      <c r="F2025" s="86">
        <v>43252</v>
      </c>
      <c r="G2025" s="87">
        <v>10696.2</v>
      </c>
      <c r="H2025" s="59"/>
      <c r="I2025" s="5"/>
      <c r="J2025" s="5"/>
      <c r="K2025" s="5"/>
      <c r="L2025" s="59"/>
    </row>
    <row r="2026" customHeight="1" spans="6:12">
      <c r="F2026" s="86">
        <v>43251</v>
      </c>
      <c r="G2026" s="87">
        <v>10736.15</v>
      </c>
      <c r="H2026" s="59"/>
      <c r="I2026" s="5"/>
      <c r="J2026" s="5"/>
      <c r="K2026" s="5"/>
      <c r="L2026" s="59"/>
    </row>
    <row r="2027" customHeight="1" spans="6:12">
      <c r="F2027" s="86">
        <v>43250</v>
      </c>
      <c r="G2027" s="87">
        <v>10614.35</v>
      </c>
      <c r="H2027" s="59"/>
      <c r="I2027" s="5"/>
      <c r="J2027" s="5"/>
      <c r="K2027" s="5"/>
      <c r="L2027" s="59"/>
    </row>
    <row r="2028" customHeight="1" spans="6:12">
      <c r="F2028" s="86">
        <v>43249</v>
      </c>
      <c r="G2028" s="87">
        <v>10633.3</v>
      </c>
      <c r="H2028" s="59"/>
      <c r="I2028" s="5"/>
      <c r="J2028" s="5"/>
      <c r="K2028" s="5"/>
      <c r="L2028" s="59"/>
    </row>
    <row r="2029" customHeight="1" spans="6:12">
      <c r="F2029" s="86">
        <v>43248</v>
      </c>
      <c r="G2029" s="87">
        <v>10688.65</v>
      </c>
      <c r="H2029" s="59"/>
      <c r="I2029" s="5"/>
      <c r="J2029" s="5"/>
      <c r="K2029" s="5"/>
      <c r="L2029" s="59"/>
    </row>
    <row r="2030" customHeight="1" spans="6:12">
      <c r="F2030" s="86">
        <v>43245</v>
      </c>
      <c r="G2030" s="87">
        <v>10605.15</v>
      </c>
      <c r="H2030" s="59"/>
      <c r="I2030" s="5"/>
      <c r="J2030" s="5"/>
      <c r="K2030" s="5"/>
      <c r="L2030" s="59"/>
    </row>
    <row r="2031" customHeight="1" spans="6:12">
      <c r="F2031" s="86">
        <v>43244</v>
      </c>
      <c r="G2031" s="87">
        <v>10513.85</v>
      </c>
      <c r="H2031" s="59"/>
      <c r="I2031" s="5"/>
      <c r="J2031" s="5"/>
      <c r="K2031" s="5"/>
      <c r="L2031" s="59"/>
    </row>
    <row r="2032" customHeight="1" spans="6:12">
      <c r="F2032" s="86">
        <v>43243</v>
      </c>
      <c r="G2032" s="87">
        <v>10430.35</v>
      </c>
      <c r="H2032" s="59"/>
      <c r="I2032" s="5"/>
      <c r="J2032" s="5"/>
      <c r="K2032" s="5"/>
      <c r="L2032" s="59"/>
    </row>
    <row r="2033" customHeight="1" spans="6:12">
      <c r="F2033" s="86">
        <v>43242</v>
      </c>
      <c r="G2033" s="87">
        <v>10536.7</v>
      </c>
      <c r="H2033" s="59"/>
      <c r="I2033" s="5"/>
      <c r="J2033" s="5"/>
      <c r="K2033" s="5"/>
      <c r="L2033" s="59"/>
    </row>
    <row r="2034" customHeight="1" spans="6:12">
      <c r="F2034" s="86">
        <v>43241</v>
      </c>
      <c r="G2034" s="87">
        <v>10516.7</v>
      </c>
      <c r="H2034" s="59"/>
      <c r="I2034" s="5"/>
      <c r="J2034" s="5"/>
      <c r="K2034" s="5"/>
      <c r="L2034" s="59"/>
    </row>
    <row r="2035" customHeight="1" spans="6:12">
      <c r="F2035" s="86">
        <v>43238</v>
      </c>
      <c r="G2035" s="87">
        <v>10596.4</v>
      </c>
      <c r="H2035" s="59"/>
      <c r="I2035" s="5"/>
      <c r="J2035" s="5"/>
      <c r="K2035" s="5"/>
      <c r="L2035" s="59"/>
    </row>
    <row r="2036" customHeight="1" spans="6:12">
      <c r="F2036" s="86">
        <v>43237</v>
      </c>
      <c r="G2036" s="87">
        <v>10682.7</v>
      </c>
      <c r="H2036" s="59"/>
      <c r="I2036" s="5"/>
      <c r="J2036" s="5"/>
      <c r="K2036" s="5"/>
      <c r="L2036" s="59"/>
    </row>
    <row r="2037" customHeight="1" spans="6:12">
      <c r="F2037" s="86">
        <v>43236</v>
      </c>
      <c r="G2037" s="87">
        <v>10741.1</v>
      </c>
      <c r="H2037" s="59"/>
      <c r="I2037" s="5"/>
      <c r="J2037" s="5"/>
      <c r="K2037" s="5"/>
      <c r="L2037" s="59"/>
    </row>
    <row r="2038" customHeight="1" spans="6:12">
      <c r="F2038" s="86">
        <v>43235</v>
      </c>
      <c r="G2038" s="87">
        <v>10801.85</v>
      </c>
      <c r="H2038" s="59"/>
      <c r="I2038" s="5"/>
      <c r="J2038" s="5"/>
      <c r="K2038" s="5"/>
      <c r="L2038" s="59"/>
    </row>
    <row r="2039" customHeight="1" spans="6:12">
      <c r="F2039" s="86">
        <v>43234</v>
      </c>
      <c r="G2039" s="87">
        <v>10806.6</v>
      </c>
      <c r="H2039" s="59"/>
      <c r="I2039" s="5"/>
      <c r="J2039" s="5"/>
      <c r="K2039" s="5"/>
      <c r="L2039" s="59"/>
    </row>
    <row r="2040" customHeight="1" spans="6:12">
      <c r="F2040" s="86">
        <v>43231</v>
      </c>
      <c r="G2040" s="87">
        <v>10806.5</v>
      </c>
      <c r="H2040" s="59"/>
      <c r="I2040" s="5"/>
      <c r="J2040" s="5"/>
      <c r="K2040" s="5"/>
      <c r="L2040" s="59"/>
    </row>
    <row r="2041" customHeight="1" spans="6:12">
      <c r="F2041" s="86">
        <v>43230</v>
      </c>
      <c r="G2041" s="87">
        <v>10716.55</v>
      </c>
      <c r="H2041" s="59"/>
      <c r="I2041" s="5"/>
      <c r="J2041" s="5"/>
      <c r="K2041" s="5"/>
      <c r="L2041" s="59"/>
    </row>
    <row r="2042" customHeight="1" spans="6:12">
      <c r="F2042" s="86">
        <v>43229</v>
      </c>
      <c r="G2042" s="87">
        <v>10741.7</v>
      </c>
      <c r="H2042" s="59"/>
      <c r="I2042" s="5"/>
      <c r="J2042" s="5"/>
      <c r="K2042" s="5"/>
      <c r="L2042" s="59"/>
    </row>
    <row r="2043" customHeight="1" spans="6:12">
      <c r="F2043" s="86">
        <v>43228</v>
      </c>
      <c r="G2043" s="87">
        <v>10717.8</v>
      </c>
      <c r="H2043" s="59"/>
      <c r="I2043" s="5"/>
      <c r="J2043" s="5"/>
      <c r="K2043" s="5"/>
      <c r="L2043" s="59"/>
    </row>
    <row r="2044" customHeight="1" spans="6:12">
      <c r="F2044" s="86">
        <v>43227</v>
      </c>
      <c r="G2044" s="87">
        <v>10715.5</v>
      </c>
      <c r="H2044" s="59"/>
      <c r="I2044" s="5"/>
      <c r="J2044" s="5"/>
      <c r="K2044" s="5"/>
      <c r="L2044" s="59"/>
    </row>
    <row r="2045" customHeight="1" spans="6:12">
      <c r="F2045" s="86">
        <v>43224</v>
      </c>
      <c r="G2045" s="87">
        <v>10618.25</v>
      </c>
      <c r="H2045" s="59"/>
      <c r="I2045" s="5"/>
      <c r="J2045" s="5"/>
      <c r="K2045" s="5"/>
      <c r="L2045" s="59"/>
    </row>
    <row r="2046" customHeight="1" spans="6:12">
      <c r="F2046" s="86">
        <v>43223</v>
      </c>
      <c r="G2046" s="87">
        <v>10679.65</v>
      </c>
      <c r="H2046" s="59"/>
      <c r="I2046" s="5"/>
      <c r="J2046" s="5"/>
      <c r="K2046" s="5"/>
      <c r="L2046" s="59"/>
    </row>
    <row r="2047" customHeight="1" spans="6:12">
      <c r="F2047" s="86">
        <v>43222</v>
      </c>
      <c r="G2047" s="87">
        <v>10718.05</v>
      </c>
      <c r="H2047" s="59"/>
      <c r="I2047" s="5"/>
      <c r="J2047" s="5"/>
      <c r="K2047" s="5"/>
      <c r="L2047" s="59"/>
    </row>
    <row r="2048" customHeight="1" spans="6:12">
      <c r="F2048" s="86">
        <v>43220</v>
      </c>
      <c r="G2048" s="87">
        <v>10739.35</v>
      </c>
      <c r="H2048" s="59"/>
      <c r="I2048" s="5"/>
      <c r="J2048" s="5"/>
      <c r="K2048" s="5"/>
      <c r="L2048" s="59"/>
    </row>
    <row r="2049" customHeight="1" spans="6:12">
      <c r="F2049" s="86">
        <v>43217</v>
      </c>
      <c r="G2049" s="87">
        <v>10692.3</v>
      </c>
      <c r="H2049" s="59"/>
      <c r="I2049" s="5"/>
      <c r="J2049" s="5"/>
      <c r="K2049" s="5"/>
      <c r="L2049" s="59"/>
    </row>
    <row r="2050" customHeight="1" spans="6:12">
      <c r="F2050" s="86">
        <v>43216</v>
      </c>
      <c r="G2050" s="87">
        <v>10617.8</v>
      </c>
      <c r="H2050" s="59"/>
      <c r="I2050" s="5"/>
      <c r="J2050" s="5"/>
      <c r="K2050" s="5"/>
      <c r="L2050" s="59"/>
    </row>
    <row r="2051" customHeight="1" spans="6:12">
      <c r="F2051" s="86">
        <v>43215</v>
      </c>
      <c r="G2051" s="87">
        <v>10570.55</v>
      </c>
      <c r="H2051" s="59"/>
      <c r="I2051" s="5"/>
      <c r="J2051" s="5"/>
      <c r="K2051" s="5"/>
      <c r="L2051" s="59"/>
    </row>
    <row r="2052" customHeight="1" spans="6:12">
      <c r="F2052" s="86">
        <v>43214</v>
      </c>
      <c r="G2052" s="87">
        <v>10614.35</v>
      </c>
      <c r="H2052" s="59"/>
      <c r="I2052" s="5"/>
      <c r="J2052" s="5"/>
      <c r="K2052" s="5"/>
      <c r="L2052" s="59"/>
    </row>
    <row r="2053" customHeight="1" spans="6:12">
      <c r="F2053" s="86">
        <v>43213</v>
      </c>
      <c r="G2053" s="87">
        <v>10584.7</v>
      </c>
      <c r="H2053" s="59"/>
      <c r="I2053" s="5"/>
      <c r="J2053" s="5"/>
      <c r="K2053" s="5"/>
      <c r="L2053" s="59"/>
    </row>
    <row r="2054" customHeight="1" spans="6:12">
      <c r="F2054" s="86">
        <v>43210</v>
      </c>
      <c r="G2054" s="87">
        <v>10564.05</v>
      </c>
      <c r="H2054" s="59"/>
      <c r="I2054" s="5"/>
      <c r="J2054" s="5"/>
      <c r="K2054" s="5"/>
      <c r="L2054" s="59"/>
    </row>
    <row r="2055" customHeight="1" spans="6:12">
      <c r="F2055" s="86">
        <v>43209</v>
      </c>
      <c r="G2055" s="87">
        <v>10565.3</v>
      </c>
      <c r="H2055" s="59"/>
      <c r="I2055" s="5"/>
      <c r="J2055" s="5"/>
      <c r="K2055" s="5"/>
      <c r="L2055" s="59"/>
    </row>
    <row r="2056" customHeight="1" spans="6:12">
      <c r="F2056" s="86">
        <v>43208</v>
      </c>
      <c r="G2056" s="87">
        <v>10526.2</v>
      </c>
      <c r="H2056" s="59"/>
      <c r="I2056" s="5"/>
      <c r="J2056" s="5"/>
      <c r="K2056" s="5"/>
      <c r="L2056" s="59"/>
    </row>
    <row r="2057" customHeight="1" spans="6:12">
      <c r="F2057" s="86">
        <v>43207</v>
      </c>
      <c r="G2057" s="87">
        <v>10548.7</v>
      </c>
      <c r="H2057" s="59"/>
      <c r="I2057" s="5"/>
      <c r="J2057" s="5"/>
      <c r="K2057" s="5"/>
      <c r="L2057" s="59"/>
    </row>
    <row r="2058" customHeight="1" spans="6:12">
      <c r="F2058" s="86">
        <v>43206</v>
      </c>
      <c r="G2058" s="87">
        <v>10528.35</v>
      </c>
      <c r="H2058" s="59"/>
      <c r="I2058" s="5"/>
      <c r="J2058" s="5"/>
      <c r="K2058" s="5"/>
      <c r="L2058" s="59"/>
    </row>
    <row r="2059" customHeight="1" spans="6:12">
      <c r="F2059" s="86">
        <v>43203</v>
      </c>
      <c r="G2059" s="87">
        <v>10480.6</v>
      </c>
      <c r="H2059" s="59"/>
      <c r="I2059" s="5"/>
      <c r="J2059" s="5"/>
      <c r="K2059" s="5"/>
      <c r="L2059" s="59"/>
    </row>
    <row r="2060" customHeight="1" spans="6:12">
      <c r="F2060" s="86">
        <v>43202</v>
      </c>
      <c r="G2060" s="87">
        <v>10458.65</v>
      </c>
      <c r="H2060" s="59"/>
      <c r="I2060" s="5"/>
      <c r="J2060" s="5"/>
      <c r="K2060" s="5"/>
      <c r="L2060" s="59"/>
    </row>
    <row r="2061" customHeight="1" spans="6:12">
      <c r="F2061" s="86">
        <v>43201</v>
      </c>
      <c r="G2061" s="87">
        <v>10417.15</v>
      </c>
      <c r="H2061" s="59"/>
      <c r="I2061" s="5"/>
      <c r="J2061" s="5"/>
      <c r="K2061" s="5"/>
      <c r="L2061" s="59"/>
    </row>
    <row r="2062" customHeight="1" spans="6:12">
      <c r="F2062" s="86">
        <v>43200</v>
      </c>
      <c r="G2062" s="87">
        <v>10402.25</v>
      </c>
      <c r="H2062" s="59"/>
      <c r="I2062" s="5"/>
      <c r="J2062" s="5"/>
      <c r="K2062" s="5"/>
      <c r="L2062" s="59"/>
    </row>
    <row r="2063" customHeight="1" spans="6:12">
      <c r="F2063" s="86">
        <v>43199</v>
      </c>
      <c r="G2063" s="87">
        <v>10379.35</v>
      </c>
      <c r="H2063" s="59"/>
      <c r="I2063" s="5"/>
      <c r="J2063" s="5"/>
      <c r="K2063" s="5"/>
      <c r="L2063" s="59"/>
    </row>
    <row r="2064" customHeight="1" spans="6:12">
      <c r="F2064" s="86">
        <v>43196</v>
      </c>
      <c r="G2064" s="87">
        <v>10331.6</v>
      </c>
      <c r="H2064" s="59"/>
      <c r="I2064" s="5"/>
      <c r="J2064" s="5"/>
      <c r="K2064" s="5"/>
      <c r="L2064" s="59"/>
    </row>
    <row r="2065" customHeight="1" spans="6:12">
      <c r="F2065" s="86">
        <v>43195</v>
      </c>
      <c r="G2065" s="87">
        <v>10325.15</v>
      </c>
      <c r="H2065" s="59"/>
      <c r="I2065" s="5"/>
      <c r="J2065" s="5"/>
      <c r="K2065" s="5"/>
      <c r="L2065" s="59"/>
    </row>
    <row r="2066" customHeight="1" spans="6:12">
      <c r="F2066" s="86">
        <v>43194</v>
      </c>
      <c r="G2066" s="87">
        <v>10128.4</v>
      </c>
      <c r="H2066" s="59"/>
      <c r="I2066" s="5"/>
      <c r="J2066" s="5"/>
      <c r="K2066" s="5"/>
      <c r="L2066" s="59"/>
    </row>
    <row r="2067" customHeight="1" spans="6:12">
      <c r="F2067" s="86">
        <v>43193</v>
      </c>
      <c r="G2067" s="87">
        <v>10245</v>
      </c>
      <c r="H2067" s="59"/>
      <c r="I2067" s="5"/>
      <c r="J2067" s="5"/>
      <c r="K2067" s="5"/>
      <c r="L2067" s="59"/>
    </row>
    <row r="2068" customHeight="1" spans="6:12">
      <c r="F2068" s="86">
        <v>43192</v>
      </c>
      <c r="G2068" s="87">
        <v>10211.8</v>
      </c>
      <c r="H2068" s="59"/>
      <c r="I2068" s="5"/>
      <c r="J2068" s="5"/>
      <c r="K2068" s="5"/>
      <c r="L2068" s="59"/>
    </row>
    <row r="2069" customHeight="1" spans="6:12">
      <c r="F2069" s="86">
        <v>43187</v>
      </c>
      <c r="G2069" s="87">
        <v>10113.7</v>
      </c>
      <c r="H2069" s="59"/>
      <c r="I2069" s="5"/>
      <c r="J2069" s="5"/>
      <c r="K2069" s="5"/>
      <c r="L2069" s="59"/>
    </row>
    <row r="2070" customHeight="1" spans="6:12">
      <c r="F2070" s="86">
        <v>43186</v>
      </c>
      <c r="G2070" s="87">
        <v>10184.15</v>
      </c>
      <c r="H2070" s="59"/>
      <c r="I2070" s="5"/>
      <c r="J2070" s="5"/>
      <c r="K2070" s="5"/>
      <c r="L2070" s="59"/>
    </row>
    <row r="2071" customHeight="1" spans="6:12">
      <c r="F2071" s="86">
        <v>43185</v>
      </c>
      <c r="G2071" s="87">
        <v>10130.65</v>
      </c>
      <c r="H2071" s="59"/>
      <c r="I2071" s="5"/>
      <c r="J2071" s="5"/>
      <c r="K2071" s="5"/>
      <c r="L2071" s="59"/>
    </row>
    <row r="2072" customHeight="1" spans="6:12">
      <c r="F2072" s="86">
        <v>43182</v>
      </c>
      <c r="G2072" s="87">
        <v>9998.05</v>
      </c>
      <c r="H2072" s="59"/>
      <c r="I2072" s="5"/>
      <c r="J2072" s="5"/>
      <c r="K2072" s="5"/>
      <c r="L2072" s="59"/>
    </row>
    <row r="2073" customHeight="1" spans="6:12">
      <c r="F2073" s="86">
        <v>43181</v>
      </c>
      <c r="G2073" s="87">
        <v>10114.75</v>
      </c>
      <c r="H2073" s="59"/>
      <c r="I2073" s="5"/>
      <c r="J2073" s="5"/>
      <c r="K2073" s="5"/>
      <c r="L2073" s="59"/>
    </row>
    <row r="2074" customHeight="1" spans="6:12">
      <c r="F2074" s="86">
        <v>43180</v>
      </c>
      <c r="G2074" s="87">
        <v>10155.25</v>
      </c>
      <c r="H2074" s="59"/>
      <c r="I2074" s="5"/>
      <c r="J2074" s="5"/>
      <c r="K2074" s="5"/>
      <c r="L2074" s="59"/>
    </row>
    <row r="2075" customHeight="1" spans="6:12">
      <c r="F2075" s="86">
        <v>43179</v>
      </c>
      <c r="G2075" s="87">
        <v>10124.35</v>
      </c>
      <c r="H2075" s="59"/>
      <c r="I2075" s="5"/>
      <c r="J2075" s="5"/>
      <c r="K2075" s="5"/>
      <c r="L2075" s="59"/>
    </row>
    <row r="2076" customHeight="1" spans="6:12">
      <c r="F2076" s="86">
        <v>43178</v>
      </c>
      <c r="G2076" s="87">
        <v>10094.25</v>
      </c>
      <c r="H2076" s="59"/>
      <c r="I2076" s="5"/>
      <c r="J2076" s="5"/>
      <c r="K2076" s="5"/>
      <c r="L2076" s="59"/>
    </row>
    <row r="2077" customHeight="1" spans="6:12">
      <c r="F2077" s="86">
        <v>43175</v>
      </c>
      <c r="G2077" s="87">
        <v>10195.15</v>
      </c>
      <c r="H2077" s="59"/>
      <c r="I2077" s="5"/>
      <c r="J2077" s="5"/>
      <c r="K2077" s="5"/>
      <c r="L2077" s="59"/>
    </row>
    <row r="2078" customHeight="1" spans="6:12">
      <c r="F2078" s="86">
        <v>43174</v>
      </c>
      <c r="G2078" s="87">
        <v>10360.15</v>
      </c>
      <c r="H2078" s="59"/>
      <c r="I2078" s="5"/>
      <c r="J2078" s="5"/>
      <c r="K2078" s="5"/>
      <c r="L2078" s="59"/>
    </row>
    <row r="2079" customHeight="1" spans="6:12">
      <c r="F2079" s="86">
        <v>43173</v>
      </c>
      <c r="G2079" s="87">
        <v>10410.9</v>
      </c>
      <c r="H2079" s="59"/>
      <c r="I2079" s="5"/>
      <c r="J2079" s="5"/>
      <c r="K2079" s="5"/>
      <c r="L2079" s="59"/>
    </row>
    <row r="2080" customHeight="1" spans="6:12">
      <c r="F2080" s="86">
        <v>43172</v>
      </c>
      <c r="G2080" s="87">
        <v>10426.85</v>
      </c>
      <c r="H2080" s="59"/>
      <c r="I2080" s="5"/>
      <c r="J2080" s="5"/>
      <c r="K2080" s="5"/>
      <c r="L2080" s="59"/>
    </row>
    <row r="2081" customHeight="1" spans="6:12">
      <c r="F2081" s="86">
        <v>43171</v>
      </c>
      <c r="G2081" s="87">
        <v>10421.4</v>
      </c>
      <c r="H2081" s="59"/>
      <c r="I2081" s="5"/>
      <c r="J2081" s="5"/>
      <c r="K2081" s="5"/>
      <c r="L2081" s="59"/>
    </row>
    <row r="2082" customHeight="1" spans="6:12">
      <c r="F2082" s="86">
        <v>43168</v>
      </c>
      <c r="G2082" s="87">
        <v>10226.85</v>
      </c>
      <c r="H2082" s="59"/>
      <c r="I2082" s="5"/>
      <c r="J2082" s="5"/>
      <c r="K2082" s="5"/>
      <c r="L2082" s="59"/>
    </row>
    <row r="2083" customHeight="1" spans="6:12">
      <c r="F2083" s="86">
        <v>43167</v>
      </c>
      <c r="G2083" s="87">
        <v>10242.65</v>
      </c>
      <c r="H2083" s="59"/>
      <c r="I2083" s="5"/>
      <c r="J2083" s="5"/>
      <c r="K2083" s="5"/>
      <c r="L2083" s="59"/>
    </row>
    <row r="2084" customHeight="1" spans="6:12">
      <c r="F2084" s="86">
        <v>43166</v>
      </c>
      <c r="G2084" s="87">
        <v>10154.2</v>
      </c>
      <c r="H2084" s="59"/>
      <c r="I2084" s="5"/>
      <c r="J2084" s="5"/>
      <c r="K2084" s="5"/>
      <c r="L2084" s="59"/>
    </row>
    <row r="2085" customHeight="1" spans="6:12">
      <c r="F2085" s="86">
        <v>43165</v>
      </c>
      <c r="G2085" s="87">
        <v>10249.25</v>
      </c>
      <c r="H2085" s="59"/>
      <c r="I2085" s="5"/>
      <c r="J2085" s="5"/>
      <c r="K2085" s="5"/>
      <c r="L2085" s="59"/>
    </row>
    <row r="2086" customHeight="1" spans="6:12">
      <c r="F2086" s="86">
        <v>43164</v>
      </c>
      <c r="G2086" s="87">
        <v>10358.85</v>
      </c>
      <c r="H2086" s="59"/>
      <c r="I2086" s="5"/>
      <c r="J2086" s="5"/>
      <c r="K2086" s="5"/>
      <c r="L2086" s="59"/>
    </row>
    <row r="2087" customHeight="1" spans="6:12">
      <c r="F2087" s="86">
        <v>43160</v>
      </c>
      <c r="G2087" s="87">
        <v>10458.35</v>
      </c>
      <c r="H2087" s="59"/>
      <c r="I2087" s="5"/>
      <c r="J2087" s="5"/>
      <c r="K2087" s="5"/>
      <c r="L2087" s="59"/>
    </row>
    <row r="2088" customHeight="1" spans="6:12">
      <c r="F2088" s="86">
        <v>43159</v>
      </c>
      <c r="G2088" s="87">
        <v>10492.85</v>
      </c>
      <c r="H2088" s="59"/>
      <c r="I2088" s="5"/>
      <c r="J2088" s="5"/>
      <c r="K2088" s="5"/>
      <c r="L2088" s="59"/>
    </row>
    <row r="2089" customHeight="1" spans="6:12">
      <c r="F2089" s="86">
        <v>43158</v>
      </c>
      <c r="G2089" s="87">
        <v>10554.3</v>
      </c>
      <c r="H2089" s="59"/>
      <c r="I2089" s="5"/>
      <c r="J2089" s="5"/>
      <c r="K2089" s="5"/>
      <c r="L2089" s="59"/>
    </row>
    <row r="2090" customHeight="1" spans="6:12">
      <c r="F2090" s="86">
        <v>43157</v>
      </c>
      <c r="G2090" s="87">
        <v>10582.6</v>
      </c>
      <c r="H2090" s="59"/>
      <c r="I2090" s="5"/>
      <c r="J2090" s="5"/>
      <c r="K2090" s="5"/>
      <c r="L2090" s="59"/>
    </row>
    <row r="2091" customHeight="1" spans="6:12">
      <c r="F2091" s="86">
        <v>43154</v>
      </c>
      <c r="G2091" s="87">
        <v>10491.05</v>
      </c>
      <c r="H2091" s="59"/>
      <c r="I2091" s="5"/>
      <c r="J2091" s="5"/>
      <c r="K2091" s="5"/>
      <c r="L2091" s="59"/>
    </row>
    <row r="2092" customHeight="1" spans="6:12">
      <c r="F2092" s="86">
        <v>43153</v>
      </c>
      <c r="G2092" s="87">
        <v>10382.7</v>
      </c>
      <c r="H2092" s="59"/>
      <c r="I2092" s="5"/>
      <c r="J2092" s="5"/>
      <c r="K2092" s="5"/>
      <c r="L2092" s="59"/>
    </row>
    <row r="2093" customHeight="1" spans="6:12">
      <c r="F2093" s="86">
        <v>43152</v>
      </c>
      <c r="G2093" s="87">
        <v>10397.45</v>
      </c>
      <c r="H2093" s="59"/>
      <c r="I2093" s="5"/>
      <c r="J2093" s="5"/>
      <c r="K2093" s="5"/>
      <c r="L2093" s="59"/>
    </row>
    <row r="2094" customHeight="1" spans="6:12">
      <c r="F2094" s="86">
        <v>43151</v>
      </c>
      <c r="G2094" s="87">
        <v>10360.4</v>
      </c>
      <c r="H2094" s="59"/>
      <c r="I2094" s="5"/>
      <c r="J2094" s="5"/>
      <c r="K2094" s="5"/>
      <c r="L2094" s="59"/>
    </row>
    <row r="2095" customHeight="1" spans="6:12">
      <c r="F2095" s="86">
        <v>43150</v>
      </c>
      <c r="G2095" s="87">
        <v>10378.4</v>
      </c>
      <c r="H2095" s="59"/>
      <c r="I2095" s="5"/>
      <c r="J2095" s="5"/>
      <c r="K2095" s="5"/>
      <c r="L2095" s="59"/>
    </row>
    <row r="2096" customHeight="1" spans="6:12">
      <c r="F2096" s="86">
        <v>43147</v>
      </c>
      <c r="G2096" s="87">
        <v>10452.3</v>
      </c>
      <c r="H2096" s="59"/>
      <c r="I2096" s="5"/>
      <c r="J2096" s="5"/>
      <c r="K2096" s="5"/>
      <c r="L2096" s="59"/>
    </row>
    <row r="2097" customHeight="1" spans="6:12">
      <c r="F2097" s="86">
        <v>43146</v>
      </c>
      <c r="G2097" s="87">
        <v>10545.5</v>
      </c>
      <c r="H2097" s="59"/>
      <c r="I2097" s="5"/>
      <c r="J2097" s="5"/>
      <c r="K2097" s="5"/>
      <c r="L2097" s="59"/>
    </row>
    <row r="2098" customHeight="1" spans="6:12">
      <c r="F2098" s="86">
        <v>43145</v>
      </c>
      <c r="G2098" s="87">
        <v>10500.9</v>
      </c>
      <c r="H2098" s="59"/>
      <c r="I2098" s="5"/>
      <c r="J2098" s="5"/>
      <c r="K2098" s="5"/>
      <c r="L2098" s="59"/>
    </row>
    <row r="2099" customHeight="1" spans="6:12">
      <c r="F2099" s="86">
        <v>43143</v>
      </c>
      <c r="G2099" s="87">
        <v>10539.75</v>
      </c>
      <c r="H2099" s="59"/>
      <c r="I2099" s="5"/>
      <c r="J2099" s="5"/>
      <c r="K2099" s="5"/>
      <c r="L2099" s="59"/>
    </row>
    <row r="2100" customHeight="1" spans="6:12">
      <c r="F2100" s="86">
        <v>43140</v>
      </c>
      <c r="G2100" s="87">
        <v>10454.95</v>
      </c>
      <c r="H2100" s="59"/>
      <c r="I2100" s="5"/>
      <c r="J2100" s="5"/>
      <c r="K2100" s="5"/>
      <c r="L2100" s="59"/>
    </row>
    <row r="2101" customHeight="1" spans="6:12">
      <c r="F2101" s="86">
        <v>43139</v>
      </c>
      <c r="G2101" s="87">
        <v>10576.85</v>
      </c>
      <c r="H2101" s="59"/>
      <c r="I2101" s="5"/>
      <c r="J2101" s="5"/>
      <c r="K2101" s="5"/>
      <c r="L2101" s="59"/>
    </row>
    <row r="2102" customHeight="1" spans="6:12">
      <c r="F2102" s="86">
        <v>43138</v>
      </c>
      <c r="G2102" s="87">
        <v>10476.7</v>
      </c>
      <c r="H2102" s="59"/>
      <c r="I2102" s="5"/>
      <c r="J2102" s="5"/>
      <c r="K2102" s="5"/>
      <c r="L2102" s="59"/>
    </row>
    <row r="2103" customHeight="1" spans="6:12">
      <c r="F2103" s="86">
        <v>43137</v>
      </c>
      <c r="G2103" s="87">
        <v>10498.25</v>
      </c>
      <c r="H2103" s="59"/>
      <c r="I2103" s="5"/>
      <c r="J2103" s="5"/>
      <c r="K2103" s="5"/>
      <c r="L2103" s="59"/>
    </row>
    <row r="2104" customHeight="1" spans="6:12">
      <c r="F2104" s="86">
        <v>43136</v>
      </c>
      <c r="G2104" s="87">
        <v>10666.55</v>
      </c>
      <c r="H2104" s="59"/>
      <c r="I2104" s="5"/>
      <c r="J2104" s="5"/>
      <c r="K2104" s="5"/>
      <c r="L2104" s="59"/>
    </row>
    <row r="2105" customHeight="1" spans="6:12">
      <c r="F2105" s="86">
        <v>43133</v>
      </c>
      <c r="G2105" s="87">
        <v>10760.6</v>
      </c>
      <c r="H2105" s="59"/>
      <c r="I2105" s="5"/>
      <c r="J2105" s="5"/>
      <c r="K2105" s="5"/>
      <c r="L2105" s="59"/>
    </row>
    <row r="2106" customHeight="1" spans="6:12">
      <c r="F2106" s="86">
        <v>43132</v>
      </c>
      <c r="G2106" s="87">
        <v>11016.9</v>
      </c>
      <c r="H2106" s="59"/>
      <c r="I2106" s="5"/>
      <c r="J2106" s="5"/>
      <c r="K2106" s="5"/>
      <c r="L2106" s="59"/>
    </row>
    <row r="2107" customHeight="1" spans="6:12">
      <c r="F2107" s="86">
        <v>43131</v>
      </c>
      <c r="G2107" s="87">
        <v>11027.7</v>
      </c>
      <c r="H2107" s="59"/>
      <c r="I2107" s="5"/>
      <c r="J2107" s="5"/>
      <c r="K2107" s="5"/>
      <c r="L2107" s="59"/>
    </row>
    <row r="2108" customHeight="1" spans="6:12">
      <c r="F2108" s="86">
        <v>43130</v>
      </c>
      <c r="G2108" s="87">
        <v>11049.65</v>
      </c>
      <c r="H2108" s="59"/>
      <c r="I2108" s="5"/>
      <c r="J2108" s="5"/>
      <c r="K2108" s="5"/>
      <c r="L2108" s="59"/>
    </row>
    <row r="2109" customHeight="1" spans="6:12">
      <c r="F2109" s="86">
        <v>43129</v>
      </c>
      <c r="G2109" s="87">
        <v>11130.4</v>
      </c>
      <c r="H2109" s="59"/>
      <c r="I2109" s="5"/>
      <c r="J2109" s="5"/>
      <c r="K2109" s="5"/>
      <c r="L2109" s="59"/>
    </row>
    <row r="2110" customHeight="1" spans="6:12">
      <c r="F2110" s="86">
        <v>43125</v>
      </c>
      <c r="G2110" s="87">
        <v>11069.65</v>
      </c>
      <c r="H2110" s="59"/>
      <c r="I2110" s="5"/>
      <c r="J2110" s="5"/>
      <c r="K2110" s="5"/>
      <c r="L2110" s="59"/>
    </row>
    <row r="2111" customHeight="1" spans="6:12">
      <c r="F2111" s="86">
        <v>43124</v>
      </c>
      <c r="G2111" s="87">
        <v>11086</v>
      </c>
      <c r="H2111" s="59"/>
      <c r="I2111" s="5"/>
      <c r="J2111" s="5"/>
      <c r="K2111" s="5"/>
      <c r="L2111" s="59"/>
    </row>
    <row r="2112" customHeight="1" spans="6:12">
      <c r="F2112" s="86">
        <v>43123</v>
      </c>
      <c r="G2112" s="87">
        <v>11083.7</v>
      </c>
      <c r="H2112" s="59"/>
      <c r="I2112" s="5"/>
      <c r="J2112" s="5"/>
      <c r="K2112" s="5"/>
      <c r="L2112" s="59"/>
    </row>
    <row r="2113" customHeight="1" spans="6:12">
      <c r="F2113" s="86">
        <v>43122</v>
      </c>
      <c r="G2113" s="87">
        <v>10966.2</v>
      </c>
      <c r="H2113" s="59"/>
      <c r="I2113" s="5"/>
      <c r="J2113" s="5"/>
      <c r="K2113" s="5"/>
      <c r="L2113" s="59"/>
    </row>
    <row r="2114" customHeight="1" spans="6:12">
      <c r="F2114" s="86">
        <v>43119</v>
      </c>
      <c r="G2114" s="87">
        <v>10894.7</v>
      </c>
      <c r="H2114" s="59"/>
      <c r="I2114" s="5"/>
      <c r="J2114" s="5"/>
      <c r="K2114" s="5"/>
      <c r="L2114" s="59"/>
    </row>
    <row r="2115" customHeight="1" spans="6:12">
      <c r="F2115" s="86">
        <v>43118</v>
      </c>
      <c r="G2115" s="87">
        <v>10817</v>
      </c>
      <c r="H2115" s="59"/>
      <c r="I2115" s="5"/>
      <c r="J2115" s="5"/>
      <c r="K2115" s="5"/>
      <c r="L2115" s="59"/>
    </row>
    <row r="2116" customHeight="1" spans="6:12">
      <c r="F2116" s="86">
        <v>43117</v>
      </c>
      <c r="G2116" s="87">
        <v>10788.55</v>
      </c>
      <c r="H2116" s="59"/>
      <c r="I2116" s="5"/>
      <c r="J2116" s="5"/>
      <c r="K2116" s="5"/>
      <c r="L2116" s="59"/>
    </row>
    <row r="2117" customHeight="1" spans="6:12">
      <c r="F2117" s="86">
        <v>43116</v>
      </c>
      <c r="G2117" s="87">
        <v>10700.45</v>
      </c>
      <c r="H2117" s="59"/>
      <c r="I2117" s="5"/>
      <c r="J2117" s="5"/>
      <c r="K2117" s="5"/>
      <c r="L2117" s="59"/>
    </row>
    <row r="2118" customHeight="1" spans="6:12">
      <c r="F2118" s="86">
        <v>43115</v>
      </c>
      <c r="G2118" s="87">
        <v>10741.55</v>
      </c>
      <c r="H2118" s="59"/>
      <c r="I2118" s="5"/>
      <c r="J2118" s="5"/>
      <c r="K2118" s="5"/>
      <c r="L2118" s="59"/>
    </row>
    <row r="2119" customHeight="1" spans="6:12">
      <c r="F2119" s="86">
        <v>43112</v>
      </c>
      <c r="G2119" s="87">
        <v>10681.25</v>
      </c>
      <c r="H2119" s="59"/>
      <c r="I2119" s="5"/>
      <c r="J2119" s="5"/>
      <c r="K2119" s="5"/>
      <c r="L2119" s="59"/>
    </row>
    <row r="2120" customHeight="1" spans="6:12">
      <c r="F2120" s="86">
        <v>43111</v>
      </c>
      <c r="G2120" s="87">
        <v>10651.2</v>
      </c>
      <c r="H2120" s="59"/>
      <c r="I2120" s="5"/>
      <c r="J2120" s="5"/>
      <c r="K2120" s="5"/>
      <c r="L2120" s="59"/>
    </row>
    <row r="2121" customHeight="1" spans="6:12">
      <c r="F2121" s="86">
        <v>43110</v>
      </c>
      <c r="G2121" s="87">
        <v>10632.2</v>
      </c>
      <c r="H2121" s="59"/>
      <c r="I2121" s="5"/>
      <c r="J2121" s="5"/>
      <c r="K2121" s="5"/>
      <c r="L2121" s="59"/>
    </row>
    <row r="2122" customHeight="1" spans="6:12">
      <c r="F2122" s="86">
        <v>43109</v>
      </c>
      <c r="G2122" s="87">
        <v>10637</v>
      </c>
      <c r="H2122" s="59"/>
      <c r="I2122" s="5"/>
      <c r="J2122" s="5"/>
      <c r="K2122" s="5"/>
      <c r="L2122" s="59"/>
    </row>
    <row r="2123" customHeight="1" spans="6:12">
      <c r="F2123" s="86">
        <v>43108</v>
      </c>
      <c r="G2123" s="87">
        <v>10623.6</v>
      </c>
      <c r="H2123" s="59"/>
      <c r="I2123" s="5"/>
      <c r="J2123" s="5"/>
      <c r="K2123" s="5"/>
      <c r="L2123" s="59"/>
    </row>
    <row r="2124" customHeight="1" spans="6:12">
      <c r="F2124" s="86">
        <v>43105</v>
      </c>
      <c r="G2124" s="87">
        <v>10558.85</v>
      </c>
      <c r="H2124" s="59"/>
      <c r="I2124" s="5"/>
      <c r="J2124" s="5"/>
      <c r="K2124" s="5"/>
      <c r="L2124" s="59"/>
    </row>
    <row r="2125" customHeight="1" spans="6:12">
      <c r="F2125" s="86">
        <v>43104</v>
      </c>
      <c r="G2125" s="87">
        <v>10504.8</v>
      </c>
      <c r="H2125" s="59"/>
      <c r="I2125" s="5"/>
      <c r="J2125" s="5"/>
      <c r="K2125" s="5"/>
      <c r="L2125" s="59"/>
    </row>
    <row r="2126" customHeight="1" spans="6:12">
      <c r="F2126" s="86">
        <v>43103</v>
      </c>
      <c r="G2126" s="87">
        <v>10443.2</v>
      </c>
      <c r="H2126" s="59"/>
      <c r="I2126" s="5"/>
      <c r="J2126" s="5"/>
      <c r="K2126" s="5"/>
      <c r="L2126" s="59"/>
    </row>
    <row r="2127" customHeight="1" spans="6:12">
      <c r="F2127" s="86">
        <v>43102</v>
      </c>
      <c r="G2127" s="87">
        <v>10442.2</v>
      </c>
      <c r="H2127" s="59"/>
      <c r="I2127" s="5"/>
      <c r="J2127" s="5"/>
      <c r="K2127" s="5"/>
      <c r="L2127" s="59"/>
    </row>
    <row r="2128" customHeight="1" spans="6:12">
      <c r="F2128" s="86">
        <v>43101</v>
      </c>
      <c r="G2128" s="87">
        <v>10435.55</v>
      </c>
      <c r="H2128" s="59"/>
      <c r="I2128" s="5"/>
      <c r="J2128" s="5"/>
      <c r="K2128" s="5"/>
      <c r="L2128" s="59"/>
    </row>
    <row r="2129" customHeight="1" spans="6:12">
      <c r="F2129" s="86">
        <v>43098</v>
      </c>
      <c r="G2129" s="87">
        <v>10530.7</v>
      </c>
      <c r="H2129" s="59"/>
      <c r="I2129" s="5"/>
      <c r="J2129" s="5"/>
      <c r="K2129" s="5"/>
      <c r="L2129" s="59"/>
    </row>
    <row r="2130" customHeight="1" spans="6:12">
      <c r="F2130" s="86">
        <v>43097</v>
      </c>
      <c r="G2130" s="87">
        <v>10477.9</v>
      </c>
      <c r="H2130" s="59"/>
      <c r="I2130" s="5"/>
      <c r="J2130" s="5"/>
      <c r="K2130" s="5"/>
      <c r="L2130" s="59"/>
    </row>
    <row r="2131" customHeight="1" spans="6:12">
      <c r="F2131" s="86">
        <v>43096</v>
      </c>
      <c r="G2131" s="87">
        <v>10490.75</v>
      </c>
      <c r="H2131" s="59"/>
      <c r="I2131" s="5"/>
      <c r="J2131" s="5"/>
      <c r="K2131" s="5"/>
      <c r="L2131" s="59"/>
    </row>
    <row r="2132" customHeight="1" spans="6:12">
      <c r="F2132" s="86">
        <v>43095</v>
      </c>
      <c r="G2132" s="87">
        <v>10531.5</v>
      </c>
      <c r="H2132" s="59"/>
      <c r="I2132" s="5"/>
      <c r="J2132" s="5"/>
      <c r="K2132" s="5"/>
      <c r="L2132" s="59"/>
    </row>
    <row r="2133" customHeight="1" spans="6:12">
      <c r="F2133" s="86">
        <v>43091</v>
      </c>
      <c r="G2133" s="87">
        <v>10493</v>
      </c>
      <c r="H2133" s="59"/>
      <c r="I2133" s="5"/>
      <c r="J2133" s="5"/>
      <c r="K2133" s="5"/>
      <c r="L2133" s="59"/>
    </row>
    <row r="2134" customHeight="1" spans="6:12">
      <c r="F2134" s="86">
        <v>43090</v>
      </c>
      <c r="G2134" s="87">
        <v>10440.3</v>
      </c>
      <c r="H2134" s="59"/>
      <c r="I2134" s="5"/>
      <c r="J2134" s="5"/>
      <c r="K2134" s="5"/>
      <c r="L2134" s="59"/>
    </row>
    <row r="2135" customHeight="1" spans="6:12">
      <c r="F2135" s="86">
        <v>43089</v>
      </c>
      <c r="G2135" s="87">
        <v>10444.2</v>
      </c>
      <c r="H2135" s="59"/>
      <c r="I2135" s="5"/>
      <c r="J2135" s="5"/>
      <c r="K2135" s="5"/>
      <c r="L2135" s="59"/>
    </row>
    <row r="2136" customHeight="1" spans="6:12">
      <c r="F2136" s="86">
        <v>43088</v>
      </c>
      <c r="G2136" s="87">
        <v>10463.2</v>
      </c>
      <c r="H2136" s="59"/>
      <c r="I2136" s="5"/>
      <c r="J2136" s="5"/>
      <c r="K2136" s="5"/>
      <c r="L2136" s="59"/>
    </row>
    <row r="2137" customHeight="1" spans="6:12">
      <c r="F2137" s="86">
        <v>43087</v>
      </c>
      <c r="G2137" s="87">
        <v>10388.75</v>
      </c>
      <c r="H2137" s="59"/>
      <c r="I2137" s="5"/>
      <c r="J2137" s="5"/>
      <c r="K2137" s="5"/>
      <c r="L2137" s="59"/>
    </row>
    <row r="2138" customHeight="1" spans="6:12">
      <c r="F2138" s="86">
        <v>43084</v>
      </c>
      <c r="G2138" s="87">
        <v>10333.25</v>
      </c>
      <c r="H2138" s="59"/>
      <c r="I2138" s="5"/>
      <c r="J2138" s="5"/>
      <c r="K2138" s="5"/>
      <c r="L2138" s="59"/>
    </row>
    <row r="2139" customHeight="1" spans="6:12">
      <c r="F2139" s="86">
        <v>43083</v>
      </c>
      <c r="G2139" s="87">
        <v>10252.1</v>
      </c>
      <c r="H2139" s="59"/>
      <c r="I2139" s="5"/>
      <c r="J2139" s="5"/>
      <c r="K2139" s="5"/>
      <c r="L2139" s="59"/>
    </row>
    <row r="2140" customHeight="1" spans="6:12">
      <c r="F2140" s="86">
        <v>43082</v>
      </c>
      <c r="G2140" s="87">
        <v>10192.95</v>
      </c>
      <c r="H2140" s="59"/>
      <c r="I2140" s="5"/>
      <c r="J2140" s="5"/>
      <c r="K2140" s="5"/>
      <c r="L2140" s="59"/>
    </row>
    <row r="2141" customHeight="1" spans="6:12">
      <c r="F2141" s="86">
        <v>43081</v>
      </c>
      <c r="G2141" s="87">
        <v>10240.15</v>
      </c>
      <c r="H2141" s="59"/>
      <c r="I2141" s="5"/>
      <c r="J2141" s="5"/>
      <c r="K2141" s="5"/>
      <c r="L2141" s="59"/>
    </row>
    <row r="2142" customHeight="1" spans="6:12">
      <c r="F2142" s="86">
        <v>43080</v>
      </c>
      <c r="G2142" s="87">
        <v>10322.25</v>
      </c>
      <c r="H2142" s="59"/>
      <c r="I2142" s="5"/>
      <c r="J2142" s="5"/>
      <c r="K2142" s="5"/>
      <c r="L2142" s="59"/>
    </row>
    <row r="2143" customHeight="1" spans="6:12">
      <c r="F2143" s="86">
        <v>43077</v>
      </c>
      <c r="G2143" s="87">
        <v>10265.65</v>
      </c>
      <c r="H2143" s="59"/>
      <c r="I2143" s="5"/>
      <c r="J2143" s="5"/>
      <c r="K2143" s="5"/>
      <c r="L2143" s="59"/>
    </row>
    <row r="2144" customHeight="1" spans="6:12">
      <c r="F2144" s="86">
        <v>43076</v>
      </c>
      <c r="G2144" s="87">
        <v>10166.7</v>
      </c>
      <c r="H2144" s="59"/>
      <c r="I2144" s="5"/>
      <c r="J2144" s="5"/>
      <c r="K2144" s="5"/>
      <c r="L2144" s="59"/>
    </row>
    <row r="2145" customHeight="1" spans="6:12">
      <c r="F2145" s="86">
        <v>43075</v>
      </c>
      <c r="G2145" s="87">
        <v>10044.1</v>
      </c>
      <c r="H2145" s="59"/>
      <c r="I2145" s="5"/>
      <c r="J2145" s="5"/>
      <c r="K2145" s="5"/>
      <c r="L2145" s="59"/>
    </row>
    <row r="2146" customHeight="1" spans="6:12">
      <c r="F2146" s="86">
        <v>43074</v>
      </c>
      <c r="G2146" s="87">
        <v>10118.25</v>
      </c>
      <c r="H2146" s="59"/>
      <c r="I2146" s="5"/>
      <c r="J2146" s="5"/>
      <c r="K2146" s="5"/>
      <c r="L2146" s="59"/>
    </row>
    <row r="2147" customHeight="1" spans="6:12">
      <c r="F2147" s="86">
        <v>43073</v>
      </c>
      <c r="G2147" s="87">
        <v>10127.75</v>
      </c>
      <c r="H2147" s="59"/>
      <c r="I2147" s="5"/>
      <c r="J2147" s="5"/>
      <c r="K2147" s="5"/>
      <c r="L2147" s="59"/>
    </row>
    <row r="2148" customHeight="1" spans="6:12">
      <c r="F2148" s="86">
        <v>43070</v>
      </c>
      <c r="G2148" s="87">
        <v>10121.8</v>
      </c>
      <c r="H2148" s="59"/>
      <c r="I2148" s="5"/>
      <c r="J2148" s="5"/>
      <c r="K2148" s="5"/>
      <c r="L2148" s="59"/>
    </row>
    <row r="2149" customHeight="1" spans="6:12">
      <c r="F2149" s="86">
        <v>43069</v>
      </c>
      <c r="G2149" s="87">
        <v>10226.55</v>
      </c>
      <c r="H2149" s="59"/>
      <c r="I2149" s="5"/>
      <c r="J2149" s="5"/>
      <c r="K2149" s="5"/>
      <c r="L2149" s="59"/>
    </row>
    <row r="2150" customHeight="1" spans="6:12">
      <c r="F2150" s="86">
        <v>43068</v>
      </c>
      <c r="G2150" s="87">
        <v>10361.3</v>
      </c>
      <c r="H2150" s="59"/>
      <c r="I2150" s="5"/>
      <c r="J2150" s="5"/>
      <c r="K2150" s="5"/>
      <c r="L2150" s="59"/>
    </row>
    <row r="2151" customHeight="1" spans="6:12">
      <c r="F2151" s="86">
        <v>43067</v>
      </c>
      <c r="G2151" s="87">
        <v>10370.25</v>
      </c>
      <c r="H2151" s="59"/>
      <c r="I2151" s="5"/>
      <c r="J2151" s="5"/>
      <c r="K2151" s="5"/>
      <c r="L2151" s="59"/>
    </row>
    <row r="2152" customHeight="1" spans="6:12">
      <c r="F2152" s="86">
        <v>43066</v>
      </c>
      <c r="G2152" s="87">
        <v>10399.55</v>
      </c>
      <c r="H2152" s="59"/>
      <c r="I2152" s="5"/>
      <c r="J2152" s="5"/>
      <c r="K2152" s="5"/>
      <c r="L2152" s="59"/>
    </row>
    <row r="2153" customHeight="1" spans="6:12">
      <c r="F2153" s="86">
        <v>43063</v>
      </c>
      <c r="G2153" s="87">
        <v>10389.7</v>
      </c>
      <c r="H2153" s="59"/>
      <c r="I2153" s="5"/>
      <c r="J2153" s="5"/>
      <c r="K2153" s="5"/>
      <c r="L2153" s="59"/>
    </row>
    <row r="2154" customHeight="1" spans="6:12">
      <c r="F2154" s="86">
        <v>43062</v>
      </c>
      <c r="G2154" s="87">
        <v>10348.75</v>
      </c>
      <c r="H2154" s="59"/>
      <c r="I2154" s="5"/>
      <c r="J2154" s="5"/>
      <c r="K2154" s="5"/>
      <c r="L2154" s="59"/>
    </row>
    <row r="2155" customHeight="1" spans="6:12">
      <c r="F2155" s="86">
        <v>43061</v>
      </c>
      <c r="G2155" s="87">
        <v>10342.3</v>
      </c>
      <c r="H2155" s="59"/>
      <c r="I2155" s="5"/>
      <c r="J2155" s="5"/>
      <c r="K2155" s="5"/>
      <c r="L2155" s="59"/>
    </row>
    <row r="2156" customHeight="1" spans="6:12">
      <c r="F2156" s="86">
        <v>43060</v>
      </c>
      <c r="G2156" s="87">
        <v>10326.9</v>
      </c>
      <c r="H2156" s="59"/>
      <c r="I2156" s="5"/>
      <c r="J2156" s="5"/>
      <c r="K2156" s="5"/>
      <c r="L2156" s="59"/>
    </row>
    <row r="2157" customHeight="1" spans="6:12">
      <c r="F2157" s="86">
        <v>43059</v>
      </c>
      <c r="G2157" s="87">
        <v>10298.75</v>
      </c>
      <c r="H2157" s="59"/>
      <c r="I2157" s="5"/>
      <c r="J2157" s="5"/>
      <c r="K2157" s="5"/>
      <c r="L2157" s="59"/>
    </row>
    <row r="2158" customHeight="1" spans="6:12">
      <c r="F2158" s="86">
        <v>43056</v>
      </c>
      <c r="G2158" s="87">
        <v>10283.6</v>
      </c>
      <c r="H2158" s="59"/>
      <c r="I2158" s="5"/>
      <c r="J2158" s="5"/>
      <c r="K2158" s="5"/>
      <c r="L2158" s="59"/>
    </row>
    <row r="2159" customHeight="1" spans="6:12">
      <c r="F2159" s="86">
        <v>43055</v>
      </c>
      <c r="G2159" s="87">
        <v>10214.75</v>
      </c>
      <c r="H2159" s="59"/>
      <c r="I2159" s="5"/>
      <c r="J2159" s="5"/>
      <c r="K2159" s="5"/>
      <c r="L2159" s="59"/>
    </row>
    <row r="2160" customHeight="1" spans="6:12">
      <c r="F2160" s="86">
        <v>43054</v>
      </c>
      <c r="G2160" s="87">
        <v>10118.05</v>
      </c>
      <c r="H2160" s="59"/>
      <c r="I2160" s="5"/>
      <c r="J2160" s="5"/>
      <c r="K2160" s="5"/>
      <c r="L2160" s="59"/>
    </row>
    <row r="2161" customHeight="1" spans="6:12">
      <c r="F2161" s="86">
        <v>43053</v>
      </c>
      <c r="G2161" s="87">
        <v>10186.6</v>
      </c>
      <c r="H2161" s="59"/>
      <c r="I2161" s="5"/>
      <c r="J2161" s="5"/>
      <c r="K2161" s="5"/>
      <c r="L2161" s="59"/>
    </row>
    <row r="2162" customHeight="1" spans="6:12">
      <c r="F2162" s="86">
        <v>43052</v>
      </c>
      <c r="G2162" s="87">
        <v>10224.95</v>
      </c>
      <c r="H2162" s="59"/>
      <c r="I2162" s="5"/>
      <c r="J2162" s="5"/>
      <c r="K2162" s="5"/>
      <c r="L2162" s="59"/>
    </row>
    <row r="2163" customHeight="1" spans="6:12">
      <c r="F2163" s="86">
        <v>43049</v>
      </c>
      <c r="G2163" s="87">
        <v>10321.75</v>
      </c>
      <c r="H2163" s="59"/>
      <c r="I2163" s="5"/>
      <c r="J2163" s="5"/>
      <c r="K2163" s="5"/>
      <c r="L2163" s="59"/>
    </row>
    <row r="2164" customHeight="1" spans="6:12">
      <c r="F2164" s="86">
        <v>43048</v>
      </c>
      <c r="G2164" s="87">
        <v>10308.95</v>
      </c>
      <c r="H2164" s="59"/>
      <c r="I2164" s="5"/>
      <c r="J2164" s="5"/>
      <c r="K2164" s="5"/>
      <c r="L2164" s="59"/>
    </row>
    <row r="2165" customHeight="1" spans="6:12">
      <c r="F2165" s="86">
        <v>43047</v>
      </c>
      <c r="G2165" s="87">
        <v>10303.15</v>
      </c>
      <c r="H2165" s="59"/>
      <c r="I2165" s="5"/>
      <c r="J2165" s="5"/>
      <c r="K2165" s="5"/>
      <c r="L2165" s="59"/>
    </row>
    <row r="2166" customHeight="1" spans="6:12">
      <c r="F2166" s="86">
        <v>43046</v>
      </c>
      <c r="G2166" s="87">
        <v>10350.15</v>
      </c>
      <c r="H2166" s="59"/>
      <c r="I2166" s="5"/>
      <c r="J2166" s="5"/>
      <c r="K2166" s="5"/>
      <c r="L2166" s="59"/>
    </row>
    <row r="2167" customHeight="1" spans="6:12">
      <c r="F2167" s="86">
        <v>43045</v>
      </c>
      <c r="G2167" s="87">
        <v>10451.8</v>
      </c>
      <c r="H2167" s="59"/>
      <c r="I2167" s="5"/>
      <c r="J2167" s="5"/>
      <c r="K2167" s="5"/>
      <c r="L2167" s="59"/>
    </row>
    <row r="2168" customHeight="1" spans="6:12">
      <c r="F2168" s="86">
        <v>43042</v>
      </c>
      <c r="G2168" s="87">
        <v>10452.5</v>
      </c>
      <c r="H2168" s="59"/>
      <c r="I2168" s="5"/>
      <c r="J2168" s="5"/>
      <c r="K2168" s="5"/>
      <c r="L2168" s="59"/>
    </row>
    <row r="2169" customHeight="1" spans="6:12">
      <c r="F2169" s="86">
        <v>43041</v>
      </c>
      <c r="G2169" s="87">
        <v>10423.8</v>
      </c>
      <c r="H2169" s="59"/>
      <c r="I2169" s="5"/>
      <c r="J2169" s="5"/>
      <c r="K2169" s="5"/>
      <c r="L2169" s="59"/>
    </row>
    <row r="2170" customHeight="1" spans="6:12">
      <c r="F2170" s="86">
        <v>43040</v>
      </c>
      <c r="G2170" s="87">
        <v>10440.5</v>
      </c>
      <c r="H2170" s="59"/>
      <c r="I2170" s="5"/>
      <c r="J2170" s="5"/>
      <c r="K2170" s="5"/>
      <c r="L2170" s="59"/>
    </row>
    <row r="2171" customHeight="1" spans="6:12">
      <c r="F2171" s="86">
        <v>43039</v>
      </c>
      <c r="G2171" s="87">
        <v>10335.3</v>
      </c>
      <c r="H2171" s="59"/>
      <c r="I2171" s="5"/>
      <c r="J2171" s="5"/>
      <c r="K2171" s="5"/>
      <c r="L2171" s="59"/>
    </row>
    <row r="2172" customHeight="1" spans="6:12">
      <c r="F2172" s="86">
        <v>43038</v>
      </c>
      <c r="G2172" s="87">
        <v>10363.65</v>
      </c>
      <c r="H2172" s="59"/>
      <c r="I2172" s="5"/>
      <c r="J2172" s="5"/>
      <c r="K2172" s="5"/>
      <c r="L2172" s="59"/>
    </row>
    <row r="2173" customHeight="1" spans="6:12">
      <c r="F2173" s="86">
        <v>43035</v>
      </c>
      <c r="G2173" s="87">
        <v>10323.05</v>
      </c>
      <c r="H2173" s="59"/>
      <c r="I2173" s="5"/>
      <c r="J2173" s="5"/>
      <c r="K2173" s="5"/>
      <c r="L2173" s="59"/>
    </row>
    <row r="2174" customHeight="1" spans="6:12">
      <c r="F2174" s="86">
        <v>43034</v>
      </c>
      <c r="G2174" s="87">
        <v>10343.8</v>
      </c>
      <c r="H2174" s="59"/>
      <c r="I2174" s="5"/>
      <c r="J2174" s="5"/>
      <c r="K2174" s="5"/>
      <c r="L2174" s="59"/>
    </row>
    <row r="2175" customHeight="1" spans="6:12">
      <c r="F2175" s="86">
        <v>43033</v>
      </c>
      <c r="G2175" s="87">
        <v>10295.35</v>
      </c>
      <c r="H2175" s="59"/>
      <c r="I2175" s="5"/>
      <c r="J2175" s="5"/>
      <c r="K2175" s="5"/>
      <c r="L2175" s="59"/>
    </row>
    <row r="2176" customHeight="1" spans="6:12">
      <c r="F2176" s="86">
        <v>43032</v>
      </c>
      <c r="G2176" s="87">
        <v>10207.7</v>
      </c>
      <c r="H2176" s="59"/>
      <c r="I2176" s="5"/>
      <c r="J2176" s="5"/>
      <c r="K2176" s="5"/>
      <c r="L2176" s="59"/>
    </row>
    <row r="2177" customHeight="1" spans="6:12">
      <c r="F2177" s="86">
        <v>43031</v>
      </c>
      <c r="G2177" s="87">
        <v>10184.85</v>
      </c>
      <c r="H2177" s="59"/>
      <c r="I2177" s="5"/>
      <c r="J2177" s="5"/>
      <c r="K2177" s="5"/>
      <c r="L2177" s="59"/>
    </row>
    <row r="2178" customHeight="1" spans="6:12">
      <c r="F2178" s="86">
        <v>43027</v>
      </c>
      <c r="G2178" s="87">
        <v>10146.55</v>
      </c>
      <c r="H2178" s="59"/>
      <c r="I2178" s="5"/>
      <c r="J2178" s="5"/>
      <c r="K2178" s="5"/>
      <c r="L2178" s="59"/>
    </row>
    <row r="2179" customHeight="1" spans="6:12">
      <c r="F2179" s="86">
        <v>43026</v>
      </c>
      <c r="G2179" s="87">
        <v>10210.85</v>
      </c>
      <c r="H2179" s="59"/>
      <c r="I2179" s="5"/>
      <c r="J2179" s="5"/>
      <c r="K2179" s="5"/>
      <c r="L2179" s="59"/>
    </row>
    <row r="2180" customHeight="1" spans="6:12">
      <c r="F2180" s="86">
        <v>43025</v>
      </c>
      <c r="G2180" s="87">
        <v>10234.45</v>
      </c>
      <c r="H2180" s="59"/>
      <c r="I2180" s="5"/>
      <c r="J2180" s="5"/>
      <c r="K2180" s="5"/>
      <c r="L2180" s="59"/>
    </row>
    <row r="2181" customHeight="1" spans="6:12">
      <c r="F2181" s="86">
        <v>43024</v>
      </c>
      <c r="G2181" s="87">
        <v>10230.85</v>
      </c>
      <c r="H2181" s="59"/>
      <c r="I2181" s="5"/>
      <c r="J2181" s="5"/>
      <c r="K2181" s="5"/>
      <c r="L2181" s="59"/>
    </row>
    <row r="2182" customHeight="1" spans="6:12">
      <c r="F2182" s="86">
        <v>43021</v>
      </c>
      <c r="G2182" s="87">
        <v>10167.45</v>
      </c>
      <c r="H2182" s="59"/>
      <c r="I2182" s="5"/>
      <c r="J2182" s="5"/>
      <c r="K2182" s="5"/>
      <c r="L2182" s="59"/>
    </row>
    <row r="2183" customHeight="1" spans="6:12">
      <c r="F2183" s="86">
        <v>43020</v>
      </c>
      <c r="G2183" s="87">
        <v>10096.4</v>
      </c>
      <c r="H2183" s="59"/>
      <c r="I2183" s="5"/>
      <c r="J2183" s="5"/>
      <c r="K2183" s="5"/>
      <c r="L2183" s="59"/>
    </row>
    <row r="2184" customHeight="1" spans="6:12">
      <c r="F2184" s="86">
        <v>43019</v>
      </c>
      <c r="G2184" s="87">
        <v>9984.8</v>
      </c>
      <c r="H2184" s="59"/>
      <c r="I2184" s="5"/>
      <c r="J2184" s="5"/>
      <c r="K2184" s="5"/>
      <c r="L2184" s="59"/>
    </row>
    <row r="2185" customHeight="1" spans="6:12">
      <c r="F2185" s="86">
        <v>43018</v>
      </c>
      <c r="G2185" s="87">
        <v>10016.95</v>
      </c>
      <c r="H2185" s="59"/>
      <c r="I2185" s="5"/>
      <c r="J2185" s="5"/>
      <c r="K2185" s="5"/>
      <c r="L2185" s="59"/>
    </row>
    <row r="2186" customHeight="1" spans="6:12">
      <c r="F2186" s="86">
        <v>43017</v>
      </c>
      <c r="G2186" s="87">
        <v>9988.75</v>
      </c>
      <c r="H2186" s="59"/>
      <c r="I2186" s="5"/>
      <c r="J2186" s="5"/>
      <c r="K2186" s="5"/>
      <c r="L2186" s="59"/>
    </row>
    <row r="2187" customHeight="1" spans="6:12">
      <c r="F2187" s="86">
        <v>43014</v>
      </c>
      <c r="G2187" s="87">
        <v>9979.7</v>
      </c>
      <c r="H2187" s="59"/>
      <c r="I2187" s="5"/>
      <c r="J2187" s="5"/>
      <c r="K2187" s="5"/>
      <c r="L2187" s="59"/>
    </row>
    <row r="2188" customHeight="1" spans="6:12">
      <c r="F2188" s="86">
        <v>43013</v>
      </c>
      <c r="G2188" s="87">
        <v>9888.7</v>
      </c>
      <c r="H2188" s="59"/>
      <c r="I2188" s="5"/>
      <c r="J2188" s="5"/>
      <c r="K2188" s="5"/>
      <c r="L2188" s="59"/>
    </row>
    <row r="2189" customHeight="1" spans="6:12">
      <c r="F2189" s="86">
        <v>43012</v>
      </c>
      <c r="G2189" s="87">
        <v>9914.9</v>
      </c>
      <c r="H2189" s="59"/>
      <c r="I2189" s="5"/>
      <c r="J2189" s="5"/>
      <c r="K2189" s="5"/>
      <c r="L2189" s="59"/>
    </row>
    <row r="2190" customHeight="1" spans="6:12">
      <c r="F2190" s="86">
        <v>43011</v>
      </c>
      <c r="G2190" s="87">
        <v>9859.5</v>
      </c>
      <c r="H2190" s="59"/>
      <c r="I2190" s="5"/>
      <c r="J2190" s="5"/>
      <c r="K2190" s="5"/>
      <c r="L2190" s="59"/>
    </row>
    <row r="2191" customHeight="1" spans="6:12">
      <c r="F2191" s="86">
        <v>43007</v>
      </c>
      <c r="G2191" s="87">
        <v>9788.6</v>
      </c>
      <c r="H2191" s="59"/>
      <c r="I2191" s="5"/>
      <c r="J2191" s="5"/>
      <c r="K2191" s="5"/>
      <c r="L2191" s="59"/>
    </row>
    <row r="2192" customHeight="1" spans="6:12">
      <c r="F2192" s="86">
        <v>43006</v>
      </c>
      <c r="G2192" s="87">
        <v>9768.95</v>
      </c>
      <c r="H2192" s="59"/>
      <c r="I2192" s="5"/>
      <c r="J2192" s="5"/>
      <c r="K2192" s="5"/>
      <c r="L2192" s="59"/>
    </row>
    <row r="2193" customHeight="1" spans="6:12">
      <c r="F2193" s="86">
        <v>43005</v>
      </c>
      <c r="G2193" s="87">
        <v>9735.75</v>
      </c>
      <c r="H2193" s="59"/>
      <c r="I2193" s="5"/>
      <c r="J2193" s="5"/>
      <c r="K2193" s="5"/>
      <c r="L2193" s="59"/>
    </row>
    <row r="2194" customHeight="1" spans="6:12">
      <c r="F2194" s="86">
        <v>43004</v>
      </c>
      <c r="G2194" s="87">
        <v>9871.5</v>
      </c>
      <c r="H2194" s="59"/>
      <c r="I2194" s="5"/>
      <c r="J2194" s="5"/>
      <c r="K2194" s="5"/>
      <c r="L2194" s="59"/>
    </row>
    <row r="2195" customHeight="1" spans="6:12">
      <c r="F2195" s="86">
        <v>43003</v>
      </c>
      <c r="G2195" s="87">
        <v>9872.6</v>
      </c>
      <c r="H2195" s="59"/>
      <c r="I2195" s="5"/>
      <c r="J2195" s="5"/>
      <c r="K2195" s="5"/>
      <c r="L2195" s="59"/>
    </row>
    <row r="2196" customHeight="1" spans="6:12">
      <c r="F2196" s="86">
        <v>43000</v>
      </c>
      <c r="G2196" s="87">
        <v>9964.4</v>
      </c>
      <c r="H2196" s="59"/>
      <c r="I2196" s="5"/>
      <c r="J2196" s="5"/>
      <c r="K2196" s="5"/>
      <c r="L2196" s="59"/>
    </row>
    <row r="2197" customHeight="1" spans="6:12">
      <c r="F2197" s="86">
        <v>42999</v>
      </c>
      <c r="G2197" s="87">
        <v>10121.9</v>
      </c>
      <c r="H2197" s="59"/>
      <c r="I2197" s="5"/>
      <c r="J2197" s="5"/>
      <c r="K2197" s="5"/>
      <c r="L2197" s="59"/>
    </row>
    <row r="2198" customHeight="1" spans="6:12">
      <c r="F2198" s="86">
        <v>42998</v>
      </c>
      <c r="G2198" s="87">
        <v>10141.15</v>
      </c>
      <c r="H2198" s="59"/>
      <c r="I2198" s="5"/>
      <c r="J2198" s="5"/>
      <c r="K2198" s="5"/>
      <c r="L2198" s="59"/>
    </row>
    <row r="2199" customHeight="1" spans="6:12">
      <c r="F2199" s="86">
        <v>42997</v>
      </c>
      <c r="G2199" s="87">
        <v>10147.55</v>
      </c>
      <c r="H2199" s="59"/>
      <c r="I2199" s="5"/>
      <c r="J2199" s="5"/>
      <c r="K2199" s="5"/>
      <c r="L2199" s="59"/>
    </row>
    <row r="2200" customHeight="1" spans="6:12">
      <c r="F2200" s="86">
        <v>42996</v>
      </c>
      <c r="G2200" s="87">
        <v>10153.1</v>
      </c>
      <c r="H2200" s="59"/>
      <c r="I2200" s="5"/>
      <c r="J2200" s="5"/>
      <c r="K2200" s="5"/>
      <c r="L2200" s="59"/>
    </row>
    <row r="2201" customHeight="1" spans="6:12">
      <c r="F2201" s="86">
        <v>42993</v>
      </c>
      <c r="G2201" s="87">
        <v>10085.4</v>
      </c>
      <c r="H2201" s="59"/>
      <c r="I2201" s="5"/>
      <c r="J2201" s="5"/>
      <c r="K2201" s="5"/>
      <c r="L2201" s="59"/>
    </row>
    <row r="2202" customHeight="1" spans="6:12">
      <c r="F2202" s="86">
        <v>42992</v>
      </c>
      <c r="G2202" s="87">
        <v>10086.6</v>
      </c>
      <c r="H2202" s="59"/>
      <c r="I2202" s="5"/>
      <c r="J2202" s="5"/>
      <c r="K2202" s="5"/>
      <c r="L2202" s="59"/>
    </row>
    <row r="2203" customHeight="1" spans="6:12">
      <c r="F2203" s="86">
        <v>42991</v>
      </c>
      <c r="G2203" s="87">
        <v>10079.3</v>
      </c>
      <c r="H2203" s="59"/>
      <c r="I2203" s="5"/>
      <c r="J2203" s="5"/>
      <c r="K2203" s="5"/>
      <c r="L2203" s="59"/>
    </row>
    <row r="2204" customHeight="1" spans="6:12">
      <c r="F2204" s="86">
        <v>42990</v>
      </c>
      <c r="G2204" s="87">
        <v>10093.05</v>
      </c>
      <c r="H2204" s="59"/>
      <c r="I2204" s="5"/>
      <c r="J2204" s="5"/>
      <c r="K2204" s="5"/>
      <c r="L2204" s="59"/>
    </row>
    <row r="2205" customHeight="1" spans="6:12">
      <c r="F2205" s="86">
        <v>42989</v>
      </c>
      <c r="G2205" s="87">
        <v>10006.05</v>
      </c>
      <c r="H2205" s="59"/>
      <c r="I2205" s="5"/>
      <c r="J2205" s="5"/>
      <c r="K2205" s="5"/>
      <c r="L2205" s="59"/>
    </row>
    <row r="2206" customHeight="1" spans="6:12">
      <c r="F2206" s="86">
        <v>42986</v>
      </c>
      <c r="G2206" s="87">
        <v>9934.8</v>
      </c>
      <c r="H2206" s="59"/>
      <c r="I2206" s="5"/>
      <c r="J2206" s="5"/>
      <c r="K2206" s="5"/>
      <c r="L2206" s="59"/>
    </row>
    <row r="2207" customHeight="1" spans="6:12">
      <c r="F2207" s="86">
        <v>42985</v>
      </c>
      <c r="G2207" s="87">
        <v>9929.9</v>
      </c>
      <c r="H2207" s="59"/>
      <c r="I2207" s="5"/>
      <c r="J2207" s="5"/>
      <c r="K2207" s="5"/>
      <c r="L2207" s="59"/>
    </row>
    <row r="2208" customHeight="1" spans="6:12">
      <c r="F2208" s="86">
        <v>42984</v>
      </c>
      <c r="G2208" s="87">
        <v>9916.2</v>
      </c>
      <c r="H2208" s="59"/>
      <c r="I2208" s="5"/>
      <c r="J2208" s="5"/>
      <c r="K2208" s="5"/>
      <c r="L2208" s="59"/>
    </row>
    <row r="2209" customHeight="1" spans="6:12">
      <c r="F2209" s="86">
        <v>42983</v>
      </c>
      <c r="G2209" s="87">
        <v>9952.2</v>
      </c>
      <c r="H2209" s="59"/>
      <c r="I2209" s="5"/>
      <c r="J2209" s="5"/>
      <c r="K2209" s="5"/>
      <c r="L2209" s="59"/>
    </row>
    <row r="2210" customHeight="1" spans="6:12">
      <c r="F2210" s="86">
        <v>42982</v>
      </c>
      <c r="G2210" s="87">
        <v>9912.85</v>
      </c>
      <c r="H2210" s="59"/>
      <c r="I2210" s="5"/>
      <c r="J2210" s="5"/>
      <c r="K2210" s="5"/>
      <c r="L2210" s="59"/>
    </row>
    <row r="2211" customHeight="1" spans="6:12">
      <c r="F2211" s="86">
        <v>42979</v>
      </c>
      <c r="G2211" s="87">
        <v>9974.4</v>
      </c>
      <c r="H2211" s="59"/>
      <c r="I2211" s="5"/>
      <c r="J2211" s="5"/>
      <c r="K2211" s="5"/>
      <c r="L2211" s="59"/>
    </row>
    <row r="2212" customHeight="1" spans="6:12">
      <c r="F2212" s="86">
        <v>42978</v>
      </c>
      <c r="G2212" s="87">
        <v>9917.9</v>
      </c>
      <c r="H2212" s="59"/>
      <c r="I2212" s="5"/>
      <c r="J2212" s="5"/>
      <c r="K2212" s="5"/>
      <c r="L2212" s="59"/>
    </row>
    <row r="2213" customHeight="1" spans="6:12">
      <c r="F2213" s="86">
        <v>42977</v>
      </c>
      <c r="G2213" s="87">
        <v>9884.4</v>
      </c>
      <c r="H2213" s="59"/>
      <c r="I2213" s="5"/>
      <c r="J2213" s="5"/>
      <c r="K2213" s="5"/>
      <c r="L2213" s="59"/>
    </row>
    <row r="2214" customHeight="1" spans="6:12">
      <c r="F2214" s="86">
        <v>42976</v>
      </c>
      <c r="G2214" s="87">
        <v>9796.05</v>
      </c>
      <c r="H2214" s="59"/>
      <c r="I2214" s="5"/>
      <c r="J2214" s="5"/>
      <c r="K2214" s="5"/>
      <c r="L2214" s="59"/>
    </row>
    <row r="2215" customHeight="1" spans="6:12">
      <c r="F2215" s="86">
        <v>42975</v>
      </c>
      <c r="G2215" s="87">
        <v>9912.8</v>
      </c>
      <c r="H2215" s="59"/>
      <c r="I2215" s="5"/>
      <c r="J2215" s="5"/>
      <c r="K2215" s="5"/>
      <c r="L2215" s="59"/>
    </row>
    <row r="2216" customHeight="1" spans="6:12">
      <c r="F2216" s="86">
        <v>42971</v>
      </c>
      <c r="G2216" s="87">
        <v>9857.05</v>
      </c>
      <c r="H2216" s="59"/>
      <c r="I2216" s="5"/>
      <c r="J2216" s="5"/>
      <c r="K2216" s="5"/>
      <c r="L2216" s="59"/>
    </row>
    <row r="2217" customHeight="1" spans="6:12">
      <c r="F2217" s="86">
        <v>42970</v>
      </c>
      <c r="G2217" s="87">
        <v>9852.5</v>
      </c>
      <c r="H2217" s="59"/>
      <c r="I2217" s="5"/>
      <c r="J2217" s="5"/>
      <c r="K2217" s="5"/>
      <c r="L2217" s="59"/>
    </row>
    <row r="2218" customHeight="1" spans="6:12">
      <c r="F2218" s="86">
        <v>42969</v>
      </c>
      <c r="G2218" s="87">
        <v>9765.55</v>
      </c>
      <c r="H2218" s="59"/>
      <c r="I2218" s="5"/>
      <c r="J2218" s="5"/>
      <c r="K2218" s="5"/>
      <c r="L2218" s="59"/>
    </row>
    <row r="2219" customHeight="1" spans="6:12">
      <c r="F2219" s="86">
        <v>42968</v>
      </c>
      <c r="G2219" s="87">
        <v>9754.35</v>
      </c>
      <c r="H2219" s="59"/>
      <c r="I2219" s="5"/>
      <c r="J2219" s="5"/>
      <c r="K2219" s="5"/>
      <c r="L2219" s="59"/>
    </row>
    <row r="2220" customHeight="1" spans="6:12">
      <c r="F2220" s="86">
        <v>42965</v>
      </c>
      <c r="G2220" s="87">
        <v>9837.4</v>
      </c>
      <c r="H2220" s="59"/>
      <c r="I2220" s="5"/>
      <c r="J2220" s="5"/>
      <c r="K2220" s="5"/>
      <c r="L2220" s="59"/>
    </row>
    <row r="2221" customHeight="1" spans="6:12">
      <c r="F2221" s="86">
        <v>42964</v>
      </c>
      <c r="G2221" s="87">
        <v>9904.15</v>
      </c>
      <c r="H2221" s="59"/>
      <c r="I2221" s="5"/>
      <c r="J2221" s="5"/>
      <c r="K2221" s="5"/>
      <c r="L2221" s="59"/>
    </row>
    <row r="2222" customHeight="1" spans="6:12">
      <c r="F2222" s="86">
        <v>42963</v>
      </c>
      <c r="G2222" s="87">
        <v>9897.3</v>
      </c>
      <c r="H2222" s="59"/>
      <c r="I2222" s="5"/>
      <c r="J2222" s="5"/>
      <c r="K2222" s="5"/>
      <c r="L2222" s="59"/>
    </row>
    <row r="2223" customHeight="1" spans="6:12">
      <c r="F2223" s="86">
        <v>42961</v>
      </c>
      <c r="G2223" s="87">
        <v>9794.15</v>
      </c>
      <c r="H2223" s="59"/>
      <c r="I2223" s="5"/>
      <c r="J2223" s="5"/>
      <c r="K2223" s="5"/>
      <c r="L2223" s="59"/>
    </row>
    <row r="2224" customHeight="1" spans="6:12">
      <c r="F2224" s="86">
        <v>42958</v>
      </c>
      <c r="G2224" s="87">
        <v>9710.8</v>
      </c>
      <c r="H2224" s="59"/>
      <c r="I2224" s="5"/>
      <c r="J2224" s="5"/>
      <c r="K2224" s="5"/>
      <c r="L2224" s="59"/>
    </row>
    <row r="2225" customHeight="1" spans="6:12">
      <c r="F2225" s="86">
        <v>42957</v>
      </c>
      <c r="G2225" s="87">
        <v>9820.25</v>
      </c>
      <c r="H2225" s="59"/>
      <c r="I2225" s="5"/>
      <c r="J2225" s="5"/>
      <c r="K2225" s="5"/>
      <c r="L2225" s="59"/>
    </row>
    <row r="2226" customHeight="1" spans="6:12">
      <c r="F2226" s="86">
        <v>42956</v>
      </c>
      <c r="G2226" s="87">
        <v>9908.05</v>
      </c>
      <c r="H2226" s="59"/>
      <c r="I2226" s="5"/>
      <c r="J2226" s="5"/>
      <c r="K2226" s="5"/>
      <c r="L2226" s="59"/>
    </row>
    <row r="2227" customHeight="1" spans="6:12">
      <c r="F2227" s="86">
        <v>42955</v>
      </c>
      <c r="G2227" s="87">
        <v>9978.55</v>
      </c>
      <c r="H2227" s="59"/>
      <c r="I2227" s="5"/>
      <c r="J2227" s="5"/>
      <c r="K2227" s="5"/>
      <c r="L2227" s="59"/>
    </row>
    <row r="2228" customHeight="1" spans="6:12">
      <c r="F2228" s="86">
        <v>42954</v>
      </c>
      <c r="G2228" s="87">
        <v>10057.4</v>
      </c>
      <c r="H2228" s="59"/>
      <c r="I2228" s="5"/>
      <c r="J2228" s="5"/>
      <c r="K2228" s="5"/>
      <c r="L2228" s="59"/>
    </row>
    <row r="2229" customHeight="1" spans="6:12">
      <c r="F2229" s="86">
        <v>42951</v>
      </c>
      <c r="G2229" s="87">
        <v>10066.4</v>
      </c>
      <c r="H2229" s="59"/>
      <c r="I2229" s="5"/>
      <c r="J2229" s="5"/>
      <c r="K2229" s="5"/>
      <c r="L2229" s="59"/>
    </row>
    <row r="2230" customHeight="1" spans="6:12">
      <c r="F2230" s="86">
        <v>42950</v>
      </c>
      <c r="G2230" s="87">
        <v>10013.65</v>
      </c>
      <c r="H2230" s="59"/>
      <c r="I2230" s="5"/>
      <c r="J2230" s="5"/>
      <c r="K2230" s="5"/>
      <c r="L2230" s="59"/>
    </row>
    <row r="2231" customHeight="1" spans="6:12">
      <c r="F2231" s="86">
        <v>42949</v>
      </c>
      <c r="G2231" s="87">
        <v>10081.5</v>
      </c>
      <c r="H2231" s="59"/>
      <c r="I2231" s="5"/>
      <c r="J2231" s="5"/>
      <c r="K2231" s="5"/>
      <c r="L2231" s="59"/>
    </row>
    <row r="2232" customHeight="1" spans="6:12">
      <c r="F2232" s="86">
        <v>42948</v>
      </c>
      <c r="G2232" s="87">
        <v>10114.65</v>
      </c>
      <c r="H2232" s="59"/>
      <c r="I2232" s="5"/>
      <c r="J2232" s="5"/>
      <c r="K2232" s="5"/>
      <c r="L2232" s="59"/>
    </row>
    <row r="2233" customHeight="1" spans="6:12">
      <c r="F2233" s="86">
        <v>42947</v>
      </c>
      <c r="G2233" s="87">
        <v>10077.1</v>
      </c>
      <c r="H2233" s="59"/>
      <c r="I2233" s="5"/>
      <c r="J2233" s="5"/>
      <c r="K2233" s="5"/>
      <c r="L2233" s="59"/>
    </row>
    <row r="2234" customHeight="1" spans="6:12">
      <c r="F2234" s="86">
        <v>42944</v>
      </c>
      <c r="G2234" s="87">
        <v>10014.5</v>
      </c>
      <c r="H2234" s="59"/>
      <c r="I2234" s="5"/>
      <c r="J2234" s="5"/>
      <c r="K2234" s="5"/>
      <c r="L2234" s="59"/>
    </row>
    <row r="2235" customHeight="1" spans="6:12">
      <c r="F2235" s="86">
        <v>42943</v>
      </c>
      <c r="G2235" s="87">
        <v>10020.55</v>
      </c>
      <c r="H2235" s="59"/>
      <c r="I2235" s="5"/>
      <c r="J2235" s="5"/>
      <c r="K2235" s="5"/>
      <c r="L2235" s="59"/>
    </row>
    <row r="2236" customHeight="1" spans="6:12">
      <c r="F2236" s="86">
        <v>42942</v>
      </c>
      <c r="G2236" s="87">
        <v>10020.65</v>
      </c>
      <c r="H2236" s="59"/>
      <c r="I2236" s="5"/>
      <c r="J2236" s="5"/>
      <c r="K2236" s="5"/>
      <c r="L2236" s="59"/>
    </row>
    <row r="2237" customHeight="1" spans="6:12">
      <c r="F2237" s="86">
        <v>42941</v>
      </c>
      <c r="G2237" s="87">
        <v>9964.55</v>
      </c>
      <c r="H2237" s="59"/>
      <c r="I2237" s="5"/>
      <c r="J2237" s="5"/>
      <c r="K2237" s="5"/>
      <c r="L2237" s="59"/>
    </row>
    <row r="2238" customHeight="1" spans="6:12">
      <c r="F2238" s="86">
        <v>42940</v>
      </c>
      <c r="G2238" s="87">
        <v>9966.4</v>
      </c>
      <c r="H2238" s="59"/>
      <c r="I2238" s="5"/>
      <c r="J2238" s="5"/>
      <c r="K2238" s="5"/>
      <c r="L2238" s="59"/>
    </row>
    <row r="2239" customHeight="1" spans="6:12">
      <c r="F2239" s="86">
        <v>42937</v>
      </c>
      <c r="G2239" s="87">
        <v>9915.25</v>
      </c>
      <c r="H2239" s="59"/>
      <c r="I2239" s="5"/>
      <c r="J2239" s="5"/>
      <c r="K2239" s="5"/>
      <c r="L2239" s="59"/>
    </row>
    <row r="2240" customHeight="1" spans="6:12">
      <c r="F2240" s="86">
        <v>42936</v>
      </c>
      <c r="G2240" s="87">
        <v>9873.3</v>
      </c>
      <c r="H2240" s="59"/>
      <c r="I2240" s="5"/>
      <c r="J2240" s="5"/>
      <c r="K2240" s="5"/>
      <c r="L2240" s="59"/>
    </row>
    <row r="2241" customHeight="1" spans="6:12">
      <c r="F2241" s="86">
        <v>42935</v>
      </c>
      <c r="G2241" s="87">
        <v>9899.6</v>
      </c>
      <c r="H2241" s="59"/>
      <c r="I2241" s="5"/>
      <c r="J2241" s="5"/>
      <c r="K2241" s="5"/>
      <c r="L2241" s="59"/>
    </row>
    <row r="2242" customHeight="1" spans="6:12">
      <c r="F2242" s="86">
        <v>42934</v>
      </c>
      <c r="G2242" s="87">
        <v>9827.15</v>
      </c>
      <c r="H2242" s="59"/>
      <c r="I2242" s="5"/>
      <c r="J2242" s="5"/>
      <c r="K2242" s="5"/>
      <c r="L2242" s="59"/>
    </row>
    <row r="2243" customHeight="1" spans="6:12">
      <c r="F2243" s="86">
        <v>42933</v>
      </c>
      <c r="G2243" s="87">
        <v>9915.95</v>
      </c>
      <c r="H2243" s="59"/>
      <c r="I2243" s="5"/>
      <c r="J2243" s="5"/>
      <c r="K2243" s="5"/>
      <c r="L2243" s="59"/>
    </row>
    <row r="2244" customHeight="1" spans="6:12">
      <c r="F2244" s="86">
        <v>42930</v>
      </c>
      <c r="G2244" s="87">
        <v>9886.35</v>
      </c>
      <c r="H2244" s="59"/>
      <c r="I2244" s="5"/>
      <c r="J2244" s="5"/>
      <c r="K2244" s="5"/>
      <c r="L2244" s="59"/>
    </row>
    <row r="2245" customHeight="1" spans="6:12">
      <c r="F2245" s="86">
        <v>42929</v>
      </c>
      <c r="G2245" s="87">
        <v>9891.7</v>
      </c>
      <c r="H2245" s="59"/>
      <c r="I2245" s="5"/>
      <c r="J2245" s="5"/>
      <c r="K2245" s="5"/>
      <c r="L2245" s="59"/>
    </row>
    <row r="2246" customHeight="1" spans="6:12">
      <c r="F2246" s="86">
        <v>42928</v>
      </c>
      <c r="G2246" s="87">
        <v>9816.1</v>
      </c>
      <c r="H2246" s="59"/>
      <c r="I2246" s="5"/>
      <c r="J2246" s="5"/>
      <c r="K2246" s="5"/>
      <c r="L2246" s="59"/>
    </row>
    <row r="2247" customHeight="1" spans="6:12">
      <c r="F2247" s="86">
        <v>42927</v>
      </c>
      <c r="G2247" s="87">
        <v>9786.05</v>
      </c>
      <c r="H2247" s="59"/>
      <c r="I2247" s="5"/>
      <c r="J2247" s="5"/>
      <c r="K2247" s="5"/>
      <c r="L2247" s="59"/>
    </row>
    <row r="2248" customHeight="1" spans="6:12">
      <c r="F2248" s="86">
        <v>42926</v>
      </c>
      <c r="G2248" s="87">
        <v>9771.05</v>
      </c>
      <c r="H2248" s="59"/>
      <c r="I2248" s="5"/>
      <c r="J2248" s="5"/>
      <c r="K2248" s="5"/>
      <c r="L2248" s="59"/>
    </row>
    <row r="2249" customHeight="1" spans="6:12">
      <c r="F2249" s="86">
        <v>42923</v>
      </c>
      <c r="G2249" s="87">
        <v>9665.8</v>
      </c>
      <c r="H2249" s="59"/>
      <c r="I2249" s="5"/>
      <c r="J2249" s="5"/>
      <c r="K2249" s="5"/>
      <c r="L2249" s="59"/>
    </row>
    <row r="2250" customHeight="1" spans="6:12">
      <c r="F2250" s="86">
        <v>42922</v>
      </c>
      <c r="G2250" s="87">
        <v>9674.55</v>
      </c>
      <c r="H2250" s="59"/>
      <c r="I2250" s="5"/>
      <c r="J2250" s="5"/>
      <c r="K2250" s="5"/>
      <c r="L2250" s="59"/>
    </row>
    <row r="2251" customHeight="1" spans="6:12">
      <c r="F2251" s="86">
        <v>42921</v>
      </c>
      <c r="G2251" s="87">
        <v>9637.6</v>
      </c>
      <c r="H2251" s="59"/>
      <c r="I2251" s="5"/>
      <c r="J2251" s="5"/>
      <c r="K2251" s="5"/>
      <c r="L2251" s="59"/>
    </row>
    <row r="2252" customHeight="1" spans="6:12">
      <c r="F2252" s="86">
        <v>42920</v>
      </c>
      <c r="G2252" s="87">
        <v>9613.3</v>
      </c>
      <c r="H2252" s="59"/>
      <c r="I2252" s="5"/>
      <c r="J2252" s="5"/>
      <c r="K2252" s="5"/>
      <c r="L2252" s="59"/>
    </row>
    <row r="2253" customHeight="1" spans="6:12">
      <c r="F2253" s="86">
        <v>42919</v>
      </c>
      <c r="G2253" s="87">
        <v>9615</v>
      </c>
      <c r="H2253" s="59"/>
      <c r="I2253" s="5"/>
      <c r="J2253" s="5"/>
      <c r="K2253" s="5"/>
      <c r="L2253" s="59"/>
    </row>
    <row r="2254" customHeight="1" spans="6:12">
      <c r="F2254" s="86">
        <v>42916</v>
      </c>
      <c r="G2254" s="87">
        <v>9520.9</v>
      </c>
      <c r="H2254" s="59"/>
      <c r="I2254" s="5"/>
      <c r="J2254" s="5"/>
      <c r="K2254" s="5"/>
      <c r="L2254" s="59"/>
    </row>
    <row r="2255" customHeight="1" spans="6:12">
      <c r="F2255" s="86">
        <v>42915</v>
      </c>
      <c r="G2255" s="87">
        <v>9504.1</v>
      </c>
      <c r="H2255" s="59"/>
      <c r="I2255" s="5"/>
      <c r="J2255" s="5"/>
      <c r="K2255" s="5"/>
      <c r="L2255" s="59"/>
    </row>
    <row r="2256" customHeight="1" spans="6:12">
      <c r="F2256" s="86">
        <v>42914</v>
      </c>
      <c r="G2256" s="87">
        <v>9491.25</v>
      </c>
      <c r="H2256" s="59"/>
      <c r="I2256" s="5"/>
      <c r="J2256" s="5"/>
      <c r="K2256" s="5"/>
      <c r="L2256" s="59"/>
    </row>
    <row r="2257" customHeight="1" spans="6:12">
      <c r="F2257" s="86">
        <v>42913</v>
      </c>
      <c r="G2257" s="87">
        <v>9511.4</v>
      </c>
      <c r="H2257" s="59"/>
      <c r="I2257" s="5"/>
      <c r="J2257" s="5"/>
      <c r="K2257" s="5"/>
      <c r="L2257" s="59"/>
    </row>
    <row r="2258" customHeight="1" spans="6:12">
      <c r="F2258" s="86">
        <v>42909</v>
      </c>
      <c r="G2258" s="87">
        <v>9574.95</v>
      </c>
      <c r="H2258" s="59"/>
      <c r="I2258" s="5"/>
      <c r="J2258" s="5"/>
      <c r="K2258" s="5"/>
      <c r="L2258" s="59"/>
    </row>
    <row r="2259" customHeight="1" spans="6:12">
      <c r="F2259" s="86">
        <v>42908</v>
      </c>
      <c r="G2259" s="87">
        <v>9630</v>
      </c>
      <c r="H2259" s="59"/>
      <c r="I2259" s="5"/>
      <c r="J2259" s="5"/>
      <c r="K2259" s="5"/>
      <c r="L2259" s="59"/>
    </row>
    <row r="2260" customHeight="1" spans="6:12">
      <c r="F2260" s="86">
        <v>42907</v>
      </c>
      <c r="G2260" s="87">
        <v>9633.6</v>
      </c>
      <c r="H2260" s="59"/>
      <c r="I2260" s="5"/>
      <c r="J2260" s="5"/>
      <c r="K2260" s="5"/>
      <c r="L2260" s="59"/>
    </row>
    <row r="2261" customHeight="1" spans="6:12">
      <c r="F2261" s="86">
        <v>42906</v>
      </c>
      <c r="G2261" s="87">
        <v>9653.5</v>
      </c>
      <c r="H2261" s="59"/>
      <c r="I2261" s="5"/>
      <c r="J2261" s="5"/>
      <c r="K2261" s="5"/>
      <c r="L2261" s="59"/>
    </row>
    <row r="2262" customHeight="1" spans="6:12">
      <c r="F2262" s="86">
        <v>42905</v>
      </c>
      <c r="G2262" s="87">
        <v>9657.55</v>
      </c>
      <c r="H2262" s="59"/>
      <c r="I2262" s="5"/>
      <c r="J2262" s="5"/>
      <c r="K2262" s="5"/>
      <c r="L2262" s="59"/>
    </row>
    <row r="2263" customHeight="1" spans="6:12">
      <c r="F2263" s="86">
        <v>42902</v>
      </c>
      <c r="G2263" s="87">
        <v>9588.05</v>
      </c>
      <c r="H2263" s="59"/>
      <c r="I2263" s="5"/>
      <c r="J2263" s="5"/>
      <c r="K2263" s="5"/>
      <c r="L2263" s="59"/>
    </row>
    <row r="2264" customHeight="1" spans="6:12">
      <c r="F2264" s="86">
        <v>42901</v>
      </c>
      <c r="G2264" s="87">
        <v>9578.05</v>
      </c>
      <c r="H2264" s="59"/>
      <c r="I2264" s="5"/>
      <c r="J2264" s="5"/>
      <c r="K2264" s="5"/>
      <c r="L2264" s="59"/>
    </row>
    <row r="2265" customHeight="1" spans="6:12">
      <c r="F2265" s="86">
        <v>42900</v>
      </c>
      <c r="G2265" s="87">
        <v>9618.15</v>
      </c>
      <c r="H2265" s="59"/>
      <c r="I2265" s="5"/>
      <c r="J2265" s="5"/>
      <c r="K2265" s="5"/>
      <c r="L2265" s="59"/>
    </row>
    <row r="2266" customHeight="1" spans="6:12">
      <c r="F2266" s="86">
        <v>42899</v>
      </c>
      <c r="G2266" s="87">
        <v>9606.9</v>
      </c>
      <c r="H2266" s="59"/>
      <c r="I2266" s="5"/>
      <c r="J2266" s="5"/>
      <c r="K2266" s="5"/>
      <c r="L2266" s="59"/>
    </row>
    <row r="2267" customHeight="1" spans="6:12">
      <c r="F2267" s="86">
        <v>42898</v>
      </c>
      <c r="G2267" s="87">
        <v>9616.4</v>
      </c>
      <c r="H2267" s="59"/>
      <c r="I2267" s="5"/>
      <c r="J2267" s="5"/>
      <c r="K2267" s="5"/>
      <c r="L2267" s="59"/>
    </row>
    <row r="2268" customHeight="1" spans="6:12">
      <c r="F2268" s="86">
        <v>42895</v>
      </c>
      <c r="G2268" s="87">
        <v>9668.25</v>
      </c>
      <c r="H2268" s="59"/>
      <c r="I2268" s="5"/>
      <c r="J2268" s="5"/>
      <c r="K2268" s="5"/>
      <c r="L2268" s="59"/>
    </row>
    <row r="2269" customHeight="1" spans="6:12">
      <c r="F2269" s="86">
        <v>42894</v>
      </c>
      <c r="G2269" s="87">
        <v>9647.25</v>
      </c>
      <c r="H2269" s="59"/>
      <c r="I2269" s="5"/>
      <c r="J2269" s="5"/>
      <c r="K2269" s="5"/>
      <c r="L2269" s="59"/>
    </row>
    <row r="2270" customHeight="1" spans="6:12">
      <c r="F2270" s="86">
        <v>42893</v>
      </c>
      <c r="G2270" s="87">
        <v>9663.9</v>
      </c>
      <c r="H2270" s="59"/>
      <c r="I2270" s="5"/>
      <c r="J2270" s="5"/>
      <c r="K2270" s="5"/>
      <c r="L2270" s="59"/>
    </row>
    <row r="2271" customHeight="1" spans="6:12">
      <c r="F2271" s="86">
        <v>42892</v>
      </c>
      <c r="G2271" s="87">
        <v>9637.15</v>
      </c>
      <c r="H2271" s="59"/>
      <c r="I2271" s="5"/>
      <c r="J2271" s="5"/>
      <c r="K2271" s="5"/>
      <c r="L2271" s="59"/>
    </row>
    <row r="2272" customHeight="1" spans="6:12">
      <c r="F2272" s="86">
        <v>42891</v>
      </c>
      <c r="G2272" s="87">
        <v>9675.1</v>
      </c>
      <c r="H2272" s="59"/>
      <c r="I2272" s="5"/>
      <c r="J2272" s="5"/>
      <c r="K2272" s="5"/>
      <c r="L2272" s="59"/>
    </row>
    <row r="2273" customHeight="1" spans="6:12">
      <c r="F2273" s="86">
        <v>42888</v>
      </c>
      <c r="G2273" s="87">
        <v>9653.5</v>
      </c>
      <c r="H2273" s="59"/>
      <c r="I2273" s="5"/>
      <c r="J2273" s="5"/>
      <c r="K2273" s="5"/>
      <c r="L2273" s="59"/>
    </row>
    <row r="2274" customHeight="1" spans="6:12">
      <c r="F2274" s="86">
        <v>42887</v>
      </c>
      <c r="G2274" s="87">
        <v>9616.1</v>
      </c>
      <c r="H2274" s="59"/>
      <c r="I2274" s="5"/>
      <c r="J2274" s="5"/>
      <c r="K2274" s="5"/>
      <c r="L2274" s="59"/>
    </row>
    <row r="2275" customHeight="1" spans="6:12">
      <c r="F2275" s="86">
        <v>42886</v>
      </c>
      <c r="G2275" s="87">
        <v>9621.25</v>
      </c>
      <c r="H2275" s="59"/>
      <c r="I2275" s="5"/>
      <c r="J2275" s="5"/>
      <c r="K2275" s="5"/>
      <c r="L2275" s="59"/>
    </row>
    <row r="2276" customHeight="1" spans="6:12">
      <c r="F2276" s="86">
        <v>42885</v>
      </c>
      <c r="G2276" s="87">
        <v>9624.55</v>
      </c>
      <c r="H2276" s="59"/>
      <c r="I2276" s="5"/>
      <c r="J2276" s="5"/>
      <c r="K2276" s="5"/>
      <c r="L2276" s="59"/>
    </row>
    <row r="2277" customHeight="1" spans="6:12">
      <c r="F2277" s="86">
        <v>42884</v>
      </c>
      <c r="G2277" s="87">
        <v>9604.9</v>
      </c>
      <c r="H2277" s="59"/>
      <c r="I2277" s="5"/>
      <c r="J2277" s="5"/>
      <c r="K2277" s="5"/>
      <c r="L2277" s="59"/>
    </row>
    <row r="2278" customHeight="1" spans="6:12">
      <c r="F2278" s="86">
        <v>42881</v>
      </c>
      <c r="G2278" s="87">
        <v>9595.1</v>
      </c>
      <c r="H2278" s="59"/>
      <c r="I2278" s="5"/>
      <c r="J2278" s="5"/>
      <c r="K2278" s="5"/>
      <c r="L2278" s="59"/>
    </row>
    <row r="2279" customHeight="1" spans="6:12">
      <c r="F2279" s="86">
        <v>42880</v>
      </c>
      <c r="G2279" s="87">
        <v>9509.75</v>
      </c>
      <c r="H2279" s="59"/>
      <c r="I2279" s="5"/>
      <c r="J2279" s="5"/>
      <c r="K2279" s="5"/>
      <c r="L2279" s="59"/>
    </row>
    <row r="2280" customHeight="1" spans="6:12">
      <c r="F2280" s="86">
        <v>42879</v>
      </c>
      <c r="G2280" s="87">
        <v>9360.55</v>
      </c>
      <c r="H2280" s="59"/>
      <c r="I2280" s="5"/>
      <c r="J2280" s="5"/>
      <c r="K2280" s="5"/>
      <c r="L2280" s="59"/>
    </row>
    <row r="2281" customHeight="1" spans="6:12">
      <c r="F2281" s="86">
        <v>42878</v>
      </c>
      <c r="G2281" s="87">
        <v>9386.15</v>
      </c>
      <c r="H2281" s="59"/>
      <c r="I2281" s="5"/>
      <c r="J2281" s="5"/>
      <c r="K2281" s="5"/>
      <c r="L2281" s="59"/>
    </row>
    <row r="2282" customHeight="1" spans="6:12">
      <c r="F2282" s="86">
        <v>42877</v>
      </c>
      <c r="G2282" s="87">
        <v>9438.25</v>
      </c>
      <c r="H2282" s="59"/>
      <c r="I2282" s="5"/>
      <c r="J2282" s="5"/>
      <c r="K2282" s="5"/>
      <c r="L2282" s="59"/>
    </row>
    <row r="2283" customHeight="1" spans="6:12">
      <c r="F2283" s="86">
        <v>42874</v>
      </c>
      <c r="G2283" s="87">
        <v>9427.9</v>
      </c>
      <c r="H2283" s="59"/>
      <c r="I2283" s="5"/>
      <c r="J2283" s="5"/>
      <c r="K2283" s="5"/>
      <c r="L2283" s="59"/>
    </row>
    <row r="2284" customHeight="1" spans="6:12">
      <c r="F2284" s="86">
        <v>42873</v>
      </c>
      <c r="G2284" s="87">
        <v>9429.45</v>
      </c>
      <c r="H2284" s="59"/>
      <c r="I2284" s="5"/>
      <c r="J2284" s="5"/>
      <c r="K2284" s="5"/>
      <c r="L2284" s="59"/>
    </row>
    <row r="2285" customHeight="1" spans="6:12">
      <c r="F2285" s="86">
        <v>42872</v>
      </c>
      <c r="G2285" s="87">
        <v>9525.75</v>
      </c>
      <c r="H2285" s="59"/>
      <c r="I2285" s="5"/>
      <c r="J2285" s="5"/>
      <c r="K2285" s="5"/>
      <c r="L2285" s="59"/>
    </row>
    <row r="2286" customHeight="1" spans="6:12">
      <c r="F2286" s="86">
        <v>42871</v>
      </c>
      <c r="G2286" s="87">
        <v>9512.25</v>
      </c>
      <c r="H2286" s="59"/>
      <c r="I2286" s="5"/>
      <c r="J2286" s="5"/>
      <c r="K2286" s="5"/>
      <c r="L2286" s="59"/>
    </row>
    <row r="2287" customHeight="1" spans="6:12">
      <c r="F2287" s="86">
        <v>42870</v>
      </c>
      <c r="G2287" s="87">
        <v>9445.4</v>
      </c>
      <c r="H2287" s="59"/>
      <c r="I2287" s="5"/>
      <c r="J2287" s="5"/>
      <c r="K2287" s="5"/>
      <c r="L2287" s="59"/>
    </row>
    <row r="2288" customHeight="1" spans="6:12">
      <c r="F2288" s="86">
        <v>42867</v>
      </c>
      <c r="G2288" s="87">
        <v>9400.9</v>
      </c>
      <c r="H2288" s="59"/>
      <c r="I2288" s="5"/>
      <c r="J2288" s="5"/>
      <c r="K2288" s="5"/>
      <c r="L2288" s="59"/>
    </row>
    <row r="2289" customHeight="1" spans="6:12">
      <c r="F2289" s="86">
        <v>42866</v>
      </c>
      <c r="G2289" s="87">
        <v>9422.4</v>
      </c>
      <c r="H2289" s="59"/>
      <c r="I2289" s="5"/>
      <c r="J2289" s="5"/>
      <c r="K2289" s="5"/>
      <c r="L2289" s="59"/>
    </row>
    <row r="2290" customHeight="1" spans="6:12">
      <c r="F2290" s="86">
        <v>42865</v>
      </c>
      <c r="G2290" s="87">
        <v>9407.3</v>
      </c>
      <c r="H2290" s="59"/>
      <c r="I2290" s="5"/>
      <c r="J2290" s="5"/>
      <c r="K2290" s="5"/>
      <c r="L2290" s="59"/>
    </row>
    <row r="2291" customHeight="1" spans="6:12">
      <c r="F2291" s="86">
        <v>42864</v>
      </c>
      <c r="G2291" s="87">
        <v>9316.85</v>
      </c>
      <c r="H2291" s="59"/>
      <c r="I2291" s="5"/>
      <c r="J2291" s="5"/>
      <c r="K2291" s="5"/>
      <c r="L2291" s="59"/>
    </row>
    <row r="2292" customHeight="1" spans="6:12">
      <c r="F2292" s="86">
        <v>42863</v>
      </c>
      <c r="G2292" s="87">
        <v>9314.05</v>
      </c>
      <c r="H2292" s="59"/>
      <c r="I2292" s="5"/>
      <c r="J2292" s="5"/>
      <c r="K2292" s="5"/>
      <c r="L2292" s="59"/>
    </row>
    <row r="2293" customHeight="1" spans="6:12">
      <c r="F2293" s="86">
        <v>42860</v>
      </c>
      <c r="G2293" s="87">
        <v>9285.3</v>
      </c>
      <c r="H2293" s="59"/>
      <c r="I2293" s="5"/>
      <c r="J2293" s="5"/>
      <c r="K2293" s="5"/>
      <c r="L2293" s="59"/>
    </row>
    <row r="2294" customHeight="1" spans="6:12">
      <c r="F2294" s="86">
        <v>42859</v>
      </c>
      <c r="G2294" s="87">
        <v>9359.9</v>
      </c>
      <c r="H2294" s="59"/>
      <c r="I2294" s="5"/>
      <c r="J2294" s="5"/>
      <c r="K2294" s="5"/>
      <c r="L2294" s="59"/>
    </row>
    <row r="2295" customHeight="1" spans="6:12">
      <c r="F2295" s="86">
        <v>42858</v>
      </c>
      <c r="G2295" s="87">
        <v>9311.95</v>
      </c>
      <c r="H2295" s="59"/>
      <c r="I2295" s="5"/>
      <c r="J2295" s="5"/>
      <c r="K2295" s="5"/>
      <c r="L2295" s="59"/>
    </row>
    <row r="2296" customHeight="1" spans="6:12">
      <c r="F2296" s="86">
        <v>42857</v>
      </c>
      <c r="G2296" s="87">
        <v>9313.8</v>
      </c>
      <c r="H2296" s="59"/>
      <c r="I2296" s="5"/>
      <c r="J2296" s="5"/>
      <c r="K2296" s="5"/>
      <c r="L2296" s="59"/>
    </row>
    <row r="2297" customHeight="1" spans="6:12">
      <c r="F2297" s="86">
        <v>42853</v>
      </c>
      <c r="G2297" s="87">
        <v>9304.05</v>
      </c>
      <c r="H2297" s="59"/>
      <c r="I2297" s="5"/>
      <c r="J2297" s="5"/>
      <c r="K2297" s="5"/>
      <c r="L2297" s="59"/>
    </row>
    <row r="2298" customHeight="1" spans="6:12">
      <c r="F2298" s="86">
        <v>42852</v>
      </c>
      <c r="G2298" s="87">
        <v>9342.15</v>
      </c>
      <c r="H2298" s="59"/>
      <c r="I2298" s="5"/>
      <c r="J2298" s="5"/>
      <c r="K2298" s="5"/>
      <c r="L2298" s="59"/>
    </row>
    <row r="2299" customHeight="1" spans="6:12">
      <c r="F2299" s="86">
        <v>42851</v>
      </c>
      <c r="G2299" s="87">
        <v>9351.85</v>
      </c>
      <c r="H2299" s="59"/>
      <c r="I2299" s="5"/>
      <c r="J2299" s="5"/>
      <c r="K2299" s="5"/>
      <c r="L2299" s="59"/>
    </row>
    <row r="2300" customHeight="1" spans="6:12">
      <c r="F2300" s="86">
        <v>42850</v>
      </c>
      <c r="G2300" s="87">
        <v>9306.6</v>
      </c>
      <c r="H2300" s="59"/>
      <c r="I2300" s="5"/>
      <c r="J2300" s="5"/>
      <c r="K2300" s="5"/>
      <c r="L2300" s="59"/>
    </row>
    <row r="2301" customHeight="1" spans="6:12">
      <c r="F2301" s="86">
        <v>42849</v>
      </c>
      <c r="G2301" s="87">
        <v>9217.95</v>
      </c>
      <c r="H2301" s="59"/>
      <c r="I2301" s="5"/>
      <c r="J2301" s="5"/>
      <c r="K2301" s="5"/>
      <c r="L2301" s="59"/>
    </row>
    <row r="2302" customHeight="1" spans="6:12">
      <c r="F2302" s="86">
        <v>42846</v>
      </c>
      <c r="G2302" s="87">
        <v>9119.4</v>
      </c>
      <c r="H2302" s="59"/>
      <c r="I2302" s="5"/>
      <c r="J2302" s="5"/>
      <c r="K2302" s="5"/>
      <c r="L2302" s="59"/>
    </row>
    <row r="2303" customHeight="1" spans="6:12">
      <c r="F2303" s="86">
        <v>42845</v>
      </c>
      <c r="G2303" s="87">
        <v>9136.4</v>
      </c>
      <c r="H2303" s="59"/>
      <c r="I2303" s="5"/>
      <c r="J2303" s="5"/>
      <c r="K2303" s="5"/>
      <c r="L2303" s="59"/>
    </row>
    <row r="2304" customHeight="1" spans="6:12">
      <c r="F2304" s="86">
        <v>42844</v>
      </c>
      <c r="G2304" s="87">
        <v>9103.5</v>
      </c>
      <c r="H2304" s="59"/>
      <c r="I2304" s="5"/>
      <c r="J2304" s="5"/>
      <c r="K2304" s="5"/>
      <c r="L2304" s="59"/>
    </row>
    <row r="2305" customHeight="1" spans="6:12">
      <c r="F2305" s="86">
        <v>42843</v>
      </c>
      <c r="G2305" s="87">
        <v>9105.15</v>
      </c>
      <c r="H2305" s="59"/>
      <c r="I2305" s="5"/>
      <c r="J2305" s="5"/>
      <c r="K2305" s="5"/>
      <c r="L2305" s="59"/>
    </row>
    <row r="2306" customHeight="1" spans="6:12">
      <c r="F2306" s="86">
        <v>42842</v>
      </c>
      <c r="G2306" s="87">
        <v>9139.3</v>
      </c>
      <c r="H2306" s="59"/>
      <c r="I2306" s="5"/>
      <c r="J2306" s="5"/>
      <c r="K2306" s="5"/>
      <c r="L2306" s="59"/>
    </row>
    <row r="2307" customHeight="1" spans="6:12">
      <c r="F2307" s="86">
        <v>42838</v>
      </c>
      <c r="G2307" s="87">
        <v>9150.8</v>
      </c>
      <c r="H2307" s="59"/>
      <c r="I2307" s="5"/>
      <c r="J2307" s="5"/>
      <c r="K2307" s="5"/>
      <c r="L2307" s="59"/>
    </row>
    <row r="2308" customHeight="1" spans="6:12">
      <c r="F2308" s="86">
        <v>42837</v>
      </c>
      <c r="G2308" s="87">
        <v>9203.45</v>
      </c>
      <c r="H2308" s="59"/>
      <c r="I2308" s="5"/>
      <c r="J2308" s="5"/>
      <c r="K2308" s="5"/>
      <c r="L2308" s="59"/>
    </row>
    <row r="2309" customHeight="1" spans="6:12">
      <c r="F2309" s="86">
        <v>42836</v>
      </c>
      <c r="G2309" s="87">
        <v>9237</v>
      </c>
      <c r="H2309" s="59"/>
      <c r="I2309" s="5"/>
      <c r="J2309" s="5"/>
      <c r="K2309" s="5"/>
      <c r="L2309" s="59"/>
    </row>
    <row r="2310" customHeight="1" spans="6:12">
      <c r="F2310" s="86">
        <v>42835</v>
      </c>
      <c r="G2310" s="87">
        <v>9181.45</v>
      </c>
      <c r="H2310" s="59"/>
      <c r="I2310" s="5"/>
      <c r="J2310" s="5"/>
      <c r="K2310" s="5"/>
      <c r="L2310" s="59"/>
    </row>
    <row r="2311" customHeight="1" spans="6:12">
      <c r="F2311" s="86">
        <v>42832</v>
      </c>
      <c r="G2311" s="87">
        <v>9198.3</v>
      </c>
      <c r="H2311" s="59"/>
      <c r="I2311" s="5"/>
      <c r="J2311" s="5"/>
      <c r="K2311" s="5"/>
      <c r="L2311" s="59"/>
    </row>
    <row r="2312" customHeight="1" spans="6:12">
      <c r="F2312" s="86">
        <v>42831</v>
      </c>
      <c r="G2312" s="87">
        <v>9261.95</v>
      </c>
      <c r="H2312" s="59"/>
      <c r="I2312" s="5"/>
      <c r="J2312" s="5"/>
      <c r="K2312" s="5"/>
      <c r="L2312" s="59"/>
    </row>
    <row r="2313" customHeight="1" spans="6:12">
      <c r="F2313" s="86">
        <v>42830</v>
      </c>
      <c r="G2313" s="87">
        <v>9265.15</v>
      </c>
      <c r="H2313" s="59"/>
      <c r="I2313" s="5"/>
      <c r="J2313" s="5"/>
      <c r="K2313" s="5"/>
      <c r="L2313" s="59"/>
    </row>
    <row r="2314" customHeight="1" spans="6:12">
      <c r="F2314" s="86">
        <v>42828</v>
      </c>
      <c r="G2314" s="87">
        <v>9237.85</v>
      </c>
      <c r="H2314" s="59"/>
      <c r="I2314" s="5"/>
      <c r="J2314" s="5"/>
      <c r="K2314" s="5"/>
      <c r="L2314" s="59"/>
    </row>
    <row r="2315" customHeight="1" spans="6:12">
      <c r="F2315" s="86">
        <v>42825</v>
      </c>
      <c r="G2315" s="87">
        <v>9173.75</v>
      </c>
      <c r="H2315" s="59"/>
      <c r="I2315" s="5"/>
      <c r="J2315" s="5"/>
      <c r="K2315" s="5"/>
      <c r="L2315" s="59"/>
    </row>
    <row r="2316" customHeight="1" spans="6:12">
      <c r="F2316" s="86">
        <v>42824</v>
      </c>
      <c r="G2316" s="87">
        <v>9173.75</v>
      </c>
      <c r="H2316" s="59"/>
      <c r="I2316" s="5"/>
      <c r="J2316" s="5"/>
      <c r="K2316" s="5"/>
      <c r="L2316" s="59"/>
    </row>
    <row r="2317" customHeight="1" spans="6:12">
      <c r="F2317" s="86">
        <v>42823</v>
      </c>
      <c r="G2317" s="87">
        <v>9143.8</v>
      </c>
      <c r="H2317" s="59"/>
      <c r="I2317" s="5"/>
      <c r="J2317" s="5"/>
      <c r="K2317" s="5"/>
      <c r="L2317" s="59"/>
    </row>
    <row r="2318" customHeight="1" spans="6:12">
      <c r="F2318" s="86">
        <v>42822</v>
      </c>
      <c r="G2318" s="87">
        <v>9100.8</v>
      </c>
      <c r="H2318" s="59"/>
      <c r="I2318" s="5"/>
      <c r="J2318" s="5"/>
      <c r="K2318" s="5"/>
      <c r="L2318" s="59"/>
    </row>
    <row r="2319" customHeight="1" spans="6:12">
      <c r="F2319" s="86">
        <v>42821</v>
      </c>
      <c r="G2319" s="87">
        <v>9045.2</v>
      </c>
      <c r="H2319" s="59"/>
      <c r="I2319" s="5"/>
      <c r="J2319" s="5"/>
      <c r="K2319" s="5"/>
      <c r="L2319" s="59"/>
    </row>
    <row r="2320" customHeight="1" spans="6:12">
      <c r="F2320" s="86">
        <v>42818</v>
      </c>
      <c r="G2320" s="87">
        <v>9108</v>
      </c>
      <c r="H2320" s="59"/>
      <c r="I2320" s="5"/>
      <c r="J2320" s="5"/>
      <c r="K2320" s="5"/>
      <c r="L2320" s="59"/>
    </row>
    <row r="2321" customHeight="1" spans="6:12">
      <c r="F2321" s="86">
        <v>42817</v>
      </c>
      <c r="G2321" s="87">
        <v>9086.3</v>
      </c>
      <c r="H2321" s="59"/>
      <c r="I2321" s="5"/>
      <c r="J2321" s="5"/>
      <c r="K2321" s="5"/>
      <c r="L2321" s="59"/>
    </row>
    <row r="2322" customHeight="1" spans="6:12">
      <c r="F2322" s="86">
        <v>42816</v>
      </c>
      <c r="G2322" s="87">
        <v>9030.45</v>
      </c>
      <c r="H2322" s="59"/>
      <c r="I2322" s="5"/>
      <c r="J2322" s="5"/>
      <c r="K2322" s="5"/>
      <c r="L2322" s="59"/>
    </row>
    <row r="2323" customHeight="1" spans="6:12">
      <c r="F2323" s="86">
        <v>42815</v>
      </c>
      <c r="G2323" s="87">
        <v>9121.5</v>
      </c>
      <c r="H2323" s="59"/>
      <c r="I2323" s="5"/>
      <c r="J2323" s="5"/>
      <c r="K2323" s="5"/>
      <c r="L2323" s="59"/>
    </row>
    <row r="2324" customHeight="1" spans="6:12">
      <c r="F2324" s="86">
        <v>42814</v>
      </c>
      <c r="G2324" s="87">
        <v>9126.85</v>
      </c>
      <c r="H2324" s="59"/>
      <c r="I2324" s="5"/>
      <c r="J2324" s="5"/>
      <c r="K2324" s="5"/>
      <c r="L2324" s="59"/>
    </row>
    <row r="2325" customHeight="1" spans="6:12">
      <c r="F2325" s="86">
        <v>42811</v>
      </c>
      <c r="G2325" s="87">
        <v>9160.05</v>
      </c>
      <c r="H2325" s="59"/>
      <c r="I2325" s="5"/>
      <c r="J2325" s="5"/>
      <c r="K2325" s="5"/>
      <c r="L2325" s="59"/>
    </row>
    <row r="2326" customHeight="1" spans="6:12">
      <c r="F2326" s="86">
        <v>42810</v>
      </c>
      <c r="G2326" s="87">
        <v>9153.7</v>
      </c>
      <c r="H2326" s="59"/>
      <c r="I2326" s="5"/>
      <c r="J2326" s="5"/>
      <c r="K2326" s="5"/>
      <c r="L2326" s="59"/>
    </row>
    <row r="2327" customHeight="1" spans="6:12">
      <c r="F2327" s="86">
        <v>42809</v>
      </c>
      <c r="G2327" s="87">
        <v>9084.8</v>
      </c>
      <c r="H2327" s="59"/>
      <c r="I2327" s="5"/>
      <c r="J2327" s="5"/>
      <c r="K2327" s="5"/>
      <c r="L2327" s="59"/>
    </row>
    <row r="2328" customHeight="1" spans="6:12">
      <c r="F2328" s="86">
        <v>42808</v>
      </c>
      <c r="G2328" s="87">
        <v>9087</v>
      </c>
      <c r="H2328" s="59"/>
      <c r="I2328" s="5"/>
      <c r="J2328" s="5"/>
      <c r="K2328" s="5"/>
      <c r="L2328" s="59"/>
    </row>
    <row r="2329" customHeight="1" spans="6:12">
      <c r="F2329" s="86">
        <v>42804</v>
      </c>
      <c r="G2329" s="87">
        <v>8934.55</v>
      </c>
      <c r="H2329" s="59"/>
      <c r="I2329" s="5"/>
      <c r="J2329" s="5"/>
      <c r="K2329" s="5"/>
      <c r="L2329" s="59"/>
    </row>
    <row r="2330" customHeight="1" spans="6:12">
      <c r="F2330" s="86">
        <v>42803</v>
      </c>
      <c r="G2330" s="87">
        <v>8927</v>
      </c>
      <c r="H2330" s="59"/>
      <c r="I2330" s="5"/>
      <c r="J2330" s="5"/>
      <c r="K2330" s="5"/>
      <c r="L2330" s="59"/>
    </row>
    <row r="2331" customHeight="1" spans="6:12">
      <c r="F2331" s="86">
        <v>42802</v>
      </c>
      <c r="G2331" s="87">
        <v>8924.3</v>
      </c>
      <c r="H2331" s="59"/>
      <c r="I2331" s="5"/>
      <c r="J2331" s="5"/>
      <c r="K2331" s="5"/>
      <c r="L2331" s="59"/>
    </row>
    <row r="2332" customHeight="1" spans="6:12">
      <c r="F2332" s="86">
        <v>42801</v>
      </c>
      <c r="G2332" s="87">
        <v>8946.9</v>
      </c>
      <c r="H2332" s="59"/>
      <c r="I2332" s="5"/>
      <c r="J2332" s="5"/>
      <c r="K2332" s="5"/>
      <c r="L2332" s="59"/>
    </row>
    <row r="2333" customHeight="1" spans="6:12">
      <c r="F2333" s="86">
        <v>42800</v>
      </c>
      <c r="G2333" s="87">
        <v>8963.45</v>
      </c>
      <c r="H2333" s="59"/>
      <c r="I2333" s="5"/>
      <c r="J2333" s="5"/>
      <c r="K2333" s="5"/>
      <c r="L2333" s="59"/>
    </row>
    <row r="2334" customHeight="1" spans="6:12">
      <c r="F2334" s="86">
        <v>42797</v>
      </c>
      <c r="G2334" s="87">
        <v>8897.55</v>
      </c>
      <c r="H2334" s="59"/>
      <c r="I2334" s="5"/>
      <c r="J2334" s="5"/>
      <c r="K2334" s="5"/>
      <c r="L2334" s="59"/>
    </row>
    <row r="2335" customHeight="1" spans="6:12">
      <c r="F2335" s="86">
        <v>42796</v>
      </c>
      <c r="G2335" s="87">
        <v>8899.75</v>
      </c>
      <c r="H2335" s="59"/>
      <c r="I2335" s="5"/>
      <c r="J2335" s="5"/>
      <c r="K2335" s="5"/>
      <c r="L2335" s="59"/>
    </row>
    <row r="2336" customHeight="1" spans="6:12">
      <c r="F2336" s="86">
        <v>42795</v>
      </c>
      <c r="G2336" s="87">
        <v>8945.8</v>
      </c>
      <c r="H2336" s="59"/>
      <c r="I2336" s="5"/>
      <c r="J2336" s="5"/>
      <c r="K2336" s="5"/>
      <c r="L2336" s="59"/>
    </row>
    <row r="2337" customHeight="1" spans="6:12">
      <c r="F2337" s="86">
        <v>42794</v>
      </c>
      <c r="G2337" s="87">
        <v>8879.6</v>
      </c>
      <c r="H2337" s="59"/>
      <c r="I2337" s="5"/>
      <c r="J2337" s="5"/>
      <c r="K2337" s="5"/>
      <c r="L2337" s="59"/>
    </row>
    <row r="2338" customHeight="1" spans="6:12">
      <c r="F2338" s="86">
        <v>42793</v>
      </c>
      <c r="G2338" s="87">
        <v>8896.7</v>
      </c>
      <c r="H2338" s="59"/>
      <c r="I2338" s="5"/>
      <c r="J2338" s="5"/>
      <c r="K2338" s="5"/>
      <c r="L2338" s="59"/>
    </row>
    <row r="2339" customHeight="1" spans="6:12">
      <c r="F2339" s="86">
        <v>42789</v>
      </c>
      <c r="G2339" s="87">
        <v>8939.5</v>
      </c>
      <c r="H2339" s="59"/>
      <c r="I2339" s="5"/>
      <c r="J2339" s="5"/>
      <c r="K2339" s="5"/>
      <c r="L2339" s="59"/>
    </row>
    <row r="2340" customHeight="1" spans="6:12">
      <c r="F2340" s="86">
        <v>42788</v>
      </c>
      <c r="G2340" s="87">
        <v>8926.9</v>
      </c>
      <c r="H2340" s="59"/>
      <c r="I2340" s="5"/>
      <c r="J2340" s="5"/>
      <c r="K2340" s="5"/>
      <c r="L2340" s="59"/>
    </row>
    <row r="2341" customHeight="1" spans="6:12">
      <c r="F2341" s="86">
        <v>42787</v>
      </c>
      <c r="G2341" s="87">
        <v>8907.85</v>
      </c>
      <c r="H2341" s="59"/>
      <c r="I2341" s="5"/>
      <c r="J2341" s="5"/>
      <c r="K2341" s="5"/>
      <c r="L2341" s="59"/>
    </row>
    <row r="2342" customHeight="1" spans="6:12">
      <c r="F2342" s="86">
        <v>42786</v>
      </c>
      <c r="G2342" s="87">
        <v>8879.2</v>
      </c>
      <c r="H2342" s="59"/>
      <c r="I2342" s="5"/>
      <c r="J2342" s="5"/>
      <c r="K2342" s="5"/>
      <c r="L2342" s="59"/>
    </row>
    <row r="2343" customHeight="1" spans="6:12">
      <c r="F2343" s="86">
        <v>42783</v>
      </c>
      <c r="G2343" s="87">
        <v>8821.7</v>
      </c>
      <c r="H2343" s="59"/>
      <c r="I2343" s="5"/>
      <c r="J2343" s="5"/>
      <c r="K2343" s="5"/>
      <c r="L2343" s="59"/>
    </row>
    <row r="2344" customHeight="1" spans="6:12">
      <c r="F2344" s="86">
        <v>42782</v>
      </c>
      <c r="G2344" s="87">
        <v>8778</v>
      </c>
      <c r="H2344" s="59"/>
      <c r="I2344" s="5"/>
      <c r="J2344" s="5"/>
      <c r="K2344" s="5"/>
      <c r="L2344" s="59"/>
    </row>
    <row r="2345" customHeight="1" spans="6:12">
      <c r="F2345" s="86">
        <v>42781</v>
      </c>
      <c r="G2345" s="87">
        <v>8724.7</v>
      </c>
      <c r="H2345" s="59"/>
      <c r="I2345" s="5"/>
      <c r="J2345" s="5"/>
      <c r="K2345" s="5"/>
      <c r="L2345" s="59"/>
    </row>
    <row r="2346" customHeight="1" spans="6:12">
      <c r="F2346" s="86">
        <v>42780</v>
      </c>
      <c r="G2346" s="87">
        <v>8792.3</v>
      </c>
      <c r="H2346" s="59"/>
      <c r="I2346" s="5"/>
      <c r="J2346" s="5"/>
      <c r="K2346" s="5"/>
      <c r="L2346" s="59"/>
    </row>
    <row r="2347" customHeight="1" spans="6:12">
      <c r="F2347" s="86">
        <v>42779</v>
      </c>
      <c r="G2347" s="87">
        <v>8805.05</v>
      </c>
      <c r="H2347" s="59"/>
      <c r="I2347" s="5"/>
      <c r="J2347" s="5"/>
      <c r="K2347" s="5"/>
      <c r="L2347" s="59"/>
    </row>
    <row r="2348" customHeight="1" spans="6:12">
      <c r="F2348" s="86">
        <v>42776</v>
      </c>
      <c r="G2348" s="87">
        <v>8793.55</v>
      </c>
      <c r="H2348" s="59"/>
      <c r="I2348" s="5"/>
      <c r="J2348" s="5"/>
      <c r="K2348" s="5"/>
      <c r="L2348" s="59"/>
    </row>
    <row r="2349" customHeight="1" spans="6:12">
      <c r="F2349" s="86">
        <v>42775</v>
      </c>
      <c r="G2349" s="87">
        <v>8778.4</v>
      </c>
      <c r="H2349" s="59"/>
      <c r="I2349" s="5"/>
      <c r="J2349" s="5"/>
      <c r="K2349" s="5"/>
      <c r="L2349" s="59"/>
    </row>
    <row r="2350" customHeight="1" spans="6:12">
      <c r="F2350" s="86">
        <v>42774</v>
      </c>
      <c r="G2350" s="87">
        <v>8769.05</v>
      </c>
      <c r="H2350" s="59"/>
      <c r="I2350" s="5"/>
      <c r="J2350" s="5"/>
      <c r="K2350" s="5"/>
      <c r="L2350" s="59"/>
    </row>
    <row r="2351" customHeight="1" spans="6:12">
      <c r="F2351" s="86">
        <v>42773</v>
      </c>
      <c r="G2351" s="87">
        <v>8768.3</v>
      </c>
      <c r="H2351" s="59"/>
      <c r="I2351" s="5"/>
      <c r="J2351" s="5"/>
      <c r="K2351" s="5"/>
      <c r="L2351" s="59"/>
    </row>
    <row r="2352" customHeight="1" spans="6:12">
      <c r="F2352" s="86">
        <v>42772</v>
      </c>
      <c r="G2352" s="87">
        <v>8801.05</v>
      </c>
      <c r="H2352" s="59"/>
      <c r="I2352" s="5"/>
      <c r="J2352" s="5"/>
      <c r="K2352" s="5"/>
      <c r="L2352" s="59"/>
    </row>
    <row r="2353" customHeight="1" spans="6:12">
      <c r="F2353" s="86">
        <v>42769</v>
      </c>
      <c r="G2353" s="87">
        <v>8740.95</v>
      </c>
      <c r="H2353" s="59"/>
      <c r="I2353" s="5"/>
      <c r="J2353" s="5"/>
      <c r="K2353" s="5"/>
      <c r="L2353" s="59"/>
    </row>
    <row r="2354" customHeight="1" spans="6:12">
      <c r="F2354" s="86">
        <v>42768</v>
      </c>
      <c r="G2354" s="87">
        <v>8734.25</v>
      </c>
      <c r="H2354" s="59"/>
      <c r="I2354" s="5"/>
      <c r="J2354" s="5"/>
      <c r="K2354" s="5"/>
      <c r="L2354" s="59"/>
    </row>
    <row r="2355" customHeight="1" spans="6:12">
      <c r="F2355" s="86">
        <v>42767</v>
      </c>
      <c r="G2355" s="87">
        <v>8716.4</v>
      </c>
      <c r="H2355" s="59"/>
      <c r="I2355" s="5"/>
      <c r="J2355" s="5"/>
      <c r="K2355" s="5"/>
      <c r="L2355" s="59"/>
    </row>
    <row r="2356" customHeight="1" spans="6:12">
      <c r="F2356" s="86">
        <v>42766</v>
      </c>
      <c r="G2356" s="87">
        <v>8561.3</v>
      </c>
      <c r="H2356" s="59"/>
      <c r="I2356" s="5"/>
      <c r="J2356" s="5"/>
      <c r="K2356" s="5"/>
      <c r="L2356" s="59"/>
    </row>
    <row r="2357" customHeight="1" spans="6:12">
      <c r="F2357" s="86">
        <v>42765</v>
      </c>
      <c r="G2357" s="87">
        <v>8632.75</v>
      </c>
      <c r="H2357" s="59"/>
      <c r="I2357" s="5"/>
      <c r="J2357" s="5"/>
      <c r="K2357" s="5"/>
      <c r="L2357" s="59"/>
    </row>
    <row r="2358" customHeight="1" spans="6:12">
      <c r="F2358" s="86">
        <v>42762</v>
      </c>
      <c r="G2358" s="87">
        <v>8641.25</v>
      </c>
      <c r="H2358" s="59"/>
      <c r="I2358" s="5"/>
      <c r="J2358" s="5"/>
      <c r="K2358" s="5"/>
      <c r="L2358" s="59"/>
    </row>
    <row r="2359" customHeight="1" spans="6:12">
      <c r="F2359" s="86">
        <v>42760</v>
      </c>
      <c r="G2359" s="87">
        <v>8602.75</v>
      </c>
      <c r="H2359" s="59"/>
      <c r="I2359" s="5"/>
      <c r="J2359" s="5"/>
      <c r="K2359" s="5"/>
      <c r="L2359" s="59"/>
    </row>
    <row r="2360" customHeight="1" spans="6:12">
      <c r="F2360" s="86">
        <v>42759</v>
      </c>
      <c r="G2360" s="87">
        <v>8475.8</v>
      </c>
      <c r="H2360" s="59"/>
      <c r="I2360" s="5"/>
      <c r="J2360" s="5"/>
      <c r="K2360" s="5"/>
      <c r="L2360" s="59"/>
    </row>
    <row r="2361" customHeight="1" spans="6:12">
      <c r="F2361" s="86">
        <v>42758</v>
      </c>
      <c r="G2361" s="87">
        <v>8391.5</v>
      </c>
      <c r="H2361" s="59"/>
      <c r="I2361" s="5"/>
      <c r="J2361" s="5"/>
      <c r="K2361" s="5"/>
      <c r="L2361" s="59"/>
    </row>
    <row r="2362" customHeight="1" spans="6:12">
      <c r="F2362" s="86">
        <v>42755</v>
      </c>
      <c r="G2362" s="87">
        <v>8349.35</v>
      </c>
      <c r="H2362" s="59"/>
      <c r="I2362" s="5"/>
      <c r="J2362" s="5"/>
      <c r="K2362" s="5"/>
      <c r="L2362" s="59"/>
    </row>
    <row r="2363" customHeight="1" spans="6:12">
      <c r="F2363" s="86">
        <v>42754</v>
      </c>
      <c r="G2363" s="87">
        <v>8435.1</v>
      </c>
      <c r="H2363" s="59"/>
      <c r="I2363" s="5"/>
      <c r="J2363" s="5"/>
      <c r="K2363" s="5"/>
      <c r="L2363" s="59"/>
    </row>
    <row r="2364" customHeight="1" spans="6:12">
      <c r="F2364" s="86">
        <v>42753</v>
      </c>
      <c r="G2364" s="87">
        <v>8417</v>
      </c>
      <c r="H2364" s="59"/>
      <c r="I2364" s="5"/>
      <c r="J2364" s="5"/>
      <c r="K2364" s="5"/>
      <c r="L2364" s="59"/>
    </row>
    <row r="2365" customHeight="1" spans="6:12">
      <c r="F2365" s="86">
        <v>42752</v>
      </c>
      <c r="G2365" s="87">
        <v>8398</v>
      </c>
      <c r="H2365" s="59"/>
      <c r="I2365" s="5"/>
      <c r="J2365" s="5"/>
      <c r="K2365" s="5"/>
      <c r="L2365" s="59"/>
    </row>
    <row r="2366" customHeight="1" spans="6:12">
      <c r="F2366" s="86">
        <v>42751</v>
      </c>
      <c r="G2366" s="87">
        <v>8412.8</v>
      </c>
      <c r="H2366" s="59"/>
      <c r="I2366" s="5"/>
      <c r="J2366" s="5"/>
      <c r="K2366" s="5"/>
      <c r="L2366" s="59"/>
    </row>
    <row r="2367" customHeight="1" spans="6:12">
      <c r="F2367" s="86">
        <v>42748</v>
      </c>
      <c r="G2367" s="87">
        <v>8400.35</v>
      </c>
      <c r="H2367" s="59"/>
      <c r="I2367" s="5"/>
      <c r="J2367" s="5"/>
      <c r="K2367" s="5"/>
      <c r="L2367" s="59"/>
    </row>
    <row r="2368" customHeight="1" spans="6:12">
      <c r="F2368" s="86">
        <v>42747</v>
      </c>
      <c r="G2368" s="87">
        <v>8407.2</v>
      </c>
      <c r="H2368" s="59"/>
      <c r="I2368" s="5"/>
      <c r="J2368" s="5"/>
      <c r="K2368" s="5"/>
      <c r="L2368" s="59"/>
    </row>
    <row r="2369" customHeight="1" spans="6:12">
      <c r="F2369" s="86">
        <v>42746</v>
      </c>
      <c r="G2369" s="87">
        <v>8380.65</v>
      </c>
      <c r="H2369" s="59"/>
      <c r="I2369" s="5"/>
      <c r="J2369" s="5"/>
      <c r="K2369" s="5"/>
      <c r="L2369" s="59"/>
    </row>
    <row r="2370" customHeight="1" spans="6:12">
      <c r="F2370" s="86">
        <v>42745</v>
      </c>
      <c r="G2370" s="87">
        <v>8288.6</v>
      </c>
      <c r="H2370" s="59"/>
      <c r="I2370" s="5"/>
      <c r="J2370" s="5"/>
      <c r="K2370" s="5"/>
      <c r="L2370" s="59"/>
    </row>
    <row r="2371" customHeight="1" spans="6:12">
      <c r="F2371" s="86">
        <v>42744</v>
      </c>
      <c r="G2371" s="87">
        <v>8236.05</v>
      </c>
      <c r="H2371" s="59"/>
      <c r="I2371" s="5"/>
      <c r="J2371" s="5"/>
      <c r="K2371" s="5"/>
      <c r="L2371" s="59"/>
    </row>
    <row r="2372" customHeight="1" spans="6:12">
      <c r="F2372" s="86">
        <v>42741</v>
      </c>
      <c r="G2372" s="87">
        <v>8243.8</v>
      </c>
      <c r="H2372" s="59"/>
      <c r="I2372" s="5"/>
      <c r="J2372" s="5"/>
      <c r="K2372" s="5"/>
      <c r="L2372" s="59"/>
    </row>
    <row r="2373" customHeight="1" spans="6:12">
      <c r="F2373" s="86">
        <v>42740</v>
      </c>
      <c r="G2373" s="87">
        <v>8273.8</v>
      </c>
      <c r="H2373" s="59"/>
      <c r="I2373" s="5"/>
      <c r="J2373" s="5"/>
      <c r="K2373" s="5"/>
      <c r="L2373" s="59"/>
    </row>
    <row r="2374" customHeight="1" spans="6:12">
      <c r="F2374" s="86">
        <v>42739</v>
      </c>
      <c r="G2374" s="87">
        <v>8190.5</v>
      </c>
      <c r="H2374" s="59"/>
      <c r="I2374" s="5"/>
      <c r="J2374" s="5"/>
      <c r="K2374" s="5"/>
      <c r="L2374" s="59"/>
    </row>
    <row r="2375" customHeight="1" spans="6:12">
      <c r="F2375" s="86">
        <v>42738</v>
      </c>
      <c r="G2375" s="87">
        <v>8192.25</v>
      </c>
      <c r="H2375" s="59"/>
      <c r="I2375" s="5"/>
      <c r="J2375" s="5"/>
      <c r="K2375" s="5"/>
      <c r="L2375" s="59"/>
    </row>
    <row r="2376" customHeight="1" spans="6:12">
      <c r="F2376" s="86">
        <v>42737</v>
      </c>
      <c r="G2376" s="87">
        <v>8179.5</v>
      </c>
      <c r="H2376" s="59"/>
      <c r="I2376" s="5"/>
      <c r="J2376" s="5"/>
      <c r="K2376" s="5"/>
      <c r="L2376" s="59"/>
    </row>
    <row r="2377" customHeight="1" spans="6:12">
      <c r="F2377" s="86">
        <v>42734</v>
      </c>
      <c r="G2377" s="87">
        <v>8185.8</v>
      </c>
      <c r="H2377" s="59"/>
      <c r="I2377" s="5"/>
      <c r="J2377" s="5"/>
      <c r="K2377" s="5"/>
      <c r="L2377" s="59"/>
    </row>
    <row r="2378" customHeight="1" spans="6:12">
      <c r="F2378" s="86">
        <v>42733</v>
      </c>
      <c r="G2378" s="87">
        <v>8103.6</v>
      </c>
      <c r="H2378" s="59"/>
      <c r="I2378" s="5"/>
      <c r="J2378" s="5"/>
      <c r="K2378" s="5"/>
      <c r="L2378" s="59"/>
    </row>
    <row r="2379" customHeight="1" spans="6:12">
      <c r="F2379" s="86">
        <v>42732</v>
      </c>
      <c r="G2379" s="87">
        <v>8034.85</v>
      </c>
      <c r="H2379" s="59"/>
      <c r="I2379" s="5"/>
      <c r="J2379" s="5"/>
      <c r="K2379" s="5"/>
      <c r="L2379" s="59"/>
    </row>
    <row r="2380" customHeight="1" spans="6:12">
      <c r="F2380" s="86">
        <v>42731</v>
      </c>
      <c r="G2380" s="87">
        <v>8032.85</v>
      </c>
      <c r="H2380" s="59"/>
      <c r="I2380" s="5"/>
      <c r="J2380" s="5"/>
      <c r="K2380" s="5"/>
      <c r="L2380" s="59"/>
    </row>
    <row r="2381" customHeight="1" spans="6:12">
      <c r="F2381" s="86">
        <v>42730</v>
      </c>
      <c r="G2381" s="87">
        <v>7908.25</v>
      </c>
      <c r="H2381" s="59"/>
      <c r="I2381" s="5"/>
      <c r="J2381" s="5"/>
      <c r="K2381" s="5"/>
      <c r="L2381" s="59"/>
    </row>
    <row r="2382" customHeight="1" spans="6:12">
      <c r="F2382" s="86">
        <v>42727</v>
      </c>
      <c r="G2382" s="87">
        <v>7985.75</v>
      </c>
      <c r="H2382" s="59"/>
      <c r="I2382" s="5"/>
      <c r="J2382" s="5"/>
      <c r="K2382" s="5"/>
      <c r="L2382" s="59"/>
    </row>
    <row r="2383" customHeight="1" spans="6:12">
      <c r="F2383" s="86">
        <v>42726</v>
      </c>
      <c r="G2383" s="87">
        <v>7979.1</v>
      </c>
      <c r="H2383" s="59"/>
      <c r="I2383" s="5"/>
      <c r="J2383" s="5"/>
      <c r="K2383" s="5"/>
      <c r="L2383" s="59"/>
    </row>
    <row r="2384" customHeight="1" spans="6:12">
      <c r="F2384" s="86">
        <v>42725</v>
      </c>
      <c r="G2384" s="87">
        <v>8061.3</v>
      </c>
      <c r="H2384" s="59"/>
      <c r="I2384" s="5"/>
      <c r="J2384" s="5"/>
      <c r="K2384" s="5"/>
      <c r="L2384" s="59"/>
    </row>
    <row r="2385" customHeight="1" spans="6:12">
      <c r="F2385" s="86">
        <v>42724</v>
      </c>
      <c r="G2385" s="87">
        <v>8082.4</v>
      </c>
      <c r="H2385" s="59"/>
      <c r="I2385" s="5"/>
      <c r="J2385" s="5"/>
      <c r="K2385" s="5"/>
      <c r="L2385" s="59"/>
    </row>
    <row r="2386" customHeight="1" spans="6:12">
      <c r="F2386" s="86">
        <v>42723</v>
      </c>
      <c r="G2386" s="87">
        <v>8104.35</v>
      </c>
      <c r="H2386" s="59"/>
      <c r="I2386" s="5"/>
      <c r="J2386" s="5"/>
      <c r="K2386" s="5"/>
      <c r="L2386" s="59"/>
    </row>
    <row r="2387" customHeight="1" spans="6:12">
      <c r="F2387" s="86">
        <v>42720</v>
      </c>
      <c r="G2387" s="87">
        <v>8139.45</v>
      </c>
      <c r="H2387" s="59"/>
      <c r="I2387" s="5"/>
      <c r="J2387" s="5"/>
      <c r="K2387" s="5"/>
      <c r="L2387" s="59"/>
    </row>
    <row r="2388" customHeight="1" spans="6:12">
      <c r="F2388" s="86">
        <v>42719</v>
      </c>
      <c r="G2388" s="87">
        <v>8153.6</v>
      </c>
      <c r="H2388" s="59"/>
      <c r="I2388" s="5"/>
      <c r="J2388" s="5"/>
      <c r="K2388" s="5"/>
      <c r="L2388" s="59"/>
    </row>
    <row r="2389" customHeight="1" spans="6:12">
      <c r="F2389" s="86">
        <v>42718</v>
      </c>
      <c r="G2389" s="87">
        <v>8182.45</v>
      </c>
      <c r="H2389" s="59"/>
      <c r="I2389" s="5"/>
      <c r="J2389" s="5"/>
      <c r="K2389" s="5"/>
      <c r="L2389" s="59"/>
    </row>
    <row r="2390" customHeight="1" spans="6:12">
      <c r="F2390" s="86">
        <v>42717</v>
      </c>
      <c r="G2390" s="87">
        <v>8221.8</v>
      </c>
      <c r="H2390" s="59"/>
      <c r="I2390" s="5"/>
      <c r="J2390" s="5"/>
      <c r="K2390" s="5"/>
      <c r="L2390" s="59"/>
    </row>
    <row r="2391" customHeight="1" spans="6:12">
      <c r="F2391" s="86">
        <v>42716</v>
      </c>
      <c r="G2391" s="87">
        <v>8170.8</v>
      </c>
      <c r="H2391" s="59"/>
      <c r="I2391" s="5"/>
      <c r="J2391" s="5"/>
      <c r="K2391" s="5"/>
      <c r="L2391" s="59"/>
    </row>
    <row r="2392" customHeight="1" spans="6:12">
      <c r="F2392" s="86">
        <v>42713</v>
      </c>
      <c r="G2392" s="87">
        <v>8261.75</v>
      </c>
      <c r="H2392" s="59"/>
      <c r="I2392" s="5"/>
      <c r="J2392" s="5"/>
      <c r="K2392" s="5"/>
      <c r="L2392" s="59"/>
    </row>
    <row r="2393" customHeight="1" spans="6:12">
      <c r="F2393" s="86">
        <v>42712</v>
      </c>
      <c r="G2393" s="87">
        <v>8246.85</v>
      </c>
      <c r="H2393" s="59"/>
      <c r="I2393" s="5"/>
      <c r="J2393" s="5"/>
      <c r="K2393" s="5"/>
      <c r="L2393" s="59"/>
    </row>
    <row r="2394" customHeight="1" spans="6:12">
      <c r="F2394" s="86">
        <v>42711</v>
      </c>
      <c r="G2394" s="87">
        <v>8102.05</v>
      </c>
      <c r="H2394" s="59"/>
      <c r="I2394" s="5"/>
      <c r="J2394" s="5"/>
      <c r="K2394" s="5"/>
      <c r="L2394" s="59"/>
    </row>
    <row r="2395" customHeight="1" spans="6:12">
      <c r="F2395" s="86">
        <v>42710</v>
      </c>
      <c r="G2395" s="87">
        <v>8143.15</v>
      </c>
      <c r="H2395" s="59"/>
      <c r="I2395" s="5"/>
      <c r="J2395" s="5"/>
      <c r="K2395" s="5"/>
      <c r="L2395" s="59"/>
    </row>
    <row r="2396" customHeight="1" spans="6:12">
      <c r="F2396" s="86">
        <v>42709</v>
      </c>
      <c r="G2396" s="87">
        <v>8128.75</v>
      </c>
      <c r="H2396" s="59"/>
      <c r="I2396" s="5"/>
      <c r="J2396" s="5"/>
      <c r="K2396" s="5"/>
      <c r="L2396" s="59"/>
    </row>
    <row r="2397" customHeight="1" spans="6:12">
      <c r="F2397" s="86">
        <v>42706</v>
      </c>
      <c r="G2397" s="87">
        <v>8086.8</v>
      </c>
      <c r="H2397" s="59"/>
      <c r="I2397" s="5"/>
      <c r="J2397" s="5"/>
      <c r="K2397" s="5"/>
      <c r="L2397" s="59"/>
    </row>
    <row r="2398" customHeight="1" spans="6:12">
      <c r="F2398" s="86">
        <v>42705</v>
      </c>
      <c r="G2398" s="87">
        <v>8192.9</v>
      </c>
      <c r="H2398" s="59"/>
      <c r="I2398" s="5"/>
      <c r="J2398" s="5"/>
      <c r="K2398" s="5"/>
      <c r="L2398" s="59"/>
    </row>
    <row r="2399" customHeight="1" spans="6:12">
      <c r="F2399" s="86">
        <v>42704</v>
      </c>
      <c r="G2399" s="87">
        <v>8224.5</v>
      </c>
      <c r="H2399" s="59"/>
      <c r="I2399" s="5"/>
      <c r="J2399" s="5"/>
      <c r="K2399" s="5"/>
      <c r="L2399" s="59"/>
    </row>
    <row r="2400" customHeight="1" spans="6:12">
      <c r="F2400" s="86">
        <v>42703</v>
      </c>
      <c r="G2400" s="87">
        <v>8142.15</v>
      </c>
      <c r="H2400" s="59"/>
      <c r="I2400" s="5"/>
      <c r="J2400" s="5"/>
      <c r="K2400" s="5"/>
      <c r="L2400" s="59"/>
    </row>
    <row r="2401" customHeight="1" spans="6:12">
      <c r="F2401" s="86">
        <v>42702</v>
      </c>
      <c r="G2401" s="87">
        <v>8126.9</v>
      </c>
      <c r="H2401" s="59"/>
      <c r="I2401" s="5"/>
      <c r="J2401" s="5"/>
      <c r="K2401" s="5"/>
      <c r="L2401" s="59"/>
    </row>
    <row r="2402" customHeight="1" spans="6:12">
      <c r="F2402" s="86">
        <v>42699</v>
      </c>
      <c r="G2402" s="87">
        <v>8114.3</v>
      </c>
      <c r="H2402" s="59"/>
      <c r="I2402" s="5"/>
      <c r="J2402" s="5"/>
      <c r="K2402" s="5"/>
      <c r="L2402" s="59"/>
    </row>
    <row r="2403" customHeight="1" spans="6:12">
      <c r="F2403" s="86">
        <v>42698</v>
      </c>
      <c r="G2403" s="87">
        <v>7965.5</v>
      </c>
      <c r="H2403" s="59"/>
      <c r="I2403" s="5"/>
      <c r="J2403" s="5"/>
      <c r="K2403" s="5"/>
      <c r="L2403" s="59"/>
    </row>
    <row r="2404" customHeight="1" spans="6:12">
      <c r="F2404" s="86">
        <v>42697</v>
      </c>
      <c r="G2404" s="87">
        <v>8033.3</v>
      </c>
      <c r="H2404" s="59"/>
      <c r="I2404" s="5"/>
      <c r="J2404" s="5"/>
      <c r="K2404" s="5"/>
      <c r="L2404" s="59"/>
    </row>
    <row r="2405" customHeight="1" spans="6:12">
      <c r="F2405" s="86">
        <v>42696</v>
      </c>
      <c r="G2405" s="87">
        <v>8002.3</v>
      </c>
      <c r="H2405" s="59"/>
      <c r="I2405" s="5"/>
      <c r="J2405" s="5"/>
      <c r="K2405" s="5"/>
      <c r="L2405" s="59"/>
    </row>
    <row r="2406" customHeight="1" spans="6:12">
      <c r="F2406" s="86">
        <v>42695</v>
      </c>
      <c r="G2406" s="87">
        <v>7929.1</v>
      </c>
      <c r="H2406" s="59"/>
      <c r="I2406" s="5"/>
      <c r="J2406" s="5"/>
      <c r="K2406" s="5"/>
      <c r="L2406" s="59"/>
    </row>
    <row r="2407" customHeight="1" spans="6:12">
      <c r="F2407" s="86">
        <v>42692</v>
      </c>
      <c r="G2407" s="87">
        <v>8074.1</v>
      </c>
      <c r="H2407" s="59"/>
      <c r="I2407" s="5"/>
      <c r="J2407" s="5"/>
      <c r="K2407" s="5"/>
      <c r="L2407" s="59"/>
    </row>
    <row r="2408" customHeight="1" spans="6:12">
      <c r="F2408" s="86">
        <v>42691</v>
      </c>
      <c r="G2408" s="87">
        <v>8079.95</v>
      </c>
      <c r="H2408" s="59"/>
      <c r="I2408" s="5"/>
      <c r="J2408" s="5"/>
      <c r="K2408" s="5"/>
      <c r="L2408" s="59"/>
    </row>
    <row r="2409" customHeight="1" spans="6:12">
      <c r="F2409" s="86">
        <v>42690</v>
      </c>
      <c r="G2409" s="87">
        <v>8111.6</v>
      </c>
      <c r="H2409" s="59"/>
      <c r="I2409" s="5"/>
      <c r="J2409" s="5"/>
      <c r="K2409" s="5"/>
      <c r="L2409" s="59"/>
    </row>
    <row r="2410" customHeight="1" spans="6:12">
      <c r="F2410" s="86">
        <v>42689</v>
      </c>
      <c r="G2410" s="87">
        <v>8108.45</v>
      </c>
      <c r="H2410" s="59"/>
      <c r="I2410" s="5"/>
      <c r="J2410" s="5"/>
      <c r="K2410" s="5"/>
      <c r="L2410" s="59"/>
    </row>
    <row r="2411" customHeight="1" spans="6:12">
      <c r="F2411" s="86">
        <v>42685</v>
      </c>
      <c r="G2411" s="87">
        <v>8296.3</v>
      </c>
      <c r="H2411" s="59"/>
      <c r="I2411" s="5"/>
      <c r="J2411" s="5"/>
      <c r="K2411" s="5"/>
      <c r="L2411" s="59"/>
    </row>
    <row r="2412" customHeight="1" spans="6:12">
      <c r="F2412" s="86">
        <v>42684</v>
      </c>
      <c r="G2412" s="87">
        <v>8525.75</v>
      </c>
      <c r="H2412" s="59"/>
      <c r="I2412" s="5"/>
      <c r="J2412" s="5"/>
      <c r="K2412" s="5"/>
      <c r="L2412" s="59"/>
    </row>
    <row r="2413" customHeight="1" spans="6:12">
      <c r="F2413" s="86">
        <v>42683</v>
      </c>
      <c r="G2413" s="87">
        <v>8432</v>
      </c>
      <c r="H2413" s="59"/>
      <c r="I2413" s="5"/>
      <c r="J2413" s="5"/>
      <c r="K2413" s="5"/>
      <c r="L2413" s="59"/>
    </row>
    <row r="2414" customHeight="1" spans="6:12">
      <c r="F2414" s="86">
        <v>42682</v>
      </c>
      <c r="G2414" s="87">
        <v>8543.55</v>
      </c>
      <c r="H2414" s="59"/>
      <c r="I2414" s="5"/>
      <c r="J2414" s="5"/>
      <c r="K2414" s="5"/>
      <c r="L2414" s="59"/>
    </row>
    <row r="2415" customHeight="1" spans="6:12">
      <c r="F2415" s="86">
        <v>42681</v>
      </c>
      <c r="G2415" s="87">
        <v>8497.05</v>
      </c>
      <c r="H2415" s="59"/>
      <c r="I2415" s="5"/>
      <c r="J2415" s="5"/>
      <c r="K2415" s="5"/>
      <c r="L2415" s="59"/>
    </row>
    <row r="2416" customHeight="1" spans="6:12">
      <c r="F2416" s="86">
        <v>42678</v>
      </c>
      <c r="G2416" s="87">
        <v>8433.75</v>
      </c>
      <c r="H2416" s="59"/>
      <c r="I2416" s="5"/>
      <c r="J2416" s="5"/>
      <c r="K2416" s="5"/>
      <c r="L2416" s="59"/>
    </row>
    <row r="2417" customHeight="1" spans="6:12">
      <c r="F2417" s="86">
        <v>42677</v>
      </c>
      <c r="G2417" s="87">
        <v>8484.95</v>
      </c>
      <c r="H2417" s="59"/>
      <c r="I2417" s="5"/>
      <c r="J2417" s="5"/>
      <c r="K2417" s="5"/>
      <c r="L2417" s="59"/>
    </row>
    <row r="2418" customHeight="1" spans="6:12">
      <c r="F2418" s="86">
        <v>42676</v>
      </c>
      <c r="G2418" s="87">
        <v>8514</v>
      </c>
      <c r="H2418" s="59"/>
      <c r="I2418" s="5"/>
      <c r="J2418" s="5"/>
      <c r="K2418" s="5"/>
      <c r="L2418" s="59"/>
    </row>
    <row r="2419" customHeight="1" spans="6:12">
      <c r="F2419" s="86">
        <v>42675</v>
      </c>
      <c r="G2419" s="87">
        <v>8626.25</v>
      </c>
      <c r="H2419" s="59"/>
      <c r="I2419" s="5"/>
      <c r="J2419" s="5"/>
      <c r="K2419" s="5"/>
      <c r="L2419" s="59"/>
    </row>
    <row r="2420" customHeight="1" spans="6:12">
      <c r="F2420" s="86">
        <v>42673</v>
      </c>
      <c r="G2420" s="87">
        <v>8625.7</v>
      </c>
      <c r="H2420" s="59"/>
      <c r="I2420" s="5"/>
      <c r="J2420" s="5"/>
      <c r="K2420" s="5"/>
      <c r="L2420" s="59"/>
    </row>
    <row r="2421" customHeight="1" spans="6:12">
      <c r="F2421" s="86">
        <v>42671</v>
      </c>
      <c r="G2421" s="87">
        <v>8638</v>
      </c>
      <c r="H2421" s="59"/>
      <c r="I2421" s="5"/>
      <c r="J2421" s="5"/>
      <c r="K2421" s="5"/>
      <c r="L2421" s="59"/>
    </row>
    <row r="2422" customHeight="1" spans="6:12">
      <c r="F2422" s="86">
        <v>42670</v>
      </c>
      <c r="G2422" s="87">
        <v>8615.25</v>
      </c>
      <c r="H2422" s="59"/>
      <c r="I2422" s="5"/>
      <c r="J2422" s="5"/>
      <c r="K2422" s="5"/>
      <c r="L2422" s="59"/>
    </row>
    <row r="2423" customHeight="1" spans="6:12">
      <c r="F2423" s="86">
        <v>42669</v>
      </c>
      <c r="G2423" s="87">
        <v>8615.25</v>
      </c>
      <c r="H2423" s="59"/>
      <c r="I2423" s="5"/>
      <c r="J2423" s="5"/>
      <c r="K2423" s="5"/>
      <c r="L2423" s="59"/>
    </row>
    <row r="2424" customHeight="1" spans="6:12">
      <c r="F2424" s="86">
        <v>42668</v>
      </c>
      <c r="G2424" s="87">
        <v>8691.3</v>
      </c>
      <c r="H2424" s="59"/>
      <c r="I2424" s="5"/>
      <c r="J2424" s="5"/>
      <c r="K2424" s="5"/>
      <c r="L2424" s="59"/>
    </row>
    <row r="2425" customHeight="1" spans="6:12">
      <c r="F2425" s="86">
        <v>42667</v>
      </c>
      <c r="G2425" s="87">
        <v>8708.95</v>
      </c>
      <c r="H2425" s="59"/>
      <c r="I2425" s="5"/>
      <c r="J2425" s="5"/>
      <c r="K2425" s="5"/>
      <c r="L2425" s="59"/>
    </row>
    <row r="2426" customHeight="1" spans="6:12">
      <c r="F2426" s="86">
        <v>42664</v>
      </c>
      <c r="G2426" s="87">
        <v>8693.05</v>
      </c>
      <c r="H2426" s="59"/>
      <c r="I2426" s="5"/>
      <c r="J2426" s="5"/>
      <c r="K2426" s="5"/>
      <c r="L2426" s="59"/>
    </row>
    <row r="2427" customHeight="1" spans="6:12">
      <c r="F2427" s="86">
        <v>42663</v>
      </c>
      <c r="G2427" s="87">
        <v>8699.4</v>
      </c>
      <c r="H2427" s="59"/>
      <c r="I2427" s="5"/>
      <c r="J2427" s="5"/>
      <c r="K2427" s="5"/>
      <c r="L2427" s="59"/>
    </row>
    <row r="2428" customHeight="1" spans="6:12">
      <c r="F2428" s="86">
        <v>42662</v>
      </c>
      <c r="G2428" s="87">
        <v>8659.1</v>
      </c>
      <c r="H2428" s="59"/>
      <c r="I2428" s="5"/>
      <c r="J2428" s="5"/>
      <c r="K2428" s="5"/>
      <c r="L2428" s="59"/>
    </row>
    <row r="2429" customHeight="1" spans="6:12">
      <c r="F2429" s="86">
        <v>42661</v>
      </c>
      <c r="G2429" s="87">
        <v>8677.9</v>
      </c>
      <c r="H2429" s="59"/>
      <c r="I2429" s="5"/>
      <c r="J2429" s="5"/>
      <c r="K2429" s="5"/>
      <c r="L2429" s="59"/>
    </row>
    <row r="2430" customHeight="1" spans="6:12">
      <c r="F2430" s="86">
        <v>42660</v>
      </c>
      <c r="G2430" s="87">
        <v>8520.4</v>
      </c>
      <c r="H2430" s="59"/>
      <c r="I2430" s="5"/>
      <c r="J2430" s="5"/>
      <c r="K2430" s="5"/>
      <c r="L2430" s="59"/>
    </row>
    <row r="2431" customHeight="1" spans="6:12">
      <c r="F2431" s="86">
        <v>42657</v>
      </c>
      <c r="G2431" s="87">
        <v>8583.4</v>
      </c>
      <c r="H2431" s="59"/>
      <c r="I2431" s="5"/>
      <c r="J2431" s="5"/>
      <c r="K2431" s="5"/>
      <c r="L2431" s="59"/>
    </row>
    <row r="2432" customHeight="1" spans="6:12">
      <c r="F2432" s="86">
        <v>42656</v>
      </c>
      <c r="G2432" s="87">
        <v>8573.35</v>
      </c>
      <c r="H2432" s="59"/>
      <c r="I2432" s="5"/>
      <c r="J2432" s="5"/>
      <c r="K2432" s="5"/>
      <c r="L2432" s="59"/>
    </row>
    <row r="2433" customHeight="1" spans="6:12">
      <c r="F2433" s="86">
        <v>42653</v>
      </c>
      <c r="G2433" s="87">
        <v>8708.8</v>
      </c>
      <c r="H2433" s="59"/>
      <c r="I2433" s="5"/>
      <c r="J2433" s="5"/>
      <c r="K2433" s="5"/>
      <c r="L2433" s="59"/>
    </row>
    <row r="2434" customHeight="1" spans="6:12">
      <c r="F2434" s="86">
        <v>42650</v>
      </c>
      <c r="G2434" s="87">
        <v>8697.6</v>
      </c>
      <c r="H2434" s="59"/>
      <c r="I2434" s="5"/>
      <c r="J2434" s="5"/>
      <c r="K2434" s="5"/>
      <c r="L2434" s="59"/>
    </row>
    <row r="2435" customHeight="1" spans="6:12">
      <c r="F2435" s="86">
        <v>42649</v>
      </c>
      <c r="G2435" s="87">
        <v>8709.55</v>
      </c>
      <c r="H2435" s="59"/>
      <c r="I2435" s="5"/>
      <c r="J2435" s="5"/>
      <c r="K2435" s="5"/>
      <c r="L2435" s="59"/>
    </row>
    <row r="2436" customHeight="1" spans="6:12">
      <c r="F2436" s="86">
        <v>42648</v>
      </c>
      <c r="G2436" s="87">
        <v>8743.95</v>
      </c>
      <c r="H2436" s="59"/>
      <c r="I2436" s="5"/>
      <c r="J2436" s="5"/>
      <c r="K2436" s="5"/>
      <c r="L2436" s="59"/>
    </row>
    <row r="2437" customHeight="1" spans="6:12">
      <c r="F2437" s="86">
        <v>42647</v>
      </c>
      <c r="G2437" s="87">
        <v>8769.15</v>
      </c>
      <c r="H2437" s="59"/>
      <c r="I2437" s="5"/>
      <c r="J2437" s="5"/>
      <c r="K2437" s="5"/>
      <c r="L2437" s="59"/>
    </row>
    <row r="2438" customHeight="1" spans="6:12">
      <c r="F2438" s="86">
        <v>42646</v>
      </c>
      <c r="G2438" s="87">
        <v>8738.1</v>
      </c>
      <c r="H2438" s="59"/>
      <c r="I2438" s="5"/>
      <c r="J2438" s="5"/>
      <c r="K2438" s="5"/>
      <c r="L2438" s="59"/>
    </row>
    <row r="2439" customHeight="1" spans="6:12">
      <c r="F2439" s="86">
        <v>42643</v>
      </c>
      <c r="G2439" s="87">
        <v>8611.15</v>
      </c>
      <c r="H2439" s="59"/>
      <c r="I2439" s="5"/>
      <c r="J2439" s="5"/>
      <c r="K2439" s="5"/>
      <c r="L2439" s="59"/>
    </row>
    <row r="2440" customHeight="1" spans="6:12">
      <c r="F2440" s="86">
        <v>42642</v>
      </c>
      <c r="G2440" s="87">
        <v>8591.25</v>
      </c>
      <c r="H2440" s="59"/>
      <c r="I2440" s="5"/>
      <c r="J2440" s="5"/>
      <c r="K2440" s="5"/>
      <c r="L2440" s="59"/>
    </row>
    <row r="2441" customHeight="1" spans="6:12">
      <c r="F2441" s="86">
        <v>42641</v>
      </c>
      <c r="G2441" s="87">
        <v>8745.15</v>
      </c>
      <c r="H2441" s="59"/>
      <c r="I2441" s="5"/>
      <c r="J2441" s="5"/>
      <c r="K2441" s="5"/>
      <c r="L2441" s="59"/>
    </row>
    <row r="2442" customHeight="1" spans="6:12">
      <c r="F2442" s="86">
        <v>42640</v>
      </c>
      <c r="G2442" s="87">
        <v>8706.4</v>
      </c>
      <c r="H2442" s="59"/>
      <c r="I2442" s="5"/>
      <c r="J2442" s="5"/>
      <c r="K2442" s="5"/>
      <c r="L2442" s="59"/>
    </row>
    <row r="2443" customHeight="1" spans="6:12">
      <c r="F2443" s="86">
        <v>42639</v>
      </c>
      <c r="G2443" s="87">
        <v>8723.05</v>
      </c>
      <c r="H2443" s="59"/>
      <c r="I2443" s="5"/>
      <c r="J2443" s="5"/>
      <c r="K2443" s="5"/>
      <c r="L2443" s="59"/>
    </row>
    <row r="2444" customHeight="1" spans="6:12">
      <c r="F2444" s="86">
        <v>42636</v>
      </c>
      <c r="G2444" s="87">
        <v>8831.55</v>
      </c>
      <c r="H2444" s="59"/>
      <c r="I2444" s="5"/>
      <c r="J2444" s="5"/>
      <c r="K2444" s="5"/>
      <c r="L2444" s="59"/>
    </row>
    <row r="2445" customHeight="1" spans="6:12">
      <c r="F2445" s="86">
        <v>42635</v>
      </c>
      <c r="G2445" s="87">
        <v>8867.45</v>
      </c>
      <c r="H2445" s="59"/>
      <c r="I2445" s="5"/>
      <c r="J2445" s="5"/>
      <c r="K2445" s="5"/>
      <c r="L2445" s="59"/>
    </row>
    <row r="2446" customHeight="1" spans="6:12">
      <c r="F2446" s="86">
        <v>42634</v>
      </c>
      <c r="G2446" s="87">
        <v>8777.15</v>
      </c>
      <c r="H2446" s="59"/>
      <c r="I2446" s="5"/>
      <c r="J2446" s="5"/>
      <c r="K2446" s="5"/>
      <c r="L2446" s="59"/>
    </row>
    <row r="2447" customHeight="1" spans="6:12">
      <c r="F2447" s="86">
        <v>42633</v>
      </c>
      <c r="G2447" s="87">
        <v>8775.9</v>
      </c>
      <c r="H2447" s="59"/>
      <c r="I2447" s="5"/>
      <c r="J2447" s="5"/>
      <c r="K2447" s="5"/>
      <c r="L2447" s="59"/>
    </row>
    <row r="2448" customHeight="1" spans="6:12">
      <c r="F2448" s="86">
        <v>42632</v>
      </c>
      <c r="G2448" s="87">
        <v>8808.4</v>
      </c>
      <c r="H2448" s="59"/>
      <c r="I2448" s="5"/>
      <c r="J2448" s="5"/>
      <c r="K2448" s="5"/>
      <c r="L2448" s="59"/>
    </row>
    <row r="2449" customHeight="1" spans="6:12">
      <c r="F2449" s="86">
        <v>42629</v>
      </c>
      <c r="G2449" s="87">
        <v>8779.85</v>
      </c>
      <c r="H2449" s="59"/>
      <c r="I2449" s="5"/>
      <c r="J2449" s="5"/>
      <c r="K2449" s="5"/>
      <c r="L2449" s="59"/>
    </row>
    <row r="2450" customHeight="1" spans="6:12">
      <c r="F2450" s="86">
        <v>42628</v>
      </c>
      <c r="G2450" s="87">
        <v>8742.55</v>
      </c>
      <c r="H2450" s="59"/>
      <c r="I2450" s="5"/>
      <c r="J2450" s="5"/>
      <c r="K2450" s="5"/>
      <c r="L2450" s="59"/>
    </row>
    <row r="2451" customHeight="1" spans="6:12">
      <c r="F2451" s="86">
        <v>42627</v>
      </c>
      <c r="G2451" s="87">
        <v>8726.6</v>
      </c>
      <c r="H2451" s="59"/>
      <c r="I2451" s="5"/>
      <c r="J2451" s="5"/>
      <c r="K2451" s="5"/>
      <c r="L2451" s="59"/>
    </row>
    <row r="2452" customHeight="1" spans="6:12">
      <c r="F2452" s="86">
        <v>42625</v>
      </c>
      <c r="G2452" s="87">
        <v>8715.6</v>
      </c>
      <c r="H2452" s="59"/>
      <c r="I2452" s="5"/>
      <c r="J2452" s="5"/>
      <c r="K2452" s="5"/>
      <c r="L2452" s="59"/>
    </row>
    <row r="2453" customHeight="1" spans="6:12">
      <c r="F2453" s="86">
        <v>42622</v>
      </c>
      <c r="G2453" s="87">
        <v>8866.7</v>
      </c>
      <c r="H2453" s="59"/>
      <c r="I2453" s="5"/>
      <c r="J2453" s="5"/>
      <c r="K2453" s="5"/>
      <c r="L2453" s="59"/>
    </row>
    <row r="2454" customHeight="1" spans="6:12">
      <c r="F2454" s="86">
        <v>42621</v>
      </c>
      <c r="G2454" s="87">
        <v>8952.5</v>
      </c>
      <c r="H2454" s="59"/>
      <c r="I2454" s="5"/>
      <c r="J2454" s="5"/>
      <c r="K2454" s="5"/>
      <c r="L2454" s="59"/>
    </row>
    <row r="2455" customHeight="1" spans="6:12">
      <c r="F2455" s="86">
        <v>42620</v>
      </c>
      <c r="G2455" s="87">
        <v>8917.95</v>
      </c>
      <c r="H2455" s="59"/>
      <c r="I2455" s="5"/>
      <c r="J2455" s="5"/>
      <c r="K2455" s="5"/>
      <c r="L2455" s="59"/>
    </row>
    <row r="2456" customHeight="1" spans="6:12">
      <c r="F2456" s="86">
        <v>42619</v>
      </c>
      <c r="G2456" s="87">
        <v>8943</v>
      </c>
      <c r="H2456" s="59"/>
      <c r="I2456" s="5"/>
      <c r="J2456" s="5"/>
      <c r="K2456" s="5"/>
      <c r="L2456" s="59"/>
    </row>
    <row r="2457" customHeight="1" spans="6:12">
      <c r="F2457" s="86">
        <v>42615</v>
      </c>
      <c r="G2457" s="87">
        <v>8809.65</v>
      </c>
      <c r="H2457" s="59"/>
      <c r="I2457" s="5"/>
      <c r="J2457" s="5"/>
      <c r="K2457" s="5"/>
      <c r="L2457" s="59"/>
    </row>
    <row r="2458" customHeight="1" spans="6:12">
      <c r="F2458" s="86">
        <v>42614</v>
      </c>
      <c r="G2458" s="87">
        <v>8774.65</v>
      </c>
      <c r="H2458" s="59"/>
      <c r="I2458" s="5"/>
      <c r="J2458" s="5"/>
      <c r="K2458" s="5"/>
      <c r="L2458" s="59"/>
    </row>
    <row r="2459" customHeight="1" spans="6:12">
      <c r="F2459" s="86">
        <v>42613</v>
      </c>
      <c r="G2459" s="87">
        <v>8786.2</v>
      </c>
      <c r="H2459" s="59"/>
      <c r="I2459" s="5"/>
      <c r="J2459" s="5"/>
      <c r="K2459" s="5"/>
      <c r="L2459" s="59"/>
    </row>
    <row r="2460" customHeight="1" spans="6:12">
      <c r="F2460" s="86">
        <v>42612</v>
      </c>
      <c r="G2460" s="87">
        <v>8744.35</v>
      </c>
      <c r="H2460" s="59"/>
      <c r="I2460" s="5"/>
      <c r="J2460" s="5"/>
      <c r="K2460" s="5"/>
      <c r="L2460" s="59"/>
    </row>
    <row r="2461" customHeight="1" spans="6:12">
      <c r="F2461" s="86">
        <v>42611</v>
      </c>
      <c r="G2461" s="87">
        <v>8607.45</v>
      </c>
      <c r="H2461" s="59"/>
      <c r="I2461" s="5"/>
      <c r="J2461" s="5"/>
      <c r="K2461" s="5"/>
      <c r="L2461" s="59"/>
    </row>
    <row r="2462" customHeight="1" spans="6:12">
      <c r="F2462" s="86">
        <v>42608</v>
      </c>
      <c r="G2462" s="87">
        <v>8572.55</v>
      </c>
      <c r="H2462" s="59"/>
      <c r="I2462" s="5"/>
      <c r="J2462" s="5"/>
      <c r="K2462" s="5"/>
      <c r="L2462" s="59"/>
    </row>
    <row r="2463" customHeight="1" spans="6:12">
      <c r="F2463" s="86">
        <v>42607</v>
      </c>
      <c r="G2463" s="87">
        <v>8592.2</v>
      </c>
      <c r="H2463" s="59"/>
      <c r="I2463" s="5"/>
      <c r="J2463" s="5"/>
      <c r="K2463" s="5"/>
      <c r="L2463" s="59"/>
    </row>
    <row r="2464" customHeight="1" spans="6:12">
      <c r="F2464" s="86">
        <v>42606</v>
      </c>
      <c r="G2464" s="87">
        <v>8650.3</v>
      </c>
      <c r="H2464" s="59"/>
      <c r="I2464" s="5"/>
      <c r="J2464" s="5"/>
      <c r="K2464" s="5"/>
      <c r="L2464" s="59"/>
    </row>
    <row r="2465" customHeight="1" spans="6:12">
      <c r="F2465" s="86">
        <v>42605</v>
      </c>
      <c r="G2465" s="87">
        <v>8632.6</v>
      </c>
      <c r="H2465" s="59"/>
      <c r="I2465" s="5"/>
      <c r="J2465" s="5"/>
      <c r="K2465" s="5"/>
      <c r="L2465" s="59"/>
    </row>
    <row r="2466" customHeight="1" spans="6:12">
      <c r="F2466" s="86">
        <v>42604</v>
      </c>
      <c r="G2466" s="87">
        <v>8629.15</v>
      </c>
      <c r="H2466" s="59"/>
      <c r="I2466" s="5"/>
      <c r="J2466" s="5"/>
      <c r="K2466" s="5"/>
      <c r="L2466" s="59"/>
    </row>
    <row r="2467" customHeight="1" spans="6:12">
      <c r="F2467" s="86">
        <v>42601</v>
      </c>
      <c r="G2467" s="87">
        <v>8666.9</v>
      </c>
      <c r="H2467" s="59"/>
      <c r="I2467" s="5"/>
      <c r="J2467" s="5"/>
      <c r="K2467" s="5"/>
      <c r="L2467" s="59"/>
    </row>
    <row r="2468" customHeight="1" spans="6:12">
      <c r="F2468" s="86">
        <v>42600</v>
      </c>
      <c r="G2468" s="87">
        <v>8673.25</v>
      </c>
      <c r="H2468" s="59"/>
      <c r="I2468" s="5"/>
      <c r="J2468" s="5"/>
      <c r="K2468" s="5"/>
      <c r="L2468" s="59"/>
    </row>
    <row r="2469" customHeight="1" spans="6:12">
      <c r="F2469" s="86">
        <v>42599</v>
      </c>
      <c r="G2469" s="87">
        <v>8624.05</v>
      </c>
      <c r="H2469" s="59"/>
      <c r="I2469" s="5"/>
      <c r="J2469" s="5"/>
      <c r="K2469" s="5"/>
      <c r="L2469" s="59"/>
    </row>
    <row r="2470" customHeight="1" spans="6:12">
      <c r="F2470" s="86">
        <v>42598</v>
      </c>
      <c r="G2470" s="87">
        <v>8642.55</v>
      </c>
      <c r="H2470" s="59"/>
      <c r="I2470" s="5"/>
      <c r="J2470" s="5"/>
      <c r="K2470" s="5"/>
      <c r="L2470" s="59"/>
    </row>
    <row r="2471" customHeight="1" spans="6:12">
      <c r="F2471" s="86">
        <v>42594</v>
      </c>
      <c r="G2471" s="87">
        <v>8672.15</v>
      </c>
      <c r="H2471" s="59"/>
      <c r="I2471" s="5"/>
      <c r="J2471" s="5"/>
      <c r="K2471" s="5"/>
      <c r="L2471" s="59"/>
    </row>
    <row r="2472" customHeight="1" spans="6:12">
      <c r="F2472" s="86">
        <v>42593</v>
      </c>
      <c r="G2472" s="87">
        <v>8592.15</v>
      </c>
      <c r="H2472" s="59"/>
      <c r="I2472" s="5"/>
      <c r="J2472" s="5"/>
      <c r="K2472" s="5"/>
      <c r="L2472" s="59"/>
    </row>
    <row r="2473" customHeight="1" spans="6:12">
      <c r="F2473" s="86">
        <v>42592</v>
      </c>
      <c r="G2473" s="87">
        <v>8575.3</v>
      </c>
      <c r="H2473" s="59"/>
      <c r="I2473" s="5"/>
      <c r="J2473" s="5"/>
      <c r="K2473" s="5"/>
      <c r="L2473" s="59"/>
    </row>
    <row r="2474" customHeight="1" spans="6:12">
      <c r="F2474" s="86">
        <v>42591</v>
      </c>
      <c r="G2474" s="87">
        <v>8678.25</v>
      </c>
      <c r="H2474" s="59"/>
      <c r="I2474" s="5"/>
      <c r="J2474" s="5"/>
      <c r="K2474" s="5"/>
      <c r="L2474" s="59"/>
    </row>
    <row r="2475" customHeight="1" spans="6:12">
      <c r="F2475" s="86">
        <v>42590</v>
      </c>
      <c r="G2475" s="87">
        <v>8711.35</v>
      </c>
      <c r="H2475" s="59"/>
      <c r="I2475" s="5"/>
      <c r="J2475" s="5"/>
      <c r="K2475" s="5"/>
      <c r="L2475" s="59"/>
    </row>
    <row r="2476" customHeight="1" spans="6:12">
      <c r="F2476" s="86">
        <v>42587</v>
      </c>
      <c r="G2476" s="87">
        <v>8683.15</v>
      </c>
      <c r="H2476" s="59"/>
      <c r="I2476" s="5"/>
      <c r="J2476" s="5"/>
      <c r="K2476" s="5"/>
      <c r="L2476" s="59"/>
    </row>
    <row r="2477" customHeight="1" spans="6:12">
      <c r="F2477" s="86">
        <v>42586</v>
      </c>
      <c r="G2477" s="87">
        <v>8551.1</v>
      </c>
      <c r="H2477" s="59"/>
      <c r="I2477" s="5"/>
      <c r="J2477" s="5"/>
      <c r="K2477" s="5"/>
      <c r="L2477" s="59"/>
    </row>
    <row r="2478" customHeight="1" spans="6:12">
      <c r="F2478" s="86">
        <v>42585</v>
      </c>
      <c r="G2478" s="87">
        <v>8544.85</v>
      </c>
      <c r="H2478" s="59"/>
      <c r="I2478" s="5"/>
      <c r="J2478" s="5"/>
      <c r="K2478" s="5"/>
      <c r="L2478" s="59"/>
    </row>
    <row r="2479" customHeight="1" spans="6:12">
      <c r="F2479" s="86">
        <v>42584</v>
      </c>
      <c r="G2479" s="87">
        <v>8622.9</v>
      </c>
      <c r="H2479" s="59"/>
      <c r="I2479" s="5"/>
      <c r="J2479" s="5"/>
      <c r="K2479" s="5"/>
      <c r="L2479" s="59"/>
    </row>
    <row r="2480" customHeight="1" spans="6:12">
      <c r="F2480" s="86">
        <v>42583</v>
      </c>
      <c r="G2480" s="87">
        <v>8636.55</v>
      </c>
      <c r="H2480" s="59"/>
      <c r="I2480" s="5"/>
      <c r="J2480" s="5"/>
      <c r="K2480" s="5"/>
      <c r="L2480" s="59"/>
    </row>
    <row r="2481" customHeight="1" spans="6:12">
      <c r="F2481" s="86">
        <v>42580</v>
      </c>
      <c r="G2481" s="87">
        <v>8638.5</v>
      </c>
      <c r="H2481" s="59"/>
      <c r="I2481" s="5"/>
      <c r="J2481" s="5"/>
      <c r="K2481" s="5"/>
      <c r="L2481" s="59"/>
    </row>
    <row r="2482" customHeight="1" spans="6:12">
      <c r="F2482" s="86">
        <v>42579</v>
      </c>
      <c r="G2482" s="87">
        <v>8666.3</v>
      </c>
      <c r="H2482" s="59"/>
      <c r="I2482" s="5"/>
      <c r="J2482" s="5"/>
      <c r="K2482" s="5"/>
      <c r="L2482" s="59"/>
    </row>
    <row r="2483" customHeight="1" spans="6:12">
      <c r="F2483" s="86">
        <v>42578</v>
      </c>
      <c r="G2483" s="87">
        <v>8615.8</v>
      </c>
      <c r="H2483" s="59"/>
      <c r="I2483" s="5"/>
      <c r="J2483" s="5"/>
      <c r="K2483" s="5"/>
      <c r="L2483" s="59"/>
    </row>
    <row r="2484" customHeight="1" spans="6:12">
      <c r="F2484" s="86">
        <v>42577</v>
      </c>
      <c r="G2484" s="87">
        <v>8590.65</v>
      </c>
      <c r="H2484" s="59"/>
      <c r="I2484" s="5"/>
      <c r="J2484" s="5"/>
      <c r="K2484" s="5"/>
      <c r="L2484" s="59"/>
    </row>
    <row r="2485" customHeight="1" spans="6:12">
      <c r="F2485" s="86">
        <v>42576</v>
      </c>
      <c r="G2485" s="87">
        <v>8635.65</v>
      </c>
      <c r="H2485" s="59"/>
      <c r="I2485" s="5"/>
      <c r="J2485" s="5"/>
      <c r="K2485" s="5"/>
      <c r="L2485" s="59"/>
    </row>
    <row r="2486" customHeight="1" spans="6:12">
      <c r="F2486" s="86">
        <v>42573</v>
      </c>
      <c r="G2486" s="87">
        <v>8541.2</v>
      </c>
      <c r="H2486" s="59"/>
      <c r="I2486" s="5"/>
      <c r="J2486" s="5"/>
      <c r="K2486" s="5"/>
      <c r="L2486" s="59"/>
    </row>
    <row r="2487" customHeight="1" spans="6:12">
      <c r="F2487" s="86">
        <v>42572</v>
      </c>
      <c r="G2487" s="87">
        <v>8510.1</v>
      </c>
      <c r="H2487" s="59"/>
      <c r="I2487" s="5"/>
      <c r="J2487" s="5"/>
      <c r="K2487" s="5"/>
      <c r="L2487" s="59"/>
    </row>
    <row r="2488" customHeight="1" spans="6:12">
      <c r="F2488" s="86">
        <v>42571</v>
      </c>
      <c r="G2488" s="87">
        <v>8565.85</v>
      </c>
      <c r="H2488" s="59"/>
      <c r="I2488" s="5"/>
      <c r="J2488" s="5"/>
      <c r="K2488" s="5"/>
      <c r="L2488" s="59"/>
    </row>
    <row r="2489" customHeight="1" spans="6:12">
      <c r="F2489" s="86">
        <v>42570</v>
      </c>
      <c r="G2489" s="87">
        <v>8528.55</v>
      </c>
      <c r="H2489" s="59"/>
      <c r="I2489" s="5"/>
      <c r="J2489" s="5"/>
      <c r="K2489" s="5"/>
      <c r="L2489" s="59"/>
    </row>
    <row r="2490" customHeight="1" spans="6:12">
      <c r="F2490" s="86">
        <v>42569</v>
      </c>
      <c r="G2490" s="87">
        <v>8508.7</v>
      </c>
      <c r="H2490" s="59"/>
      <c r="I2490" s="5"/>
      <c r="J2490" s="5"/>
      <c r="K2490" s="5"/>
      <c r="L2490" s="59"/>
    </row>
    <row r="2491" customHeight="1" spans="6:12">
      <c r="F2491" s="86">
        <v>42566</v>
      </c>
      <c r="G2491" s="87">
        <v>8541.4</v>
      </c>
      <c r="H2491" s="59"/>
      <c r="I2491" s="5"/>
      <c r="J2491" s="5"/>
      <c r="K2491" s="5"/>
      <c r="L2491" s="59"/>
    </row>
    <row r="2492" customHeight="1" spans="6:12">
      <c r="F2492" s="86">
        <v>42565</v>
      </c>
      <c r="G2492" s="87">
        <v>8565</v>
      </c>
      <c r="H2492" s="59"/>
      <c r="I2492" s="5"/>
      <c r="J2492" s="5"/>
      <c r="K2492" s="5"/>
      <c r="L2492" s="59"/>
    </row>
    <row r="2493" customHeight="1" spans="6:12">
      <c r="F2493" s="86">
        <v>42564</v>
      </c>
      <c r="G2493" s="87">
        <v>8519.5</v>
      </c>
      <c r="H2493" s="59"/>
      <c r="I2493" s="5"/>
      <c r="J2493" s="5"/>
      <c r="K2493" s="5"/>
      <c r="L2493" s="59"/>
    </row>
    <row r="2494" customHeight="1" spans="6:12">
      <c r="F2494" s="86">
        <v>42563</v>
      </c>
      <c r="G2494" s="87">
        <v>8521.05</v>
      </c>
      <c r="H2494" s="59"/>
      <c r="I2494" s="5"/>
      <c r="J2494" s="5"/>
      <c r="K2494" s="5"/>
      <c r="L2494" s="59"/>
    </row>
    <row r="2495" customHeight="1" spans="6:12">
      <c r="F2495" s="86">
        <v>42562</v>
      </c>
      <c r="G2495" s="87">
        <v>8467.9</v>
      </c>
      <c r="H2495" s="59"/>
      <c r="I2495" s="5"/>
      <c r="J2495" s="5"/>
      <c r="K2495" s="5"/>
      <c r="L2495" s="59"/>
    </row>
    <row r="2496" customHeight="1" spans="6:12">
      <c r="F2496" s="86">
        <v>42559</v>
      </c>
      <c r="G2496" s="87">
        <v>8323.2</v>
      </c>
      <c r="H2496" s="59"/>
      <c r="I2496" s="5"/>
      <c r="J2496" s="5"/>
      <c r="K2496" s="5"/>
      <c r="L2496" s="59"/>
    </row>
    <row r="2497" customHeight="1" spans="6:12">
      <c r="F2497" s="86">
        <v>42558</v>
      </c>
      <c r="G2497" s="87">
        <v>8337.9</v>
      </c>
      <c r="H2497" s="59"/>
      <c r="I2497" s="5"/>
      <c r="J2497" s="5"/>
      <c r="K2497" s="5"/>
      <c r="L2497" s="59"/>
    </row>
    <row r="2498" customHeight="1" spans="6:12">
      <c r="F2498" s="86">
        <v>42556</v>
      </c>
      <c r="G2498" s="87">
        <v>8335.95</v>
      </c>
      <c r="H2498" s="59"/>
      <c r="I2498" s="5"/>
      <c r="J2498" s="5"/>
      <c r="K2498" s="5"/>
      <c r="L2498" s="59"/>
    </row>
    <row r="2499" customHeight="1" spans="6:12">
      <c r="F2499" s="86">
        <v>42555</v>
      </c>
      <c r="G2499" s="87">
        <v>8370.7</v>
      </c>
      <c r="H2499" s="59"/>
      <c r="I2499" s="5"/>
      <c r="J2499" s="5"/>
      <c r="K2499" s="5"/>
      <c r="L2499" s="59"/>
    </row>
    <row r="2500" customHeight="1" spans="6:12">
      <c r="F2500" s="86">
        <v>42552</v>
      </c>
      <c r="G2500" s="87">
        <v>8328.35</v>
      </c>
      <c r="H2500" s="59"/>
      <c r="I2500" s="5"/>
      <c r="J2500" s="5"/>
      <c r="K2500" s="5"/>
      <c r="L2500" s="59"/>
    </row>
    <row r="2501" customHeight="1" spans="6:12">
      <c r="F2501" s="86">
        <v>42551</v>
      </c>
      <c r="G2501" s="87">
        <v>8287.75</v>
      </c>
      <c r="H2501" s="59"/>
      <c r="I2501" s="5"/>
      <c r="J2501" s="5"/>
      <c r="K2501" s="5"/>
      <c r="L2501" s="59"/>
    </row>
    <row r="2502" customHeight="1" spans="6:12">
      <c r="F2502" s="86">
        <v>42550</v>
      </c>
      <c r="G2502" s="87">
        <v>8204</v>
      </c>
      <c r="H2502" s="59"/>
      <c r="I2502" s="5"/>
      <c r="J2502" s="5"/>
      <c r="K2502" s="5"/>
      <c r="L2502" s="59"/>
    </row>
    <row r="2503" customHeight="1" spans="6:12">
      <c r="F2503" s="86">
        <v>42549</v>
      </c>
      <c r="G2503" s="87">
        <v>8127.85</v>
      </c>
      <c r="H2503" s="59"/>
      <c r="I2503" s="5"/>
      <c r="J2503" s="5"/>
      <c r="K2503" s="5"/>
      <c r="L2503" s="59"/>
    </row>
    <row r="2504" customHeight="1" spans="6:12">
      <c r="F2504" s="86">
        <v>42548</v>
      </c>
      <c r="G2504" s="87">
        <v>8094.7</v>
      </c>
      <c r="H2504" s="59"/>
      <c r="I2504" s="5"/>
      <c r="J2504" s="5"/>
      <c r="K2504" s="5"/>
      <c r="L2504" s="59"/>
    </row>
    <row r="2505" customHeight="1" spans="6:12">
      <c r="F2505" s="86">
        <v>42545</v>
      </c>
      <c r="G2505" s="87">
        <v>8088.6</v>
      </c>
      <c r="H2505" s="59"/>
      <c r="I2505" s="5"/>
      <c r="J2505" s="5"/>
      <c r="K2505" s="5"/>
      <c r="L2505" s="59"/>
    </row>
    <row r="2506" customHeight="1" spans="6:12">
      <c r="F2506" s="86">
        <v>42544</v>
      </c>
      <c r="G2506" s="87">
        <v>8270.45</v>
      </c>
      <c r="H2506" s="59"/>
      <c r="I2506" s="5"/>
      <c r="J2506" s="5"/>
      <c r="K2506" s="5"/>
      <c r="L2506" s="59"/>
    </row>
    <row r="2507" customHeight="1" spans="6:12">
      <c r="F2507" s="86">
        <v>42543</v>
      </c>
      <c r="G2507" s="87">
        <v>8203.7</v>
      </c>
      <c r="H2507" s="59"/>
      <c r="I2507" s="5"/>
      <c r="J2507" s="5"/>
      <c r="K2507" s="5"/>
      <c r="L2507" s="59"/>
    </row>
    <row r="2508" customHeight="1" spans="6:12">
      <c r="F2508" s="86">
        <v>42542</v>
      </c>
      <c r="G2508" s="87">
        <v>8219.9</v>
      </c>
      <c r="H2508" s="59"/>
      <c r="I2508" s="5"/>
      <c r="J2508" s="5"/>
      <c r="K2508" s="5"/>
      <c r="L2508" s="59"/>
    </row>
    <row r="2509" customHeight="1" spans="6:12">
      <c r="F2509" s="86">
        <v>42541</v>
      </c>
      <c r="G2509" s="87">
        <v>8238.5</v>
      </c>
      <c r="H2509" s="59"/>
      <c r="I2509" s="5"/>
      <c r="J2509" s="5"/>
      <c r="K2509" s="5"/>
      <c r="L2509" s="59"/>
    </row>
    <row r="2510" customHeight="1" spans="6:12">
      <c r="F2510" s="86">
        <v>42538</v>
      </c>
      <c r="G2510" s="87">
        <v>8170.2</v>
      </c>
      <c r="H2510" s="59"/>
      <c r="I2510" s="5"/>
      <c r="J2510" s="5"/>
      <c r="K2510" s="5"/>
      <c r="L2510" s="59"/>
    </row>
    <row r="2511" customHeight="1" spans="6:12">
      <c r="F2511" s="86">
        <v>42537</v>
      </c>
      <c r="G2511" s="87">
        <v>8140.75</v>
      </c>
      <c r="H2511" s="59"/>
      <c r="I2511" s="5"/>
      <c r="J2511" s="5"/>
      <c r="K2511" s="5"/>
      <c r="L2511" s="59"/>
    </row>
    <row r="2512" customHeight="1" spans="6:12">
      <c r="F2512" s="86">
        <v>42536</v>
      </c>
      <c r="G2512" s="87">
        <v>8206.6</v>
      </c>
      <c r="H2512" s="59"/>
      <c r="I2512" s="5"/>
      <c r="J2512" s="5"/>
      <c r="K2512" s="5"/>
      <c r="L2512" s="59"/>
    </row>
    <row r="2513" customHeight="1" spans="6:12">
      <c r="F2513" s="86">
        <v>42535</v>
      </c>
      <c r="G2513" s="87">
        <v>8108.85</v>
      </c>
      <c r="H2513" s="59"/>
      <c r="I2513" s="5"/>
      <c r="J2513" s="5"/>
      <c r="K2513" s="5"/>
      <c r="L2513" s="59"/>
    </row>
    <row r="2514" customHeight="1" spans="6:12">
      <c r="F2514" s="86">
        <v>42534</v>
      </c>
      <c r="G2514" s="87">
        <v>8110.6</v>
      </c>
      <c r="H2514" s="59"/>
      <c r="I2514" s="5"/>
      <c r="J2514" s="5"/>
      <c r="K2514" s="5"/>
      <c r="L2514" s="59"/>
    </row>
    <row r="2515" customHeight="1" spans="6:12">
      <c r="F2515" s="86">
        <v>42531</v>
      </c>
      <c r="G2515" s="87">
        <v>8170.05</v>
      </c>
      <c r="H2515" s="59"/>
      <c r="I2515" s="5"/>
      <c r="J2515" s="5"/>
      <c r="K2515" s="5"/>
      <c r="L2515" s="59"/>
    </row>
    <row r="2516" customHeight="1" spans="6:12">
      <c r="F2516" s="86">
        <v>42530</v>
      </c>
      <c r="G2516" s="87">
        <v>8203.6</v>
      </c>
      <c r="H2516" s="59"/>
      <c r="I2516" s="5"/>
      <c r="J2516" s="5"/>
      <c r="K2516" s="5"/>
      <c r="L2516" s="59"/>
    </row>
    <row r="2517" customHeight="1" spans="6:12">
      <c r="F2517" s="86">
        <v>42529</v>
      </c>
      <c r="G2517" s="87">
        <v>8273.05</v>
      </c>
      <c r="H2517" s="59"/>
      <c r="I2517" s="5"/>
      <c r="J2517" s="5"/>
      <c r="K2517" s="5"/>
      <c r="L2517" s="59"/>
    </row>
    <row r="2518" customHeight="1" spans="6:12">
      <c r="F2518" s="86">
        <v>42528</v>
      </c>
      <c r="G2518" s="87">
        <v>8266.45</v>
      </c>
      <c r="H2518" s="59"/>
      <c r="I2518" s="5"/>
      <c r="J2518" s="5"/>
      <c r="K2518" s="5"/>
      <c r="L2518" s="59"/>
    </row>
    <row r="2519" customHeight="1" spans="6:12">
      <c r="F2519" s="86">
        <v>42527</v>
      </c>
      <c r="G2519" s="87">
        <v>8201.05</v>
      </c>
      <c r="H2519" s="59"/>
      <c r="I2519" s="5"/>
      <c r="J2519" s="5"/>
      <c r="K2519" s="5"/>
      <c r="L2519" s="59"/>
    </row>
    <row r="2520" customHeight="1" spans="6:12">
      <c r="F2520" s="86">
        <v>42524</v>
      </c>
      <c r="G2520" s="87">
        <v>8220.8</v>
      </c>
      <c r="H2520" s="59"/>
      <c r="I2520" s="5"/>
      <c r="J2520" s="5"/>
      <c r="K2520" s="5"/>
      <c r="L2520" s="59"/>
    </row>
    <row r="2521" customHeight="1" spans="6:12">
      <c r="F2521" s="86">
        <v>42523</v>
      </c>
      <c r="G2521" s="87">
        <v>8218.95</v>
      </c>
      <c r="H2521" s="59"/>
      <c r="I2521" s="5"/>
      <c r="J2521" s="5"/>
      <c r="K2521" s="5"/>
      <c r="L2521" s="59"/>
    </row>
    <row r="2522" customHeight="1" spans="6:12">
      <c r="F2522" s="86">
        <v>42522</v>
      </c>
      <c r="G2522" s="87">
        <v>8179.95</v>
      </c>
      <c r="H2522" s="59"/>
      <c r="I2522" s="5"/>
      <c r="J2522" s="5"/>
      <c r="K2522" s="5"/>
      <c r="L2522" s="59"/>
    </row>
    <row r="2523" customHeight="1" spans="6:12">
      <c r="F2523" s="86">
        <v>42521</v>
      </c>
      <c r="G2523" s="87">
        <v>8160.1</v>
      </c>
      <c r="H2523" s="59"/>
      <c r="I2523" s="5"/>
      <c r="J2523" s="5"/>
      <c r="K2523" s="5"/>
      <c r="L2523" s="59"/>
    </row>
    <row r="2524" customHeight="1" spans="6:12">
      <c r="F2524" s="86">
        <v>42520</v>
      </c>
      <c r="G2524" s="87">
        <v>8178.5</v>
      </c>
      <c r="H2524" s="59"/>
      <c r="I2524" s="5"/>
      <c r="J2524" s="5"/>
      <c r="K2524" s="5"/>
      <c r="L2524" s="59"/>
    </row>
    <row r="2525" customHeight="1" spans="6:12">
      <c r="F2525" s="86">
        <v>42517</v>
      </c>
      <c r="G2525" s="87">
        <v>8156.65</v>
      </c>
      <c r="H2525" s="59"/>
      <c r="I2525" s="5"/>
      <c r="J2525" s="5"/>
      <c r="K2525" s="5"/>
      <c r="L2525" s="59"/>
    </row>
    <row r="2526" customHeight="1" spans="6:12">
      <c r="F2526" s="86">
        <v>42516</v>
      </c>
      <c r="G2526" s="87">
        <v>8069.65</v>
      </c>
      <c r="H2526" s="59"/>
      <c r="I2526" s="5"/>
      <c r="J2526" s="5"/>
      <c r="K2526" s="5"/>
      <c r="L2526" s="59"/>
    </row>
    <row r="2527" customHeight="1" spans="6:12">
      <c r="F2527" s="86">
        <v>42515</v>
      </c>
      <c r="G2527" s="87">
        <v>7934.9</v>
      </c>
      <c r="H2527" s="59"/>
      <c r="I2527" s="5"/>
      <c r="J2527" s="5"/>
      <c r="K2527" s="5"/>
      <c r="L2527" s="59"/>
    </row>
    <row r="2528" customHeight="1" spans="6:12">
      <c r="F2528" s="86">
        <v>42514</v>
      </c>
      <c r="G2528" s="87">
        <v>7748.85</v>
      </c>
      <c r="H2528" s="59"/>
      <c r="I2528" s="5"/>
      <c r="J2528" s="5"/>
      <c r="K2528" s="5"/>
      <c r="L2528" s="59"/>
    </row>
    <row r="2529" customHeight="1" spans="6:12">
      <c r="F2529" s="86">
        <v>42513</v>
      </c>
      <c r="G2529" s="87">
        <v>7731.05</v>
      </c>
      <c r="H2529" s="59"/>
      <c r="I2529" s="5"/>
      <c r="J2529" s="5"/>
      <c r="K2529" s="5"/>
      <c r="L2529" s="59"/>
    </row>
    <row r="2530" customHeight="1" spans="6:12">
      <c r="F2530" s="86">
        <v>42510</v>
      </c>
      <c r="G2530" s="87">
        <v>7749.7</v>
      </c>
      <c r="H2530" s="59"/>
      <c r="I2530" s="5"/>
      <c r="J2530" s="5"/>
      <c r="K2530" s="5"/>
      <c r="L2530" s="59"/>
    </row>
    <row r="2531" customHeight="1" spans="6:12">
      <c r="F2531" s="86">
        <v>42509</v>
      </c>
      <c r="G2531" s="87">
        <v>7783.4</v>
      </c>
      <c r="H2531" s="59"/>
      <c r="I2531" s="5"/>
      <c r="J2531" s="5"/>
      <c r="K2531" s="5"/>
      <c r="L2531" s="59"/>
    </row>
    <row r="2532" customHeight="1" spans="6:12">
      <c r="F2532" s="86">
        <v>42508</v>
      </c>
      <c r="G2532" s="87">
        <v>7870.15</v>
      </c>
      <c r="H2532" s="59"/>
      <c r="I2532" s="5"/>
      <c r="J2532" s="5"/>
      <c r="K2532" s="5"/>
      <c r="L2532" s="59"/>
    </row>
    <row r="2533" customHeight="1" spans="6:12">
      <c r="F2533" s="86">
        <v>42507</v>
      </c>
      <c r="G2533" s="87">
        <v>7890.75</v>
      </c>
      <c r="H2533" s="59"/>
      <c r="I2533" s="5"/>
      <c r="J2533" s="5"/>
      <c r="K2533" s="5"/>
      <c r="L2533" s="59"/>
    </row>
    <row r="2534" customHeight="1" spans="6:12">
      <c r="F2534" s="86">
        <v>42506</v>
      </c>
      <c r="G2534" s="87">
        <v>7860.75</v>
      </c>
      <c r="H2534" s="59"/>
      <c r="I2534" s="5"/>
      <c r="J2534" s="5"/>
      <c r="K2534" s="5"/>
      <c r="L2534" s="59"/>
    </row>
    <row r="2535" customHeight="1" spans="6:12">
      <c r="F2535" s="86">
        <v>42503</v>
      </c>
      <c r="G2535" s="87">
        <v>7814.9</v>
      </c>
      <c r="H2535" s="59"/>
      <c r="I2535" s="5"/>
      <c r="J2535" s="5"/>
      <c r="K2535" s="5"/>
      <c r="L2535" s="59"/>
    </row>
    <row r="2536" customHeight="1" spans="6:12">
      <c r="F2536" s="86">
        <v>42502</v>
      </c>
      <c r="G2536" s="87">
        <v>7900.4</v>
      </c>
      <c r="H2536" s="59"/>
      <c r="I2536" s="5"/>
      <c r="J2536" s="5"/>
      <c r="K2536" s="5"/>
      <c r="L2536" s="59"/>
    </row>
    <row r="2537" customHeight="1" spans="6:12">
      <c r="F2537" s="86">
        <v>42501</v>
      </c>
      <c r="G2537" s="87">
        <v>7848.85</v>
      </c>
      <c r="H2537" s="59"/>
      <c r="I2537" s="5"/>
      <c r="J2537" s="5"/>
      <c r="K2537" s="5"/>
      <c r="L2537" s="59"/>
    </row>
    <row r="2538" customHeight="1" spans="6:12">
      <c r="F2538" s="86">
        <v>42500</v>
      </c>
      <c r="G2538" s="87">
        <v>7887.8</v>
      </c>
      <c r="H2538" s="59"/>
      <c r="I2538" s="5"/>
      <c r="J2538" s="5"/>
      <c r="K2538" s="5"/>
      <c r="L2538" s="59"/>
    </row>
    <row r="2539" customHeight="1" spans="6:12">
      <c r="F2539" s="86">
        <v>42499</v>
      </c>
      <c r="G2539" s="87">
        <v>7866.05</v>
      </c>
      <c r="H2539" s="59"/>
      <c r="I2539" s="5"/>
      <c r="J2539" s="5"/>
      <c r="K2539" s="5"/>
      <c r="L2539" s="59"/>
    </row>
    <row r="2540" customHeight="1" spans="6:12">
      <c r="F2540" s="86">
        <v>42496</v>
      </c>
      <c r="G2540" s="87">
        <v>7733.45</v>
      </c>
      <c r="H2540" s="59"/>
      <c r="I2540" s="5"/>
      <c r="J2540" s="5"/>
      <c r="K2540" s="5"/>
      <c r="L2540" s="59"/>
    </row>
    <row r="2541" customHeight="1" spans="6:12">
      <c r="F2541" s="86">
        <v>42495</v>
      </c>
      <c r="G2541" s="87">
        <v>7735.5</v>
      </c>
      <c r="H2541" s="59"/>
      <c r="I2541" s="5"/>
      <c r="J2541" s="5"/>
      <c r="K2541" s="5"/>
      <c r="L2541" s="59"/>
    </row>
    <row r="2542" customHeight="1" spans="6:12">
      <c r="F2542" s="86">
        <v>42494</v>
      </c>
      <c r="G2542" s="87">
        <v>7706.55</v>
      </c>
      <c r="H2542" s="59"/>
      <c r="I2542" s="5"/>
      <c r="J2542" s="5"/>
      <c r="K2542" s="5"/>
      <c r="L2542" s="59"/>
    </row>
    <row r="2543" customHeight="1" spans="6:12">
      <c r="F2543" s="86">
        <v>42493</v>
      </c>
      <c r="G2543" s="87">
        <v>7747</v>
      </c>
      <c r="H2543" s="59"/>
      <c r="I2543" s="5"/>
      <c r="J2543" s="5"/>
      <c r="K2543" s="5"/>
      <c r="L2543" s="59"/>
    </row>
    <row r="2544" customHeight="1" spans="6:12">
      <c r="F2544" s="86">
        <v>42492</v>
      </c>
      <c r="G2544" s="87">
        <v>7805.9</v>
      </c>
      <c r="H2544" s="59"/>
      <c r="I2544" s="5"/>
      <c r="J2544" s="5"/>
      <c r="K2544" s="5"/>
      <c r="L2544" s="59"/>
    </row>
    <row r="2545" customHeight="1" spans="6:12">
      <c r="F2545" s="86">
        <v>42489</v>
      </c>
      <c r="G2545" s="87">
        <v>7849.8</v>
      </c>
      <c r="H2545" s="59"/>
      <c r="I2545" s="5"/>
      <c r="J2545" s="5"/>
      <c r="K2545" s="5"/>
      <c r="L2545" s="59"/>
    </row>
    <row r="2546" customHeight="1" spans="6:12">
      <c r="F2546" s="86">
        <v>42488</v>
      </c>
      <c r="G2546" s="87">
        <v>7847.25</v>
      </c>
      <c r="H2546" s="59"/>
      <c r="I2546" s="5"/>
      <c r="J2546" s="5"/>
      <c r="K2546" s="5"/>
      <c r="L2546" s="59"/>
    </row>
    <row r="2547" customHeight="1" spans="6:12">
      <c r="F2547" s="86">
        <v>42487</v>
      </c>
      <c r="G2547" s="87">
        <v>7979.9</v>
      </c>
      <c r="H2547" s="59"/>
      <c r="I2547" s="5"/>
      <c r="J2547" s="5"/>
      <c r="K2547" s="5"/>
      <c r="L2547" s="59"/>
    </row>
    <row r="2548" customHeight="1" spans="6:12">
      <c r="F2548" s="86">
        <v>42486</v>
      </c>
      <c r="G2548" s="87">
        <v>7962.65</v>
      </c>
      <c r="H2548" s="59"/>
      <c r="I2548" s="5"/>
      <c r="J2548" s="5"/>
      <c r="K2548" s="5"/>
      <c r="L2548" s="59"/>
    </row>
    <row r="2549" customHeight="1" spans="6:12">
      <c r="F2549" s="86">
        <v>42485</v>
      </c>
      <c r="G2549" s="87">
        <v>7855.05</v>
      </c>
      <c r="H2549" s="59"/>
      <c r="I2549" s="5"/>
      <c r="J2549" s="5"/>
      <c r="K2549" s="5"/>
      <c r="L2549" s="59"/>
    </row>
    <row r="2550" customHeight="1" spans="6:12">
      <c r="F2550" s="86">
        <v>42482</v>
      </c>
      <c r="G2550" s="87">
        <v>7899.3</v>
      </c>
      <c r="H2550" s="59"/>
      <c r="I2550" s="5"/>
      <c r="J2550" s="5"/>
      <c r="K2550" s="5"/>
      <c r="L2550" s="59"/>
    </row>
    <row r="2551" customHeight="1" spans="6:12">
      <c r="F2551" s="86">
        <v>42481</v>
      </c>
      <c r="G2551" s="87">
        <v>7912.05</v>
      </c>
      <c r="H2551" s="59"/>
      <c r="I2551" s="5"/>
      <c r="J2551" s="5"/>
      <c r="K2551" s="5"/>
      <c r="L2551" s="59"/>
    </row>
    <row r="2552" customHeight="1" spans="6:12">
      <c r="F2552" s="86">
        <v>42480</v>
      </c>
      <c r="G2552" s="87">
        <v>7914.75</v>
      </c>
      <c r="H2552" s="59"/>
      <c r="I2552" s="5"/>
      <c r="J2552" s="5"/>
      <c r="K2552" s="5"/>
      <c r="L2552" s="59"/>
    </row>
    <row r="2553" customHeight="1" spans="6:12">
      <c r="F2553" s="86">
        <v>42478</v>
      </c>
      <c r="G2553" s="87">
        <v>7914.7</v>
      </c>
      <c r="H2553" s="59"/>
      <c r="I2553" s="5"/>
      <c r="J2553" s="5"/>
      <c r="K2553" s="5"/>
      <c r="L2553" s="59"/>
    </row>
    <row r="2554" customHeight="1" spans="6:12">
      <c r="F2554" s="86">
        <v>42473</v>
      </c>
      <c r="G2554" s="87">
        <v>7850.45</v>
      </c>
      <c r="H2554" s="59"/>
      <c r="I2554" s="5"/>
      <c r="J2554" s="5"/>
      <c r="K2554" s="5"/>
      <c r="L2554" s="59"/>
    </row>
    <row r="2555" customHeight="1" spans="6:12">
      <c r="F2555" s="86">
        <v>42472</v>
      </c>
      <c r="G2555" s="87">
        <v>7708.95</v>
      </c>
      <c r="H2555" s="59"/>
      <c r="I2555" s="5"/>
      <c r="J2555" s="5"/>
      <c r="K2555" s="5"/>
      <c r="L2555" s="59"/>
    </row>
    <row r="2556" customHeight="1" spans="6:12">
      <c r="F2556" s="86">
        <v>42471</v>
      </c>
      <c r="G2556" s="87">
        <v>7671.4</v>
      </c>
      <c r="H2556" s="59"/>
      <c r="I2556" s="5"/>
      <c r="J2556" s="5"/>
      <c r="K2556" s="5"/>
      <c r="L2556" s="59"/>
    </row>
    <row r="2557" customHeight="1" spans="6:12">
      <c r="F2557" s="86">
        <v>42468</v>
      </c>
      <c r="G2557" s="87">
        <v>7555.2</v>
      </c>
      <c r="H2557" s="59"/>
      <c r="I2557" s="5"/>
      <c r="J2557" s="5"/>
      <c r="K2557" s="5"/>
      <c r="L2557" s="59"/>
    </row>
    <row r="2558" customHeight="1" spans="6:12">
      <c r="F2558" s="86">
        <v>42467</v>
      </c>
      <c r="G2558" s="87">
        <v>7546.45</v>
      </c>
      <c r="H2558" s="59"/>
      <c r="I2558" s="5"/>
      <c r="J2558" s="5"/>
      <c r="K2558" s="5"/>
      <c r="L2558" s="59"/>
    </row>
    <row r="2559" customHeight="1" spans="6:12">
      <c r="F2559" s="86">
        <v>42466</v>
      </c>
      <c r="G2559" s="87">
        <v>7614.35</v>
      </c>
      <c r="H2559" s="59"/>
      <c r="I2559" s="5"/>
      <c r="J2559" s="5"/>
      <c r="K2559" s="5"/>
      <c r="L2559" s="59"/>
    </row>
    <row r="2560" customHeight="1" spans="6:12">
      <c r="F2560" s="86">
        <v>42465</v>
      </c>
      <c r="G2560" s="87">
        <v>7603.2</v>
      </c>
      <c r="H2560" s="59"/>
      <c r="I2560" s="5"/>
      <c r="J2560" s="5"/>
      <c r="K2560" s="5"/>
      <c r="L2560" s="59"/>
    </row>
    <row r="2561" customHeight="1" spans="6:12">
      <c r="F2561" s="86">
        <v>42464</v>
      </c>
      <c r="G2561" s="87">
        <v>7758.8</v>
      </c>
      <c r="H2561" s="59"/>
      <c r="I2561" s="5"/>
      <c r="J2561" s="5"/>
      <c r="K2561" s="5"/>
      <c r="L2561" s="59"/>
    </row>
    <row r="2562" customHeight="1" spans="6:12">
      <c r="F2562" s="86">
        <v>42461</v>
      </c>
      <c r="G2562" s="87">
        <v>7713.05</v>
      </c>
      <c r="H2562" s="59"/>
      <c r="I2562" s="5"/>
      <c r="J2562" s="5"/>
      <c r="K2562" s="5"/>
      <c r="L2562" s="59"/>
    </row>
    <row r="2563" customHeight="1" spans="6:12">
      <c r="F2563" s="86">
        <v>42460</v>
      </c>
      <c r="G2563" s="87">
        <v>7738.4</v>
      </c>
      <c r="H2563" s="59"/>
      <c r="I2563" s="5"/>
      <c r="J2563" s="5"/>
      <c r="K2563" s="5"/>
      <c r="L2563" s="59"/>
    </row>
    <row r="2564" customHeight="1" spans="6:12">
      <c r="F2564" s="86">
        <v>42459</v>
      </c>
      <c r="G2564" s="87">
        <v>7735.2</v>
      </c>
      <c r="H2564" s="59"/>
      <c r="I2564" s="5"/>
      <c r="J2564" s="5"/>
      <c r="K2564" s="5"/>
      <c r="L2564" s="59"/>
    </row>
    <row r="2565" customHeight="1" spans="6:12">
      <c r="F2565" s="86">
        <v>42458</v>
      </c>
      <c r="G2565" s="87">
        <v>7597</v>
      </c>
      <c r="H2565" s="59"/>
      <c r="I2565" s="5"/>
      <c r="J2565" s="5"/>
      <c r="K2565" s="5"/>
      <c r="L2565" s="59"/>
    </row>
    <row r="2566" customHeight="1" spans="6:12">
      <c r="F2566" s="86">
        <v>42457</v>
      </c>
      <c r="G2566" s="87">
        <v>7615.1</v>
      </c>
      <c r="H2566" s="59"/>
      <c r="I2566" s="5"/>
      <c r="J2566" s="5"/>
      <c r="K2566" s="5"/>
      <c r="L2566" s="59"/>
    </row>
    <row r="2567" customHeight="1" spans="6:12">
      <c r="F2567" s="86">
        <v>42452</v>
      </c>
      <c r="G2567" s="87">
        <v>7716.5</v>
      </c>
      <c r="H2567" s="59"/>
      <c r="I2567" s="5"/>
      <c r="J2567" s="5"/>
      <c r="K2567" s="5"/>
      <c r="L2567" s="59"/>
    </row>
    <row r="2568" customHeight="1" spans="6:12">
      <c r="F2568" s="86">
        <v>42451</v>
      </c>
      <c r="G2568" s="87">
        <v>7714.9</v>
      </c>
      <c r="H2568" s="59"/>
      <c r="I2568" s="5"/>
      <c r="J2568" s="5"/>
      <c r="K2568" s="5"/>
      <c r="L2568" s="59"/>
    </row>
    <row r="2569" customHeight="1" spans="6:12">
      <c r="F2569" s="86">
        <v>42450</v>
      </c>
      <c r="G2569" s="87">
        <v>7704.25</v>
      </c>
      <c r="H2569" s="59"/>
      <c r="I2569" s="5"/>
      <c r="J2569" s="5"/>
      <c r="K2569" s="5"/>
      <c r="L2569" s="59"/>
    </row>
    <row r="2570" customHeight="1" spans="6:12">
      <c r="F2570" s="86">
        <v>42447</v>
      </c>
      <c r="G2570" s="87">
        <v>7604.35</v>
      </c>
      <c r="H2570" s="59"/>
      <c r="I2570" s="5"/>
      <c r="J2570" s="5"/>
      <c r="K2570" s="5"/>
      <c r="L2570" s="59"/>
    </row>
    <row r="2571" customHeight="1" spans="6:12">
      <c r="F2571" s="86">
        <v>42446</v>
      </c>
      <c r="G2571" s="87">
        <v>7512.55</v>
      </c>
      <c r="H2571" s="59"/>
      <c r="I2571" s="5"/>
      <c r="J2571" s="5"/>
      <c r="K2571" s="5"/>
      <c r="L2571" s="59"/>
    </row>
    <row r="2572" customHeight="1" spans="6:12">
      <c r="F2572" s="86">
        <v>42445</v>
      </c>
      <c r="G2572" s="87">
        <v>7498.75</v>
      </c>
      <c r="H2572" s="59"/>
      <c r="I2572" s="5"/>
      <c r="J2572" s="5"/>
      <c r="K2572" s="5"/>
      <c r="L2572" s="59"/>
    </row>
    <row r="2573" customHeight="1" spans="6:12">
      <c r="F2573" s="86">
        <v>42444</v>
      </c>
      <c r="G2573" s="87">
        <v>7460.6</v>
      </c>
      <c r="H2573" s="59"/>
      <c r="I2573" s="5"/>
      <c r="J2573" s="5"/>
      <c r="K2573" s="5"/>
      <c r="L2573" s="59"/>
    </row>
    <row r="2574" customHeight="1" spans="6:12">
      <c r="F2574" s="86">
        <v>42443</v>
      </c>
      <c r="G2574" s="87">
        <v>7538.75</v>
      </c>
      <c r="H2574" s="59"/>
      <c r="I2574" s="5"/>
      <c r="J2574" s="5"/>
      <c r="K2574" s="5"/>
      <c r="L2574" s="59"/>
    </row>
    <row r="2575" customHeight="1" spans="6:12">
      <c r="F2575" s="86">
        <v>42440</v>
      </c>
      <c r="G2575" s="87">
        <v>7510.2</v>
      </c>
      <c r="H2575" s="59"/>
      <c r="I2575" s="5"/>
      <c r="J2575" s="5"/>
      <c r="K2575" s="5"/>
      <c r="L2575" s="59"/>
    </row>
    <row r="2576" customHeight="1" spans="6:12">
      <c r="F2576" s="86">
        <v>42439</v>
      </c>
      <c r="G2576" s="87">
        <v>7486.15</v>
      </c>
      <c r="H2576" s="59"/>
      <c r="I2576" s="5"/>
      <c r="J2576" s="5"/>
      <c r="K2576" s="5"/>
      <c r="L2576" s="59"/>
    </row>
    <row r="2577" customHeight="1" spans="6:12">
      <c r="F2577" s="86">
        <v>42438</v>
      </c>
      <c r="G2577" s="87">
        <v>7531.8</v>
      </c>
      <c r="H2577" s="59"/>
      <c r="I2577" s="5"/>
      <c r="J2577" s="5"/>
      <c r="K2577" s="5"/>
      <c r="L2577" s="59"/>
    </row>
    <row r="2578" customHeight="1" spans="6:12">
      <c r="F2578" s="86">
        <v>42437</v>
      </c>
      <c r="G2578" s="87">
        <v>7485.3</v>
      </c>
      <c r="H2578" s="59"/>
      <c r="I2578" s="5"/>
      <c r="J2578" s="5"/>
      <c r="K2578" s="5"/>
      <c r="L2578" s="59"/>
    </row>
    <row r="2579" customHeight="1" spans="6:12">
      <c r="F2579" s="86">
        <v>42433</v>
      </c>
      <c r="G2579" s="87">
        <v>7485.35</v>
      </c>
      <c r="H2579" s="59"/>
      <c r="I2579" s="5"/>
      <c r="J2579" s="5"/>
      <c r="K2579" s="5"/>
      <c r="L2579" s="59"/>
    </row>
    <row r="2580" customHeight="1" spans="6:12">
      <c r="F2580" s="86">
        <v>42432</v>
      </c>
      <c r="G2580" s="87">
        <v>7475.6</v>
      </c>
      <c r="H2580" s="59"/>
      <c r="I2580" s="5"/>
      <c r="J2580" s="5"/>
      <c r="K2580" s="5"/>
      <c r="L2580" s="59"/>
    </row>
    <row r="2581" customHeight="1" spans="6:12">
      <c r="F2581" s="86">
        <v>42431</v>
      </c>
      <c r="G2581" s="87">
        <v>7368.85</v>
      </c>
      <c r="H2581" s="59"/>
      <c r="I2581" s="5"/>
      <c r="J2581" s="5"/>
      <c r="K2581" s="5"/>
      <c r="L2581" s="59"/>
    </row>
    <row r="2582" customHeight="1" spans="6:12">
      <c r="F2582" s="86">
        <v>42430</v>
      </c>
      <c r="G2582" s="87">
        <v>7222.3</v>
      </c>
      <c r="H2582" s="59"/>
      <c r="I2582" s="5"/>
      <c r="J2582" s="5"/>
      <c r="K2582" s="5"/>
      <c r="L2582" s="59"/>
    </row>
    <row r="2583" customHeight="1" spans="6:12">
      <c r="F2583" s="86">
        <v>42429</v>
      </c>
      <c r="G2583" s="87">
        <v>6987.05</v>
      </c>
      <c r="H2583" s="59"/>
      <c r="I2583" s="5"/>
      <c r="J2583" s="5"/>
      <c r="K2583" s="5"/>
      <c r="L2583" s="59"/>
    </row>
    <row r="2584" customHeight="1" spans="6:12">
      <c r="F2584" s="86">
        <v>42426</v>
      </c>
      <c r="G2584" s="87">
        <v>7029.75</v>
      </c>
      <c r="H2584" s="59"/>
      <c r="I2584" s="5"/>
      <c r="J2584" s="5"/>
      <c r="K2584" s="5"/>
      <c r="L2584" s="59"/>
    </row>
    <row r="2585" customHeight="1" spans="6:12">
      <c r="F2585" s="86">
        <v>42425</v>
      </c>
      <c r="G2585" s="87">
        <v>6970.6</v>
      </c>
      <c r="H2585" s="59"/>
      <c r="I2585" s="5"/>
      <c r="J2585" s="5"/>
      <c r="K2585" s="5"/>
      <c r="L2585" s="59"/>
    </row>
    <row r="2586" customHeight="1" spans="6:12">
      <c r="F2586" s="86">
        <v>42424</v>
      </c>
      <c r="G2586" s="87">
        <v>7018.7</v>
      </c>
      <c r="H2586" s="59"/>
      <c r="I2586" s="5"/>
      <c r="J2586" s="5"/>
      <c r="K2586" s="5"/>
      <c r="L2586" s="59"/>
    </row>
    <row r="2587" customHeight="1" spans="6:12">
      <c r="F2587" s="86">
        <v>42423</v>
      </c>
      <c r="G2587" s="87">
        <v>7109.55</v>
      </c>
      <c r="H2587" s="59"/>
      <c r="I2587" s="5"/>
      <c r="J2587" s="5"/>
      <c r="K2587" s="5"/>
      <c r="L2587" s="59"/>
    </row>
    <row r="2588" customHeight="1" spans="6:12">
      <c r="F2588" s="86">
        <v>42422</v>
      </c>
      <c r="G2588" s="87">
        <v>7234.55</v>
      </c>
      <c r="H2588" s="59"/>
      <c r="I2588" s="5"/>
      <c r="J2588" s="5"/>
      <c r="K2588" s="5"/>
      <c r="L2588" s="59"/>
    </row>
    <row r="2589" customHeight="1" spans="6:12">
      <c r="F2589" s="86">
        <v>42419</v>
      </c>
      <c r="G2589" s="87">
        <v>7210.75</v>
      </c>
      <c r="H2589" s="59"/>
      <c r="I2589" s="5"/>
      <c r="J2589" s="5"/>
      <c r="K2589" s="5"/>
      <c r="L2589" s="59"/>
    </row>
    <row r="2590" customHeight="1" spans="6:12">
      <c r="F2590" s="86">
        <v>42418</v>
      </c>
      <c r="G2590" s="87">
        <v>7191.75</v>
      </c>
      <c r="H2590" s="59"/>
      <c r="I2590" s="5"/>
      <c r="J2590" s="5"/>
      <c r="K2590" s="5"/>
      <c r="L2590" s="59"/>
    </row>
    <row r="2591" customHeight="1" spans="6:12">
      <c r="F2591" s="86">
        <v>42417</v>
      </c>
      <c r="G2591" s="87">
        <v>7108.45</v>
      </c>
      <c r="H2591" s="59"/>
      <c r="I2591" s="5"/>
      <c r="J2591" s="5"/>
      <c r="K2591" s="5"/>
      <c r="L2591" s="59"/>
    </row>
    <row r="2592" customHeight="1" spans="6:12">
      <c r="F2592" s="86">
        <v>42416</v>
      </c>
      <c r="G2592" s="87">
        <v>7048.25</v>
      </c>
      <c r="H2592" s="59"/>
      <c r="I2592" s="5"/>
      <c r="J2592" s="5"/>
      <c r="K2592" s="5"/>
      <c r="L2592" s="59"/>
    </row>
    <row r="2593" customHeight="1" spans="6:12">
      <c r="F2593" s="86">
        <v>42415</v>
      </c>
      <c r="G2593" s="87">
        <v>7162.95</v>
      </c>
      <c r="H2593" s="59"/>
      <c r="I2593" s="5"/>
      <c r="J2593" s="5"/>
      <c r="K2593" s="5"/>
      <c r="L2593" s="59"/>
    </row>
    <row r="2594" customHeight="1" spans="6:12">
      <c r="F2594" s="86">
        <v>42412</v>
      </c>
      <c r="G2594" s="87">
        <v>6980.95</v>
      </c>
      <c r="H2594" s="59"/>
      <c r="I2594" s="5"/>
      <c r="J2594" s="5"/>
      <c r="K2594" s="5"/>
      <c r="L2594" s="59"/>
    </row>
    <row r="2595" customHeight="1" spans="6:12">
      <c r="F2595" s="86">
        <v>42411</v>
      </c>
      <c r="G2595" s="87">
        <v>6976.35</v>
      </c>
      <c r="H2595" s="59"/>
      <c r="I2595" s="5"/>
      <c r="J2595" s="5"/>
      <c r="K2595" s="5"/>
      <c r="L2595" s="59"/>
    </row>
    <row r="2596" customHeight="1" spans="6:12">
      <c r="F2596" s="86">
        <v>42410</v>
      </c>
      <c r="G2596" s="87">
        <v>7215.7</v>
      </c>
      <c r="H2596" s="59"/>
      <c r="I2596" s="5"/>
      <c r="J2596" s="5"/>
      <c r="K2596" s="5"/>
      <c r="L2596" s="59"/>
    </row>
    <row r="2597" customHeight="1" spans="6:12">
      <c r="F2597" s="86">
        <v>42409</v>
      </c>
      <c r="G2597" s="87">
        <v>7298.2</v>
      </c>
      <c r="H2597" s="59"/>
      <c r="I2597" s="5"/>
      <c r="J2597" s="5"/>
      <c r="K2597" s="5"/>
      <c r="L2597" s="59"/>
    </row>
    <row r="2598" customHeight="1" spans="6:12">
      <c r="F2598" s="86">
        <v>42408</v>
      </c>
      <c r="G2598" s="87">
        <v>7387.25</v>
      </c>
      <c r="H2598" s="59"/>
      <c r="I2598" s="5"/>
      <c r="J2598" s="5"/>
      <c r="K2598" s="5"/>
      <c r="L2598" s="59"/>
    </row>
    <row r="2599" customHeight="1" spans="6:12">
      <c r="F2599" s="86">
        <v>42405</v>
      </c>
      <c r="G2599" s="87">
        <v>7489.1</v>
      </c>
      <c r="H2599" s="59"/>
      <c r="I2599" s="5"/>
      <c r="J2599" s="5"/>
      <c r="K2599" s="5"/>
      <c r="L2599" s="59"/>
    </row>
    <row r="2600" customHeight="1" spans="6:12">
      <c r="F2600" s="86">
        <v>42404</v>
      </c>
      <c r="G2600" s="87">
        <v>7404</v>
      </c>
      <c r="H2600" s="59"/>
      <c r="I2600" s="5"/>
      <c r="J2600" s="5"/>
      <c r="K2600" s="5"/>
      <c r="L2600" s="59"/>
    </row>
    <row r="2601" customHeight="1" spans="6:12">
      <c r="F2601" s="86">
        <v>42403</v>
      </c>
      <c r="G2601" s="87">
        <v>7361.8</v>
      </c>
      <c r="H2601" s="59"/>
      <c r="I2601" s="5"/>
      <c r="J2601" s="5"/>
      <c r="K2601" s="5"/>
      <c r="L2601" s="59"/>
    </row>
    <row r="2602" customHeight="1" spans="6:12">
      <c r="F2602" s="86">
        <v>42402</v>
      </c>
      <c r="G2602" s="87">
        <v>7455.55</v>
      </c>
      <c r="H2602" s="59"/>
      <c r="I2602" s="5"/>
      <c r="J2602" s="5"/>
      <c r="K2602" s="5"/>
      <c r="L2602" s="59"/>
    </row>
    <row r="2603" customHeight="1" spans="6:12">
      <c r="F2603" s="86">
        <v>42401</v>
      </c>
      <c r="G2603" s="87">
        <v>7555.95</v>
      </c>
      <c r="H2603" s="59"/>
      <c r="I2603" s="5"/>
      <c r="J2603" s="5"/>
      <c r="K2603" s="5"/>
      <c r="L2603" s="59"/>
    </row>
    <row r="2604" customHeight="1" spans="6:12">
      <c r="F2604" s="86">
        <v>42398</v>
      </c>
      <c r="G2604" s="87">
        <v>7563.55</v>
      </c>
      <c r="H2604" s="59"/>
      <c r="I2604" s="5"/>
      <c r="J2604" s="5"/>
      <c r="K2604" s="5"/>
      <c r="L2604" s="59"/>
    </row>
    <row r="2605" customHeight="1" spans="6:12">
      <c r="F2605" s="86">
        <v>42397</v>
      </c>
      <c r="G2605" s="87">
        <v>7424.65</v>
      </c>
      <c r="H2605" s="59"/>
      <c r="I2605" s="5"/>
      <c r="J2605" s="5"/>
      <c r="K2605" s="5"/>
      <c r="L2605" s="59"/>
    </row>
    <row r="2606" customHeight="1" spans="6:12">
      <c r="F2606" s="86">
        <v>42396</v>
      </c>
      <c r="G2606" s="87">
        <v>7437.75</v>
      </c>
      <c r="H2606" s="59"/>
      <c r="I2606" s="5"/>
      <c r="J2606" s="5"/>
      <c r="K2606" s="5"/>
      <c r="L2606" s="59"/>
    </row>
    <row r="2607" customHeight="1" spans="6:12">
      <c r="F2607" s="86">
        <v>42394</v>
      </c>
      <c r="G2607" s="87">
        <v>7436.15</v>
      </c>
      <c r="H2607" s="59"/>
      <c r="I2607" s="5"/>
      <c r="J2607" s="5"/>
      <c r="K2607" s="5"/>
      <c r="L2607" s="59"/>
    </row>
    <row r="2608" customHeight="1" spans="6:12">
      <c r="F2608" s="86">
        <v>42391</v>
      </c>
      <c r="G2608" s="87">
        <v>7422.45</v>
      </c>
      <c r="H2608" s="59"/>
      <c r="I2608" s="5"/>
      <c r="J2608" s="5"/>
      <c r="K2608" s="5"/>
      <c r="L2608" s="59"/>
    </row>
    <row r="2609" customHeight="1" spans="6:12">
      <c r="F2609" s="86">
        <v>42390</v>
      </c>
      <c r="G2609" s="87">
        <v>7276.8</v>
      </c>
      <c r="H2609" s="59"/>
      <c r="I2609" s="5"/>
      <c r="J2609" s="5"/>
      <c r="K2609" s="5"/>
      <c r="L2609" s="59"/>
    </row>
    <row r="2610" customHeight="1" spans="6:12">
      <c r="F2610" s="86">
        <v>42389</v>
      </c>
      <c r="G2610" s="87">
        <v>7309.3</v>
      </c>
      <c r="H2610" s="59"/>
      <c r="I2610" s="5"/>
      <c r="J2610" s="5"/>
      <c r="K2610" s="5"/>
      <c r="L2610" s="59"/>
    </row>
    <row r="2611" customHeight="1" spans="6:12">
      <c r="F2611" s="86">
        <v>42388</v>
      </c>
      <c r="G2611" s="87">
        <v>7435.1</v>
      </c>
      <c r="H2611" s="59"/>
      <c r="I2611" s="5"/>
      <c r="J2611" s="5"/>
      <c r="K2611" s="5"/>
      <c r="L2611" s="59"/>
    </row>
    <row r="2612" customHeight="1" spans="6:12">
      <c r="F2612" s="86">
        <v>42387</v>
      </c>
      <c r="G2612" s="87">
        <v>7351</v>
      </c>
      <c r="H2612" s="59"/>
      <c r="I2612" s="5"/>
      <c r="J2612" s="5"/>
      <c r="K2612" s="5"/>
      <c r="L2612" s="59"/>
    </row>
    <row r="2613" customHeight="1" spans="6:12">
      <c r="F2613" s="86">
        <v>42384</v>
      </c>
      <c r="G2613" s="87">
        <v>7437.8</v>
      </c>
      <c r="H2613" s="59"/>
      <c r="I2613" s="5"/>
      <c r="J2613" s="5"/>
      <c r="K2613" s="5"/>
      <c r="L2613" s="59"/>
    </row>
    <row r="2614" customHeight="1" spans="6:12">
      <c r="F2614" s="86">
        <v>42383</v>
      </c>
      <c r="G2614" s="87">
        <v>7536.8</v>
      </c>
      <c r="H2614" s="59"/>
      <c r="I2614" s="5"/>
      <c r="J2614" s="5"/>
      <c r="K2614" s="5"/>
      <c r="L2614" s="59"/>
    </row>
    <row r="2615" customHeight="1" spans="6:12">
      <c r="F2615" s="86">
        <v>42382</v>
      </c>
      <c r="G2615" s="87">
        <v>7562.4</v>
      </c>
      <c r="H2615" s="59"/>
      <c r="I2615" s="5"/>
      <c r="J2615" s="5"/>
      <c r="K2615" s="5"/>
      <c r="L2615" s="59"/>
    </row>
    <row r="2616" customHeight="1" spans="6:12">
      <c r="F2616" s="86">
        <v>42381</v>
      </c>
      <c r="G2616" s="87">
        <v>7510.3</v>
      </c>
      <c r="H2616" s="59"/>
      <c r="I2616" s="5"/>
      <c r="J2616" s="5"/>
      <c r="K2616" s="5"/>
      <c r="L2616" s="59"/>
    </row>
    <row r="2617" customHeight="1" spans="6:12">
      <c r="F2617" s="86">
        <v>42380</v>
      </c>
      <c r="G2617" s="87">
        <v>7563.85</v>
      </c>
      <c r="H2617" s="59"/>
      <c r="I2617" s="5"/>
      <c r="J2617" s="5"/>
      <c r="K2617" s="5"/>
      <c r="L2617" s="59"/>
    </row>
    <row r="2618" customHeight="1" spans="6:12">
      <c r="F2618" s="86">
        <v>42377</v>
      </c>
      <c r="G2618" s="87">
        <v>7601.35</v>
      </c>
      <c r="H2618" s="59"/>
      <c r="I2618" s="5"/>
      <c r="J2618" s="5"/>
      <c r="K2618" s="5"/>
      <c r="L2618" s="59"/>
    </row>
    <row r="2619" customHeight="1" spans="6:12">
      <c r="F2619" s="86">
        <v>42376</v>
      </c>
      <c r="G2619" s="87">
        <v>7568.3</v>
      </c>
      <c r="H2619" s="59"/>
      <c r="I2619" s="5"/>
      <c r="J2619" s="5"/>
      <c r="K2619" s="5"/>
      <c r="L2619" s="59"/>
    </row>
    <row r="2620" customHeight="1" spans="6:12">
      <c r="F2620" s="86">
        <v>42375</v>
      </c>
      <c r="G2620" s="87">
        <v>7741</v>
      </c>
      <c r="H2620" s="59"/>
      <c r="I2620" s="5"/>
      <c r="J2620" s="5"/>
      <c r="K2620" s="5"/>
      <c r="L2620" s="59"/>
    </row>
    <row r="2621" customHeight="1" spans="6:12">
      <c r="F2621" s="86">
        <v>42374</v>
      </c>
      <c r="G2621" s="87">
        <v>7784.65</v>
      </c>
      <c r="H2621" s="59"/>
      <c r="I2621" s="5"/>
      <c r="J2621" s="5"/>
      <c r="K2621" s="5"/>
      <c r="L2621" s="59"/>
    </row>
    <row r="2622" customHeight="1" spans="6:12">
      <c r="F2622" s="86">
        <v>42373</v>
      </c>
      <c r="G2622" s="87">
        <v>7791.3</v>
      </c>
      <c r="H2622" s="59"/>
      <c r="I2622" s="5"/>
      <c r="J2622" s="5"/>
      <c r="K2622" s="5"/>
      <c r="L2622" s="59"/>
    </row>
    <row r="2623" customHeight="1" spans="6:12">
      <c r="F2623" s="86">
        <v>42370</v>
      </c>
      <c r="G2623" s="87">
        <v>7963.2</v>
      </c>
      <c r="H2623" s="59"/>
      <c r="I2623" s="5"/>
      <c r="J2623" s="5"/>
      <c r="K2623" s="5"/>
      <c r="L2623" s="5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showGridLines="0" zoomScale="94" zoomScaleNormal="94" workbookViewId="0">
      <selection activeCell="M21" sqref="M21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5" width="7.08928571428571" style="1" customWidth="1"/>
    <col min="6" max="6" width="8.75892857142857" style="1" customWidth="1"/>
    <col min="7" max="7" width="2.22321428571429" style="1" customWidth="1"/>
    <col min="8" max="9" width="12" style="1" customWidth="1"/>
    <col min="10" max="14" width="10" style="1" customWidth="1"/>
  </cols>
  <sheetData>
    <row r="1" ht="25.5" customHeight="1" spans="1:18">
      <c r="A1" s="54" t="s">
        <v>0</v>
      </c>
      <c r="B1" s="55"/>
      <c r="C1" s="55"/>
      <c r="D1" s="55"/>
      <c r="E1" s="55"/>
      <c r="F1" s="44"/>
      <c r="G1" s="44"/>
      <c r="H1" s="44"/>
      <c r="I1" s="44"/>
      <c r="J1" s="44"/>
      <c r="K1" s="44"/>
      <c r="L1" s="44"/>
      <c r="M1" s="44"/>
      <c r="N1" s="44"/>
      <c r="O1" s="45"/>
      <c r="P1" s="56"/>
      <c r="Q1" s="56"/>
      <c r="R1" s="56"/>
    </row>
    <row r="2" ht="15" customHeight="1" spans="1:18">
      <c r="A2" s="57" t="s">
        <v>330</v>
      </c>
      <c r="B2" s="55"/>
      <c r="C2" s="55"/>
      <c r="D2" s="55"/>
      <c r="E2" s="55"/>
      <c r="F2" s="44"/>
      <c r="G2" s="44"/>
      <c r="H2" s="44"/>
      <c r="I2" s="44"/>
      <c r="J2" s="44"/>
      <c r="K2" s="44"/>
      <c r="L2" s="44"/>
      <c r="M2" s="44"/>
      <c r="N2" s="44"/>
      <c r="O2" s="45"/>
      <c r="P2" s="56"/>
      <c r="Q2" s="56"/>
      <c r="R2" s="56"/>
    </row>
    <row r="3" ht="15" customHeight="1" spans="1:18">
      <c r="A3" s="58" t="s">
        <v>331</v>
      </c>
      <c r="B3" s="55"/>
      <c r="C3" s="55"/>
      <c r="D3" s="55"/>
      <c r="E3" s="55"/>
      <c r="F3" s="44"/>
      <c r="G3" s="44"/>
      <c r="H3" s="44"/>
      <c r="I3" s="44"/>
      <c r="J3" s="44"/>
      <c r="K3" s="44"/>
      <c r="L3" s="44"/>
      <c r="M3" s="44"/>
      <c r="N3" s="44"/>
      <c r="O3" s="45"/>
      <c r="P3" s="56"/>
      <c r="Q3" s="56"/>
      <c r="R3" s="56"/>
    </row>
    <row r="4" ht="16.5" customHeight="1" spans="1:18">
      <c r="P4" s="59"/>
      <c r="Q4" s="59"/>
      <c r="R4" s="59"/>
    </row>
    <row r="5" ht="15" customHeight="1" spans="1:18">
      <c r="A5" s="46" t="s">
        <v>332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  <c r="P5" s="56"/>
      <c r="Q5" s="56"/>
      <c r="R5" s="56"/>
    </row>
    <row r="6" ht="16.5" customHeight="1" spans="1:18">
      <c r="P6" s="59"/>
      <c r="Q6" s="59"/>
      <c r="R6" s="59"/>
    </row>
    <row r="7" ht="16.5" customHeight="1" spans="1:18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59"/>
      <c r="Q7" s="59"/>
      <c r="R7" s="59"/>
    </row>
    <row r="8" ht="15" customHeight="1" spans="1:18">
      <c r="B8" s="8"/>
      <c r="C8" s="8"/>
      <c r="D8" s="8"/>
      <c r="E8" s="8"/>
      <c r="F8" s="8"/>
      <c r="G8" s="8"/>
      <c r="H8" s="60" t="s">
        <v>223</v>
      </c>
      <c r="I8" s="60" t="s">
        <v>254</v>
      </c>
      <c r="J8" s="60" t="s">
        <v>333</v>
      </c>
      <c r="K8" s="60" t="s">
        <v>333</v>
      </c>
      <c r="L8" s="60" t="s">
        <v>334</v>
      </c>
      <c r="M8" s="60" t="s">
        <v>335</v>
      </c>
      <c r="N8" s="60" t="s">
        <v>336</v>
      </c>
    </row>
    <row r="9" ht="15" customHeight="1" spans="1:18">
      <c r="B9" s="8"/>
      <c r="C9" s="8"/>
      <c r="D9" s="60" t="s">
        <v>337</v>
      </c>
      <c r="E9" s="8"/>
      <c r="F9" s="8"/>
      <c r="G9" s="8"/>
      <c r="H9" s="60" t="s">
        <v>338</v>
      </c>
      <c r="I9" s="60" t="s">
        <v>220</v>
      </c>
      <c r="J9" s="60" t="s">
        <v>223</v>
      </c>
      <c r="K9" s="60" t="s">
        <v>339</v>
      </c>
      <c r="L9" s="60" t="s">
        <v>340</v>
      </c>
      <c r="M9" s="60" t="s">
        <v>341</v>
      </c>
      <c r="N9" s="60" t="s">
        <v>341</v>
      </c>
    </row>
    <row r="10" ht="15" customHeight="1" spans="1:18">
      <c r="B10" s="8"/>
      <c r="C10" s="61"/>
      <c r="D10" s="62" t="s">
        <v>342</v>
      </c>
      <c r="E10" s="61"/>
      <c r="F10" s="61"/>
      <c r="G10" s="61"/>
      <c r="H10" s="63">
        <f>Comps!N8</f>
        <v>62228.64</v>
      </c>
      <c r="I10" s="63">
        <f>Comps!L8</f>
        <v>498</v>
      </c>
      <c r="J10" s="64">
        <f>I10/H10</f>
        <v>0.00800274600248374</v>
      </c>
      <c r="K10" s="64">
        <f>I10/(H10+I10)</f>
        <v>0.00793921051725391</v>
      </c>
      <c r="L10" s="65">
        <v>0.3</v>
      </c>
      <c r="M10" s="66">
        <v>0.55</v>
      </c>
      <c r="N10" s="67">
        <f>M10/(1+J10*(1+K10))</f>
        <v>0.545599044527414</v>
      </c>
      <c r="O10" s="68"/>
    </row>
    <row r="11" ht="15" customHeight="1" spans="1:18">
      <c r="B11" s="8"/>
      <c r="C11" s="8"/>
      <c r="D11" s="69" t="s">
        <v>343</v>
      </c>
      <c r="E11" s="8"/>
      <c r="F11" s="8"/>
      <c r="G11" s="8"/>
      <c r="H11" s="70">
        <f>Comps!N9</f>
        <v>3403.25</v>
      </c>
      <c r="I11" s="70">
        <f>Comps!L9</f>
        <v>527</v>
      </c>
      <c r="J11" s="71">
        <f>I11/H11</f>
        <v>0.154851979725263</v>
      </c>
      <c r="K11" s="71">
        <f>I11/(H11+I11)</f>
        <v>0.134088162330641</v>
      </c>
      <c r="L11" s="72">
        <f>L10</f>
        <v>0.3</v>
      </c>
      <c r="M11" s="73">
        <v>0.7</v>
      </c>
      <c r="N11" s="74">
        <f>M11/(1+J11*(1+K11))</f>
        <v>0.59543262493998</v>
      </c>
    </row>
    <row r="12" ht="15" customHeight="1" spans="1:18">
      <c r="B12" s="8"/>
      <c r="C12" s="8"/>
      <c r="D12" s="69" t="s">
        <v>344</v>
      </c>
      <c r="E12" s="8"/>
      <c r="F12" s="8"/>
      <c r="G12" s="8"/>
      <c r="H12" s="70">
        <f>Comps!N10</f>
        <v>12601.02</v>
      </c>
      <c r="I12" s="70">
        <f>Comps!L10</f>
        <v>47</v>
      </c>
      <c r="J12" s="71">
        <f>I12/H12</f>
        <v>0.00372985678937102</v>
      </c>
      <c r="K12" s="71">
        <f>I12/(H12+I12)</f>
        <v>0.00371599665402174</v>
      </c>
      <c r="L12" s="72">
        <f>L11</f>
        <v>0.3</v>
      </c>
      <c r="M12" s="73">
        <v>0.65</v>
      </c>
      <c r="N12" s="74">
        <f>M12/(1+J12*(1+K12))</f>
        <v>0.647575660041466</v>
      </c>
    </row>
    <row r="13" ht="15" customHeight="1" spans="1:18">
      <c r="B13" s="8"/>
      <c r="C13" s="8"/>
      <c r="D13" s="69" t="s">
        <v>345</v>
      </c>
      <c r="E13" s="8"/>
      <c r="F13" s="8"/>
      <c r="G13" s="8"/>
      <c r="H13" s="70">
        <f>Comps!N11</f>
        <v>38703.96</v>
      </c>
      <c r="I13" s="70">
        <f>Comps!L11</f>
        <v>1361</v>
      </c>
      <c r="J13" s="71">
        <f>I13/H13</f>
        <v>0.0351643604427041</v>
      </c>
      <c r="K13" s="71">
        <f>I13/(H13+I13)</f>
        <v>0.0339698329912223</v>
      </c>
      <c r="L13" s="72">
        <f>L12</f>
        <v>0.3</v>
      </c>
      <c r="M13" s="73">
        <v>0.45</v>
      </c>
      <c r="N13" s="74">
        <f>M13/(1+J13*(1+K13))</f>
        <v>0.434212515815222</v>
      </c>
    </row>
    <row r="14" ht="15" customHeight="1" spans="1:18">
      <c r="B14" s="8"/>
      <c r="C14" s="8"/>
      <c r="D14" s="75" t="s">
        <v>279</v>
      </c>
      <c r="E14" s="11"/>
      <c r="F14" s="11"/>
      <c r="G14" s="11"/>
      <c r="H14" s="11"/>
      <c r="I14" s="11"/>
      <c r="J14" s="76">
        <f>AVERAGE(J10:J13)</f>
        <v>0.0504372357399554</v>
      </c>
      <c r="K14" s="76">
        <f>AVERAGE(K10:K13)</f>
        <v>0.0449283006232846</v>
      </c>
      <c r="L14" s="76">
        <f>AVERAGE(L10:L13)</f>
        <v>0.3</v>
      </c>
      <c r="M14" s="77">
        <f>AVERAGE(M10:M13)</f>
        <v>0.5875</v>
      </c>
      <c r="N14" s="77">
        <f>AVERAGE(N10:N13)</f>
        <v>0.555704961331021</v>
      </c>
    </row>
    <row r="15" ht="15" customHeight="1" spans="1:18">
      <c r="B15" s="8"/>
      <c r="C15" s="8"/>
      <c r="D15" s="75" t="s">
        <v>346</v>
      </c>
      <c r="E15" s="11"/>
      <c r="F15" s="11"/>
      <c r="G15" s="11"/>
      <c r="H15" s="11"/>
      <c r="I15" s="11"/>
      <c r="J15" s="76">
        <f>MEDIAN(J10:J13)</f>
        <v>0.0215835532225939</v>
      </c>
      <c r="K15" s="76">
        <f>MEDIAN(K10:K13)</f>
        <v>0.0209545217542381</v>
      </c>
      <c r="L15" s="76">
        <f>MEDIAN(L10:L13)</f>
        <v>0.3</v>
      </c>
      <c r="M15" s="77">
        <f>MEDIAN(M10:M13)</f>
        <v>0.6</v>
      </c>
      <c r="N15" s="77">
        <f>MEDIAN(N10:N13)</f>
        <v>0.570515834733697</v>
      </c>
    </row>
    <row r="16" ht="16.5" customHeight="1" spans="1:18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" customHeight="1" spans="1:14">
      <c r="B17" s="8"/>
      <c r="C17" s="8"/>
      <c r="D17" s="75" t="s">
        <v>347</v>
      </c>
      <c r="E17" s="11"/>
      <c r="F17" s="11"/>
      <c r="G17" s="11"/>
      <c r="H17" s="78">
        <f>Comps!N16</f>
        <v>110302.43</v>
      </c>
      <c r="I17" s="78">
        <f>Comps!L16</f>
        <v>413</v>
      </c>
      <c r="J17" s="8"/>
      <c r="K17" s="8"/>
      <c r="L17" s="8"/>
      <c r="M17" s="8"/>
      <c r="N17" s="8"/>
    </row>
    <row r="18" ht="16.5" customHeight="1" spans="1:14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5" customHeight="1" spans="1:14">
      <c r="A19" s="44"/>
      <c r="B19" s="11"/>
      <c r="C19" s="11"/>
      <c r="D19" s="6" t="s">
        <v>348</v>
      </c>
      <c r="E19" s="11"/>
      <c r="F19" s="11"/>
      <c r="G19" s="11"/>
      <c r="H19" s="11"/>
      <c r="I19" s="11"/>
      <c r="J19" s="8"/>
      <c r="K19" s="8"/>
      <c r="L19" s="8"/>
      <c r="M19" s="8"/>
      <c r="N19" s="8"/>
    </row>
    <row r="20" ht="16.5" customHeight="1" spans="1:14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5" customHeight="1" spans="1:14">
      <c r="B21" s="79"/>
      <c r="C21" s="75" t="s">
        <v>349</v>
      </c>
      <c r="D21" s="11"/>
      <c r="E21" s="11"/>
      <c r="F21" s="11"/>
      <c r="G21" s="11"/>
      <c r="H21" s="11"/>
      <c r="I21" s="11"/>
      <c r="J21" s="8"/>
      <c r="K21" s="8"/>
      <c r="L21" s="8"/>
      <c r="M21" s="8"/>
      <c r="N21" s="8"/>
    </row>
    <row r="22" ht="16.5" customHeight="1" spans="1:1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5" customHeight="1" spans="1:14">
      <c r="B23" s="8"/>
      <c r="C23" s="8"/>
      <c r="D23" s="62" t="s">
        <v>350</v>
      </c>
      <c r="E23" s="61"/>
      <c r="F23" s="61"/>
      <c r="G23" s="61"/>
      <c r="H23" s="61"/>
      <c r="I23" s="64">
        <f>K14</f>
        <v>0.0449283006232846</v>
      </c>
      <c r="J23" s="8"/>
      <c r="K23" s="8"/>
      <c r="L23" s="8"/>
      <c r="M23" s="8"/>
      <c r="N23" s="8"/>
    </row>
    <row r="24" ht="15" customHeight="1" spans="1:14">
      <c r="B24" s="8"/>
      <c r="C24" s="8"/>
      <c r="D24" s="69" t="s">
        <v>351</v>
      </c>
      <c r="E24" s="8"/>
      <c r="F24" s="8"/>
      <c r="G24" s="8"/>
      <c r="H24" s="8"/>
      <c r="I24" s="71">
        <f>1-I23</f>
        <v>0.955071699376715</v>
      </c>
      <c r="J24" s="8"/>
      <c r="K24" s="8"/>
      <c r="L24" s="8"/>
      <c r="M24" s="8"/>
      <c r="N24" s="8"/>
    </row>
    <row r="25" ht="16.5" customHeight="1" spans="1:14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5" customHeight="1" spans="1:14">
      <c r="B26" s="11"/>
      <c r="C26" s="75" t="s">
        <v>352</v>
      </c>
      <c r="D26" s="11"/>
      <c r="E26" s="11"/>
      <c r="F26" s="11"/>
      <c r="G26" s="11"/>
      <c r="H26" s="11"/>
      <c r="I26" s="11"/>
      <c r="J26" s="8"/>
      <c r="K26" s="8"/>
      <c r="L26" s="8"/>
      <c r="M26" s="8"/>
      <c r="N26" s="8"/>
    </row>
    <row r="27" ht="15" customHeight="1" spans="1:14">
      <c r="B27" s="8"/>
      <c r="C27" s="8"/>
      <c r="D27" s="69" t="s">
        <v>353</v>
      </c>
      <c r="E27" s="8"/>
      <c r="F27" s="8"/>
      <c r="G27" s="8"/>
      <c r="H27" s="8"/>
      <c r="I27" s="80">
        <f>H17</f>
        <v>110302.43</v>
      </c>
      <c r="J27" s="8"/>
      <c r="K27" s="8"/>
      <c r="L27" s="8"/>
      <c r="M27" s="8"/>
      <c r="N27" s="8"/>
    </row>
    <row r="28" ht="15" customHeight="1" spans="1:14">
      <c r="B28" s="8"/>
      <c r="C28" s="8"/>
      <c r="D28" s="69" t="s">
        <v>354</v>
      </c>
      <c r="E28" s="8"/>
      <c r="F28" s="8"/>
      <c r="G28" s="8"/>
      <c r="H28" s="8"/>
      <c r="I28" s="80">
        <f>I17</f>
        <v>413</v>
      </c>
      <c r="J28" s="8"/>
      <c r="K28" s="8"/>
      <c r="L28" s="8"/>
      <c r="M28" s="8"/>
      <c r="N28" s="8"/>
    </row>
    <row r="29" ht="15" customHeight="1" spans="1:14">
      <c r="B29" s="8"/>
      <c r="C29" s="8"/>
      <c r="D29" s="69" t="s">
        <v>355</v>
      </c>
      <c r="E29" s="8"/>
      <c r="F29" s="8"/>
      <c r="G29" s="8"/>
      <c r="H29" s="8"/>
      <c r="I29" s="71">
        <f>I28/I27</f>
        <v>0.00374425114659759</v>
      </c>
      <c r="J29" s="8"/>
      <c r="K29" s="8"/>
      <c r="L29" s="8"/>
      <c r="M29" s="8"/>
      <c r="N29" s="8"/>
    </row>
    <row r="30" ht="16.5" customHeight="1" spans="1:1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5" customHeight="1" spans="1:14">
      <c r="B31" s="11"/>
      <c r="C31" s="75" t="s">
        <v>352</v>
      </c>
      <c r="D31" s="11"/>
      <c r="E31" s="11"/>
      <c r="F31" s="11"/>
      <c r="G31" s="11"/>
      <c r="H31" s="11"/>
      <c r="I31" s="11"/>
      <c r="J31" s="8"/>
      <c r="K31" s="8"/>
      <c r="L31" s="8"/>
      <c r="M31" s="8"/>
      <c r="N31" s="8"/>
    </row>
    <row r="32" ht="15" customHeight="1" spans="1:14">
      <c r="B32" s="8"/>
      <c r="C32" s="8"/>
      <c r="D32" s="69" t="s">
        <v>356</v>
      </c>
      <c r="E32" s="8"/>
      <c r="F32" s="8"/>
      <c r="G32" s="8"/>
      <c r="H32" s="8"/>
      <c r="I32" s="71">
        <f>Model!M11</f>
        <v>0.313392895788283</v>
      </c>
      <c r="J32" s="8"/>
      <c r="K32" s="8"/>
      <c r="L32" s="8"/>
      <c r="M32" s="8"/>
      <c r="N32" s="8"/>
    </row>
    <row r="33" ht="15" customHeight="1" spans="2:14">
      <c r="B33" s="8"/>
      <c r="C33" s="8"/>
      <c r="D33" s="69" t="s">
        <v>266</v>
      </c>
      <c r="E33" s="8"/>
      <c r="F33" s="8"/>
      <c r="G33" s="8"/>
      <c r="H33" s="8"/>
      <c r="I33" s="71">
        <f>Model!M13</f>
        <v>0.217684260516946</v>
      </c>
      <c r="J33" s="8"/>
      <c r="K33" s="8"/>
      <c r="L33" s="8"/>
      <c r="M33" s="8"/>
      <c r="N33" s="8"/>
    </row>
    <row r="34" ht="15" customHeight="1" spans="2:14">
      <c r="B34" s="8"/>
      <c r="C34" s="8"/>
      <c r="D34" s="62" t="s">
        <v>357</v>
      </c>
      <c r="E34" s="61"/>
      <c r="F34" s="61"/>
      <c r="G34" s="61"/>
      <c r="H34" s="61"/>
      <c r="I34" s="64">
        <f>I32*(1-I33)</f>
        <v>0.245172195017346</v>
      </c>
      <c r="J34" s="8"/>
      <c r="K34" s="8"/>
      <c r="L34" s="8"/>
      <c r="M34" s="8"/>
      <c r="N34" s="8"/>
    </row>
    <row r="35" ht="16.5" customHeight="1" spans="2:14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5" customHeight="1" spans="2:14">
      <c r="B36" s="11"/>
      <c r="C36" s="75" t="s">
        <v>358</v>
      </c>
      <c r="D36" s="11"/>
      <c r="E36" s="11"/>
      <c r="F36" s="11"/>
      <c r="G36" s="11"/>
      <c r="H36" s="11"/>
      <c r="I36" s="11"/>
      <c r="J36" s="8"/>
      <c r="K36" s="8"/>
      <c r="L36" s="8"/>
      <c r="M36" s="8"/>
      <c r="N36" s="8"/>
    </row>
    <row r="37" ht="15" customHeight="1" spans="2:14">
      <c r="B37" s="8"/>
      <c r="C37" s="8"/>
      <c r="D37" s="69" t="s">
        <v>359</v>
      </c>
      <c r="E37" s="8"/>
      <c r="F37" s="8"/>
      <c r="G37" s="8"/>
      <c r="H37" s="8"/>
      <c r="I37" s="81">
        <v>0.065</v>
      </c>
      <c r="J37" s="8"/>
      <c r="K37" s="8"/>
      <c r="L37" s="8"/>
      <c r="M37" s="8"/>
      <c r="N37" s="8"/>
    </row>
    <row r="38" ht="15" customHeight="1" spans="2:14">
      <c r="B38" s="8"/>
      <c r="C38" s="8"/>
      <c r="D38" s="69" t="s">
        <v>360</v>
      </c>
      <c r="E38" s="8"/>
      <c r="F38" s="8"/>
      <c r="G38" s="8"/>
      <c r="H38" s="8"/>
      <c r="I38" s="71">
        <f>Market_Data!L9</f>
        <v>0.130388716842143</v>
      </c>
      <c r="J38" s="8"/>
      <c r="K38" s="8"/>
      <c r="L38" s="8"/>
      <c r="M38" s="8"/>
      <c r="N38" s="8"/>
    </row>
    <row r="39" ht="15" customHeight="1" spans="2:14">
      <c r="B39" s="8"/>
      <c r="C39" s="8"/>
      <c r="D39" s="69" t="s">
        <v>361</v>
      </c>
      <c r="E39" s="8"/>
      <c r="F39" s="8"/>
      <c r="G39" s="8"/>
      <c r="H39" s="8"/>
      <c r="I39" s="71">
        <f>I38-I37</f>
        <v>0.0653887168421429</v>
      </c>
      <c r="J39" s="8"/>
      <c r="K39" s="8"/>
      <c r="L39" s="8"/>
      <c r="M39" s="8"/>
      <c r="N39" s="8"/>
    </row>
    <row r="40" ht="15" customHeight="1" spans="2:14">
      <c r="B40" s="8"/>
      <c r="C40" s="8"/>
      <c r="D40" s="69" t="s">
        <v>362</v>
      </c>
      <c r="E40" s="8"/>
      <c r="F40" s="8"/>
      <c r="G40" s="8"/>
      <c r="H40" s="8"/>
      <c r="I40" s="74">
        <f>N15*(1+I29)*(1-I33)</f>
        <v>0.447994664477276</v>
      </c>
      <c r="J40" s="8"/>
      <c r="K40" s="8"/>
      <c r="L40" s="8"/>
      <c r="M40" s="8"/>
      <c r="N40" s="8"/>
    </row>
    <row r="41" ht="15" customHeight="1" spans="2:14">
      <c r="B41" s="8"/>
      <c r="C41" s="8"/>
      <c r="D41" s="62" t="s">
        <v>358</v>
      </c>
      <c r="E41" s="61"/>
      <c r="F41" s="61"/>
      <c r="G41" s="61"/>
      <c r="H41" s="61"/>
      <c r="I41" s="64">
        <f>I37+I40*I39</f>
        <v>0.0942937962622954</v>
      </c>
      <c r="J41" s="8"/>
      <c r="K41" s="8"/>
      <c r="L41" s="8"/>
      <c r="M41" s="8"/>
      <c r="N41" s="8"/>
    </row>
    <row r="42" ht="16.5" customHeight="1" spans="2:14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5" customHeight="1" spans="2:14">
      <c r="B43" s="8"/>
      <c r="C43" s="8"/>
      <c r="D43" s="60" t="s">
        <v>363</v>
      </c>
      <c r="E43" s="8"/>
      <c r="F43" s="8"/>
      <c r="G43" s="8"/>
      <c r="H43" s="8"/>
      <c r="I43" s="82">
        <f>(I23*I34)+(I41*I24)</f>
        <v>0.101072506319122</v>
      </c>
      <c r="J43" s="8"/>
      <c r="K43" s="8"/>
      <c r="L43" s="8"/>
      <c r="M43" s="8"/>
      <c r="N43" s="8"/>
    </row>
    <row r="44" ht="16.5" customHeight="1" spans="2:14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showGridLines="0" workbookViewId="0">
      <selection activeCell="I5" sqref="I5:O5"/>
    </sheetView>
  </sheetViews>
  <sheetFormatPr defaultColWidth="8.67857142857143" defaultRowHeight="16.8"/>
  <cols>
    <col min="1" max="3" width="1.24107142857143" style="1" customWidth="1"/>
    <col min="4" max="4" width="32" style="1" customWidth="1"/>
    <col min="5" max="7" width="3" style="1" customWidth="1"/>
    <col min="8" max="8" width="12" style="1" customWidth="1"/>
    <col min="9" max="10" width="10" style="1" customWidth="1"/>
    <col min="11" max="15" width="12" style="1" customWidth="1"/>
  </cols>
  <sheetData>
    <row r="1" ht="33.75" customHeight="1" spans="1:16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ht="15" customHeight="1" spans="1:16">
      <c r="A2" s="46" t="s">
        <v>364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4" ht="15" customHeight="1" spans="1:16">
      <c r="D4" s="46" t="s">
        <v>365</v>
      </c>
      <c r="E4" s="44"/>
      <c r="F4" s="44"/>
      <c r="G4" s="44"/>
      <c r="H4" s="46" t="s">
        <v>366</v>
      </c>
      <c r="I4" s="46" t="s">
        <v>367</v>
      </c>
      <c r="J4" s="46" t="s">
        <v>368</v>
      </c>
      <c r="K4" s="46" t="s">
        <v>220</v>
      </c>
      <c r="L4" s="46" t="s">
        <v>369</v>
      </c>
      <c r="M4" s="46" t="s">
        <v>370</v>
      </c>
      <c r="N4" s="46" t="s">
        <v>195</v>
      </c>
      <c r="O4" s="46" t="s">
        <v>371</v>
      </c>
    </row>
    <row r="5" ht="15" customHeight="1" spans="1:16">
      <c r="D5" s="47" t="s">
        <v>0</v>
      </c>
      <c r="H5" s="47" t="s">
        <v>372</v>
      </c>
      <c r="I5" s="48">
        <v>1538</v>
      </c>
      <c r="J5" s="48">
        <v>72.735</v>
      </c>
      <c r="K5" s="49">
        <v>413</v>
      </c>
      <c r="L5" s="49">
        <v>1977</v>
      </c>
      <c r="M5" s="49">
        <v>12467</v>
      </c>
      <c r="N5" s="49">
        <v>2286</v>
      </c>
      <c r="O5" s="49">
        <v>1838</v>
      </c>
    </row>
    <row r="6" ht="16.5" customHeight="1" spans="1:16"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ht="15" customHeight="1" spans="1:16">
      <c r="D7" s="47" t="s">
        <v>342</v>
      </c>
      <c r="H7" s="47" t="s">
        <v>373</v>
      </c>
      <c r="I7" s="48">
        <v>4606</v>
      </c>
      <c r="J7" s="48">
        <v>13.44</v>
      </c>
      <c r="K7" s="49">
        <v>498</v>
      </c>
      <c r="L7" s="49">
        <v>174</v>
      </c>
      <c r="M7" s="49">
        <v>6228</v>
      </c>
      <c r="N7" s="49">
        <v>1138</v>
      </c>
      <c r="O7" s="49">
        <v>695</v>
      </c>
    </row>
    <row r="8" ht="15" customHeight="1" spans="1:16">
      <c r="D8" s="47" t="s">
        <v>343</v>
      </c>
      <c r="H8" s="47" t="s">
        <v>374</v>
      </c>
      <c r="I8" s="48">
        <v>915</v>
      </c>
      <c r="J8" s="48">
        <v>3.15</v>
      </c>
      <c r="K8" s="49">
        <v>527</v>
      </c>
      <c r="L8" s="49">
        <v>6</v>
      </c>
      <c r="M8" s="49">
        <v>2710</v>
      </c>
      <c r="N8" s="49">
        <v>256</v>
      </c>
      <c r="O8" s="49">
        <v>91</v>
      </c>
    </row>
    <row r="9" ht="15" customHeight="1" spans="1:16">
      <c r="D9" s="47" t="s">
        <v>344</v>
      </c>
      <c r="H9" s="47" t="s">
        <v>375</v>
      </c>
      <c r="I9" s="48">
        <v>454</v>
      </c>
      <c r="J9" s="48">
        <v>30.13</v>
      </c>
      <c r="K9" s="49">
        <v>47</v>
      </c>
      <c r="L9" s="49">
        <v>1125</v>
      </c>
      <c r="M9" s="49">
        <v>3016</v>
      </c>
      <c r="N9" s="49">
        <v>452</v>
      </c>
      <c r="O9" s="49">
        <v>-36</v>
      </c>
    </row>
    <row r="10" ht="15" customHeight="1" spans="1:16">
      <c r="D10" s="47" t="s">
        <v>345</v>
      </c>
      <c r="H10" s="47" t="s">
        <v>376</v>
      </c>
      <c r="I10" s="48">
        <v>1434</v>
      </c>
      <c r="J10" s="48">
        <v>26.44</v>
      </c>
      <c r="K10" s="49">
        <v>1361</v>
      </c>
      <c r="L10" s="49">
        <v>572</v>
      </c>
      <c r="M10" s="49">
        <v>9442</v>
      </c>
      <c r="N10" s="49">
        <v>906</v>
      </c>
      <c r="O10" s="49">
        <v>396</v>
      </c>
    </row>
    <row r="12" ht="16.5" customHeight="1" spans="1:16">
      <c r="D12" s="51" t="s">
        <v>377</v>
      </c>
    </row>
    <row r="13" ht="15" customHeight="1" spans="1:16">
      <c r="C13" s="52"/>
      <c r="D13" s="53"/>
      <c r="E13" s="53"/>
      <c r="F13" s="53"/>
      <c r="G13" s="53"/>
      <c r="H13" s="53"/>
      <c r="I13" s="53"/>
      <c r="J13" s="53"/>
      <c r="K13" s="5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"/>
  <sheetViews>
    <sheetView showGridLines="0" zoomScale="78" zoomScaleNormal="78" workbookViewId="0">
      <selection activeCell="H20" sqref="H20"/>
    </sheetView>
  </sheetViews>
  <sheetFormatPr defaultColWidth="8.67857142857143" defaultRowHeight="17.6"/>
  <cols>
    <col min="1" max="3" width="1.24107142857143" style="22" customWidth="1"/>
    <col min="4" max="4" width="32" style="22" customWidth="1"/>
    <col min="5" max="5" width="8.07142857142857" style="22" customWidth="1"/>
    <col min="6" max="6" width="14.5714285714286" style="22" customWidth="1"/>
    <col min="7" max="7" width="2.64285714285714" style="22" customWidth="1"/>
    <col min="8" max="8" width="12.3571428571429" style="22" customWidth="1"/>
    <col min="9" max="9" width="10" style="22" customWidth="1"/>
    <col min="10" max="13" width="12" style="22" customWidth="1"/>
    <col min="14" max="14" width="11.4285714285714" style="22" customWidth="1"/>
    <col min="15" max="17" width="12" style="22" customWidth="1"/>
    <col min="18" max="18" width="9.92857142857143" style="22" customWidth="1"/>
    <col min="19" max="21" width="12" style="22" customWidth="1"/>
    <col min="22" max="22" width="9.28571428571429" style="23" customWidth="1"/>
    <col min="23" max="16384" width="8.67857142857143" style="23"/>
  </cols>
  <sheetData>
    <row r="1" ht="33.75" customHeight="1" spans="1:24">
      <c r="A1" s="2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25"/>
      <c r="W1" s="26"/>
      <c r="X1" s="26"/>
    </row>
    <row r="2" ht="15" customHeight="1" spans="1:24">
      <c r="A2" s="27" t="s">
        <v>378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25"/>
      <c r="W2" s="26"/>
      <c r="X2" s="26"/>
    </row>
    <row r="3" ht="17.25" customHeight="1" spans="1:24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6"/>
      <c r="W3" s="26"/>
      <c r="X3" s="26"/>
    </row>
    <row r="4" ht="17.25" customHeight="1" spans="1:2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6"/>
      <c r="W4" s="26"/>
      <c r="X4" s="26"/>
    </row>
    <row r="5" ht="15" customHeight="1" spans="1:24">
      <c r="A5" s="28"/>
      <c r="B5" s="28"/>
      <c r="C5" s="28"/>
      <c r="D5" s="29"/>
      <c r="E5" s="29"/>
      <c r="F5" s="29"/>
      <c r="G5" s="29"/>
      <c r="H5" s="29"/>
      <c r="I5" s="30" t="s">
        <v>325</v>
      </c>
      <c r="J5" s="30"/>
      <c r="K5" s="30"/>
      <c r="L5" s="30"/>
      <c r="M5" s="30"/>
      <c r="N5" s="30"/>
      <c r="O5" s="29"/>
      <c r="P5" s="31" t="s">
        <v>379</v>
      </c>
      <c r="Q5" s="31"/>
      <c r="R5" s="31"/>
      <c r="S5" s="29"/>
      <c r="T5" s="31" t="s">
        <v>380</v>
      </c>
      <c r="U5" s="31"/>
      <c r="V5" s="31"/>
      <c r="W5" s="26"/>
      <c r="X5" s="26"/>
    </row>
    <row r="6" ht="15" customHeight="1" spans="1:24">
      <c r="A6" s="28"/>
      <c r="B6" s="28"/>
      <c r="C6" s="28"/>
      <c r="D6" s="29"/>
      <c r="E6" s="29"/>
      <c r="F6" s="29"/>
      <c r="G6" s="29"/>
      <c r="H6" s="29"/>
      <c r="I6" s="32" t="s">
        <v>367</v>
      </c>
      <c r="J6" s="32" t="s">
        <v>368</v>
      </c>
      <c r="K6" s="32" t="s">
        <v>353</v>
      </c>
      <c r="L6" s="32" t="s">
        <v>220</v>
      </c>
      <c r="M6" s="32" t="s">
        <v>369</v>
      </c>
      <c r="N6" s="32" t="s">
        <v>381</v>
      </c>
      <c r="O6" s="29"/>
      <c r="P6" s="33" t="s">
        <v>370</v>
      </c>
      <c r="Q6" s="33" t="s">
        <v>195</v>
      </c>
      <c r="R6" s="33" t="s">
        <v>382</v>
      </c>
      <c r="S6" s="29"/>
      <c r="T6" s="33" t="s">
        <v>383</v>
      </c>
      <c r="U6" s="33" t="s">
        <v>267</v>
      </c>
      <c r="V6" s="33" t="s">
        <v>384</v>
      </c>
      <c r="W6" s="26"/>
      <c r="X6" s="26"/>
    </row>
    <row r="7" ht="15" customHeight="1" spans="1:24">
      <c r="A7" s="28"/>
      <c r="B7" s="28"/>
      <c r="C7" s="28"/>
      <c r="D7" s="32" t="s">
        <v>337</v>
      </c>
      <c r="E7" s="29"/>
      <c r="F7" s="32" t="s">
        <v>366</v>
      </c>
      <c r="G7" s="32"/>
      <c r="H7" s="29"/>
      <c r="I7" s="32" t="s">
        <v>385</v>
      </c>
      <c r="J7" s="32" t="s">
        <v>386</v>
      </c>
      <c r="K7" s="34" t="s">
        <v>387</v>
      </c>
      <c r="L7" s="29"/>
      <c r="M7" s="32" t="s">
        <v>388</v>
      </c>
      <c r="N7" s="34" t="s">
        <v>387</v>
      </c>
      <c r="O7" s="29"/>
      <c r="P7" s="34" t="s">
        <v>387</v>
      </c>
      <c r="Q7" s="34" t="s">
        <v>387</v>
      </c>
      <c r="R7" s="34" t="s">
        <v>387</v>
      </c>
      <c r="S7" s="29"/>
      <c r="T7" s="32" t="s">
        <v>389</v>
      </c>
      <c r="U7" s="32" t="s">
        <v>389</v>
      </c>
      <c r="V7" s="32" t="s">
        <v>389</v>
      </c>
      <c r="W7" s="26"/>
      <c r="X7" s="26"/>
    </row>
    <row r="8" ht="15" customHeight="1" spans="1:24">
      <c r="A8" s="28"/>
      <c r="B8" s="28"/>
      <c r="C8" s="28"/>
      <c r="D8" s="35" t="s">
        <v>342</v>
      </c>
      <c r="E8" s="28"/>
      <c r="F8" s="35" t="s">
        <v>373</v>
      </c>
      <c r="G8" s="35"/>
      <c r="H8" s="28"/>
      <c r="I8" s="36">
        <f>Comps_Data!I7</f>
        <v>4606</v>
      </c>
      <c r="J8" s="36">
        <f>Comps_Data!J7</f>
        <v>13.44</v>
      </c>
      <c r="K8" s="37">
        <f>I8*J8</f>
        <v>61904.64</v>
      </c>
      <c r="L8" s="37">
        <f>Comps_Data!K7</f>
        <v>498</v>
      </c>
      <c r="M8" s="37">
        <f>Comps_Data!L7</f>
        <v>174</v>
      </c>
      <c r="N8" s="37">
        <f>K8+L8-M8</f>
        <v>62228.64</v>
      </c>
      <c r="O8" s="28"/>
      <c r="P8" s="37">
        <f>Comps_Data!M7</f>
        <v>6228</v>
      </c>
      <c r="Q8" s="37">
        <f>Comps_Data!N7</f>
        <v>1138</v>
      </c>
      <c r="R8" s="37">
        <f>Comps_Data!O7</f>
        <v>695</v>
      </c>
      <c r="S8" s="28"/>
      <c r="T8" s="38">
        <f>N8/P8</f>
        <v>9.99175337186898</v>
      </c>
      <c r="U8" s="38">
        <f>N8/Q8</f>
        <v>54.682460456942</v>
      </c>
      <c r="V8" s="38">
        <f>K8/R8</f>
        <v>89.0714244604317</v>
      </c>
      <c r="W8" s="26"/>
      <c r="X8" s="26"/>
    </row>
    <row r="9" ht="15" customHeight="1" spans="1:24">
      <c r="A9" s="28"/>
      <c r="B9" s="28"/>
      <c r="C9" s="28"/>
      <c r="D9" s="35" t="s">
        <v>343</v>
      </c>
      <c r="E9" s="28"/>
      <c r="F9" s="35" t="s">
        <v>374</v>
      </c>
      <c r="G9" s="35"/>
      <c r="H9" s="28"/>
      <c r="I9" s="36">
        <f>Comps_Data!I8</f>
        <v>915</v>
      </c>
      <c r="J9" s="36">
        <f>Comps_Data!J8</f>
        <v>3.15</v>
      </c>
      <c r="K9" s="37">
        <f>I9*J9</f>
        <v>2882.25</v>
      </c>
      <c r="L9" s="37">
        <f>Comps_Data!K8</f>
        <v>527</v>
      </c>
      <c r="M9" s="37">
        <f>Comps_Data!L8</f>
        <v>6</v>
      </c>
      <c r="N9" s="37">
        <f>K9+L9-M9</f>
        <v>3403.25</v>
      </c>
      <c r="O9" s="28"/>
      <c r="P9" s="37">
        <f>Comps_Data!M8</f>
        <v>2710</v>
      </c>
      <c r="Q9" s="37">
        <f>Comps_Data!N8</f>
        <v>256</v>
      </c>
      <c r="R9" s="37">
        <f>Comps_Data!O8</f>
        <v>91</v>
      </c>
      <c r="S9" s="28"/>
      <c r="T9" s="38">
        <f>N9/P9</f>
        <v>1.25581180811808</v>
      </c>
      <c r="U9" s="38">
        <f>N9/Q9</f>
        <v>13.2939453125</v>
      </c>
      <c r="V9" s="38">
        <f>K9/R9</f>
        <v>31.6730769230769</v>
      </c>
      <c r="W9" s="26"/>
      <c r="X9" s="26"/>
    </row>
    <row r="10" ht="15" customHeight="1" spans="1:24">
      <c r="A10" s="28"/>
      <c r="B10" s="28"/>
      <c r="C10" s="28"/>
      <c r="D10" s="35" t="s">
        <v>344</v>
      </c>
      <c r="E10" s="28"/>
      <c r="F10" s="35" t="s">
        <v>375</v>
      </c>
      <c r="G10" s="35"/>
      <c r="H10" s="28"/>
      <c r="I10" s="36">
        <f>Comps_Data!I9</f>
        <v>454</v>
      </c>
      <c r="J10" s="36">
        <f>Comps_Data!J9</f>
        <v>30.13</v>
      </c>
      <c r="K10" s="37">
        <f>I10*J10</f>
        <v>13679.02</v>
      </c>
      <c r="L10" s="37">
        <f>Comps_Data!K9</f>
        <v>47</v>
      </c>
      <c r="M10" s="37">
        <f>Comps_Data!L9</f>
        <v>1125</v>
      </c>
      <c r="N10" s="37">
        <f>K10+L10-M10</f>
        <v>12601.02</v>
      </c>
      <c r="O10" s="28"/>
      <c r="P10" s="37">
        <f>Comps_Data!M9</f>
        <v>3016</v>
      </c>
      <c r="Q10" s="37">
        <f>Comps_Data!N9</f>
        <v>452</v>
      </c>
      <c r="R10" s="37">
        <f>Comps_Data!O9</f>
        <v>-36</v>
      </c>
      <c r="S10" s="28"/>
      <c r="T10" s="38">
        <f>N10/P10</f>
        <v>4.17805702917772</v>
      </c>
      <c r="U10" s="38">
        <f>N10/Q10</f>
        <v>27.8783628318584</v>
      </c>
      <c r="V10" s="38">
        <f>K10/R10</f>
        <v>-379.972777777778</v>
      </c>
      <c r="W10" s="26"/>
      <c r="X10" s="26"/>
    </row>
    <row r="11" ht="15" customHeight="1" spans="1:24">
      <c r="A11" s="28"/>
      <c r="B11" s="28"/>
      <c r="C11" s="28"/>
      <c r="D11" s="35" t="s">
        <v>345</v>
      </c>
      <c r="E11" s="28"/>
      <c r="F11" s="35" t="s">
        <v>376</v>
      </c>
      <c r="G11" s="35"/>
      <c r="H11" s="28"/>
      <c r="I11" s="36">
        <f>Comps_Data!I10</f>
        <v>1434</v>
      </c>
      <c r="J11" s="36">
        <f>Comps_Data!J10</f>
        <v>26.44</v>
      </c>
      <c r="K11" s="37">
        <f>I11*J11</f>
        <v>37914.96</v>
      </c>
      <c r="L11" s="37">
        <f>Comps_Data!K10</f>
        <v>1361</v>
      </c>
      <c r="M11" s="37">
        <f>Comps_Data!L10</f>
        <v>572</v>
      </c>
      <c r="N11" s="37">
        <f>K11+L11-M11</f>
        <v>38703.96</v>
      </c>
      <c r="O11" s="28"/>
      <c r="P11" s="37">
        <f>Comps_Data!M10</f>
        <v>9442</v>
      </c>
      <c r="Q11" s="37">
        <f>Comps_Data!N10</f>
        <v>906</v>
      </c>
      <c r="R11" s="37">
        <f>Comps_Data!O10</f>
        <v>396</v>
      </c>
      <c r="S11" s="28"/>
      <c r="T11" s="38">
        <f>N11/P11</f>
        <v>4.09912730353739</v>
      </c>
      <c r="U11" s="38">
        <f>N11/Q11</f>
        <v>42.7196026490066</v>
      </c>
      <c r="V11" s="38">
        <f>K11/R11</f>
        <v>95.7448484848485</v>
      </c>
      <c r="W11" s="26"/>
      <c r="X11" s="26"/>
    </row>
    <row r="12" ht="17.25" customHeight="1" spans="1:2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6"/>
      <c r="W12" s="26"/>
      <c r="X12" s="26"/>
    </row>
    <row r="13" ht="15" customHeight="1" spans="1:24">
      <c r="A13" s="28"/>
      <c r="B13" s="28"/>
      <c r="C13" s="28"/>
      <c r="D13" s="39" t="s">
        <v>279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>
        <f>AVERAGE(T8:T11)</f>
        <v>4.88118737817554</v>
      </c>
      <c r="U13" s="41">
        <f>AVERAGE(U8:U11)</f>
        <v>34.6435928125768</v>
      </c>
      <c r="V13" s="41">
        <f>AVERAGE(V8:V11)</f>
        <v>-40.8708569773552</v>
      </c>
      <c r="W13" s="26"/>
      <c r="X13" s="26"/>
    </row>
    <row r="14" ht="15" customHeight="1" spans="1:24">
      <c r="A14" s="28"/>
      <c r="B14" s="28"/>
      <c r="C14" s="28"/>
      <c r="D14" s="39" t="s">
        <v>346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>
        <f>MEDIAN(T8:T11)</f>
        <v>4.13859216635755</v>
      </c>
      <c r="U14" s="41">
        <f>MEDIAN(U8:U11)</f>
        <v>35.2989827404325</v>
      </c>
      <c r="V14" s="41">
        <f>MEDIAN(V8:V11)</f>
        <v>60.3722506917543</v>
      </c>
      <c r="W14" s="26"/>
      <c r="X14" s="26"/>
    </row>
    <row r="15" ht="17.25" customHeight="1" spans="1:24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6"/>
      <c r="W15" s="26"/>
      <c r="X15" s="26"/>
    </row>
    <row r="16" ht="15" customHeight="1" spans="1:24">
      <c r="A16" s="28"/>
      <c r="B16" s="28"/>
      <c r="C16" s="28"/>
      <c r="D16" s="35" t="s">
        <v>0</v>
      </c>
      <c r="E16" s="28"/>
      <c r="F16" s="28"/>
      <c r="G16" s="28"/>
      <c r="H16" s="35" t="s">
        <v>372</v>
      </c>
      <c r="I16" s="36">
        <f>Comps_Data!I5</f>
        <v>1538</v>
      </c>
      <c r="J16" s="36">
        <f>Comps_Data!J5</f>
        <v>72.735</v>
      </c>
      <c r="K16" s="37">
        <f>I16*J16</f>
        <v>111866.43</v>
      </c>
      <c r="L16" s="37">
        <f>Comps_Data!K5</f>
        <v>413</v>
      </c>
      <c r="M16" s="37">
        <f>Comps_Data!L5</f>
        <v>1977</v>
      </c>
      <c r="N16" s="37">
        <f>K16+L16-M16</f>
        <v>110302.43</v>
      </c>
      <c r="O16" s="28"/>
      <c r="P16" s="37">
        <f>Comps_Data!M5</f>
        <v>12467</v>
      </c>
      <c r="Q16" s="37">
        <f>Comps_Data!N5</f>
        <v>2286</v>
      </c>
      <c r="R16" s="37">
        <f>Comps_Data!O5</f>
        <v>1838</v>
      </c>
      <c r="S16" s="28"/>
      <c r="T16" s="28"/>
      <c r="U16" s="28"/>
      <c r="V16" s="26"/>
      <c r="W16" s="26"/>
      <c r="X16" s="26"/>
    </row>
    <row r="17" ht="17.25" customHeight="1" spans="1:24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6"/>
      <c r="W17" s="26"/>
      <c r="X17" s="26"/>
    </row>
    <row r="18" ht="15" customHeight="1" spans="1:24">
      <c r="A18" s="28"/>
      <c r="B18" s="28"/>
      <c r="C18" s="28"/>
      <c r="D18" s="27" t="s">
        <v>390</v>
      </c>
      <c r="E18" s="27" t="s">
        <v>391</v>
      </c>
      <c r="F18" s="7"/>
      <c r="G18" s="7"/>
      <c r="H18" s="27" t="s">
        <v>381</v>
      </c>
      <c r="I18" s="27" t="s">
        <v>392</v>
      </c>
      <c r="J18" s="27" t="s">
        <v>295</v>
      </c>
      <c r="K18" s="27" t="s">
        <v>368</v>
      </c>
      <c r="L18" s="27" t="s">
        <v>393</v>
      </c>
      <c r="M18" s="28"/>
      <c r="N18" s="28"/>
      <c r="O18" s="28"/>
      <c r="P18" s="28"/>
      <c r="Q18" s="28"/>
      <c r="R18" s="28"/>
      <c r="S18" s="28"/>
      <c r="T18" s="28"/>
      <c r="U18" s="28"/>
      <c r="V18" s="26"/>
      <c r="W18" s="26"/>
      <c r="X18" s="26"/>
    </row>
    <row r="19" ht="15" customHeight="1" spans="1:24">
      <c r="A19" s="28"/>
      <c r="B19" s="28"/>
      <c r="C19" s="28"/>
      <c r="D19" s="35" t="s">
        <v>394</v>
      </c>
      <c r="E19" s="38">
        <f>T14</f>
        <v>4.13859216635755</v>
      </c>
      <c r="F19" s="28"/>
      <c r="G19" s="28"/>
      <c r="H19" s="37">
        <f>E19*P16</f>
        <v>51595.8285379796</v>
      </c>
      <c r="I19" s="37">
        <f>$L$16-$M$16</f>
        <v>-1564</v>
      </c>
      <c r="J19" s="37">
        <f>H19-I19</f>
        <v>53159.8285379796</v>
      </c>
      <c r="K19" s="36">
        <f>J16</f>
        <v>72.735</v>
      </c>
      <c r="L19" s="36">
        <f>J19/K19</f>
        <v>730.869987461052</v>
      </c>
      <c r="M19" s="28"/>
      <c r="N19" s="28"/>
      <c r="O19" s="28"/>
      <c r="P19" s="28"/>
      <c r="Q19" s="28"/>
      <c r="R19" s="28"/>
      <c r="S19" s="28"/>
      <c r="T19" s="28"/>
      <c r="U19" s="28"/>
      <c r="V19" s="26"/>
      <c r="W19" s="26"/>
      <c r="X19" s="26"/>
    </row>
    <row r="20" ht="15" customHeight="1" spans="1:24">
      <c r="A20" s="28"/>
      <c r="B20" s="28"/>
      <c r="C20" s="28"/>
      <c r="D20" s="35" t="s">
        <v>267</v>
      </c>
      <c r="E20" s="38">
        <f>U14</f>
        <v>35.2989827404325</v>
      </c>
      <c r="F20" s="28"/>
      <c r="G20" s="28"/>
      <c r="H20" s="37">
        <f>E20*Q16</f>
        <v>80693.4745446287</v>
      </c>
      <c r="I20" s="37">
        <f>$L$16-$M$16</f>
        <v>-1564</v>
      </c>
      <c r="J20" s="37">
        <f>H20-I20</f>
        <v>82257.4745446287</v>
      </c>
      <c r="K20" s="36">
        <f>K19</f>
        <v>72.735</v>
      </c>
      <c r="L20" s="36">
        <f>J20/K20</f>
        <v>1130.92011472646</v>
      </c>
      <c r="M20" s="28"/>
      <c r="N20" s="28"/>
      <c r="O20" s="28"/>
      <c r="P20" s="28"/>
      <c r="Q20" s="28"/>
      <c r="R20" s="28"/>
      <c r="S20" s="28"/>
      <c r="T20" s="28"/>
      <c r="U20" s="28"/>
      <c r="V20" s="26"/>
      <c r="W20" s="26"/>
      <c r="X20" s="26"/>
    </row>
    <row r="21" ht="15" customHeight="1" spans="1:24">
      <c r="A21" s="28"/>
      <c r="B21" s="28"/>
      <c r="C21" s="28"/>
      <c r="D21" s="35" t="s">
        <v>395</v>
      </c>
      <c r="E21" s="38">
        <f>V14</f>
        <v>60.3722506917543</v>
      </c>
      <c r="F21" s="28"/>
      <c r="G21" s="28"/>
      <c r="H21" s="37">
        <f>E21*R16</f>
        <v>110964.196771444</v>
      </c>
      <c r="I21" s="37">
        <f>$L$16-$M$16</f>
        <v>-1564</v>
      </c>
      <c r="J21" s="37">
        <f>H21-I21</f>
        <v>112528.196771444</v>
      </c>
      <c r="K21" s="36">
        <f>K20</f>
        <v>72.735</v>
      </c>
      <c r="L21" s="36">
        <f>J21/K21</f>
        <v>1547.09832641018</v>
      </c>
      <c r="M21" s="28"/>
      <c r="N21" s="28"/>
      <c r="O21" s="28"/>
      <c r="P21" s="28"/>
      <c r="Q21" s="28"/>
      <c r="R21" s="28"/>
      <c r="S21" s="28"/>
      <c r="T21" s="28"/>
      <c r="U21" s="28"/>
      <c r="V21" s="26"/>
      <c r="W21" s="26"/>
      <c r="X21" s="26"/>
    </row>
    <row r="22" ht="17.25" customHeight="1" spans="1:24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6"/>
      <c r="W22" s="26"/>
      <c r="X22" s="26"/>
    </row>
    <row r="23" ht="17.25" customHeight="1" spans="1:24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6"/>
      <c r="W23" s="26"/>
      <c r="X23" s="26"/>
    </row>
    <row r="24" ht="17.25" customHeight="1" spans="1: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42"/>
      <c r="N24" s="28"/>
      <c r="O24" s="28"/>
      <c r="P24" s="28"/>
      <c r="Q24" s="28"/>
      <c r="R24" s="28"/>
      <c r="S24" s="28"/>
      <c r="T24" s="28"/>
      <c r="U24" s="28"/>
      <c r="V24" s="26"/>
      <c r="W24" s="26"/>
      <c r="X24" s="26"/>
    </row>
    <row r="25" ht="17.25" customHeight="1" spans="1:2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6"/>
      <c r="W25" s="26"/>
      <c r="X25" s="26"/>
    </row>
    <row r="26" ht="17.25" customHeight="1" spans="1:2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6"/>
      <c r="W26" s="26"/>
      <c r="X26" s="26"/>
    </row>
    <row r="27" ht="17.25" customHeight="1" spans="1:2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6"/>
      <c r="W27" s="26"/>
      <c r="X27" s="26"/>
    </row>
    <row r="28" ht="17.25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6"/>
      <c r="W28" s="26"/>
      <c r="X28" s="26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showGridLines="0" workbookViewId="0">
      <selection activeCell="B7" sqref="B7"/>
    </sheetView>
  </sheetViews>
  <sheetFormatPr defaultColWidth="8.67857142857143" defaultRowHeight="16.8"/>
  <cols>
    <col min="1" max="3" width="1.24107142857143" style="1" customWidth="1"/>
    <col min="4" max="4" width="32" style="1" customWidth="1"/>
    <col min="5" max="12" width="12.6428571428571" style="1" customWidth="1"/>
  </cols>
  <sheetData>
    <row r="1" ht="33.75" customHeight="1" spans="1:19">
      <c r="A1" s="2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</row>
    <row r="2" ht="15" customHeight="1" spans="1:19">
      <c r="A2" s="6" t="s">
        <v>396</v>
      </c>
      <c r="B2" s="7"/>
      <c r="C2" s="7"/>
      <c r="D2" s="7"/>
      <c r="E2" s="7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</row>
    <row r="3" ht="16.5" customHeight="1" spans="1:19">
      <c r="A3" s="8"/>
      <c r="B3" s="8"/>
      <c r="C3" s="8"/>
      <c r="D3" s="8"/>
      <c r="E3" s="8"/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5" customHeight="1" spans="1:19">
      <c r="A4" s="8"/>
      <c r="B4" s="8"/>
      <c r="C4" s="8"/>
      <c r="D4" s="8"/>
      <c r="E4" s="8"/>
      <c r="F4" s="8"/>
      <c r="G4" s="8"/>
      <c r="H4" s="8"/>
      <c r="I4" s="5"/>
      <c r="J4" s="5"/>
      <c r="K4" s="5"/>
      <c r="L4" s="9"/>
      <c r="M4" s="9"/>
      <c r="N4" s="5"/>
      <c r="O4" s="5"/>
      <c r="P4" s="5"/>
      <c r="Q4" s="5"/>
      <c r="R4" s="5"/>
      <c r="S4" s="5"/>
    </row>
    <row r="5" ht="15" customHeight="1" spans="1:19">
      <c r="A5" s="10" t="s">
        <v>397</v>
      </c>
      <c r="B5" s="11"/>
      <c r="C5" s="11"/>
      <c r="D5" s="11"/>
      <c r="E5" s="11"/>
      <c r="F5" s="11"/>
      <c r="G5" s="11"/>
      <c r="H5" s="11"/>
      <c r="I5" s="12"/>
      <c r="J5" s="12"/>
      <c r="K5" s="12"/>
      <c r="L5" s="13"/>
      <c r="M5" s="13"/>
      <c r="N5" s="12"/>
      <c r="O5" s="12"/>
      <c r="P5" s="12"/>
      <c r="Q5" s="5"/>
      <c r="R5" s="5"/>
      <c r="S5" s="5"/>
    </row>
    <row r="6" ht="15" customHeight="1" spans="1:19">
      <c r="A6" s="8"/>
      <c r="B6" s="8"/>
      <c r="C6" s="8"/>
      <c r="D6" s="8"/>
      <c r="E6" s="8"/>
      <c r="F6" s="8"/>
      <c r="G6" s="14"/>
      <c r="H6" s="14"/>
      <c r="I6" s="5"/>
      <c r="J6" s="5"/>
      <c r="K6" s="5"/>
      <c r="L6" s="9"/>
      <c r="M6" s="9"/>
      <c r="N6" s="5"/>
      <c r="O6" s="5"/>
      <c r="P6" s="5"/>
      <c r="Q6" s="5"/>
      <c r="R6" s="5"/>
      <c r="S6" s="5"/>
    </row>
    <row r="7" ht="15" customHeight="1" spans="1:19">
      <c r="A7" s="8"/>
      <c r="B7" s="8"/>
      <c r="C7" s="8"/>
      <c r="D7" s="8"/>
      <c r="E7" s="8"/>
      <c r="F7" s="15" t="s">
        <v>391</v>
      </c>
      <c r="G7" s="15" t="s">
        <v>398</v>
      </c>
      <c r="H7" s="16" t="s">
        <v>399</v>
      </c>
      <c r="I7" s="16" t="s">
        <v>400</v>
      </c>
      <c r="J7" s="5"/>
      <c r="K7" s="5"/>
      <c r="L7" s="9"/>
      <c r="M7" s="9"/>
      <c r="N7" s="5"/>
      <c r="O7" s="5"/>
      <c r="P7" s="5"/>
      <c r="Q7" s="5"/>
      <c r="R7" s="5"/>
      <c r="S7" s="5"/>
    </row>
    <row r="8" ht="15" customHeight="1" spans="1:19">
      <c r="A8" s="8"/>
      <c r="B8" s="8"/>
      <c r="C8" s="8"/>
      <c r="D8" s="8" t="s">
        <v>401</v>
      </c>
      <c r="E8" s="8"/>
      <c r="F8" s="17">
        <f>F9</f>
        <v>1547.09832641018</v>
      </c>
      <c r="G8" s="17">
        <f>G9</f>
        <v>711.48</v>
      </c>
      <c r="H8" s="17">
        <f>H9</f>
        <v>1210.8</v>
      </c>
      <c r="I8" s="18">
        <f>I9</f>
        <v>1468.2</v>
      </c>
      <c r="J8" s="5"/>
      <c r="K8" s="5"/>
      <c r="L8" s="9"/>
      <c r="M8" s="9"/>
      <c r="N8" s="5"/>
      <c r="O8" s="5"/>
      <c r="P8" s="5"/>
      <c r="Q8" s="5"/>
      <c r="R8" s="5"/>
      <c r="S8" s="5"/>
    </row>
    <row r="9" ht="16.5" customHeight="1" spans="1:19">
      <c r="A9" s="8"/>
      <c r="B9" s="8"/>
      <c r="C9" s="8"/>
      <c r="D9" s="8" t="s">
        <v>401</v>
      </c>
      <c r="E9" s="8"/>
      <c r="F9" s="17">
        <f>Comps!L21</f>
        <v>1547.09832641018</v>
      </c>
      <c r="G9" s="17">
        <v>711.48</v>
      </c>
      <c r="H9" s="17">
        <v>1210.8</v>
      </c>
      <c r="I9" s="18">
        <v>1468.2</v>
      </c>
      <c r="J9" s="19" t="s">
        <v>402</v>
      </c>
      <c r="K9" s="19"/>
      <c r="L9" s="9"/>
      <c r="M9" s="9"/>
      <c r="N9" s="5"/>
      <c r="O9" s="5"/>
      <c r="P9" s="5"/>
      <c r="Q9" s="5"/>
      <c r="R9" s="5"/>
      <c r="S9" s="5"/>
    </row>
    <row r="10" ht="15" customHeight="1" spans="1:19">
      <c r="A10" s="8"/>
      <c r="B10" s="8"/>
      <c r="C10" s="8"/>
      <c r="D10" s="8" t="s">
        <v>403</v>
      </c>
      <c r="E10" s="8"/>
      <c r="F10" s="17">
        <f>Comps!L19</f>
        <v>730.869987461052</v>
      </c>
      <c r="G10" s="17">
        <v>393.47</v>
      </c>
      <c r="H10" s="17">
        <v>1563.4</v>
      </c>
      <c r="I10" s="18">
        <f>1318.8</f>
        <v>1318.8</v>
      </c>
      <c r="J10" s="19" t="s">
        <v>404</v>
      </c>
      <c r="K10" s="19"/>
      <c r="L10" s="9"/>
      <c r="M10" s="9"/>
      <c r="N10" s="5"/>
      <c r="O10" s="5"/>
      <c r="P10" s="5"/>
      <c r="Q10" s="5"/>
      <c r="R10" s="5"/>
      <c r="S10" s="5"/>
    </row>
    <row r="11" ht="16.5" customHeight="1" spans="1:19">
      <c r="A11" s="8"/>
      <c r="B11" s="8"/>
      <c r="C11" s="8"/>
      <c r="D11" s="8" t="s">
        <v>403</v>
      </c>
      <c r="E11" s="8"/>
      <c r="F11" s="17">
        <f>F10</f>
        <v>730.869987461052</v>
      </c>
      <c r="G11" s="17">
        <f>G10</f>
        <v>393.47</v>
      </c>
      <c r="H11" s="17">
        <f>H10</f>
        <v>1563.4</v>
      </c>
      <c r="I11" s="18">
        <f>I10</f>
        <v>1318.8</v>
      </c>
      <c r="J11" s="5"/>
      <c r="K11" s="5"/>
      <c r="L11" s="9"/>
      <c r="M11" s="9"/>
      <c r="N11" s="5"/>
      <c r="O11" s="5"/>
      <c r="P11" s="5"/>
      <c r="Q11" s="5"/>
      <c r="R11" s="5"/>
      <c r="S11" s="5"/>
    </row>
    <row r="12" ht="16.5" customHeight="1" spans="1:19">
      <c r="A12" s="8"/>
      <c r="B12" s="8"/>
      <c r="C12" s="8"/>
      <c r="D12" s="8"/>
      <c r="E12" s="20"/>
      <c r="F12" s="20"/>
      <c r="G12" s="20"/>
      <c r="H12" s="20"/>
      <c r="I12" s="5"/>
      <c r="J12" s="5"/>
      <c r="K12" s="5"/>
      <c r="L12" s="9"/>
      <c r="M12" s="9"/>
      <c r="N12" s="5"/>
      <c r="O12" s="5"/>
      <c r="P12" s="5"/>
      <c r="Q12" s="5"/>
      <c r="R12" s="5"/>
      <c r="S12" s="5"/>
    </row>
    <row r="13" ht="16.5" customHeight="1" spans="1:19">
      <c r="A13" s="10" t="s">
        <v>405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2"/>
      <c r="O13" s="12"/>
      <c r="P13" s="12"/>
      <c r="Q13" s="5"/>
      <c r="R13" s="5"/>
      <c r="S13" s="5"/>
    </row>
    <row r="14" ht="16.5" customHeight="1" spans="1:19">
      <c r="A14" s="8"/>
      <c r="B14" s="8"/>
      <c r="C14" s="8"/>
      <c r="D14" s="8"/>
      <c r="E14" s="8"/>
      <c r="F14" s="8"/>
      <c r="G14" s="5"/>
      <c r="H14" s="5"/>
      <c r="I14" s="5"/>
      <c r="J14" s="5"/>
      <c r="K14" s="5"/>
      <c r="L14" s="9"/>
      <c r="M14" s="9"/>
      <c r="N14" s="5"/>
      <c r="O14" s="5"/>
      <c r="P14" s="5"/>
      <c r="Q14" s="5"/>
      <c r="R14" s="5"/>
      <c r="S14" s="5"/>
    </row>
    <row r="15" ht="16.5" customHeight="1" spans="1:19">
      <c r="A15" s="8"/>
      <c r="B15" s="8"/>
      <c r="C15" s="8"/>
      <c r="D15" s="8"/>
      <c r="E15" s="8"/>
      <c r="F15" s="8"/>
      <c r="G15" s="5"/>
      <c r="H15" s="5"/>
      <c r="I15" s="5"/>
      <c r="J15" s="5"/>
      <c r="K15" s="5"/>
      <c r="L15" s="9"/>
      <c r="M15" s="9"/>
      <c r="N15" s="5"/>
      <c r="O15" s="5"/>
      <c r="P15" s="5"/>
      <c r="Q15" s="5"/>
      <c r="R15" s="5"/>
      <c r="S15" s="5"/>
    </row>
    <row r="16" ht="16.5" customHeight="1" spans="1:19">
      <c r="A16" s="8"/>
      <c r="B16" s="8"/>
      <c r="C16" s="8"/>
      <c r="D16" s="8"/>
      <c r="E16" s="8"/>
      <c r="F16" s="8"/>
      <c r="G16" s="5"/>
      <c r="H16" s="5"/>
      <c r="I16" s="5"/>
      <c r="J16" s="5"/>
      <c r="K16" s="5"/>
      <c r="L16" s="9"/>
      <c r="M16" s="9"/>
      <c r="N16" s="5"/>
      <c r="O16" s="5"/>
      <c r="P16" s="5"/>
      <c r="Q16" s="5"/>
      <c r="R16" s="5"/>
      <c r="S16" s="5"/>
    </row>
    <row r="17" ht="16.5" customHeight="1" spans="1:19">
      <c r="A17" s="8"/>
      <c r="B17" s="8"/>
      <c r="C17" s="8"/>
      <c r="D17" s="8"/>
      <c r="E17" s="8"/>
      <c r="F17" s="8"/>
      <c r="G17" s="5"/>
      <c r="H17" s="5"/>
      <c r="I17" s="5"/>
      <c r="J17" s="5"/>
      <c r="K17" s="5"/>
      <c r="L17" s="9"/>
      <c r="M17" s="9"/>
      <c r="N17" s="5"/>
      <c r="O17" s="5"/>
      <c r="P17" s="5"/>
      <c r="Q17" s="5"/>
      <c r="R17" s="5"/>
      <c r="S17" s="5"/>
    </row>
    <row r="18" ht="16.5" customHeight="1" spans="1:19">
      <c r="A18" s="8"/>
      <c r="B18" s="8"/>
      <c r="C18" s="8"/>
      <c r="D18" s="8"/>
      <c r="E18" s="8"/>
      <c r="F18" s="8"/>
      <c r="G18" s="5"/>
      <c r="H18" s="5"/>
      <c r="I18" s="5"/>
      <c r="J18" s="5"/>
      <c r="K18" s="5"/>
      <c r="L18" s="9"/>
      <c r="M18" s="9"/>
      <c r="N18" s="5"/>
      <c r="O18" s="5"/>
      <c r="P18" s="5"/>
      <c r="Q18" s="5"/>
      <c r="R18" s="5"/>
      <c r="S18" s="5"/>
    </row>
    <row r="19" ht="16.5" customHeight="1" spans="1:19">
      <c r="A19" s="8"/>
      <c r="B19" s="8"/>
      <c r="C19" s="8"/>
      <c r="D19" s="8"/>
      <c r="E19" s="8"/>
      <c r="F19" s="8"/>
      <c r="G19" s="5"/>
      <c r="H19" s="5"/>
      <c r="I19" s="5"/>
      <c r="J19" s="5"/>
      <c r="K19" s="5"/>
      <c r="L19" s="9"/>
      <c r="M19" s="9"/>
      <c r="N19" s="5"/>
      <c r="O19" s="5"/>
      <c r="P19" s="5"/>
      <c r="Q19" s="5"/>
      <c r="R19" s="5"/>
      <c r="S19" s="5"/>
    </row>
    <row r="20" ht="16.5" customHeight="1" spans="1:19">
      <c r="A20" s="8"/>
      <c r="B20" s="8"/>
      <c r="C20" s="8"/>
      <c r="D20" s="8"/>
      <c r="E20" s="8"/>
      <c r="F20" s="8"/>
      <c r="G20" s="5"/>
      <c r="H20" s="5"/>
      <c r="I20" s="5"/>
      <c r="J20" s="5"/>
      <c r="K20" s="5"/>
      <c r="L20" s="9"/>
      <c r="M20" s="9"/>
      <c r="N20" s="5"/>
      <c r="O20" s="5"/>
      <c r="P20" s="5"/>
      <c r="Q20" s="5"/>
      <c r="R20" s="5"/>
      <c r="S20" s="5"/>
    </row>
    <row r="21" ht="16.5" customHeight="1" spans="1:19">
      <c r="A21" s="8"/>
      <c r="B21" s="8"/>
      <c r="C21" s="8"/>
      <c r="D21" s="8"/>
      <c r="E21" s="8"/>
      <c r="F21" s="8"/>
      <c r="G21" s="5"/>
      <c r="H21" s="5"/>
      <c r="I21" s="5"/>
      <c r="J21" s="5"/>
      <c r="K21" s="5"/>
      <c r="L21" s="9"/>
      <c r="M21" s="9"/>
      <c r="N21" s="5"/>
      <c r="O21" s="5"/>
      <c r="P21" s="5"/>
      <c r="Q21" s="5"/>
      <c r="R21" s="5"/>
      <c r="S21" s="5"/>
    </row>
    <row r="22" ht="16.5" customHeight="1" spans="1:19">
      <c r="A22" s="8"/>
      <c r="B22" s="8"/>
      <c r="C22" s="8"/>
      <c r="D22" s="8"/>
      <c r="E22" s="8"/>
      <c r="F22" s="8"/>
      <c r="G22" s="5"/>
      <c r="H22" s="5"/>
      <c r="I22" s="5"/>
      <c r="J22" s="5"/>
      <c r="K22" s="5"/>
      <c r="L22" s="9"/>
      <c r="M22" s="9"/>
      <c r="N22" s="5"/>
      <c r="O22" s="5"/>
      <c r="P22" s="5"/>
      <c r="Q22" s="5"/>
      <c r="R22" s="5"/>
      <c r="S22" s="5"/>
    </row>
    <row r="23" ht="16.5" customHeight="1" spans="1:19">
      <c r="A23" s="8"/>
      <c r="B23" s="8"/>
      <c r="C23" s="8"/>
      <c r="D23" s="8"/>
      <c r="E23" s="8"/>
      <c r="F23" s="8"/>
      <c r="G23" s="5"/>
      <c r="H23" s="5"/>
      <c r="I23" s="5"/>
      <c r="J23" s="5"/>
      <c r="K23" s="5"/>
      <c r="L23" s="9"/>
      <c r="M23" s="9"/>
      <c r="N23" s="5"/>
      <c r="O23" s="5"/>
      <c r="P23" s="5"/>
      <c r="Q23" s="5"/>
      <c r="R23" s="5"/>
      <c r="S23" s="5"/>
    </row>
    <row r="24" ht="16.5" customHeight="1" spans="1:19">
      <c r="A24" s="8"/>
      <c r="B24" s="8"/>
      <c r="C24" s="8"/>
      <c r="D24" s="8"/>
      <c r="E24" s="8"/>
      <c r="F24" s="8"/>
      <c r="G24" s="5"/>
      <c r="H24" s="5"/>
      <c r="I24" s="5"/>
      <c r="J24" s="5"/>
      <c r="K24" s="5"/>
      <c r="L24" s="9"/>
      <c r="M24" s="9"/>
      <c r="N24" s="5"/>
      <c r="O24" s="5"/>
      <c r="P24" s="5"/>
      <c r="Q24" s="5"/>
      <c r="R24" s="5"/>
      <c r="S24" s="5"/>
    </row>
    <row r="25" ht="16.5" customHeight="1" spans="1:19">
      <c r="A25" s="8"/>
      <c r="B25" s="8"/>
      <c r="C25" s="8"/>
      <c r="D25" s="8"/>
      <c r="E25" s="8"/>
      <c r="F25" s="8"/>
      <c r="G25" s="5"/>
      <c r="H25" s="5"/>
      <c r="I25" s="5"/>
      <c r="J25" s="5"/>
      <c r="K25" s="5"/>
      <c r="L25" s="9"/>
      <c r="M25" s="9"/>
    </row>
    <row r="26" ht="16.5" customHeight="1" spans="1:19">
      <c r="A26" s="8"/>
      <c r="B26" s="8"/>
      <c r="C26" s="8"/>
      <c r="D26" s="8"/>
      <c r="E26" s="8"/>
      <c r="F26" s="8"/>
      <c r="G26" s="5"/>
      <c r="H26" s="5"/>
      <c r="I26" s="5"/>
      <c r="J26" s="5"/>
      <c r="K26" s="5"/>
      <c r="L26" s="9"/>
      <c r="M26" s="9"/>
    </row>
    <row r="27" ht="16.5" customHeight="1" spans="1:19">
      <c r="A27" s="8"/>
      <c r="B27" s="8"/>
      <c r="C27" s="8"/>
      <c r="D27" s="8"/>
      <c r="E27" s="8"/>
      <c r="F27" s="8"/>
      <c r="G27" s="5"/>
      <c r="H27" s="5"/>
      <c r="I27" s="5"/>
      <c r="J27" s="5"/>
      <c r="K27" s="5"/>
      <c r="L27" s="9"/>
      <c r="M27" s="9"/>
    </row>
    <row r="28" ht="16.5" customHeight="1" spans="1:19">
      <c r="A28" s="21"/>
      <c r="B28" s="21"/>
      <c r="C28" s="21"/>
      <c r="D28" s="21"/>
      <c r="E28" s="21"/>
      <c r="F28" s="21"/>
      <c r="G28" s="9"/>
      <c r="H28" s="9"/>
      <c r="I28" s="9"/>
      <c r="J28" s="9"/>
      <c r="K28" s="9"/>
      <c r="L28" s="9"/>
      <c r="M28" s="9"/>
    </row>
    <row r="29" ht="16.5" customHeight="1" spans="1:19">
      <c r="A29" s="21"/>
      <c r="B29" s="21"/>
      <c r="C29" s="21"/>
      <c r="D29" s="21"/>
      <c r="E29" s="21"/>
      <c r="F29" s="21"/>
      <c r="G29" s="9"/>
      <c r="H29" s="9"/>
      <c r="I29" s="9"/>
      <c r="J29" s="9"/>
      <c r="K29" s="9"/>
      <c r="L29" s="9"/>
      <c r="M29" s="9"/>
    </row>
    <row r="30" ht="16.5" customHeight="1" spans="1:19">
      <c r="A30" s="21"/>
      <c r="B30" s="21"/>
      <c r="C30" s="21"/>
      <c r="D30" s="21"/>
      <c r="E30" s="21"/>
      <c r="F30" s="21"/>
      <c r="G30" s="9"/>
      <c r="H30" s="9"/>
      <c r="I30" s="9"/>
      <c r="J30" s="9"/>
      <c r="K30" s="9"/>
      <c r="L30" s="9"/>
      <c r="M30" s="9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Scenarios</vt:lpstr>
      <vt:lpstr>Repayment</vt:lpstr>
      <vt:lpstr>Market_Data</vt:lpstr>
      <vt:lpstr>WACC</vt:lpstr>
      <vt:lpstr>Comps_Data</vt:lpstr>
      <vt:lpstr>Comps</vt:lpstr>
      <vt:lpstr>Foot_Ball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2</cp:revision>
  <dcterms:created xsi:type="dcterms:W3CDTF">2026-08-29T12:30:00Z</dcterms:created>
  <dcterms:modified xsi:type="dcterms:W3CDTF">2026-09-24T00:28:26Z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22EFA100869A3C53717D986AB52D0BD5_43</vt:lpwstr>
  </property>
  <property fmtid="{D5CDD505-2E9C-101B-9397-08002B2CF9AE}" pid="4" name="KSOProductBuildVer">
    <vt:lpwstr>1033-12.1.26050.26050</vt:lpwstr>
  </property>
</Properties>
</file>