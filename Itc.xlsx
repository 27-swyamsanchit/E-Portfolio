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420" windowHeight="11500" tabRatio="500" activeTab="1"/>
  </bookViews>
  <sheets>
    <sheet name="Historical Data" sheetId="1" r:id="rId1"/>
    <sheet name="Models" sheetId="2" r:id="rId2"/>
    <sheet name="Repayment" sheetId="3" state="hidden" r:id="rId3"/>
    <sheet name="Scenarios" sheetId="4" r:id="rId4"/>
    <sheet name="Market_Data" sheetId="5" r:id="rId5"/>
    <sheet name="WACC" sheetId="6" r:id="rId6"/>
    <sheet name="Comp" sheetId="7" r:id="rId7"/>
    <sheet name="Comp_Data" sheetId="8" r:id="rId8"/>
    <sheet name="Football Field Chart" sheetId="9" r:id="rId9"/>
  </sheets>
  <definedNames>
    <definedName name="bhh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Unknown Author</author>
  </authors>
  <commentList>
    <comment ref="K30" authorId="0">
      <text>
        <r>
          <rPr>
            <sz val="10"/>
            <rFont val="Arial"/>
            <charset val="134"/>
          </rPr>
          <t>Hotels business, demerged FY2024-25</t>
        </r>
      </text>
    </comment>
  </commentList>
</comments>
</file>

<file path=xl/sharedStrings.xml><?xml version="1.0" encoding="utf-8"?>
<sst xmlns="http://schemas.openxmlformats.org/spreadsheetml/2006/main" count="491" uniqueCount="387">
  <si>
    <t>ITC Limited</t>
  </si>
  <si>
    <t>Historical Financial Data</t>
  </si>
  <si>
    <t>(Rs. In Crore)</t>
  </si>
  <si>
    <t>Income</t>
  </si>
  <si>
    <t>Revenue From Operations</t>
  </si>
  <si>
    <t>Other Income</t>
  </si>
  <si>
    <t>Total Income</t>
  </si>
  <si>
    <t>Expenses</t>
  </si>
  <si>
    <t>Cost of materials consumed</t>
  </si>
  <si>
    <t>Purchases of Stock-in-Trade / Biological Assets</t>
  </si>
  <si>
    <t>Changes in inventories (FG, Stock-in-Trade, WIP, Biological Assets)</t>
  </si>
  <si>
    <t>Excise duty</t>
  </si>
  <si>
    <t>Employee benefits expense</t>
  </si>
  <si>
    <t>Finance costs</t>
  </si>
  <si>
    <t>Depreciation and amortization expense</t>
  </si>
  <si>
    <t>Other expenses</t>
  </si>
  <si>
    <t>Total Expenses</t>
  </si>
  <si>
    <t>Share of profit / (loss) of Associates and Joint Ventures</t>
  </si>
  <si>
    <t>Profit before exceptional items and tax</t>
  </si>
  <si>
    <t>Exceptional Items</t>
  </si>
  <si>
    <t>Profit Before Tax</t>
  </si>
  <si>
    <t>Current Tax</t>
  </si>
  <si>
    <t>Deferred Tax</t>
  </si>
  <si>
    <t>Profit for the year from continuing operations</t>
  </si>
  <si>
    <t>Discontinued operations (Hotels business, demerged FY2024-25)</t>
  </si>
  <si>
    <t>Profit before tax from discontinued operations</t>
  </si>
  <si>
    <t>Exceptional items of discontinued operations</t>
  </si>
  <si>
    <t>Tax expense of discontinued operations</t>
  </si>
  <si>
    <t>Profit for the year from discontinued operations</t>
  </si>
  <si>
    <t>PROFIT FOR THE YEAR</t>
  </si>
  <si>
    <t>Balance Sheet</t>
  </si>
  <si>
    <t>ASSETS</t>
  </si>
  <si>
    <t>Non-current assets</t>
  </si>
  <si>
    <t>Property, Plant and Equipment</t>
  </si>
  <si>
    <t>Capital work-in-progress</t>
  </si>
  <si>
    <t>Investment Property</t>
  </si>
  <si>
    <t>Goodwill</t>
  </si>
  <si>
    <t>Other Intangible assets</t>
  </si>
  <si>
    <t>Intangible assets under development</t>
  </si>
  <si>
    <t>Right-of-use assets</t>
  </si>
  <si>
    <t>Investment accounted for using the equity method</t>
  </si>
  <si>
    <t>Financial Assets</t>
  </si>
  <si>
    <t>Investments (non-current)</t>
  </si>
  <si>
    <t>Loans (non-current)</t>
  </si>
  <si>
    <t>Others (non-current)</t>
  </si>
  <si>
    <t>Deferred tax assets (net)</t>
  </si>
  <si>
    <t>Income Tax Assets (net)</t>
  </si>
  <si>
    <t>Other non-current assets</t>
  </si>
  <si>
    <t>Total Non-current assets</t>
  </si>
  <si>
    <t>Current assets</t>
  </si>
  <si>
    <t>Inventories</t>
  </si>
  <si>
    <t>Biological assets other than bearer plants</t>
  </si>
  <si>
    <t>Investments (current)</t>
  </si>
  <si>
    <t>Trade receivables</t>
  </si>
  <si>
    <t>Cash and cash equivalents</t>
  </si>
  <si>
    <t>Bank Balances other than above</t>
  </si>
  <si>
    <t>Loans (current)</t>
  </si>
  <si>
    <t>Others (current)</t>
  </si>
  <si>
    <t>Other current assets</t>
  </si>
  <si>
    <t>Total Current assets</t>
  </si>
  <si>
    <t>TOTAL ASSETS</t>
  </si>
  <si>
    <t>EQUITY AND LIABILITIES</t>
  </si>
  <si>
    <t>Equity</t>
  </si>
  <si>
    <t>Equity Share capital</t>
  </si>
  <si>
    <t>Other Equity</t>
  </si>
  <si>
    <t>Attributable to owners of the parent</t>
  </si>
  <si>
    <t>Non-controlling interests</t>
  </si>
  <si>
    <t>Total Equity</t>
  </si>
  <si>
    <t>Non-current liabilities</t>
  </si>
  <si>
    <t>Borrowings (non-current)</t>
  </si>
  <si>
    <t>Lease liabilities (non-current)</t>
  </si>
  <si>
    <t>Other financial liabilities (non-current)</t>
  </si>
  <si>
    <t>Provisions (non-current)</t>
  </si>
  <si>
    <t>Deferred tax liabilities (net)</t>
  </si>
  <si>
    <t>Other non-current liabilities</t>
  </si>
  <si>
    <t>Total Non-current liabilities</t>
  </si>
  <si>
    <t>Current liabilities</t>
  </si>
  <si>
    <t>Financial liabilities</t>
  </si>
  <si>
    <t>Borrowings (current)</t>
  </si>
  <si>
    <t>Trade Payables - micro &amp; small enterprises</t>
  </si>
  <si>
    <t>Trade Payables - other creditors</t>
  </si>
  <si>
    <t>Lease liabilities (current)</t>
  </si>
  <si>
    <t>Other financial liabilities (current)</t>
  </si>
  <si>
    <t>Other current liabilities</t>
  </si>
  <si>
    <t>Provisions (current)</t>
  </si>
  <si>
    <t>Current Tax Liabilities (net)</t>
  </si>
  <si>
    <t>Total Current liabilities</t>
  </si>
  <si>
    <t>TOTAL EQUITY AND LIABILITIES</t>
  </si>
  <si>
    <t>CASH FLOW STATEMENT</t>
  </si>
  <si>
    <t>A. Cash Flow from Operating Activities</t>
  </si>
  <si>
    <t>Profit before tax – continuing operations</t>
  </si>
  <si>
    <t>Profit before tax – discontinued operations</t>
  </si>
  <si>
    <t>Share based payments to employees</t>
  </si>
  <si>
    <t>Interest Income</t>
  </si>
  <si>
    <t>Dividend Income</t>
  </si>
  <si>
    <t>Other non-cash / non-operating adjustments (net)*</t>
  </si>
  <si>
    <t>Operating profit before working capital changes</t>
  </si>
  <si>
    <t>(Increase) / decrease in trade receivables, advances and other assets</t>
  </si>
  <si>
    <t>(Increase) / decrease in inventories and biological assets</t>
  </si>
  <si>
    <t>Increase / (decrease) in trade payables, other liabilities and provisions</t>
  </si>
  <si>
    <t>Cash generated from operations</t>
  </si>
  <si>
    <t>Income tax paid (net of refunds)</t>
  </si>
  <si>
    <t>NET CASH FROM OPERATING ACTIVITIES</t>
  </si>
  <si>
    <t>B. Cash Flow from Investing Activities</t>
  </si>
  <si>
    <t>Purchase of PP&amp;E, Intangibles, ROU assets etc.</t>
  </si>
  <si>
    <t>Sale of property, plant and equipment</t>
  </si>
  <si>
    <t>Purchase of current investments</t>
  </si>
  <si>
    <t>Sale / redemption of current investments</t>
  </si>
  <si>
    <t>Investment in associates / joint ventures</t>
  </si>
  <si>
    <t>Divestment / advance received on divestment of shares in associate / JV</t>
  </si>
  <si>
    <t>Purchase of non-current investments</t>
  </si>
  <si>
    <t>Sale / redemption of non-current investments</t>
  </si>
  <si>
    <t>Payment towards business combination / contingent consideration</t>
  </si>
  <si>
    <t>Dividend received from associates / joint ventures</t>
  </si>
  <si>
    <t>Dividend received from others</t>
  </si>
  <si>
    <t>Interest received</t>
  </si>
  <si>
    <t>Investment in bank deposits (original maturity &gt; 3 months)</t>
  </si>
  <si>
    <t>Redemption / maturity of bank deposits (original maturity &gt; 3 months)</t>
  </si>
  <si>
    <t>Investment in deposit with housing finance company / financial institution</t>
  </si>
  <si>
    <t>Redemption / maturity of deposit with housing finance company / financial institution</t>
  </si>
  <si>
    <t>Loans given</t>
  </si>
  <si>
    <t>Loans realised</t>
  </si>
  <si>
    <t>NET CASH FROM / (USED IN) INVESTING ACTIVITIES</t>
  </si>
  <si>
    <t>C. Cash Flow from Financing Activities</t>
  </si>
  <si>
    <t>Proceeds from issue of share capital</t>
  </si>
  <si>
    <t>Proceeds from current borrowings</t>
  </si>
  <si>
    <t>Repayment of current borrowings</t>
  </si>
  <si>
    <t>Proceeds from non-current borrowings</t>
  </si>
  <si>
    <t>Repayment of non-current borrowings</t>
  </si>
  <si>
    <t>Payment towards reduction of capital by a subsidiary</t>
  </si>
  <si>
    <t>Acquisition of non-controlling interest</t>
  </si>
  <si>
    <t>Principal payment of lease liabilities</t>
  </si>
  <si>
    <t>Interest paid</t>
  </si>
  <si>
    <t>Net increase in statutory restricted accounts balances</t>
  </si>
  <si>
    <t>Dividend paid</t>
  </si>
  <si>
    <t>Dividend distribution tax (paid) / refund received</t>
  </si>
  <si>
    <t>NET CASH USED IN FINANCING ACTIVITIES</t>
  </si>
  <si>
    <t>NET INCREASE / (DECREASE) IN CASH AND CASH EQUIVALENTS</t>
  </si>
  <si>
    <t>Opening cash and cash equivalents</t>
  </si>
  <si>
    <t>Cash credit facilities</t>
  </si>
  <si>
    <t>Unrealised gain/(loss) on foreign currency cash and cash equivalents</t>
  </si>
  <si>
    <t>Cash acquired on business combination</t>
  </si>
  <si>
    <t>Less: on demerger of Hotels business</t>
  </si>
  <si>
    <t>CLOSING CASH AND CASH EQUIVALENTS</t>
  </si>
  <si>
    <t>Historical Period</t>
  </si>
  <si>
    <t>Forecasting Period</t>
  </si>
  <si>
    <t>Financial Statement Analysis &amp; Valuation</t>
  </si>
  <si>
    <t>Ratio's &amp; Assumptions</t>
  </si>
  <si>
    <t>LIVE SCENARIO</t>
  </si>
  <si>
    <t>Bear Case</t>
  </si>
  <si>
    <t>Revenue Growth</t>
  </si>
  <si>
    <t>COGS as % of Revenue</t>
  </si>
  <si>
    <t>Operating Expense as % of Revenue</t>
  </si>
  <si>
    <t>Depreciation as % of PPE</t>
  </si>
  <si>
    <t>Interest as % of Debt</t>
  </si>
  <si>
    <t>Other Income as % of Revenue</t>
  </si>
  <si>
    <t>Taxes as %  of PBT</t>
  </si>
  <si>
    <t>Dividend Payout Ratio</t>
  </si>
  <si>
    <t>Days Sale's Outstanding</t>
  </si>
  <si>
    <t>Days's Inventory Outstanding</t>
  </si>
  <si>
    <t>Day's Payable Outstanding</t>
  </si>
  <si>
    <t>Capital Assest Turnover Ratio</t>
  </si>
  <si>
    <t>INCOME STATEMENT</t>
  </si>
  <si>
    <t>Revenue</t>
  </si>
  <si>
    <t>Less: Cost of Good Sold</t>
  </si>
  <si>
    <t>Gross Profit</t>
  </si>
  <si>
    <t>Less: Operating Expenses</t>
  </si>
  <si>
    <t>EBITDA</t>
  </si>
  <si>
    <t>Less: Depreciation &amp; Amortization</t>
  </si>
  <si>
    <t>EBIT</t>
  </si>
  <si>
    <t>Less: Interest</t>
  </si>
  <si>
    <t>Other Income (Expenses)</t>
  </si>
  <si>
    <t>Profit before Tax</t>
  </si>
  <si>
    <t>Less: Taxes</t>
  </si>
  <si>
    <t>Profit after Tax</t>
  </si>
  <si>
    <t>BALANCE SHEET</t>
  </si>
  <si>
    <t>Assests</t>
  </si>
  <si>
    <t>Current Assest</t>
  </si>
  <si>
    <t>Cash &amp; Bank</t>
  </si>
  <si>
    <t>Account Receivable</t>
  </si>
  <si>
    <t>Inventory</t>
  </si>
  <si>
    <t>Other Current Assest</t>
  </si>
  <si>
    <t>Non-Current</t>
  </si>
  <si>
    <t>Plant, Property &amp; Equipment</t>
  </si>
  <si>
    <t>Intangible Assests</t>
  </si>
  <si>
    <t>Financial Assests</t>
  </si>
  <si>
    <t>Other Non-Current Assests</t>
  </si>
  <si>
    <t>TOTAL ASSEST</t>
  </si>
  <si>
    <t>Liabilities</t>
  </si>
  <si>
    <t>Current-Liabilities</t>
  </si>
  <si>
    <t>Account Payable</t>
  </si>
  <si>
    <t>Other Current Liability</t>
  </si>
  <si>
    <t>Non-Current Liabilities</t>
  </si>
  <si>
    <t>Debt</t>
  </si>
  <si>
    <t>Other Non-Current Liability</t>
  </si>
  <si>
    <t>TOTAL LIBILITY</t>
  </si>
  <si>
    <t>Shareholder's Funds</t>
  </si>
  <si>
    <t>Non-Controlling Interest</t>
  </si>
  <si>
    <t>TOTAL EQUITY &amp; LIABILITIES</t>
  </si>
  <si>
    <t>CHECK</t>
  </si>
  <si>
    <t>CASHFLOW STATEMENT</t>
  </si>
  <si>
    <t>Cash Flow From Operations</t>
  </si>
  <si>
    <t>Add: Depreciation &amp; Amortization</t>
  </si>
  <si>
    <t>Add/Less: Other Adjustment</t>
  </si>
  <si>
    <t>Add/Less: Working Capital Adjustment</t>
  </si>
  <si>
    <t>Operating Cash Flow</t>
  </si>
  <si>
    <t>Cash Flow From Investing Activities</t>
  </si>
  <si>
    <t>Investment in PP&amp;E</t>
  </si>
  <si>
    <t>Purchase/Sale of Investment</t>
  </si>
  <si>
    <t>Sale Procceds From Sale Of PPE's</t>
  </si>
  <si>
    <t>Cash Flow from Investing Activities</t>
  </si>
  <si>
    <t>Cash Flow From Financing Activities</t>
  </si>
  <si>
    <t>Issuance/Repayment of Debt</t>
  </si>
  <si>
    <t>Dividend Paid</t>
  </si>
  <si>
    <t>Interest Paid</t>
  </si>
  <si>
    <t>Net Decrease in Cash and Cash Equivalents</t>
  </si>
  <si>
    <t>Opening Cash Balance</t>
  </si>
  <si>
    <t>Closing Cash Balance</t>
  </si>
  <si>
    <t>Supporting Schedules</t>
  </si>
  <si>
    <t>Working Capital</t>
  </si>
  <si>
    <t>Accounts Receivable</t>
  </si>
  <si>
    <t>Accounts Payable</t>
  </si>
  <si>
    <t>Total</t>
  </si>
  <si>
    <t>Depreciation &amp; Amortization</t>
  </si>
  <si>
    <t>Opening Balance</t>
  </si>
  <si>
    <t>Add/Less: Purchase/sale</t>
  </si>
  <si>
    <t>Closing Balance</t>
  </si>
  <si>
    <t>Debt Schedule</t>
  </si>
  <si>
    <t>Issuance/repayment</t>
  </si>
  <si>
    <t>Interest Expense</t>
  </si>
  <si>
    <t>DCF Valuation</t>
  </si>
  <si>
    <t>Assumption's</t>
  </si>
  <si>
    <t>Transaction Date</t>
  </si>
  <si>
    <t>Fiscal Year End Date</t>
  </si>
  <si>
    <t>Tax Rate</t>
  </si>
  <si>
    <t>EV/EBITDA</t>
  </si>
  <si>
    <t>Growth Rate</t>
  </si>
  <si>
    <t>Discount Rate</t>
  </si>
  <si>
    <t>Shares Outstanding</t>
  </si>
  <si>
    <t>Discounted Cash Flows</t>
  </si>
  <si>
    <t>Entry</t>
  </si>
  <si>
    <t>Exit</t>
  </si>
  <si>
    <t>Date</t>
  </si>
  <si>
    <t>Terminal Value</t>
  </si>
  <si>
    <t>Time Period</t>
  </si>
  <si>
    <t>Yearfrac.</t>
  </si>
  <si>
    <t>Perpetuity</t>
  </si>
  <si>
    <t>Average</t>
  </si>
  <si>
    <t>NOPAT</t>
  </si>
  <si>
    <t>Less: Capex</t>
  </si>
  <si>
    <t>Less: Working Capital</t>
  </si>
  <si>
    <t>Free Cash Flow to Firm</t>
  </si>
  <si>
    <t>Transaction FCFF</t>
  </si>
  <si>
    <t>Intrinsic Value</t>
  </si>
  <si>
    <t>Rate of Return</t>
  </si>
  <si>
    <t>Enterprise Value</t>
  </si>
  <si>
    <t>Current Price</t>
  </si>
  <si>
    <t>Add: Cash &amp; Cash Eq</t>
  </si>
  <si>
    <t>Target Price</t>
  </si>
  <si>
    <t>Less: Debt</t>
  </si>
  <si>
    <t>Upside %</t>
  </si>
  <si>
    <t>Less: Non-Controlling Interest</t>
  </si>
  <si>
    <t>Equity Value</t>
  </si>
  <si>
    <t>Intrinsic Value per Share</t>
  </si>
  <si>
    <t>Sensitivity Analysis</t>
  </si>
  <si>
    <t>Sensitivities - Intrinsic Value per share</t>
  </si>
  <si>
    <t>Exit Multiple</t>
  </si>
  <si>
    <t>Perpetual Growth Rate</t>
  </si>
  <si>
    <t>ITC Limited — Borrowings Repayment Schedule</t>
  </si>
  <si>
    <t>A</t>
  </si>
  <si>
    <t>TERM DEBT</t>
  </si>
  <si>
    <t xml:space="preserve">FY2027
</t>
  </si>
  <si>
    <t>FY2028</t>
  </si>
  <si>
    <t>FY2029</t>
  </si>
  <si>
    <t>FY2030</t>
  </si>
  <si>
    <t>FY2031</t>
  </si>
  <si>
    <t>Nature</t>
  </si>
  <si>
    <t>Unsecured Term Loan from Banks
(Sanctioned limit ₹60 Cr; RBI Repo-linked, 7.75% p.a., interest reset quarterly)</t>
  </si>
  <si>
    <t>Non-current, amortizing</t>
  </si>
  <si>
    <t>Subtotal — Term Debt Repayment</t>
  </si>
  <si>
    <t>B</t>
  </si>
  <si>
    <t>LEASE LIABILITIES</t>
  </si>
  <si>
    <t>Lease Liabilities — Current portion</t>
  </si>
  <si>
    <t>Current</t>
  </si>
  <si>
    <t>Lease Liabilities — Non-current portion (total)</t>
  </si>
  <si>
    <t>Non-current (undiscounted future total, not year-wise)</t>
  </si>
  <si>
    <t>C</t>
  </si>
  <si>
    <t>D</t>
  </si>
  <si>
    <t>SHORT-TERM / REVOLVING FACILITIES (Payable on demand)</t>
  </si>
  <si>
    <t>Cash Credit Facilities — Secured (from banks; hypothecation of inventories)</t>
  </si>
  <si>
    <t>Working Capital Demand Loan — Unsecured</t>
  </si>
  <si>
    <t>Cash Credit Facilities — Unsecured</t>
  </si>
  <si>
    <t>Sales Tax Deferment Loans (deferred payment liability)</t>
  </si>
  <si>
    <t>TOTAL</t>
  </si>
  <si>
    <t>Revenue Scenarios</t>
  </si>
  <si>
    <t>Scenarios</t>
  </si>
  <si>
    <t>Growth %</t>
  </si>
  <si>
    <t>Base Case</t>
  </si>
  <si>
    <t>Bull Case</t>
  </si>
  <si>
    <t>Annual growth tapering</t>
  </si>
  <si>
    <t>Equity Market Return</t>
  </si>
  <si>
    <t>Index</t>
  </si>
  <si>
    <t>Close Price</t>
  </si>
  <si>
    <t>Period (yrs)</t>
  </si>
  <si>
    <t>Returns</t>
  </si>
  <si>
    <t>Weighted-Average Cost of Capital (WACC)</t>
  </si>
  <si>
    <t>All Amounts Denominated in INR MM Unless Otherwise Stated</t>
  </si>
  <si>
    <t>Comparable Companies Beta</t>
  </si>
  <si>
    <t>Debt/</t>
  </si>
  <si>
    <t>Tax</t>
  </si>
  <si>
    <t>Levered</t>
  </si>
  <si>
    <t>Unlevered</t>
  </si>
  <si>
    <t>Company Name</t>
  </si>
  <si>
    <t>Value</t>
  </si>
  <si>
    <t>Capital</t>
  </si>
  <si>
    <t>Rate %</t>
  </si>
  <si>
    <t>Beta</t>
  </si>
  <si>
    <t>Hindustan Unilever Limited</t>
  </si>
  <si>
    <t>Nestlé India Limited</t>
  </si>
  <si>
    <t>Britannia Industries Limited</t>
  </si>
  <si>
    <t>Marico Limited</t>
  </si>
  <si>
    <t>Godrej Consumer Products Limited</t>
  </si>
  <si>
    <t>Dabur India Limited</t>
  </si>
  <si>
    <t>Tata Consumer Products Limited</t>
  </si>
  <si>
    <t>Colgate-Palmolive (India) Ltd.</t>
  </si>
  <si>
    <t>Godfrey Phillips India Ltd.</t>
  </si>
  <si>
    <t>VST Industries Ltd.</t>
  </si>
  <si>
    <t>Median</t>
  </si>
  <si>
    <t>WACC Calculation</t>
  </si>
  <si>
    <t>Target Capital Structure</t>
  </si>
  <si>
    <t>Proportion of Debt</t>
  </si>
  <si>
    <t>Proportion of Equity</t>
  </si>
  <si>
    <t>Current Capital Structure</t>
  </si>
  <si>
    <t>Market Cap</t>
  </si>
  <si>
    <t>Total Debt</t>
  </si>
  <si>
    <t>Debt / Equity</t>
  </si>
  <si>
    <t>Cost of Debt</t>
  </si>
  <si>
    <t>Pre-Tax Cost of Debt</t>
  </si>
  <si>
    <t>After-Tax Cost of Debt</t>
  </si>
  <si>
    <t>Cost of Equity</t>
  </si>
  <si>
    <t>Risk Free Rate</t>
  </si>
  <si>
    <t>Equity Risk Premium</t>
  </si>
  <si>
    <t>Levered Equity Beta (Re-levered at ITC capital structure)</t>
  </si>
  <si>
    <t>WACC</t>
  </si>
  <si>
    <t>Comps Valuation</t>
  </si>
  <si>
    <t>Market Data</t>
  </si>
  <si>
    <t>Financial Data</t>
  </si>
  <si>
    <t>Valuation</t>
  </si>
  <si>
    <t>Price</t>
  </si>
  <si>
    <t>Shares</t>
  </si>
  <si>
    <t>Cash</t>
  </si>
  <si>
    <t>EV</t>
  </si>
  <si>
    <t>Sales</t>
  </si>
  <si>
    <t>Earnings</t>
  </si>
  <si>
    <t>EV/Sales</t>
  </si>
  <si>
    <t>P/E</t>
  </si>
  <si>
    <t>Ticker</t>
  </si>
  <si>
    <t>(₹/share)</t>
  </si>
  <si>
    <t>&amp; Equivalents</t>
  </si>
  <si>
    <t>x</t>
  </si>
  <si>
    <t>HINDUNILVR</t>
  </si>
  <si>
    <t>NESTLEIND</t>
  </si>
  <si>
    <t>BRITANNIA</t>
  </si>
  <si>
    <t>MARICO</t>
  </si>
  <si>
    <t>GODREJCP</t>
  </si>
  <si>
    <t>DABUR</t>
  </si>
  <si>
    <t>TATACONSUM</t>
  </si>
  <si>
    <t>COLPAL</t>
  </si>
  <si>
    <t>GODFRYPHLP</t>
  </si>
  <si>
    <t>VSTIND</t>
  </si>
  <si>
    <t>Metric</t>
  </si>
  <si>
    <t>Comps</t>
  </si>
  <si>
    <t>Net Debt</t>
  </si>
  <si>
    <t>Share Price</t>
  </si>
  <si>
    <t>Company</t>
  </si>
  <si>
    <t>Net Income</t>
  </si>
  <si>
    <t>ITC</t>
  </si>
  <si>
    <t>Source: www.screener.in (accessed Aug 2026)</t>
  </si>
  <si>
    <t>Football Field Chart</t>
  </si>
  <si>
    <t>DCF</t>
  </si>
  <si>
    <t>52-week high/low</t>
  </si>
  <si>
    <t>Market Consensus</t>
  </si>
  <si>
    <t>High</t>
  </si>
  <si>
    <t>(Sharekhan)</t>
  </si>
  <si>
    <t>Low</t>
  </si>
  <si>
    <t>(Motilal Oswal)</t>
  </si>
  <si>
    <t>Valuation Summary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</si>
</sst>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9">
    <numFmt numFmtId="176" formatCode="_-* #,##0.00_-;\-* #,##0.00_-;_-* &quot;-&quot;??_-;_-@_-"/>
    <numFmt numFmtId="177" formatCode="_-&quot;£&quot;* #,##0.00_-;\-&quot;£&quot;* #,##0.00_-;_-&quot;£&quot;* &quot;-&quot;??_-;_-@_-"/>
    <numFmt numFmtId="178" formatCode="_-* #,##0_-;\-* #,##0_-;_-* &quot;-&quot;_-;_-@_-"/>
    <numFmt numFmtId="179" formatCode="_-&quot;£&quot;* #,##0_-;\-&quot;£&quot;* #,##0_-;_-&quot;£&quot;* &quot;-&quot;_-;_-@_-"/>
    <numFmt numFmtId="180" formatCode="#,##0.00;\(#,##0.00\);\-"/>
    <numFmt numFmtId="181" formatCode="0.00_);[Red]\(0.00\)"/>
    <numFmt numFmtId="182" formatCode="0.0\x"/>
    <numFmt numFmtId="183" formatCode="#,##0;\(#,##0\);\-"/>
    <numFmt numFmtId="184" formatCode="#,##0.0"/>
    <numFmt numFmtId="185" formatCode="0\F"/>
    <numFmt numFmtId="186" formatCode="0\A"/>
    <numFmt numFmtId="187" formatCode=";;;"/>
    <numFmt numFmtId="188" formatCode="dd/mm/yyyy;@"/>
    <numFmt numFmtId="189" formatCode="0.00\x"/>
    <numFmt numFmtId="190" formatCode="m/d/yyyy;@"/>
    <numFmt numFmtId="191" formatCode="0.000"/>
    <numFmt numFmtId="192" formatCode="#,##0.00;\(#,##0.00\)"/>
    <numFmt numFmtId="193" formatCode="#,##0.0\x"/>
    <numFmt numFmtId="194" formatCode="0.0%"/>
  </numFmts>
  <fonts count="100">
    <font>
      <sz val="11"/>
      <color theme="1"/>
      <name val="Calibri"/>
      <charset val="134"/>
    </font>
    <font>
      <sz val="11"/>
      <color theme="1"/>
      <name val="Times New Roman Regular"/>
      <charset val="134"/>
    </font>
    <font>
      <b/>
      <sz val="24"/>
      <color theme="0"/>
      <name val="Times New Roman Regular"/>
      <charset val="134"/>
    </font>
    <font>
      <b/>
      <sz val="11"/>
      <color theme="0"/>
      <name val="Times New Roman Regular"/>
      <charset val="134"/>
    </font>
    <font>
      <b/>
      <sz val="11"/>
      <color theme="1"/>
      <name val="Times New Roman Regular"/>
      <charset val="134"/>
    </font>
    <font>
      <i/>
      <sz val="11"/>
      <color theme="0"/>
      <name val="Times New Roman Regular"/>
      <charset val="134"/>
    </font>
    <font>
      <sz val="11"/>
      <name val="Calibri"/>
      <charset val="134"/>
    </font>
    <font>
      <b/>
      <sz val="11"/>
      <name val="Times New Roman Regular"/>
      <charset val="134"/>
    </font>
    <font>
      <sz val="11"/>
      <name val="Times New Roman Regular"/>
      <charset val="134"/>
    </font>
    <font>
      <sz val="11"/>
      <color theme="0"/>
      <name val="Times New Roman Regular"/>
      <charset val="134"/>
    </font>
    <font>
      <sz val="11"/>
      <name val="Times New Roman Regular"/>
      <charset val="1"/>
    </font>
    <font>
      <b/>
      <i/>
      <u/>
      <sz val="6"/>
      <name val="Times New Roman Regular"/>
      <charset val="1"/>
    </font>
    <font>
      <sz val="11"/>
      <color rgb="FF0070C0"/>
      <name val="Times New Roman Regular"/>
      <charset val="1"/>
    </font>
    <font>
      <sz val="11"/>
      <color rgb="FF0070C0"/>
      <name val="Times New Roman Regular"/>
      <charset val="134"/>
    </font>
    <font>
      <b/>
      <i/>
      <u/>
      <sz val="6"/>
      <name val="Arial"/>
      <charset val="134"/>
    </font>
    <font>
      <b/>
      <sz val="10"/>
      <name val="Times New Roman Regular"/>
      <charset val="1"/>
    </font>
    <font>
      <b/>
      <i/>
      <u/>
      <sz val="6"/>
      <name val="Times New Roman Regular"/>
      <charset val="134"/>
    </font>
    <font>
      <b/>
      <sz val="12"/>
      <color theme="0"/>
      <name val="Times New Roman Regular"/>
      <charset val="134"/>
    </font>
    <font>
      <b/>
      <sz val="10"/>
      <color rgb="FF00B0F0"/>
      <name val="Times New Roman Regular"/>
      <charset val="1"/>
    </font>
    <font>
      <sz val="11"/>
      <name val="Times New Roman"/>
      <charset val="1"/>
    </font>
    <font>
      <sz val="11"/>
      <color rgb="FF0070C0"/>
      <name val="Times New Roman"/>
      <charset val="1"/>
    </font>
    <font>
      <i/>
      <u/>
      <sz val="8"/>
      <color theme="1"/>
      <name val="Times New Roman Regular"/>
      <charset val="134"/>
    </font>
    <font>
      <b/>
      <i/>
      <u/>
      <sz val="8"/>
      <name val="Times New Roman Regular"/>
      <charset val="1"/>
    </font>
    <font>
      <b/>
      <sz val="11"/>
      <name val="Times New Roman Regular"/>
      <charset val="1"/>
    </font>
    <font>
      <sz val="11"/>
      <color theme="1"/>
      <name val="Times New Roman Regular"/>
      <charset val="1"/>
    </font>
    <font>
      <b/>
      <u/>
      <sz val="11"/>
      <color theme="1"/>
      <name val="Times New Roman Regular"/>
      <charset val="134"/>
    </font>
    <font>
      <sz val="12"/>
      <color theme="0"/>
      <name val="Times New Roman Regular"/>
      <charset val="134"/>
    </font>
    <font>
      <sz val="12"/>
      <name val="Times New Roman Regular"/>
      <charset val="1"/>
    </font>
    <font>
      <sz val="11"/>
      <color rgb="FF00B050"/>
      <name val="Times New Roman Regular"/>
      <charset val="1"/>
    </font>
    <font>
      <sz val="11"/>
      <color rgb="FF00B050"/>
      <name val="Times New Roman Regular"/>
      <charset val="134"/>
    </font>
    <font>
      <sz val="12"/>
      <color theme="1"/>
      <name val="Times New Roman Regular"/>
      <charset val="1"/>
    </font>
    <font>
      <sz val="12"/>
      <color theme="1"/>
      <name val="Times New Roman Regular"/>
      <charset val="134"/>
    </font>
    <font>
      <sz val="11"/>
      <color rgb="FF00B050"/>
      <name val="Times New Roman"/>
      <charset val="1"/>
    </font>
    <font>
      <sz val="12"/>
      <color theme="0"/>
      <name val="Times New Roman Regular"/>
      <charset val="1"/>
    </font>
    <font>
      <b/>
      <sz val="12"/>
      <color theme="0"/>
      <name val="Times New Roman"/>
      <charset val="1"/>
    </font>
    <font>
      <b/>
      <sz val="11"/>
      <color theme="0"/>
      <name val="Times New Roman Regular"/>
      <charset val="1"/>
    </font>
    <font>
      <sz val="11"/>
      <color theme="0"/>
      <name val="Times New Roman Regular"/>
      <charset val="1"/>
    </font>
    <font>
      <b/>
      <sz val="24"/>
      <color theme="0"/>
      <name val="Times New Roman"/>
      <charset val="1"/>
    </font>
    <font>
      <sz val="11"/>
      <color theme="0"/>
      <name val="Calibri"/>
      <charset val="134"/>
    </font>
    <font>
      <b/>
      <sz val="10"/>
      <color theme="0"/>
      <name val="Times New Roman"/>
      <charset val="1"/>
    </font>
    <font>
      <i/>
      <sz val="8"/>
      <color theme="0"/>
      <name val="Times New Roman"/>
      <charset val="1"/>
    </font>
    <font>
      <b/>
      <sz val="12"/>
      <name val="Book Antiqua"/>
      <charset val="134"/>
    </font>
    <font>
      <sz val="10"/>
      <name val="Times New Roman"/>
      <charset val="1"/>
    </font>
    <font>
      <sz val="10"/>
      <color rgb="FF00B050"/>
      <name val="Times New Roman"/>
      <charset val="1"/>
    </font>
    <font>
      <sz val="10"/>
      <color rgb="FF0000FF"/>
      <name val="Times New Roman"/>
      <charset val="1"/>
    </font>
    <font>
      <sz val="10"/>
      <color theme="0"/>
      <name val="Times New Roman"/>
      <charset val="1"/>
    </font>
    <font>
      <b/>
      <sz val="11"/>
      <color theme="0"/>
      <name val="Times New Roman"/>
      <charset val="1"/>
    </font>
    <font>
      <sz val="12"/>
      <name val="Book Antiqua"/>
      <charset val="134"/>
    </font>
    <font>
      <sz val="12"/>
      <color theme="1"/>
      <name val="Book Antiqua"/>
      <charset val="134"/>
    </font>
    <font>
      <b/>
      <sz val="10"/>
      <color theme="0"/>
      <name val="Times New Roman Regular"/>
      <charset val="1"/>
    </font>
    <font>
      <b/>
      <sz val="10"/>
      <name val="Times New Roman"/>
      <charset val="1"/>
    </font>
    <font>
      <sz val="11"/>
      <color rgb="FF00B0F0"/>
      <name val="Times New Roman Regular"/>
      <charset val="1"/>
    </font>
    <font>
      <b/>
      <sz val="10"/>
      <color rgb="FFFFFFFF"/>
      <name val="Times New Roman Regular"/>
      <charset val="1"/>
    </font>
    <font>
      <sz val="11"/>
      <color rgb="FF0000FF"/>
      <name val="Times New Roman Regular"/>
      <charset val="1"/>
    </font>
    <font>
      <sz val="10"/>
      <name val="Times New Roman Regular"/>
      <charset val="1"/>
    </font>
    <font>
      <sz val="10"/>
      <color rgb="FF00B0F0"/>
      <name val="Times New Roman Regular"/>
      <charset val="1"/>
    </font>
    <font>
      <b/>
      <i/>
      <sz val="11"/>
      <color theme="1"/>
      <name val="Times New Roman Regular"/>
      <charset val="1"/>
    </font>
    <font>
      <sz val="16"/>
      <color theme="0"/>
      <name val="Times New Roman Regular"/>
      <charset val="134"/>
    </font>
    <font>
      <b/>
      <sz val="14"/>
      <color theme="0"/>
      <name val="Times New Roman Regular"/>
      <charset val="134"/>
    </font>
    <font>
      <b/>
      <sz val="14"/>
      <color theme="2"/>
      <name val="Times New Roman Regular"/>
      <charset val="134"/>
    </font>
    <font>
      <sz val="14"/>
      <color theme="2"/>
      <name val="Times New Roman Regular"/>
      <charset val="134"/>
    </font>
    <font>
      <b/>
      <u/>
      <sz val="14"/>
      <color theme="2"/>
      <name val="Times New Roman Regular"/>
      <charset val="134"/>
    </font>
    <font>
      <sz val="11"/>
      <color theme="2"/>
      <name val="Times New Roman Regular"/>
      <charset val="134"/>
    </font>
    <font>
      <sz val="14"/>
      <color theme="1"/>
      <name val="Times New Roman Regular"/>
      <charset val="134"/>
    </font>
    <font>
      <b/>
      <sz val="11"/>
      <name val="Times New Roman"/>
      <charset val="1"/>
    </font>
    <font>
      <b/>
      <i/>
      <sz val="11"/>
      <color theme="1"/>
      <name val="Times New Roman Regular"/>
      <charset val="134"/>
    </font>
    <font>
      <sz val="11"/>
      <color theme="1"/>
      <name val="Book Antiqua"/>
      <charset val="134"/>
    </font>
    <font>
      <b/>
      <sz val="11"/>
      <color theme="1"/>
      <name val="Book Antiqua"/>
      <charset val="134"/>
    </font>
    <font>
      <b/>
      <sz val="12"/>
      <color rgb="FFFFFFFF"/>
      <name val="Times New Roman"/>
      <charset val="1"/>
    </font>
    <font>
      <b/>
      <sz val="14"/>
      <color theme="1"/>
      <name val="Times New Roman Regular"/>
      <charset val="134"/>
    </font>
    <font>
      <i/>
      <sz val="8"/>
      <color rgb="FF808080"/>
      <name val="Times New Roman"/>
      <charset val="1"/>
    </font>
    <font>
      <i/>
      <sz val="11"/>
      <color theme="1"/>
      <name val="Times New Roman Regular"/>
      <charset val="134"/>
    </font>
    <font>
      <b/>
      <sz val="12"/>
      <color theme="1"/>
      <name val="Book Antiqua"/>
      <charset val="134"/>
    </font>
    <font>
      <b/>
      <sz val="12"/>
      <color theme="1"/>
      <name val="Times New Roman Regular"/>
      <charset val="134"/>
    </font>
    <font>
      <sz val="10"/>
      <color theme="0"/>
      <name val="Times New Roman Regular"/>
      <charset val="134"/>
    </font>
    <font>
      <b/>
      <sz val="12"/>
      <name val="Times New Roman"/>
      <charset val="1"/>
    </font>
    <font>
      <sz val="8.5"/>
      <color rgb="FF231F20"/>
      <name val="Arial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Times New Roman"/>
      <charset val="134"/>
    </font>
    <font>
      <sz val="11"/>
      <color theme="1"/>
      <name val="Arial Narrow"/>
      <charset val="134"/>
    </font>
  </fonts>
  <fills count="40">
    <fill>
      <patternFill patternType="none"/>
    </fill>
    <fill>
      <patternFill patternType="gray125"/>
    </fill>
    <fill>
      <patternFill patternType="solid">
        <fgColor theme="4" tint="-0.5"/>
        <bgColor rgb="FF222A35"/>
      </patternFill>
    </fill>
    <fill>
      <patternFill patternType="solid">
        <fgColor theme="4" tint="-0.5"/>
        <bgColor indexed="64"/>
      </patternFill>
    </fill>
    <fill>
      <patternFill patternType="solid">
        <fgColor theme="4" tint="-0.25"/>
        <bgColor rgb="FF1E386B"/>
      </patternFill>
    </fill>
    <fill>
      <patternFill patternType="solid">
        <fgColor theme="4" tint="0.4"/>
        <bgColor rgb="FF99CCFF"/>
      </patternFill>
    </fill>
    <fill>
      <patternFill patternType="solid">
        <fgColor theme="3" tint="-0.5"/>
        <bgColor rgb="FF231F20"/>
      </patternFill>
    </fill>
    <fill>
      <patternFill patternType="solid">
        <fgColor theme="2" tint="-0.1"/>
        <bgColor rgb="FFCCCCFF"/>
      </patternFill>
    </fill>
    <fill>
      <patternFill patternType="solid">
        <fgColor theme="4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176" fontId="77" fillId="0" borderId="0" applyBorder="0" applyAlignment="0" applyProtection="0"/>
    <xf numFmtId="177" fontId="77" fillId="0" borderId="0" applyBorder="0" applyAlignment="0" applyProtection="0"/>
    <xf numFmtId="9" fontId="77" fillId="0" borderId="0" applyBorder="0" applyAlignment="0" applyProtection="0"/>
    <xf numFmtId="178" fontId="77" fillId="0" borderId="0" applyBorder="0" applyAlignment="0" applyProtection="0"/>
    <xf numFmtId="179" fontId="77" fillId="0" borderId="0" applyBorder="0" applyAlignment="0" applyProtection="0"/>
    <xf numFmtId="0" fontId="78" fillId="0" borderId="0" applyNumberFormat="0" applyFill="0" applyBorder="0" applyAlignment="0" applyProtection="0">
      <alignment vertical="center"/>
    </xf>
    <xf numFmtId="0" fontId="79" fillId="0" borderId="0" applyNumberFormat="0" applyFill="0" applyBorder="0" applyAlignment="0" applyProtection="0">
      <alignment vertical="center"/>
    </xf>
    <xf numFmtId="0" fontId="80" fillId="9" borderId="10" applyNumberFormat="0" applyFont="0" applyAlignment="0" applyProtection="0">
      <alignment vertical="center"/>
    </xf>
    <xf numFmtId="0" fontId="81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4" fillId="0" borderId="11" applyNumberFormat="0" applyFill="0" applyAlignment="0" applyProtection="0">
      <alignment vertical="center"/>
    </xf>
    <xf numFmtId="0" fontId="85" fillId="0" borderId="11" applyNumberFormat="0" applyFill="0" applyAlignment="0" applyProtection="0">
      <alignment vertical="center"/>
    </xf>
    <xf numFmtId="0" fontId="86" fillId="0" borderId="12" applyNumberFormat="0" applyFill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10" borderId="13" applyNumberFormat="0" applyAlignment="0" applyProtection="0">
      <alignment vertical="center"/>
    </xf>
    <xf numFmtId="0" fontId="88" fillId="11" borderId="14" applyNumberFormat="0" applyAlignment="0" applyProtection="0">
      <alignment vertical="center"/>
    </xf>
    <xf numFmtId="0" fontId="89" fillId="11" borderId="13" applyNumberFormat="0" applyAlignment="0" applyProtection="0">
      <alignment vertical="center"/>
    </xf>
    <xf numFmtId="0" fontId="90" fillId="12" borderId="15" applyNumberFormat="0" applyAlignment="0" applyProtection="0">
      <alignment vertical="center"/>
    </xf>
    <xf numFmtId="0" fontId="91" fillId="0" borderId="16" applyNumberFormat="0" applyFill="0" applyAlignment="0" applyProtection="0">
      <alignment vertical="center"/>
    </xf>
    <xf numFmtId="0" fontId="92" fillId="0" borderId="17" applyNumberFormat="0" applyFill="0" applyAlignment="0" applyProtection="0">
      <alignment vertical="center"/>
    </xf>
    <xf numFmtId="0" fontId="93" fillId="13" borderId="0" applyNumberFormat="0" applyBorder="0" applyAlignment="0" applyProtection="0">
      <alignment vertical="center"/>
    </xf>
    <xf numFmtId="0" fontId="94" fillId="14" borderId="0" applyNumberFormat="0" applyBorder="0" applyAlignment="0" applyProtection="0">
      <alignment vertical="center"/>
    </xf>
    <xf numFmtId="0" fontId="95" fillId="15" borderId="0" applyNumberFormat="0" applyBorder="0" applyAlignment="0" applyProtection="0">
      <alignment vertical="center"/>
    </xf>
    <xf numFmtId="0" fontId="96" fillId="16" borderId="0" applyNumberFormat="0" applyBorder="0" applyAlignment="0" applyProtection="0">
      <alignment vertical="center"/>
    </xf>
    <xf numFmtId="0" fontId="97" fillId="17" borderId="0" applyNumberFormat="0" applyBorder="0" applyAlignment="0" applyProtection="0">
      <alignment vertical="center"/>
    </xf>
    <xf numFmtId="0" fontId="97" fillId="18" borderId="0" applyNumberFormat="0" applyBorder="0" applyAlignment="0" applyProtection="0">
      <alignment vertical="center"/>
    </xf>
    <xf numFmtId="0" fontId="96" fillId="19" borderId="0" applyNumberFormat="0" applyBorder="0" applyAlignment="0" applyProtection="0">
      <alignment vertical="center"/>
    </xf>
    <xf numFmtId="0" fontId="96" fillId="20" borderId="0" applyNumberFormat="0" applyBorder="0" applyAlignment="0" applyProtection="0">
      <alignment vertical="center"/>
    </xf>
    <xf numFmtId="0" fontId="97" fillId="21" borderId="0" applyNumberFormat="0" applyBorder="0" applyAlignment="0" applyProtection="0">
      <alignment vertical="center"/>
    </xf>
    <xf numFmtId="0" fontId="97" fillId="22" borderId="0" applyNumberFormat="0" applyBorder="0" applyAlignment="0" applyProtection="0">
      <alignment vertical="center"/>
    </xf>
    <xf numFmtId="0" fontId="96" fillId="23" borderId="0" applyNumberFormat="0" applyBorder="0" applyAlignment="0" applyProtection="0">
      <alignment vertical="center"/>
    </xf>
    <xf numFmtId="0" fontId="96" fillId="24" borderId="0" applyNumberFormat="0" applyBorder="0" applyAlignment="0" applyProtection="0">
      <alignment vertical="center"/>
    </xf>
    <xf numFmtId="0" fontId="97" fillId="25" borderId="0" applyNumberFormat="0" applyBorder="0" applyAlignment="0" applyProtection="0">
      <alignment vertical="center"/>
    </xf>
    <xf numFmtId="0" fontId="97" fillId="26" borderId="0" applyNumberFormat="0" applyBorder="0" applyAlignment="0" applyProtection="0">
      <alignment vertical="center"/>
    </xf>
    <xf numFmtId="0" fontId="96" fillId="27" borderId="0" applyNumberFormat="0" applyBorder="0" applyAlignment="0" applyProtection="0">
      <alignment vertical="center"/>
    </xf>
    <xf numFmtId="0" fontId="96" fillId="28" borderId="0" applyNumberFormat="0" applyBorder="0" applyAlignment="0" applyProtection="0">
      <alignment vertical="center"/>
    </xf>
    <xf numFmtId="0" fontId="97" fillId="29" borderId="0" applyNumberFormat="0" applyBorder="0" applyAlignment="0" applyProtection="0">
      <alignment vertical="center"/>
    </xf>
    <xf numFmtId="0" fontId="97" fillId="30" borderId="0" applyNumberFormat="0" applyBorder="0" applyAlignment="0" applyProtection="0">
      <alignment vertical="center"/>
    </xf>
    <xf numFmtId="0" fontId="96" fillId="31" borderId="0" applyNumberFormat="0" applyBorder="0" applyAlignment="0" applyProtection="0">
      <alignment vertical="center"/>
    </xf>
    <xf numFmtId="0" fontId="96" fillId="32" borderId="0" applyNumberFormat="0" applyBorder="0" applyAlignment="0" applyProtection="0">
      <alignment vertical="center"/>
    </xf>
    <xf numFmtId="0" fontId="97" fillId="33" borderId="0" applyNumberFormat="0" applyBorder="0" applyAlignment="0" applyProtection="0">
      <alignment vertical="center"/>
    </xf>
    <xf numFmtId="0" fontId="97" fillId="34" borderId="0" applyNumberFormat="0" applyBorder="0" applyAlignment="0" applyProtection="0">
      <alignment vertical="center"/>
    </xf>
    <xf numFmtId="0" fontId="96" fillId="35" borderId="0" applyNumberFormat="0" applyBorder="0" applyAlignment="0" applyProtection="0">
      <alignment vertical="center"/>
    </xf>
    <xf numFmtId="0" fontId="96" fillId="36" borderId="0" applyNumberFormat="0" applyBorder="0" applyAlignment="0" applyProtection="0">
      <alignment vertical="center"/>
    </xf>
    <xf numFmtId="0" fontId="97" fillId="37" borderId="0" applyNumberFormat="0" applyBorder="0" applyAlignment="0" applyProtection="0">
      <alignment vertical="center"/>
    </xf>
    <xf numFmtId="0" fontId="97" fillId="38" borderId="0" applyNumberFormat="0" applyBorder="0" applyAlignment="0" applyProtection="0">
      <alignment vertical="center"/>
    </xf>
    <xf numFmtId="0" fontId="96" fillId="39" borderId="0" applyNumberFormat="0" applyBorder="0" applyAlignment="0" applyProtection="0">
      <alignment vertical="center"/>
    </xf>
    <xf numFmtId="0" fontId="0" fillId="0" borderId="0"/>
    <xf numFmtId="0" fontId="98" fillId="0" borderId="0"/>
    <xf numFmtId="0" fontId="99" fillId="0" borderId="0"/>
  </cellStyleXfs>
  <cellXfs count="332">
    <xf numFmtId="0" fontId="0" fillId="0" borderId="0" xfId="0">
      <alignment vertical="center"/>
    </xf>
    <xf numFmtId="0" fontId="0" fillId="0" borderId="0" xfId="0" applyAlignme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3" fillId="2" borderId="0" xfId="0" applyFont="1" applyFill="1" applyAlignment="1"/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horizontal="right"/>
    </xf>
    <xf numFmtId="0" fontId="3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/>
    <xf numFmtId="0" fontId="8" fillId="2" borderId="0" xfId="0" applyFont="1" applyFill="1" applyAlignment="1"/>
    <xf numFmtId="0" fontId="8" fillId="2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0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180" fontId="10" fillId="0" borderId="0" xfId="0" applyNumberFormat="1" applyFont="1" applyAlignment="1">
      <alignment horizontal="center"/>
    </xf>
    <xf numFmtId="18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80" fontId="10" fillId="0" borderId="0" xfId="0" applyNumberFormat="1" applyFont="1" applyAlignment="1"/>
    <xf numFmtId="0" fontId="1" fillId="0" borderId="0" xfId="0" applyFont="1" applyAlignment="1">
      <alignment horizontal="center"/>
    </xf>
    <xf numFmtId="181" fontId="8" fillId="0" borderId="1" xfId="0" applyNumberFormat="1" applyFont="1" applyBorder="1" applyAlignment="1">
      <alignment horizontal="center" vertical="center"/>
    </xf>
    <xf numFmtId="181" fontId="10" fillId="0" borderId="1" xfId="0" applyNumberFormat="1" applyFont="1" applyBorder="1" applyAlignment="1">
      <alignment horizontal="center"/>
    </xf>
    <xf numFmtId="180" fontId="11" fillId="0" borderId="0" xfId="0" applyNumberFormat="1" applyFont="1" applyAlignment="1">
      <alignment horizontal="right"/>
    </xf>
    <xf numFmtId="180" fontId="12" fillId="0" borderId="0" xfId="0" applyNumberFormat="1" applyFont="1" applyAlignment="1">
      <alignment horizontal="center"/>
    </xf>
    <xf numFmtId="3" fontId="13" fillId="0" borderId="0" xfId="0" applyNumberFormat="1" applyFont="1" applyAlignment="1">
      <alignment horizontal="center" vertical="center"/>
    </xf>
    <xf numFmtId="181" fontId="8" fillId="0" borderId="0" xfId="0" applyNumberFormat="1" applyFont="1" applyBorder="1" applyAlignment="1">
      <alignment horizontal="center" vertical="center"/>
    </xf>
    <xf numFmtId="181" fontId="8" fillId="0" borderId="0" xfId="0" applyNumberFormat="1" applyFont="1" applyAlignment="1">
      <alignment horizontal="center" vertical="center"/>
    </xf>
    <xf numFmtId="181" fontId="10" fillId="0" borderId="0" xfId="0" applyNumberFormat="1" applyFont="1" applyAlignment="1">
      <alignment horizontal="center"/>
    </xf>
    <xf numFmtId="0" fontId="14" fillId="0" borderId="0" xfId="0" applyFont="1" applyAlignment="1">
      <alignment horizontal="right" vertical="center"/>
    </xf>
    <xf numFmtId="0" fontId="12" fillId="0" borderId="0" xfId="0" applyFont="1" applyAlignment="1">
      <alignment horizontal="center"/>
    </xf>
    <xf numFmtId="3" fontId="12" fillId="0" borderId="0" xfId="0" applyNumberFormat="1" applyFont="1" applyAlignment="1">
      <alignment horizontal="center"/>
    </xf>
    <xf numFmtId="0" fontId="15" fillId="0" borderId="0" xfId="0" applyFont="1" applyAlignment="1"/>
    <xf numFmtId="3" fontId="11" fillId="0" borderId="0" xfId="0" applyNumberFormat="1" applyFont="1" applyAlignment="1">
      <alignment horizontal="right"/>
    </xf>
    <xf numFmtId="0" fontId="16" fillId="0" borderId="0" xfId="0" applyFont="1" applyAlignment="1">
      <alignment horizontal="right" vertical="center"/>
    </xf>
    <xf numFmtId="0" fontId="13" fillId="0" borderId="0" xfId="0" applyFont="1" applyAlignment="1">
      <alignment vertical="center"/>
    </xf>
    <xf numFmtId="0" fontId="3" fillId="3" borderId="0" xfId="0" applyFont="1" applyFill="1" applyAlignment="1"/>
    <xf numFmtId="0" fontId="17" fillId="3" borderId="0" xfId="0" applyFont="1" applyFill="1" applyBorder="1" applyAlignment="1">
      <alignment horizontal="left" vertical="center" wrapText="1"/>
    </xf>
    <xf numFmtId="181" fontId="4" fillId="3" borderId="0" xfId="0" applyNumberFormat="1" applyFont="1" applyFill="1" applyBorder="1" applyAlignment="1"/>
    <xf numFmtId="181" fontId="4" fillId="3" borderId="0" xfId="0" applyNumberFormat="1" applyFont="1" applyFill="1" applyBorder="1" applyAlignment="1">
      <alignment vertical="center"/>
    </xf>
    <xf numFmtId="181" fontId="18" fillId="3" borderId="0" xfId="0" applyNumberFormat="1" applyFont="1" applyFill="1" applyBorder="1" applyAlignment="1"/>
    <xf numFmtId="3" fontId="18" fillId="3" borderId="0" xfId="0" applyNumberFormat="1" applyFont="1" applyFill="1" applyBorder="1" applyAlignment="1">
      <alignment horizontal="right" vertical="center"/>
    </xf>
    <xf numFmtId="0" fontId="19" fillId="0" borderId="0" xfId="0" applyFont="1" applyAlignment="1">
      <alignment horizontal="left"/>
    </xf>
    <xf numFmtId="0" fontId="13" fillId="0" borderId="0" xfId="0" applyFont="1" applyAlignment="1">
      <alignment horizontal="center" vertical="center"/>
    </xf>
    <xf numFmtId="0" fontId="20" fillId="0" borderId="0" xfId="0" applyFont="1" applyAlignment="1">
      <alignment horizontal="center"/>
    </xf>
    <xf numFmtId="180" fontId="20" fillId="0" borderId="0" xfId="0" applyNumberFormat="1" applyFont="1" applyAlignment="1">
      <alignment horizontal="center"/>
    </xf>
    <xf numFmtId="3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vertical="center"/>
    </xf>
    <xf numFmtId="0" fontId="10" fillId="0" borderId="0" xfId="0" applyFont="1" applyAlignment="1">
      <alignment indent="1"/>
    </xf>
    <xf numFmtId="0" fontId="22" fillId="0" borderId="0" xfId="0" applyFont="1" applyAlignment="1">
      <alignment vertical="center"/>
    </xf>
    <xf numFmtId="0" fontId="23" fillId="0" borderId="0" xfId="0" applyFont="1" applyAlignment="1"/>
    <xf numFmtId="0" fontId="4" fillId="0" borderId="0" xfId="0" applyFont="1" applyAlignment="1">
      <alignment vertical="center"/>
    </xf>
    <xf numFmtId="180" fontId="23" fillId="0" borderId="0" xfId="0" applyNumberFormat="1" applyFont="1" applyAlignment="1"/>
    <xf numFmtId="0" fontId="24" fillId="0" borderId="0" xfId="0" applyFont="1" applyAlignment="1"/>
    <xf numFmtId="0" fontId="10" fillId="0" borderId="0" xfId="0" applyFont="1" applyAlignment="1"/>
    <xf numFmtId="0" fontId="25" fillId="0" borderId="0" xfId="0" applyFont="1" applyAlignment="1">
      <alignment vertical="center"/>
    </xf>
    <xf numFmtId="0" fontId="10" fillId="0" borderId="0" xfId="0" applyFont="1" applyAlignment="1">
      <alignment horizontal="left" vertical="center" indent="2"/>
    </xf>
    <xf numFmtId="0" fontId="1" fillId="0" borderId="0" xfId="0" applyFont="1" applyAlignment="1">
      <alignment horizontal="right" vertical="center"/>
    </xf>
    <xf numFmtId="0" fontId="10" fillId="0" borderId="0" xfId="0" applyFont="1" applyAlignment="1">
      <alignment horizontal="left" indent="2"/>
    </xf>
    <xf numFmtId="0" fontId="25" fillId="0" borderId="0" xfId="0" applyFont="1" applyAlignment="1"/>
    <xf numFmtId="180" fontId="23" fillId="0" borderId="2" xfId="0" applyNumberFormat="1" applyFont="1" applyBorder="1" applyAlignment="1"/>
    <xf numFmtId="0" fontId="4" fillId="0" borderId="0" xfId="0" applyFont="1" applyAlignment="1"/>
    <xf numFmtId="0" fontId="9" fillId="4" borderId="0" xfId="0" applyFont="1" applyFill="1" applyAlignment="1"/>
    <xf numFmtId="0" fontId="9" fillId="4" borderId="0" xfId="0" applyFont="1" applyFill="1" applyAlignment="1">
      <alignment horizontal="center" vertical="center"/>
    </xf>
    <xf numFmtId="0" fontId="10" fillId="5" borderId="0" xfId="0" applyFont="1" applyFill="1" applyAlignment="1">
      <alignment indent="1"/>
    </xf>
    <xf numFmtId="0" fontId="1" fillId="5" borderId="0" xfId="0" applyFont="1" applyFill="1" applyAlignment="1">
      <alignment vertical="center"/>
    </xf>
    <xf numFmtId="180" fontId="10" fillId="5" borderId="0" xfId="0" applyNumberFormat="1" applyFont="1" applyFill="1" applyAlignment="1"/>
    <xf numFmtId="0" fontId="0" fillId="5" borderId="0" xfId="0" applyFill="1" applyAlignment="1">
      <alignment vertical="center"/>
    </xf>
    <xf numFmtId="0" fontId="24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180" fontId="20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7" fillId="6" borderId="0" xfId="0" applyFont="1" applyFill="1" applyAlignment="1"/>
    <xf numFmtId="0" fontId="5" fillId="2" borderId="0" xfId="0" applyFont="1" applyFill="1" applyAlignment="1">
      <alignment horizontal="center"/>
    </xf>
    <xf numFmtId="0" fontId="26" fillId="2" borderId="0" xfId="0" applyFont="1" applyFill="1" applyAlignment="1">
      <alignment vertical="center"/>
    </xf>
    <xf numFmtId="0" fontId="26" fillId="2" borderId="0" xfId="0" applyFont="1" applyFill="1" applyAlignment="1">
      <alignment horizontal="right" vertical="center"/>
    </xf>
    <xf numFmtId="0" fontId="26" fillId="2" borderId="3" xfId="0" applyFont="1" applyFill="1" applyBorder="1" applyAlignment="1">
      <alignment horizontal="center" vertical="center"/>
    </xf>
    <xf numFmtId="0" fontId="26" fillId="2" borderId="0" xfId="0" applyFont="1" applyFill="1" applyAlignment="1">
      <alignment horizontal="center" vertical="center"/>
    </xf>
    <xf numFmtId="0" fontId="27" fillId="0" borderId="0" xfId="0" applyFont="1" applyAlignment="1">
      <alignment horizontal="left"/>
    </xf>
    <xf numFmtId="180" fontId="28" fillId="0" borderId="0" xfId="0" applyNumberFormat="1" applyFont="1" applyAlignment="1">
      <alignment horizontal="center"/>
    </xf>
    <xf numFmtId="3" fontId="29" fillId="0" borderId="0" xfId="0" applyNumberFormat="1" applyFont="1" applyAlignment="1">
      <alignment horizontal="center" vertical="center"/>
    </xf>
    <xf numFmtId="182" fontId="1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left"/>
    </xf>
    <xf numFmtId="0" fontId="31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80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/>
    </xf>
    <xf numFmtId="0" fontId="29" fillId="0" borderId="0" xfId="0" applyFont="1" applyAlignment="1">
      <alignment horizontal="center" vertical="center"/>
    </xf>
    <xf numFmtId="0" fontId="19" fillId="0" borderId="0" xfId="0" applyFont="1" applyAlignment="1">
      <alignment indent="1"/>
    </xf>
    <xf numFmtId="0" fontId="19" fillId="0" borderId="0" xfId="0" applyFont="1" applyAlignment="1">
      <alignment vertical="center"/>
    </xf>
    <xf numFmtId="183" fontId="32" fillId="0" borderId="0" xfId="0" applyNumberFormat="1" applyFont="1" applyAlignment="1">
      <alignment horizontal="center"/>
    </xf>
    <xf numFmtId="183" fontId="19" fillId="0" borderId="0" xfId="0" applyNumberFormat="1" applyFont="1" applyAlignment="1">
      <alignment horizontal="center"/>
    </xf>
    <xf numFmtId="183" fontId="19" fillId="0" borderId="0" xfId="0" applyNumberFormat="1" applyFont="1" applyAlignment="1">
      <alignment horizontal="center" vertical="center"/>
    </xf>
    <xf numFmtId="183" fontId="32" fillId="0" borderId="0" xfId="0" applyNumberFormat="1" applyFont="1" applyAlignment="1">
      <alignment horizontal="center" vertical="center"/>
    </xf>
    <xf numFmtId="2" fontId="19" fillId="0" borderId="0" xfId="0" applyNumberFormat="1" applyFont="1" applyAlignment="1">
      <alignment horizontal="center" vertical="center"/>
    </xf>
    <xf numFmtId="0" fontId="33" fillId="0" borderId="0" xfId="0" applyFont="1" applyAlignment="1">
      <alignment indent="1"/>
    </xf>
    <xf numFmtId="182" fontId="9" fillId="0" borderId="0" xfId="0" applyNumberFormat="1" applyFont="1" applyAlignment="1">
      <alignment horizontal="center" vertical="center"/>
    </xf>
    <xf numFmtId="0" fontId="34" fillId="4" borderId="0" xfId="0" applyFont="1" applyFill="1" applyAlignment="1"/>
    <xf numFmtId="0" fontId="3" fillId="4" borderId="0" xfId="0" applyFont="1" applyFill="1" applyAlignment="1">
      <alignment vertical="center"/>
    </xf>
    <xf numFmtId="180" fontId="35" fillId="4" borderId="0" xfId="0" applyNumberFormat="1" applyFont="1" applyFill="1" applyAlignment="1">
      <alignment horizontal="center"/>
    </xf>
    <xf numFmtId="182" fontId="9" fillId="4" borderId="0" xfId="0" applyNumberFormat="1" applyFont="1" applyFill="1" applyAlignment="1">
      <alignment horizontal="center" vertical="center"/>
    </xf>
    <xf numFmtId="0" fontId="9" fillId="4" borderId="0" xfId="0" applyFont="1" applyFill="1" applyAlignment="1">
      <alignment vertical="center"/>
    </xf>
    <xf numFmtId="0" fontId="36" fillId="4" borderId="0" xfId="0" applyFont="1" applyFill="1" applyAlignment="1">
      <alignment horizontal="center"/>
    </xf>
    <xf numFmtId="0" fontId="19" fillId="0" borderId="0" xfId="0" applyFont="1" applyAlignment="1"/>
    <xf numFmtId="0" fontId="26" fillId="0" borderId="0" xfId="0" applyFont="1" applyAlignment="1">
      <alignment horizontal="right"/>
    </xf>
    <xf numFmtId="0" fontId="26" fillId="0" borderId="0" xfId="0" applyFont="1" applyAlignment="1"/>
    <xf numFmtId="182" fontId="1" fillId="0" borderId="0" xfId="0" applyNumberFormat="1" applyFont="1" applyAlignment="1">
      <alignment vertical="center"/>
    </xf>
    <xf numFmtId="184" fontId="10" fillId="0" borderId="0" xfId="0" applyNumberFormat="1" applyFont="1" applyAlignment="1">
      <alignment horizontal="center"/>
    </xf>
    <xf numFmtId="0" fontId="34" fillId="4" borderId="0" xfId="0" applyFont="1" applyFill="1" applyAlignment="1">
      <alignment indent="1"/>
    </xf>
    <xf numFmtId="182" fontId="34" fillId="4" borderId="0" xfId="0" applyNumberFormat="1" applyFont="1" applyFill="1" applyAlignment="1">
      <alignment vertical="center"/>
    </xf>
    <xf numFmtId="184" fontId="34" fillId="4" borderId="0" xfId="0" applyNumberFormat="1" applyFont="1" applyFill="1" applyAlignment="1">
      <alignment horizontal="center"/>
    </xf>
    <xf numFmtId="180" fontId="34" fillId="4" borderId="0" xfId="0" applyNumberFormat="1" applyFont="1" applyFill="1" applyAlignment="1">
      <alignment horizontal="center"/>
    </xf>
    <xf numFmtId="182" fontId="19" fillId="0" borderId="0" xfId="0" applyNumberFormat="1" applyFont="1" applyAlignment="1">
      <alignment vertical="center"/>
    </xf>
    <xf numFmtId="0" fontId="24" fillId="0" borderId="0" xfId="0" applyFont="1" applyAlignment="1">
      <alignment horizontal="center"/>
    </xf>
    <xf numFmtId="180" fontId="23" fillId="0" borderId="0" xfId="0" applyNumberFormat="1" applyFont="1" applyAlignment="1">
      <alignment horizontal="center"/>
    </xf>
    <xf numFmtId="180" fontId="23" fillId="0" borderId="2" xfId="0" applyNumberFormat="1" applyFont="1" applyBorder="1" applyAlignment="1">
      <alignment horizontal="center"/>
    </xf>
    <xf numFmtId="0" fontId="37" fillId="2" borderId="0" xfId="0" applyFont="1" applyFill="1" applyAlignment="1">
      <alignment vertical="center"/>
    </xf>
    <xf numFmtId="0" fontId="38" fillId="2" borderId="0" xfId="0" applyFont="1" applyFill="1" applyAlignment="1">
      <alignment vertical="center"/>
    </xf>
    <xf numFmtId="0" fontId="39" fillId="2" borderId="0" xfId="0" applyFont="1" applyFill="1" applyAlignment="1"/>
    <xf numFmtId="0" fontId="3" fillId="2" borderId="0" xfId="0" applyFont="1" applyFill="1" applyAlignment="1">
      <alignment vertical="center"/>
    </xf>
    <xf numFmtId="0" fontId="40" fillId="2" borderId="0" xfId="0" applyFont="1" applyFill="1" applyAlignment="1"/>
    <xf numFmtId="0" fontId="0" fillId="2" borderId="0" xfId="0" applyFill="1" applyAlignment="1"/>
    <xf numFmtId="0" fontId="34" fillId="2" borderId="0" xfId="0" applyFont="1" applyFill="1" applyAlignment="1"/>
    <xf numFmtId="0" fontId="38" fillId="2" borderId="0" xfId="0" applyFont="1" applyFill="1" applyAlignment="1"/>
    <xf numFmtId="0" fontId="41" fillId="0" borderId="0" xfId="0" applyFont="1" applyAlignment="1">
      <alignment horizontal="right"/>
    </xf>
    <xf numFmtId="0" fontId="41" fillId="0" borderId="4" xfId="0" applyFont="1" applyBorder="1" applyAlignment="1"/>
    <xf numFmtId="0" fontId="41" fillId="0" borderId="4" xfId="0" applyFont="1" applyBorder="1" applyAlignment="1">
      <alignment horizontal="right"/>
    </xf>
    <xf numFmtId="0" fontId="42" fillId="0" borderId="1" xfId="0" applyFont="1" applyBorder="1" applyAlignment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/>
    </xf>
    <xf numFmtId="3" fontId="43" fillId="0" borderId="1" xfId="0" applyNumberFormat="1" applyFont="1" applyBorder="1" applyAlignment="1">
      <alignment horizontal="center"/>
    </xf>
    <xf numFmtId="10" fontId="42" fillId="0" borderId="1" xfId="0" applyNumberFormat="1" applyFont="1" applyBorder="1" applyAlignment="1">
      <alignment horizontal="center"/>
    </xf>
    <xf numFmtId="2" fontId="44" fillId="0" borderId="1" xfId="0" applyNumberFormat="1" applyFont="1" applyBorder="1" applyAlignment="1">
      <alignment horizontal="center"/>
    </xf>
    <xf numFmtId="2" fontId="42" fillId="0" borderId="1" xfId="0" applyNumberFormat="1" applyFont="1" applyBorder="1" applyAlignment="1">
      <alignment horizontal="center"/>
    </xf>
    <xf numFmtId="0" fontId="42" fillId="0" borderId="0" xfId="0" applyFont="1" applyAlignment="1"/>
    <xf numFmtId="0" fontId="0" fillId="0" borderId="0" xfId="0" applyAlignment="1">
      <alignment horizontal="center"/>
    </xf>
    <xf numFmtId="3" fontId="43" fillId="0" borderId="0" xfId="0" applyNumberFormat="1" applyFont="1" applyAlignment="1">
      <alignment horizontal="center"/>
    </xf>
    <xf numFmtId="10" fontId="42" fillId="0" borderId="0" xfId="0" applyNumberFormat="1" applyFont="1" applyAlignment="1">
      <alignment horizontal="center"/>
    </xf>
    <xf numFmtId="2" fontId="44" fillId="0" borderId="0" xfId="0" applyNumberFormat="1" applyFont="1" applyAlignment="1">
      <alignment horizontal="center"/>
    </xf>
    <xf numFmtId="2" fontId="42" fillId="0" borderId="0" xfId="0" applyNumberFormat="1" applyFont="1" applyAlignment="1">
      <alignment horizontal="center"/>
    </xf>
    <xf numFmtId="0" fontId="39" fillId="4" borderId="5" xfId="0" applyFont="1" applyFill="1" applyBorder="1" applyAlignment="1"/>
    <xf numFmtId="0" fontId="38" fillId="4" borderId="5" xfId="0" applyFont="1" applyFill="1" applyBorder="1" applyAlignment="1">
      <alignment vertical="center"/>
    </xf>
    <xf numFmtId="0" fontId="38" fillId="4" borderId="5" xfId="0" applyFont="1" applyFill="1" applyBorder="1" applyAlignment="1"/>
    <xf numFmtId="10" fontId="45" fillId="4" borderId="5" xfId="0" applyNumberFormat="1" applyFont="1" applyFill="1" applyBorder="1" applyAlignment="1"/>
    <xf numFmtId="2" fontId="45" fillId="4" borderId="5" xfId="0" applyNumberFormat="1" applyFont="1" applyFill="1" applyBorder="1" applyAlignment="1"/>
    <xf numFmtId="0" fontId="0" fillId="4" borderId="5" xfId="0" applyFill="1" applyBorder="1" applyAlignment="1">
      <alignment vertical="center"/>
    </xf>
    <xf numFmtId="0" fontId="39" fillId="4" borderId="0" xfId="0" applyFont="1" applyFill="1" applyAlignment="1"/>
    <xf numFmtId="0" fontId="38" fillId="4" borderId="0" xfId="0" applyFont="1" applyFill="1" applyAlignment="1">
      <alignment vertical="center"/>
    </xf>
    <xf numFmtId="0" fontId="38" fillId="4" borderId="0" xfId="0" applyFont="1" applyFill="1" applyAlignment="1"/>
    <xf numFmtId="10" fontId="45" fillId="4" borderId="0" xfId="0" applyNumberFormat="1" applyFont="1" applyFill="1" applyAlignment="1"/>
    <xf numFmtId="2" fontId="45" fillId="4" borderId="0" xfId="0" applyNumberFormat="1" applyFont="1" applyFill="1" applyAlignment="1"/>
    <xf numFmtId="0" fontId="0" fillId="4" borderId="0" xfId="0" applyFill="1" applyAlignment="1">
      <alignment vertical="center"/>
    </xf>
    <xf numFmtId="0" fontId="39" fillId="5" borderId="0" xfId="0" applyFont="1" applyFill="1" applyAlignment="1"/>
    <xf numFmtId="0" fontId="38" fillId="5" borderId="0" xfId="0" applyFont="1" applyFill="1" applyAlignment="1">
      <alignment vertical="center"/>
    </xf>
    <xf numFmtId="0" fontId="38" fillId="5" borderId="0" xfId="0" applyFont="1" applyFill="1" applyAlignment="1"/>
    <xf numFmtId="3" fontId="45" fillId="5" borderId="0" xfId="0" applyNumberFormat="1" applyFont="1" applyFill="1" applyAlignment="1"/>
    <xf numFmtId="0" fontId="0" fillId="5" borderId="0" xfId="0" applyFill="1" applyAlignment="1"/>
    <xf numFmtId="0" fontId="46" fillId="4" borderId="0" xfId="0" applyFont="1" applyFill="1" applyAlignment="1"/>
    <xf numFmtId="0" fontId="47" fillId="0" borderId="0" xfId="0" applyFont="1" applyAlignment="1"/>
    <xf numFmtId="0" fontId="41" fillId="0" borderId="0" xfId="0" applyFont="1" applyAlignment="1">
      <alignment horizontal="center"/>
    </xf>
    <xf numFmtId="0" fontId="48" fillId="0" borderId="0" xfId="0" applyFont="1" applyAlignment="1"/>
    <xf numFmtId="0" fontId="41" fillId="0" borderId="0" xfId="0" applyFont="1" applyAlignment="1"/>
    <xf numFmtId="0" fontId="0" fillId="0" borderId="1" xfId="0" applyBorder="1" applyAlignment="1"/>
    <xf numFmtId="10" fontId="42" fillId="0" borderId="1" xfId="0" applyNumberFormat="1" applyFont="1" applyBorder="1" applyAlignment="1"/>
    <xf numFmtId="10" fontId="42" fillId="0" borderId="0" xfId="0" applyNumberFormat="1" applyFont="1" applyAlignment="1"/>
    <xf numFmtId="3" fontId="42" fillId="0" borderId="0" xfId="0" applyNumberFormat="1" applyFont="1" applyAlignment="1"/>
    <xf numFmtId="0" fontId="49" fillId="4" borderId="0" xfId="0" applyFont="1" applyFill="1" applyAlignment="1"/>
    <xf numFmtId="10" fontId="43" fillId="0" borderId="0" xfId="0" applyNumberFormat="1" applyFont="1" applyAlignment="1"/>
    <xf numFmtId="10" fontId="44" fillId="0" borderId="0" xfId="0" applyNumberFormat="1" applyFont="1" applyAlignment="1"/>
    <xf numFmtId="2" fontId="42" fillId="0" borderId="0" xfId="0" applyNumberFormat="1" applyFont="1" applyAlignment="1"/>
    <xf numFmtId="0" fontId="50" fillId="0" borderId="1" xfId="0" applyFont="1" applyBorder="1" applyAlignment="1"/>
    <xf numFmtId="10" fontId="50" fillId="0" borderId="1" xfId="0" applyNumberFormat="1" applyFont="1" applyBorder="1" applyAlignment="1"/>
    <xf numFmtId="0" fontId="17" fillId="2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185" fontId="4" fillId="0" borderId="0" xfId="0" applyNumberFormat="1" applyFont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10" fontId="10" fillId="0" borderId="0" xfId="0" applyNumberFormat="1" applyFont="1" applyAlignment="1"/>
    <xf numFmtId="58" fontId="13" fillId="0" borderId="0" xfId="0" applyNumberFormat="1" applyFont="1" applyAlignment="1">
      <alignment horizontal="center" vertical="center" wrapText="1"/>
    </xf>
    <xf numFmtId="4" fontId="13" fillId="0" borderId="0" xfId="0" applyNumberFormat="1" applyFont="1" applyAlignment="1">
      <alignment horizontal="center" vertical="center" wrapText="1"/>
    </xf>
    <xf numFmtId="0" fontId="1" fillId="7" borderId="6" xfId="0" applyFont="1" applyFill="1" applyBorder="1" applyAlignment="1">
      <alignment vertical="center"/>
    </xf>
    <xf numFmtId="10" fontId="1" fillId="7" borderId="6" xfId="0" applyNumberFormat="1" applyFont="1" applyFill="1" applyBorder="1" applyAlignment="1">
      <alignment vertical="center"/>
    </xf>
    <xf numFmtId="0" fontId="4" fillId="0" borderId="4" xfId="0" applyFont="1" applyBorder="1" applyAlignment="1"/>
    <xf numFmtId="0" fontId="4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185" fontId="4" fillId="0" borderId="4" xfId="0" applyNumberFormat="1" applyFont="1" applyBorder="1" applyAlignment="1">
      <alignment horizontal="center" vertical="center"/>
    </xf>
    <xf numFmtId="0" fontId="1" fillId="0" borderId="1" xfId="0" applyFont="1" applyBorder="1" applyAlignment="1"/>
    <xf numFmtId="10" fontId="10" fillId="0" borderId="7" xfId="0" applyNumberFormat="1" applyFont="1" applyBorder="1" applyAlignment="1">
      <alignment horizontal="center" vertical="center"/>
    </xf>
    <xf numFmtId="0" fontId="1" fillId="0" borderId="0" xfId="0" applyFont="1" applyAlignment="1"/>
    <xf numFmtId="10" fontId="10" fillId="0" borderId="6" xfId="0" applyNumberFormat="1" applyFont="1" applyBorder="1" applyAlignment="1">
      <alignment horizontal="center" vertical="center"/>
    </xf>
    <xf numFmtId="10" fontId="51" fillId="0" borderId="6" xfId="0" applyNumberFormat="1" applyFont="1" applyBorder="1" applyAlignment="1">
      <alignment horizontal="center" vertical="center"/>
    </xf>
    <xf numFmtId="180" fontId="17" fillId="2" borderId="0" xfId="0" applyNumberFormat="1" applyFont="1" applyFill="1" applyAlignment="1"/>
    <xf numFmtId="0" fontId="4" fillId="4" borderId="0" xfId="0" applyFont="1" applyFill="1" applyAlignment="1"/>
    <xf numFmtId="0" fontId="52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52" fillId="4" borderId="0" xfId="0" applyFont="1" applyFill="1" applyAlignment="1">
      <alignment horizontal="center" vertical="center" wrapText="1"/>
    </xf>
    <xf numFmtId="0" fontId="10" fillId="0" borderId="0" xfId="0" applyFont="1" applyAlignment="1">
      <alignment wrapText="1" indent="1"/>
    </xf>
    <xf numFmtId="180" fontId="51" fillId="0" borderId="0" xfId="0" applyNumberFormat="1" applyFont="1" applyAlignment="1">
      <alignment horizontal="center"/>
    </xf>
    <xf numFmtId="0" fontId="10" fillId="0" borderId="0" xfId="0" applyFont="1" applyAlignment="1">
      <alignment horizontal="left" inden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" fillId="4" borderId="0" xfId="0" applyFont="1" applyFill="1" applyAlignment="1">
      <alignment vertical="center"/>
    </xf>
    <xf numFmtId="0" fontId="35" fillId="4" borderId="0" xfId="0" applyFont="1" applyFill="1" applyAlignment="1">
      <alignment horizontal="center"/>
    </xf>
    <xf numFmtId="180" fontId="10" fillId="4" borderId="0" xfId="0" applyNumberFormat="1" applyFont="1" applyFill="1" applyAlignment="1">
      <alignment horizontal="center"/>
    </xf>
    <xf numFmtId="0" fontId="10" fillId="0" borderId="0" xfId="0" applyFont="1" applyAlignment="1">
      <alignment horizontal="center" wrapText="1"/>
    </xf>
    <xf numFmtId="180" fontId="53" fillId="0" borderId="0" xfId="0" applyNumberFormat="1" applyFont="1" applyAlignment="1">
      <alignment horizontal="center"/>
    </xf>
    <xf numFmtId="0" fontId="4" fillId="4" borderId="0" xfId="0" applyFont="1" applyFill="1" applyAlignment="1">
      <alignment vertical="center"/>
    </xf>
    <xf numFmtId="0" fontId="1" fillId="4" borderId="0" xfId="0" applyFont="1" applyFill="1" applyAlignment="1">
      <alignment horizontal="left" vertical="center"/>
    </xf>
    <xf numFmtId="0" fontId="9" fillId="2" borderId="0" xfId="0" applyFont="1" applyFill="1" applyAlignment="1">
      <alignment vertical="center"/>
    </xf>
    <xf numFmtId="0" fontId="9" fillId="2" borderId="0" xfId="0" applyFont="1" applyFill="1" applyAlignment="1">
      <alignment horizontal="center" vertical="center" wrapText="1"/>
    </xf>
    <xf numFmtId="0" fontId="54" fillId="0" borderId="0" xfId="0" applyFont="1" applyAlignment="1">
      <alignment horizontal="left" wrapText="1" indent="1"/>
    </xf>
    <xf numFmtId="180" fontId="55" fillId="0" borderId="0" xfId="0" applyNumberFormat="1" applyFont="1" applyAlignment="1">
      <alignment horizontal="right"/>
    </xf>
    <xf numFmtId="0" fontId="54" fillId="0" borderId="4" xfId="0" applyFont="1" applyBorder="1" applyAlignment="1">
      <alignment horizontal="left" wrapText="1" indent="1"/>
    </xf>
    <xf numFmtId="0" fontId="0" fillId="0" borderId="4" xfId="0" applyBorder="1" applyAlignment="1">
      <alignment vertical="center"/>
    </xf>
    <xf numFmtId="180" fontId="55" fillId="0" borderId="4" xfId="0" applyNumberFormat="1" applyFont="1" applyBorder="1" applyAlignment="1">
      <alignment horizontal="right"/>
    </xf>
    <xf numFmtId="0" fontId="56" fillId="0" borderId="0" xfId="0" applyFont="1" applyAlignment="1">
      <alignment horizontal="center"/>
    </xf>
    <xf numFmtId="180" fontId="4" fillId="0" borderId="0" xfId="0" applyNumberFormat="1" applyFont="1" applyAlignment="1">
      <alignment vertical="center"/>
    </xf>
    <xf numFmtId="180" fontId="1" fillId="0" borderId="0" xfId="0" applyNumberFormat="1" applyFont="1" applyAlignment="1">
      <alignment vertical="center"/>
    </xf>
    <xf numFmtId="180" fontId="2" fillId="2" borderId="0" xfId="0" applyNumberFormat="1" applyFont="1" applyFill="1" applyAlignment="1">
      <alignment vertical="center"/>
    </xf>
    <xf numFmtId="180" fontId="1" fillId="2" borderId="0" xfId="0" applyNumberFormat="1" applyFont="1" applyFill="1" applyAlignment="1">
      <alignment vertical="center"/>
    </xf>
    <xf numFmtId="180" fontId="1" fillId="4" borderId="0" xfId="0" applyNumberFormat="1" applyFont="1" applyFill="1" applyAlignment="1">
      <alignment vertical="center"/>
    </xf>
    <xf numFmtId="180" fontId="57" fillId="4" borderId="0" xfId="0" applyNumberFormat="1" applyFont="1" applyFill="1" applyBorder="1" applyAlignment="1">
      <alignment horizontal="center" vertical="center"/>
    </xf>
    <xf numFmtId="180" fontId="57" fillId="2" borderId="0" xfId="0" applyNumberFormat="1" applyFont="1" applyFill="1" applyBorder="1" applyAlignment="1">
      <alignment horizontal="center" vertical="center"/>
    </xf>
    <xf numFmtId="186" fontId="58" fillId="4" borderId="0" xfId="0" applyNumberFormat="1" applyFont="1" applyFill="1" applyAlignment="1">
      <alignment vertical="center"/>
    </xf>
    <xf numFmtId="185" fontId="58" fillId="2" borderId="0" xfId="0" applyNumberFormat="1" applyFont="1" applyFill="1" applyAlignment="1">
      <alignment vertical="center"/>
    </xf>
    <xf numFmtId="180" fontId="9" fillId="0" borderId="0" xfId="0" applyNumberFormat="1" applyFont="1" applyAlignment="1">
      <alignment vertical="center"/>
    </xf>
    <xf numFmtId="4" fontId="59" fillId="3" borderId="0" xfId="0" applyNumberFormat="1" applyFont="1" applyFill="1" applyAlignment="1">
      <alignment vertical="center"/>
    </xf>
    <xf numFmtId="4" fontId="60" fillId="3" borderId="0" xfId="0" applyNumberFormat="1" applyFont="1" applyFill="1" applyAlignment="1">
      <alignment vertical="center"/>
    </xf>
    <xf numFmtId="4" fontId="61" fillId="3" borderId="0" xfId="0" applyNumberFormat="1" applyFont="1" applyFill="1" applyAlignment="1">
      <alignment vertical="center"/>
    </xf>
    <xf numFmtId="4" fontId="60" fillId="3" borderId="0" xfId="0" applyNumberFormat="1" applyFont="1" applyFill="1" applyBorder="1" applyAlignment="1">
      <alignment vertical="center"/>
    </xf>
    <xf numFmtId="4" fontId="62" fillId="3" borderId="0" xfId="0" applyNumberFormat="1" applyFont="1" applyFill="1" applyAlignment="1">
      <alignment vertical="center"/>
    </xf>
    <xf numFmtId="4" fontId="62" fillId="3" borderId="0" xfId="0" applyNumberFormat="1" applyFont="1" applyFill="1" applyBorder="1" applyAlignment="1">
      <alignment horizontal="right" vertical="center"/>
    </xf>
    <xf numFmtId="180" fontId="63" fillId="0" borderId="0" xfId="0" applyNumberFormat="1" applyFont="1" applyAlignment="1">
      <alignment vertical="center"/>
    </xf>
    <xf numFmtId="180" fontId="3" fillId="4" borderId="0" xfId="0" applyNumberFormat="1" applyFont="1" applyFill="1" applyAlignment="1">
      <alignment vertical="center"/>
    </xf>
    <xf numFmtId="187" fontId="1" fillId="0" borderId="0" xfId="0" applyNumberFormat="1" applyFont="1" applyAlignment="1">
      <alignment vertical="center"/>
    </xf>
    <xf numFmtId="180" fontId="1" fillId="0" borderId="1" xfId="0" applyNumberFormat="1" applyFont="1" applyBorder="1" applyAlignment="1">
      <alignment vertical="center"/>
    </xf>
    <xf numFmtId="10" fontId="1" fillId="0" borderId="0" xfId="0" applyNumberFormat="1" applyFont="1" applyAlignment="1">
      <alignment vertical="center"/>
    </xf>
    <xf numFmtId="180" fontId="9" fillId="2" borderId="0" xfId="0" applyNumberFormat="1" applyFont="1" applyFill="1" applyAlignment="1">
      <alignment vertical="center"/>
    </xf>
    <xf numFmtId="180" fontId="4" fillId="0" borderId="0" xfId="0" applyNumberFormat="1" applyFont="1" applyAlignment="1"/>
    <xf numFmtId="180" fontId="1" fillId="0" borderId="4" xfId="0" applyNumberFormat="1" applyFont="1" applyBorder="1" applyAlignment="1"/>
    <xf numFmtId="180" fontId="4" fillId="0" borderId="1" xfId="0" applyNumberFormat="1" applyFont="1" applyBorder="1" applyAlignment="1">
      <alignment vertical="center"/>
    </xf>
    <xf numFmtId="180" fontId="1" fillId="0" borderId="0" xfId="0" applyNumberFormat="1" applyFont="1" applyAlignment="1"/>
    <xf numFmtId="180" fontId="19" fillId="0" borderId="0" xfId="0" applyNumberFormat="1" applyFont="1" applyAlignment="1"/>
    <xf numFmtId="181" fontId="19" fillId="0" borderId="0" xfId="0" applyNumberFormat="1" applyFont="1" applyAlignment="1"/>
    <xf numFmtId="180" fontId="64" fillId="0" borderId="1" xfId="0" applyNumberFormat="1" applyFont="1" applyBorder="1" applyAlignment="1">
      <alignment vertical="center"/>
    </xf>
    <xf numFmtId="180" fontId="65" fillId="0" borderId="0" xfId="0" applyNumberFormat="1" applyFont="1" applyAlignment="1">
      <alignment vertical="center"/>
    </xf>
    <xf numFmtId="183" fontId="1" fillId="0" borderId="0" xfId="0" applyNumberFormat="1" applyFont="1" applyAlignment="1">
      <alignment vertical="center"/>
    </xf>
    <xf numFmtId="183" fontId="19" fillId="0" borderId="0" xfId="0" applyNumberFormat="1" applyFont="1" applyAlignment="1">
      <alignment vertical="center"/>
    </xf>
    <xf numFmtId="183" fontId="4" fillId="0" borderId="1" xfId="0" applyNumberFormat="1" applyFont="1" applyBorder="1" applyAlignment="1">
      <alignment vertical="center"/>
    </xf>
    <xf numFmtId="183" fontId="19" fillId="0" borderId="0" xfId="0" applyNumberFormat="1" applyFont="1" applyAlignment="1"/>
    <xf numFmtId="180" fontId="4" fillId="0" borderId="1" xfId="0" applyNumberFormat="1" applyFont="1" applyBorder="1" applyAlignment="1"/>
    <xf numFmtId="183" fontId="64" fillId="0" borderId="1" xfId="0" applyNumberFormat="1" applyFont="1" applyBorder="1" applyAlignment="1">
      <alignment vertical="center"/>
    </xf>
    <xf numFmtId="180" fontId="66" fillId="0" borderId="0" xfId="0" applyNumberFormat="1" applyFont="1" applyAlignment="1"/>
    <xf numFmtId="180" fontId="67" fillId="0" borderId="0" xfId="0" applyNumberFormat="1" applyFont="1" applyAlignment="1"/>
    <xf numFmtId="180" fontId="58" fillId="2" borderId="0" xfId="0" applyNumberFormat="1" applyFont="1" applyFill="1" applyAlignment="1">
      <alignment vertical="center"/>
    </xf>
    <xf numFmtId="0" fontId="68" fillId="0" borderId="0" xfId="0" applyFont="1" applyAlignment="1">
      <alignment vertical="center"/>
    </xf>
    <xf numFmtId="4" fontId="69" fillId="0" borderId="4" xfId="0" applyNumberFormat="1" applyFont="1" applyBorder="1" applyAlignment="1">
      <alignment vertical="center"/>
    </xf>
    <xf numFmtId="4" fontId="31" fillId="0" borderId="0" xfId="0" applyNumberFormat="1" applyFont="1" applyAlignment="1">
      <alignment vertical="center"/>
    </xf>
    <xf numFmtId="0" fontId="63" fillId="0" borderId="0" xfId="0" applyFont="1" applyAlignment="1"/>
    <xf numFmtId="4" fontId="31" fillId="0" borderId="1" xfId="0" applyNumberFormat="1" applyFont="1" applyBorder="1" applyAlignment="1">
      <alignment vertical="center"/>
    </xf>
    <xf numFmtId="188" fontId="13" fillId="0" borderId="1" xfId="0" applyNumberFormat="1" applyFont="1" applyBorder="1" applyAlignment="1">
      <alignment vertical="center"/>
    </xf>
    <xf numFmtId="0" fontId="31" fillId="0" borderId="0" xfId="0" applyFont="1" applyAlignment="1">
      <alignment vertical="center"/>
    </xf>
    <xf numFmtId="188" fontId="13" fillId="0" borderId="0" xfId="0" applyNumberFormat="1" applyFont="1" applyAlignment="1">
      <alignment vertical="center"/>
    </xf>
    <xf numFmtId="10" fontId="19" fillId="0" borderId="0" xfId="0" applyNumberFormat="1" applyFont="1" applyAlignment="1"/>
    <xf numFmtId="0" fontId="70" fillId="0" borderId="0" xfId="0" applyFont="1" applyAlignment="1">
      <alignment vertical="top" wrapText="1"/>
    </xf>
    <xf numFmtId="189" fontId="19" fillId="0" borderId="0" xfId="0" applyNumberFormat="1" applyFont="1" applyAlignment="1"/>
    <xf numFmtId="10" fontId="20" fillId="0" borderId="0" xfId="0" applyNumberFormat="1" applyFont="1" applyAlignment="1"/>
    <xf numFmtId="184" fontId="19" fillId="0" borderId="0" xfId="0" applyNumberFormat="1" applyFont="1" applyAlignment="1"/>
    <xf numFmtId="180" fontId="65" fillId="0" borderId="0" xfId="0" applyNumberFormat="1" applyFont="1" applyAlignment="1">
      <alignment horizontal="center" vertical="center"/>
    </xf>
    <xf numFmtId="1" fontId="65" fillId="0" borderId="0" xfId="0" applyNumberFormat="1" applyFont="1" applyAlignment="1">
      <alignment horizontal="center" vertical="center"/>
    </xf>
    <xf numFmtId="4" fontId="4" fillId="0" borderId="0" xfId="0" applyNumberFormat="1" applyFont="1" applyAlignment="1">
      <alignment vertical="center"/>
    </xf>
    <xf numFmtId="1" fontId="4" fillId="0" borderId="0" xfId="0" applyNumberFormat="1" applyFont="1" applyAlignment="1">
      <alignment vertical="center"/>
    </xf>
    <xf numFmtId="1" fontId="64" fillId="0" borderId="0" xfId="0" applyNumberFormat="1" applyFont="1" applyAlignment="1">
      <alignment horizontal="center"/>
    </xf>
    <xf numFmtId="0" fontId="71" fillId="0" borderId="1" xfId="0" applyFont="1" applyBorder="1" applyAlignment="1"/>
    <xf numFmtId="188" fontId="71" fillId="0" borderId="1" xfId="0" applyNumberFormat="1" applyFont="1" applyBorder="1" applyAlignment="1">
      <alignment horizontal="center" vertical="center"/>
    </xf>
    <xf numFmtId="190" fontId="71" fillId="0" borderId="1" xfId="0" applyNumberFormat="1" applyFont="1" applyBorder="1" applyAlignment="1">
      <alignment horizontal="center" vertical="center"/>
    </xf>
    <xf numFmtId="0" fontId="72" fillId="0" borderId="0" xfId="0" applyFont="1" applyAlignment="1"/>
    <xf numFmtId="184" fontId="32" fillId="0" borderId="0" xfId="0" applyNumberFormat="1" applyFont="1" applyAlignment="1"/>
    <xf numFmtId="0" fontId="71" fillId="0" borderId="0" xfId="0" applyFont="1" applyAlignment="1"/>
    <xf numFmtId="180" fontId="71" fillId="0" borderId="0" xfId="0" applyNumberFormat="1" applyFont="1" applyAlignment="1">
      <alignment vertical="center"/>
    </xf>
    <xf numFmtId="0" fontId="48" fillId="0" borderId="1" xfId="0" applyFont="1" applyBorder="1" applyAlignment="1"/>
    <xf numFmtId="182" fontId="1" fillId="0" borderId="1" xfId="0" applyNumberFormat="1" applyFont="1" applyBorder="1" applyAlignment="1">
      <alignment vertical="center"/>
    </xf>
    <xf numFmtId="184" fontId="64" fillId="0" borderId="0" xfId="0" applyNumberFormat="1" applyFont="1" applyAlignment="1"/>
    <xf numFmtId="0" fontId="72" fillId="0" borderId="1" xfId="0" applyFont="1" applyBorder="1" applyAlignment="1"/>
    <xf numFmtId="0" fontId="4" fillId="0" borderId="1" xfId="0" applyFont="1" applyBorder="1" applyAlignment="1"/>
    <xf numFmtId="191" fontId="19" fillId="0" borderId="0" xfId="0" applyNumberFormat="1" applyFont="1" applyAlignment="1"/>
    <xf numFmtId="0" fontId="73" fillId="0" borderId="0" xfId="0" applyFont="1" applyAlignment="1"/>
    <xf numFmtId="0" fontId="68" fillId="0" borderId="0" xfId="0" applyFont="1" applyAlignment="1">
      <alignment horizontal="left" vertical="center" indent="1"/>
    </xf>
    <xf numFmtId="4" fontId="31" fillId="0" borderId="4" xfId="0" applyNumberFormat="1" applyFont="1" applyBorder="1" applyAlignment="1">
      <alignment vertical="center" wrapText="1"/>
    </xf>
    <xf numFmtId="0" fontId="31" fillId="0" borderId="1" xfId="0" applyFont="1" applyBorder="1" applyAlignment="1"/>
    <xf numFmtId="4" fontId="31" fillId="0" borderId="0" xfId="0" applyNumberFormat="1" applyFont="1" applyAlignment="1">
      <alignment vertical="center" wrapText="1"/>
    </xf>
    <xf numFmtId="0" fontId="31" fillId="0" borderId="0" xfId="0" applyFont="1" applyAlignment="1"/>
    <xf numFmtId="192" fontId="31" fillId="0" borderId="0" xfId="0" applyNumberFormat="1" applyFont="1" applyAlignment="1">
      <alignment vertical="center" wrapText="1"/>
    </xf>
    <xf numFmtId="10" fontId="31" fillId="0" borderId="0" xfId="0" applyNumberFormat="1" applyFont="1" applyAlignment="1">
      <alignment vertical="center" wrapText="1"/>
    </xf>
    <xf numFmtId="0" fontId="73" fillId="0" borderId="1" xfId="0" applyFont="1" applyBorder="1" applyAlignment="1"/>
    <xf numFmtId="4" fontId="73" fillId="0" borderId="1" xfId="0" applyNumberFormat="1" applyFont="1" applyBorder="1" applyAlignment="1">
      <alignment vertical="center"/>
    </xf>
    <xf numFmtId="184" fontId="42" fillId="0" borderId="0" xfId="0" applyNumberFormat="1" applyFont="1" applyAlignment="1"/>
    <xf numFmtId="4" fontId="26" fillId="2" borderId="0" xfId="0" applyNumberFormat="1" applyFont="1" applyFill="1" applyAlignment="1">
      <alignment vertical="center"/>
    </xf>
    <xf numFmtId="4" fontId="58" fillId="2" borderId="0" xfId="0" applyNumberFormat="1" applyFont="1" applyFill="1" applyAlignment="1">
      <alignment vertical="center"/>
    </xf>
    <xf numFmtId="4" fontId="9" fillId="2" borderId="0" xfId="0" applyNumberFormat="1" applyFont="1" applyFill="1" applyAlignment="1">
      <alignment vertical="center"/>
    </xf>
    <xf numFmtId="4" fontId="26" fillId="2" borderId="0" xfId="0" applyNumberFormat="1" applyFont="1" applyFill="1" applyAlignment="1">
      <alignment vertical="center" wrapText="1"/>
    </xf>
    <xf numFmtId="4" fontId="74" fillId="2" borderId="0" xfId="0" applyNumberFormat="1" applyFont="1" applyFill="1" applyAlignment="1">
      <alignment vertical="center" wrapText="1"/>
    </xf>
    <xf numFmtId="0" fontId="9" fillId="2" borderId="0" xfId="0" applyFont="1" applyFill="1" applyBorder="1" applyAlignment="1">
      <alignment horizontal="center"/>
    </xf>
    <xf numFmtId="0" fontId="75" fillId="0" borderId="0" xfId="0" applyFont="1" applyAlignment="1"/>
    <xf numFmtId="0" fontId="66" fillId="0" borderId="0" xfId="0" applyFont="1" applyAlignment="1"/>
    <xf numFmtId="0" fontId="4" fillId="0" borderId="0" xfId="0" applyFont="1" applyBorder="1" applyAlignment="1">
      <alignment horizontal="center"/>
    </xf>
    <xf numFmtId="187" fontId="1" fillId="0" borderId="0" xfId="0" applyNumberFormat="1" applyFont="1" applyAlignment="1"/>
    <xf numFmtId="193" fontId="1" fillId="0" borderId="0" xfId="0" applyNumberFormat="1" applyFont="1" applyAlignment="1"/>
    <xf numFmtId="0" fontId="73" fillId="0" borderId="0" xfId="0" applyFont="1" applyBorder="1" applyAlignment="1">
      <alignment horizontal="right" vertical="center" textRotation="90"/>
    </xf>
    <xf numFmtId="194" fontId="1" fillId="0" borderId="0" xfId="0" applyNumberFormat="1" applyFont="1" applyAlignment="1"/>
    <xf numFmtId="181" fontId="1" fillId="0" borderId="8" xfId="0" applyNumberFormat="1" applyFont="1" applyBorder="1" applyAlignment="1">
      <alignment horizontal="center"/>
    </xf>
    <xf numFmtId="181" fontId="1" fillId="0" borderId="1" xfId="0" applyNumberFormat="1" applyFont="1" applyBorder="1" applyAlignment="1">
      <alignment horizontal="center"/>
    </xf>
    <xf numFmtId="181" fontId="1" fillId="0" borderId="9" xfId="0" applyNumberFormat="1" applyFont="1" applyBorder="1" applyAlignment="1">
      <alignment horizontal="center"/>
    </xf>
    <xf numFmtId="181" fontId="9" fillId="8" borderId="0" xfId="0" applyNumberFormat="1" applyFont="1" applyFill="1" applyAlignment="1">
      <alignment horizontal="center"/>
    </xf>
    <xf numFmtId="181" fontId="1" fillId="0" borderId="0" xfId="0" applyNumberFormat="1" applyFont="1" applyAlignment="1">
      <alignment horizontal="center"/>
    </xf>
    <xf numFmtId="181" fontId="3" fillId="3" borderId="0" xfId="0" applyNumberFormat="1" applyFont="1" applyFill="1" applyAlignment="1">
      <alignment horizontal="center"/>
    </xf>
    <xf numFmtId="4" fontId="1" fillId="0" borderId="0" xfId="0" applyNumberFormat="1" applyFont="1" applyAlignment="1">
      <alignment vertical="center"/>
    </xf>
    <xf numFmtId="4" fontId="73" fillId="0" borderId="0" xfId="0" applyNumberFormat="1" applyFont="1" applyBorder="1" applyAlignment="1">
      <alignment horizontal="center" vertical="center"/>
    </xf>
    <xf numFmtId="187" fontId="31" fillId="0" borderId="0" xfId="0" applyNumberFormat="1" applyFont="1" applyAlignment="1">
      <alignment vertical="center"/>
    </xf>
    <xf numFmtId="10" fontId="31" fillId="0" borderId="4" xfId="0" applyNumberFormat="1" applyFont="1" applyBorder="1" applyAlignment="1">
      <alignment vertical="center"/>
    </xf>
    <xf numFmtId="4" fontId="73" fillId="0" borderId="0" xfId="0" applyNumberFormat="1" applyFont="1" applyBorder="1" applyAlignment="1">
      <alignment horizontal="right" vertical="center" textRotation="90"/>
    </xf>
    <xf numFmtId="10" fontId="31" fillId="0" borderId="0" xfId="0" applyNumberFormat="1" applyFont="1" applyAlignment="1">
      <alignment vertical="center"/>
    </xf>
    <xf numFmtId="4" fontId="31" fillId="0" borderId="8" xfId="0" applyNumberFormat="1" applyFont="1" applyBorder="1" applyAlignment="1">
      <alignment horizontal="center" vertical="center" wrapText="1"/>
    </xf>
    <xf numFmtId="4" fontId="31" fillId="0" borderId="0" xfId="0" applyNumberFormat="1" applyFont="1" applyAlignment="1">
      <alignment horizontal="center" vertical="center" wrapText="1"/>
    </xf>
    <xf numFmtId="4" fontId="31" fillId="0" borderId="0" xfId="0" applyNumberFormat="1" applyFont="1" applyAlignment="1">
      <alignment horizontal="center" vertical="center"/>
    </xf>
    <xf numFmtId="4" fontId="31" fillId="0" borderId="9" xfId="0" applyNumberFormat="1" applyFont="1" applyBorder="1" applyAlignment="1">
      <alignment horizontal="center" vertical="center" wrapText="1"/>
    </xf>
    <xf numFmtId="4" fontId="26" fillId="8" borderId="0" xfId="0" applyNumberFormat="1" applyFont="1" applyFill="1" applyAlignment="1">
      <alignment horizontal="center" vertical="center" wrapText="1"/>
    </xf>
    <xf numFmtId="4" fontId="17" fillId="3" borderId="0" xfId="0" applyNumberFormat="1" applyFont="1" applyFill="1" applyAlignment="1">
      <alignment horizontal="center" vertical="center" wrapText="1"/>
    </xf>
    <xf numFmtId="0" fontId="17" fillId="2" borderId="0" xfId="0" applyFont="1" applyFill="1" applyAlignment="1"/>
    <xf numFmtId="0" fontId="76" fillId="0" borderId="0" xfId="0" applyFont="1" applyAlignment="1">
      <alignment vertical="center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 2" xfId="49"/>
    <cellStyle name="Normal 5 2" xfId="50"/>
    <cellStyle name="Normal 6" xfId="51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D0CECE"/>
      <rgbColor rgb="00808080"/>
      <rgbColor rgb="0091ACE0"/>
      <rgbColor rgb="00993366"/>
      <rgbColor rgb="00FFFFCC"/>
      <rgbColor rgb="00CCFFFF"/>
      <rgbColor rgb="00660066"/>
      <rgbColor rgb="00FF8080"/>
      <rgbColor rgb="000070C0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B0F0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1E386B"/>
      <rgbColor rgb="0000B050"/>
      <rgbColor rgb="00003300"/>
      <rgbColor rgb="00231F20"/>
      <rgbColor rgb="00993300"/>
      <rgbColor rgb="00993366"/>
      <rgbColor rgb="002E54A1"/>
      <rgbColor rgb="00222A3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ln>
                  <a:noFill/>
                </a:ln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>
                <a:ln>
                  <a:noFill/>
                </a:ln>
                <a:solidFill>
                  <a:schemeClr val="bg1"/>
                </a:solidFill>
              </a:rPr>
              <a:t>Football Field Chart </a:t>
            </a:r>
            <a:endParaRPr>
              <a:ln>
                <a:noFill/>
              </a:ln>
              <a:solidFill>
                <a:schemeClr val="bg1"/>
              </a:solidFill>
            </a:endParaRPr>
          </a:p>
          <a:p>
            <a:pPr defTabSz="914400">
              <a:defRPr lang="en-US" sz="1400" b="1" i="0" u="none" strike="noStrike" kern="1200" baseline="0">
                <a:ln>
                  <a:noFill/>
                </a:ln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>
              <a:ln>
                <a:noFill/>
              </a:ln>
              <a:solidFill>
                <a:schemeClr val="bg1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tockChart>
        <c:ser>
          <c:idx val="0"/>
          <c:order val="0"/>
          <c:tx>
            <c:strRef>
              <c:f>'Football Field Chart'!$D$7</c:f>
              <c:strCache>
                <c:ptCount val="1"/>
                <c:pt idx="0">
                  <c:v>High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'Football Field Chart'!$E$6:$H$6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'Football Field Chart'!$E$7:$H$7</c:f>
              <c:numCache>
                <c:formatCode>0.00_);[Red]\(0.00\)</c:formatCode>
                <c:ptCount val="4"/>
                <c:pt idx="1">
                  <c:v>344.145381352295</c:v>
                </c:pt>
                <c:pt idx="2">
                  <c:v>427</c:v>
                </c:pt>
                <c:pt idx="3">
                  <c:v>422.8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'Football Field Chart'!$D$8</c:f>
              <c:strCache>
                <c:ptCount val="1"/>
                <c:pt idx="0">
                  <c:v>High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'Football Field Chart'!$E$6:$H$6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'Football Field Chart'!$E$8:$H$8</c:f>
              <c:numCache>
                <c:formatCode>0.00_);[Red]\(0.00\)</c:formatCode>
                <c:ptCount val="4"/>
                <c:pt idx="1">
                  <c:v>344.145381352295</c:v>
                </c:pt>
                <c:pt idx="2">
                  <c:v>427</c:v>
                </c:pt>
                <c:pt idx="3">
                  <c:v>422.8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'Football Field Chart'!$D$9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'Football Field Chart'!$E$6:$H$6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'Football Field Chart'!$E$9:$H$9</c:f>
              <c:numCache>
                <c:formatCode>0.00_);[Red]\(0.00\)</c:formatCode>
                <c:ptCount val="4"/>
                <c:pt idx="1">
                  <c:v>239.838606100936</c:v>
                </c:pt>
                <c:pt idx="2">
                  <c:v>275</c:v>
                </c:pt>
                <c:pt idx="3">
                  <c:v>300.1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'Football Field Chart'!$D$10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'Football Field Chart'!$E$6:$H$6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'Football Field Chart'!$E$10:$H$10</c:f>
              <c:numCache>
                <c:formatCode>0.00_);[Red]\(0.00\)</c:formatCode>
                <c:ptCount val="4"/>
                <c:pt idx="1">
                  <c:v>239.838606100936</c:v>
                </c:pt>
                <c:pt idx="2">
                  <c:v>275</c:v>
                </c:pt>
                <c:pt idx="3">
                  <c:v>300.1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9050" cap="flat" cmpd="sng" algn="ctr">
              <a:solidFill>
                <a:schemeClr val="tx1"/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bg1"/>
              </a:solidFill>
              <a:ln w="19050" cap="flat" cmpd="sng" algn="ctr">
                <a:solidFill>
                  <a:schemeClr val="accent1"/>
                </a:solidFill>
                <a:round/>
              </a:ln>
              <a:effectLst/>
            </c:spPr>
          </c:upBars>
          <c:downBars>
            <c:spPr>
              <a:solidFill>
                <a:srgbClr val="FFFF00"/>
              </a:solidFill>
              <a:ln w="9525" cap="flat" cmpd="sng" algn="ctr">
                <a:noFill/>
                <a:round/>
              </a:ln>
              <a:effectLst/>
            </c:spPr>
          </c:downBars>
        </c:upDownBars>
        <c:axId val="482909611"/>
        <c:axId val="35305183"/>
      </c:stockChart>
      <c:catAx>
        <c:axId val="4829096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ln>
                  <a:noFill/>
                </a:ln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  <c:crossAx val="35305183"/>
        <c:crosses val="autoZero"/>
        <c:auto val="1"/>
        <c:lblAlgn val="ctr"/>
        <c:lblOffset val="100"/>
        <c:noMultiLvlLbl val="0"/>
      </c:catAx>
      <c:valAx>
        <c:axId val="35305183"/>
        <c:scaling>
          <c:orientation val="minMax"/>
        </c:scaling>
        <c:delete val="0"/>
        <c:axPos val="l"/>
        <c:numFmt formatCode="0.00_);[Red]\(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ln>
                  <a:noFill/>
                </a:ln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  <c:crossAx val="4829096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ln>
                  <a:noFill/>
                </a:ln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ln>
                  <a:noFill/>
                </a:ln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ln>
                  <a:noFill/>
                </a:ln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ln>
                  <a:noFill/>
                </a:ln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ln>
                <a:noFill/>
              </a:ln>
              <a:solidFill>
                <a:schemeClr val="bg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0cecd27-4e1d-4e39-894b-21da124aec7c}"/>
      </c:ext>
    </c:extLst>
  </c:chart>
  <c:spPr>
    <a:solidFill>
      <a:schemeClr val="accent1">
        <a:lumMod val="50000"/>
      </a:schemeClr>
    </a:solidFill>
    <a:ln w="9525" cap="flat" cmpd="sng" algn="ctr">
      <a:noFill/>
      <a:prstDash val="solid"/>
      <a:round/>
    </a:ln>
    <a:effectLst/>
  </c:spPr>
  <c:txPr>
    <a:bodyPr/>
    <a:lstStyle/>
    <a:p>
      <a:pPr>
        <a:defRPr lang="en-US">
          <a:ln>
            <a:noFill/>
          </a:ln>
          <a:solidFill>
            <a:schemeClr val="bg1"/>
          </a:solidFill>
        </a:defRPr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 cap="flat" cmpd="sng" algn="ctr">
        <a:noFill/>
        <a:round/>
      </a:ln>
      <a:effectLst/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19050" cap="flat" cmpd="sng" algn="ctr">
        <a:solidFill>
          <a:schemeClr val="tx1"/>
        </a:solidFill>
        <a:round/>
      </a:ln>
      <a:effectLst/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bg1"/>
      </a:solidFill>
      <a:ln w="19050" cap="flat" cmpd="sng" algn="ctr">
        <a:solidFill>
          <a:schemeClr val="phClr"/>
        </a:solidFill>
        <a:round/>
      </a:ln>
      <a:effectLst/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30480</xdr:colOff>
      <xdr:row>13</xdr:row>
      <xdr:rowOff>31750</xdr:rowOff>
    </xdr:from>
    <xdr:to>
      <xdr:col>8</xdr:col>
      <xdr:colOff>167005</xdr:colOff>
      <xdr:row>25</xdr:row>
      <xdr:rowOff>101600</xdr:rowOff>
    </xdr:to>
    <xdr:graphicFrame>
      <xdr:nvGraphicFramePr>
        <xdr:cNvPr id="3" name="Chart 2"/>
        <xdr:cNvGraphicFramePr/>
      </xdr:nvGraphicFramePr>
      <xdr:xfrm>
        <a:off x="295275" y="3222625"/>
        <a:ext cx="6604635" cy="25844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  <a:tileRect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  <a:tileRect/>
        </a:gradFill>
      </a:fillStyleLst>
      <a:lnStyleLst>
        <a:ln w="1270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27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68"/>
  <sheetViews>
    <sheetView showGridLines="0" zoomScale="101" zoomScaleNormal="101" topLeftCell="A81" workbookViewId="0">
      <selection activeCell="D92" sqref="D92"/>
    </sheetView>
  </sheetViews>
  <sheetFormatPr defaultColWidth="9.16071428571429" defaultRowHeight="16.8"/>
  <cols>
    <col min="1" max="2" width="1.24107142857143" style="1" customWidth="1"/>
    <col min="3" max="3" width="1.24107142857143" style="2" customWidth="1"/>
    <col min="4" max="4" width="40.6428571428571" style="2" customWidth="1"/>
    <col min="5" max="5" width="9.57142857142857" style="2" customWidth="1"/>
    <col min="6" max="6" width="9.14285714285714" style="2"/>
    <col min="7" max="7" width="2.64285714285714" style="2" customWidth="1"/>
    <col min="8" max="12" width="12.6428571428571" style="2" customWidth="1"/>
    <col min="13" max="13" width="9.71428571428571" style="2" customWidth="1"/>
    <col min="14" max="15" width="9.57142857142857" style="1" customWidth="1"/>
  </cols>
  <sheetData>
    <row r="1" ht="33.75" customHeight="1" spans="1:17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5"/>
      <c r="N1" s="5"/>
      <c r="O1" s="5"/>
      <c r="P1" s="5"/>
      <c r="Q1" s="5"/>
    </row>
    <row r="2" ht="17.25" customHeight="1" spans="1:17">
      <c r="A2" s="330" t="s">
        <v>1</v>
      </c>
      <c r="B2" s="7"/>
      <c r="C2" s="7"/>
      <c r="D2" s="7"/>
      <c r="E2" s="7"/>
      <c r="F2" s="7"/>
      <c r="G2" s="7"/>
      <c r="H2" s="4"/>
      <c r="I2" s="4"/>
      <c r="J2" s="4"/>
      <c r="K2" s="4"/>
      <c r="L2" s="8" t="s">
        <v>2</v>
      </c>
      <c r="M2" s="5"/>
      <c r="N2" s="5"/>
      <c r="O2" s="5"/>
      <c r="P2" s="5"/>
      <c r="Q2" s="5"/>
    </row>
    <row r="3" ht="16.5" customHeight="1" spans="1:17"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</row>
    <row r="4" ht="16.5" customHeight="1" spans="1:17">
      <c r="C4" s="64" t="s">
        <v>3</v>
      </c>
      <c r="H4" s="64">
        <v>2022</v>
      </c>
      <c r="I4" s="64">
        <f>H4+1</f>
        <v>2023</v>
      </c>
      <c r="J4" s="64">
        <f>I4+1</f>
        <v>2024</v>
      </c>
      <c r="K4" s="64">
        <f>J4+1</f>
        <v>2025</v>
      </c>
      <c r="L4" s="64">
        <f>K4+1</f>
        <v>2026</v>
      </c>
      <c r="N4" s="5"/>
      <c r="O4" s="5"/>
    </row>
    <row r="5" ht="16.5" customHeight="1" spans="1:17">
      <c r="D5" s="51" t="s">
        <v>4</v>
      </c>
      <c r="H5" s="21">
        <v>65204.96</v>
      </c>
      <c r="I5" s="21">
        <v>76518.21</v>
      </c>
      <c r="J5" s="21">
        <v>76840.49</v>
      </c>
      <c r="K5" s="21">
        <v>81612.78</v>
      </c>
      <c r="L5" s="21">
        <v>89913.33</v>
      </c>
      <c r="N5" s="5"/>
      <c r="O5" s="5"/>
    </row>
    <row r="6" ht="16.5" customHeight="1" spans="1:17">
      <c r="D6" s="51" t="s">
        <v>5</v>
      </c>
      <c r="H6" s="21">
        <v>1836.35</v>
      </c>
      <c r="I6" s="21">
        <v>1980.49</v>
      </c>
      <c r="J6" s="21">
        <v>2727.84</v>
      </c>
      <c r="K6" s="21">
        <v>2529.69</v>
      </c>
      <c r="L6" s="21">
        <v>2425.8</v>
      </c>
      <c r="N6" s="5"/>
      <c r="O6" s="5"/>
    </row>
    <row r="7" ht="16.5" customHeight="1" spans="1:17">
      <c r="D7" s="53" t="s">
        <v>6</v>
      </c>
      <c r="E7" s="54"/>
      <c r="F7" s="54"/>
      <c r="G7" s="54"/>
      <c r="H7" s="55">
        <f>SUM(H5:H6)</f>
        <v>67041.31</v>
      </c>
      <c r="I7" s="55">
        <f>SUM(I5:I6)</f>
        <v>78498.7</v>
      </c>
      <c r="J7" s="55">
        <f>SUM(J5:J6)</f>
        <v>79568.33</v>
      </c>
      <c r="K7" s="55">
        <f>SUM(K5:K6)</f>
        <v>84142.47</v>
      </c>
      <c r="L7" s="55">
        <f>SUM(L5:L6)</f>
        <v>92339.13</v>
      </c>
      <c r="N7" s="5"/>
      <c r="O7" s="5"/>
    </row>
    <row r="8" ht="16.5" customHeight="1" spans="1:17">
      <c r="D8" s="56"/>
      <c r="H8" s="56"/>
      <c r="I8" s="56"/>
      <c r="J8" s="56"/>
      <c r="K8" s="56"/>
      <c r="L8" s="56"/>
      <c r="N8" s="5"/>
      <c r="O8" s="5"/>
    </row>
    <row r="9" ht="16.5" customHeight="1" spans="1:17">
      <c r="C9" s="34" t="s">
        <v>7</v>
      </c>
      <c r="H9" s="56"/>
      <c r="I9" s="56"/>
      <c r="J9" s="56"/>
      <c r="K9" s="56"/>
      <c r="L9" s="56"/>
      <c r="N9" s="5"/>
      <c r="O9" s="5"/>
    </row>
    <row r="10" ht="16.5" customHeight="1" spans="1:17">
      <c r="D10" s="51" t="s">
        <v>8</v>
      </c>
      <c r="H10" s="21">
        <v>16399.94</v>
      </c>
      <c r="I10" s="21">
        <v>20275.99</v>
      </c>
      <c r="J10" s="21">
        <v>21772.58</v>
      </c>
      <c r="K10" s="21">
        <v>23757.33</v>
      </c>
      <c r="L10" s="21">
        <v>26272.33</v>
      </c>
      <c r="N10" s="5"/>
      <c r="O10" s="5"/>
    </row>
    <row r="11" ht="16.5" customHeight="1" spans="1:17">
      <c r="D11" s="51" t="s">
        <v>9</v>
      </c>
      <c r="H11" s="21">
        <v>10671.13</v>
      </c>
      <c r="I11" s="21">
        <v>9088.37</v>
      </c>
      <c r="J11" s="21">
        <v>6063.32</v>
      </c>
      <c r="K11" s="21">
        <v>8947.04</v>
      </c>
      <c r="L11" s="21">
        <v>8826.01</v>
      </c>
      <c r="N11" s="5"/>
      <c r="O11" s="5"/>
    </row>
    <row r="12" ht="16.5" customHeight="1" spans="1:17">
      <c r="D12" s="51" t="s">
        <v>10</v>
      </c>
      <c r="H12" s="21">
        <v>-686</v>
      </c>
      <c r="I12" s="21">
        <v>-358.59</v>
      </c>
      <c r="J12" s="21">
        <v>-588.69</v>
      </c>
      <c r="K12" s="21">
        <v>-725.65</v>
      </c>
      <c r="L12" s="21">
        <v>-2550.46</v>
      </c>
      <c r="N12" s="5"/>
      <c r="O12" s="5"/>
    </row>
    <row r="13" ht="16.5" customHeight="1" spans="1:17">
      <c r="D13" s="51" t="s">
        <v>11</v>
      </c>
      <c r="H13" s="21">
        <v>4536.87</v>
      </c>
      <c r="I13" s="21">
        <v>5581.36</v>
      </c>
      <c r="J13" s="21">
        <v>5959.49</v>
      </c>
      <c r="K13" s="21">
        <v>6289.44</v>
      </c>
      <c r="L13" s="21">
        <v>11044.93</v>
      </c>
      <c r="N13" s="5"/>
      <c r="O13" s="5"/>
    </row>
    <row r="14" ht="16.5" customHeight="1" spans="1:17">
      <c r="D14" s="51" t="s">
        <v>12</v>
      </c>
      <c r="H14" s="21">
        <v>4890.55</v>
      </c>
      <c r="I14" s="21">
        <v>5736.22</v>
      </c>
      <c r="J14" s="21">
        <v>6134.35</v>
      </c>
      <c r="K14" s="21">
        <v>6169.78</v>
      </c>
      <c r="L14" s="21">
        <v>6781.5</v>
      </c>
      <c r="N14" s="5"/>
      <c r="O14" s="5"/>
    </row>
    <row r="15" ht="16.5" customHeight="1" spans="1:17">
      <c r="D15" s="51" t="s">
        <v>13</v>
      </c>
      <c r="H15" s="21">
        <v>39.36</v>
      </c>
      <c r="I15" s="21">
        <v>43.2</v>
      </c>
      <c r="J15" s="21">
        <v>45.96</v>
      </c>
      <c r="K15" s="21">
        <v>45.06</v>
      </c>
      <c r="L15" s="21">
        <v>85.17</v>
      </c>
      <c r="N15" s="5"/>
      <c r="O15" s="5"/>
    </row>
    <row r="16" ht="16.5" customHeight="1" spans="1:17">
      <c r="D16" s="51" t="s">
        <v>14</v>
      </c>
      <c r="H16" s="21">
        <v>1732.41</v>
      </c>
      <c r="I16" s="21">
        <v>1809.01</v>
      </c>
      <c r="J16" s="21">
        <v>1816.39</v>
      </c>
      <c r="K16" s="21">
        <v>1646.32</v>
      </c>
      <c r="L16" s="21">
        <v>1710.53</v>
      </c>
      <c r="N16" s="5"/>
      <c r="O16" s="5"/>
    </row>
    <row r="17" ht="16.5" customHeight="1" spans="4:15">
      <c r="D17" s="51" t="s">
        <v>15</v>
      </c>
      <c r="H17" s="21">
        <v>8734.06</v>
      </c>
      <c r="I17" s="21">
        <v>10529.93</v>
      </c>
      <c r="J17" s="21">
        <v>11245.09</v>
      </c>
      <c r="K17" s="21">
        <v>11196.63</v>
      </c>
      <c r="L17" s="21">
        <v>12221.11</v>
      </c>
      <c r="N17" s="5"/>
      <c r="O17" s="5"/>
    </row>
    <row r="18" ht="16.5" customHeight="1" spans="4:15">
      <c r="D18" s="53" t="s">
        <v>16</v>
      </c>
      <c r="E18" s="54"/>
      <c r="F18" s="54"/>
      <c r="G18" s="54"/>
      <c r="H18" s="55">
        <f>SUM(H10:H17)</f>
        <v>46318.32</v>
      </c>
      <c r="I18" s="55">
        <f>SUM(I10:I17)</f>
        <v>52705.49</v>
      </c>
      <c r="J18" s="55">
        <f>SUM(J10:J17)</f>
        <v>52448.49</v>
      </c>
      <c r="K18" s="55">
        <f>SUM(K10:K17)</f>
        <v>57325.95</v>
      </c>
      <c r="L18" s="55">
        <f>SUM(L10:L17)</f>
        <v>64391.12</v>
      </c>
      <c r="N18" s="5"/>
      <c r="O18" s="5"/>
    </row>
    <row r="19" ht="16.5" customHeight="1" spans="4:15">
      <c r="D19" s="56"/>
      <c r="H19" s="56"/>
      <c r="I19" s="56"/>
      <c r="J19" s="56"/>
      <c r="K19" s="56"/>
      <c r="L19" s="56"/>
      <c r="N19" s="5"/>
      <c r="O19" s="5"/>
    </row>
    <row r="20" ht="16.5" customHeight="1" spans="4:15">
      <c r="D20" s="51" t="s">
        <v>17</v>
      </c>
      <c r="H20" s="21">
        <v>17.48</v>
      </c>
      <c r="I20" s="21">
        <v>49.04</v>
      </c>
      <c r="J20" s="21">
        <v>27.61</v>
      </c>
      <c r="K20" s="21">
        <v>110.42</v>
      </c>
      <c r="L20" s="21">
        <v>377.08</v>
      </c>
      <c r="N20" s="5"/>
      <c r="O20" s="5"/>
    </row>
    <row r="21" ht="16.5" customHeight="1" spans="4:15">
      <c r="D21" s="57" t="s">
        <v>18</v>
      </c>
      <c r="H21" s="21">
        <f>H7-H18+H20</f>
        <v>20740.47</v>
      </c>
      <c r="I21" s="21">
        <f>I7-I18+I20</f>
        <v>25842.25</v>
      </c>
      <c r="J21" s="21">
        <f>J7-J18+J20</f>
        <v>27147.45</v>
      </c>
      <c r="K21" s="21">
        <f>K7-K18+K20</f>
        <v>26926.94</v>
      </c>
      <c r="L21" s="21">
        <f>L7-L18+L20</f>
        <v>28325.09</v>
      </c>
      <c r="N21" s="5"/>
      <c r="O21" s="5"/>
    </row>
    <row r="22" ht="16.5" customHeight="1" spans="4:15">
      <c r="D22" s="51" t="s">
        <v>19</v>
      </c>
      <c r="H22" s="21">
        <v>0</v>
      </c>
      <c r="I22" s="21">
        <v>72.87</v>
      </c>
      <c r="J22" s="21">
        <v>-7.57</v>
      </c>
      <c r="K22" s="21">
        <v>0</v>
      </c>
      <c r="L22" s="21">
        <v>-291.7</v>
      </c>
      <c r="N22" s="5"/>
      <c r="O22" s="5"/>
    </row>
    <row r="23" ht="16.5" customHeight="1" spans="4:15">
      <c r="D23" s="57" t="s">
        <v>20</v>
      </c>
      <c r="H23" s="21">
        <f>H21+H22</f>
        <v>20740.47</v>
      </c>
      <c r="I23" s="21">
        <f>I21+I22</f>
        <v>25915.12</v>
      </c>
      <c r="J23" s="21">
        <f>J21+J22</f>
        <v>27139.88</v>
      </c>
      <c r="K23" s="21">
        <f>K21+K22</f>
        <v>26926.94</v>
      </c>
      <c r="L23" s="21">
        <f>L21+L22</f>
        <v>28033.39</v>
      </c>
      <c r="N23" s="5"/>
      <c r="O23" s="5"/>
    </row>
    <row r="24" ht="16.5" customHeight="1" spans="4:15">
      <c r="D24" s="51" t="s">
        <v>21</v>
      </c>
      <c r="H24" s="21">
        <v>5306.58</v>
      </c>
      <c r="I24" s="21">
        <v>6450.9</v>
      </c>
      <c r="J24" s="21">
        <v>6165.27</v>
      </c>
      <c r="K24" s="21">
        <v>6509.61</v>
      </c>
      <c r="L24" s="21">
        <v>6412.97</v>
      </c>
      <c r="N24" s="5"/>
      <c r="O24" s="5"/>
    </row>
    <row r="25" ht="16.5" customHeight="1" spans="4:15">
      <c r="D25" s="51" t="s">
        <v>22</v>
      </c>
      <c r="H25" s="21">
        <v>-69.24</v>
      </c>
      <c r="I25" s="21">
        <v>-12.5</v>
      </c>
      <c r="J25" s="21">
        <v>223.25</v>
      </c>
      <c r="K25" s="21">
        <v>380.86</v>
      </c>
      <c r="L25" s="21">
        <v>602.27</v>
      </c>
      <c r="N25" s="5"/>
      <c r="O25" s="5"/>
    </row>
    <row r="26" ht="16.5" customHeight="1" spans="4:15">
      <c r="D26" s="57" t="s">
        <v>23</v>
      </c>
      <c r="H26" s="21">
        <f>H23-H24-H25</f>
        <v>15503.13</v>
      </c>
      <c r="I26" s="21">
        <f>I23-I24-I25</f>
        <v>19476.72</v>
      </c>
      <c r="J26" s="21">
        <f>J23-J24-J25</f>
        <v>20751.36</v>
      </c>
      <c r="K26" s="21">
        <f>K23-K24-K25</f>
        <v>20036.47</v>
      </c>
      <c r="L26" s="21">
        <f>L23-L24-L25</f>
        <v>21018.15</v>
      </c>
      <c r="N26" s="5"/>
      <c r="O26" s="5"/>
    </row>
    <row r="27" ht="16.5" customHeight="1" spans="4:15">
      <c r="N27" s="5"/>
      <c r="O27" s="5"/>
    </row>
    <row r="28" ht="16.5" customHeight="1" spans="4:15">
      <c r="D28" s="57" t="s">
        <v>24</v>
      </c>
      <c r="E28" s="56"/>
      <c r="F28" s="56"/>
      <c r="G28" s="56"/>
      <c r="H28" s="56"/>
      <c r="I28" s="56"/>
      <c r="J28" s="56"/>
      <c r="N28" s="5"/>
      <c r="O28" s="5"/>
    </row>
    <row r="29" ht="16.5" customHeight="1" spans="4:15">
      <c r="D29" s="51" t="s">
        <v>25</v>
      </c>
      <c r="H29" s="21">
        <v>0</v>
      </c>
      <c r="I29" s="21">
        <v>0</v>
      </c>
      <c r="J29" s="21">
        <v>0</v>
      </c>
      <c r="K29" s="21">
        <v>525.84</v>
      </c>
      <c r="L29" s="21">
        <v>0</v>
      </c>
      <c r="N29" s="5"/>
      <c r="O29" s="5"/>
    </row>
    <row r="30" ht="16.5" customHeight="1" spans="4:15">
      <c r="D30" s="51" t="s">
        <v>26</v>
      </c>
      <c r="H30" s="21">
        <v>0</v>
      </c>
      <c r="I30" s="21">
        <v>0</v>
      </c>
      <c r="J30" s="21">
        <v>0</v>
      </c>
      <c r="K30" s="21">
        <v>15128.81</v>
      </c>
      <c r="L30" s="21">
        <v>0</v>
      </c>
      <c r="N30" s="5"/>
      <c r="O30" s="5"/>
    </row>
    <row r="31" ht="16.5" customHeight="1" spans="4:15">
      <c r="D31" s="51" t="s">
        <v>27</v>
      </c>
      <c r="H31" s="21">
        <v>0</v>
      </c>
      <c r="I31" s="21">
        <v>0</v>
      </c>
      <c r="J31" s="21">
        <v>0</v>
      </c>
      <c r="K31" s="21">
        <v>638.64</v>
      </c>
      <c r="L31" s="21">
        <v>0</v>
      </c>
      <c r="N31" s="5"/>
      <c r="O31" s="5"/>
    </row>
    <row r="32" ht="16.5" customHeight="1" spans="4:15">
      <c r="D32" s="57" t="s">
        <v>28</v>
      </c>
      <c r="H32" s="21">
        <f>H29+H30-H31</f>
        <v>0</v>
      </c>
      <c r="I32" s="21">
        <f>I29+I30-I31</f>
        <v>0</v>
      </c>
      <c r="J32" s="21">
        <f>J29+J30-J31</f>
        <v>0</v>
      </c>
      <c r="K32" s="21">
        <f>K29+K30-K31</f>
        <v>15016.01</v>
      </c>
      <c r="L32" s="21">
        <f>L29+L30-L31</f>
        <v>0</v>
      </c>
    </row>
    <row r="33" ht="16.5" customHeight="1" spans="3:12">
      <c r="D33" s="56"/>
      <c r="H33" s="56"/>
      <c r="I33" s="56"/>
      <c r="J33" s="56"/>
      <c r="K33" s="56"/>
      <c r="L33" s="56"/>
    </row>
    <row r="34" ht="16.5" customHeight="1" spans="3:12">
      <c r="D34" s="57" t="s">
        <v>29</v>
      </c>
      <c r="H34" s="21">
        <f>H26+H32</f>
        <v>15503.13</v>
      </c>
      <c r="I34" s="21">
        <f>I26+I32</f>
        <v>19476.72</v>
      </c>
      <c r="J34" s="21">
        <f>J26+J32</f>
        <v>20751.36</v>
      </c>
      <c r="K34" s="21">
        <f>K26+K32</f>
        <v>35052.48</v>
      </c>
      <c r="L34" s="21">
        <f>L26+L32</f>
        <v>21018.15</v>
      </c>
    </row>
    <row r="36" ht="16.5" customHeight="1" spans="3:12">
      <c r="C36" s="58" t="s">
        <v>30</v>
      </c>
    </row>
    <row r="38" ht="16.5" customHeight="1" spans="3:12">
      <c r="C38" s="34" t="s">
        <v>31</v>
      </c>
    </row>
    <row r="39" ht="16.5" customHeight="1" spans="3:12">
      <c r="D39" s="53" t="s">
        <v>32</v>
      </c>
    </row>
    <row r="40" ht="16.5" customHeight="1" spans="3:12">
      <c r="D40" s="51" t="s">
        <v>33</v>
      </c>
      <c r="H40" s="21">
        <v>20207.43</v>
      </c>
      <c r="I40" s="21">
        <v>21117.08</v>
      </c>
      <c r="J40" s="21">
        <v>23082.33</v>
      </c>
      <c r="K40" s="21">
        <v>17428.89</v>
      </c>
      <c r="L40" s="21">
        <v>17471.2</v>
      </c>
    </row>
    <row r="41" ht="16.5" customHeight="1" spans="3:12">
      <c r="D41" s="51" t="s">
        <v>34</v>
      </c>
      <c r="H41" s="21">
        <v>3198.45</v>
      </c>
      <c r="I41" s="21">
        <v>2984.71</v>
      </c>
      <c r="J41" s="21">
        <v>2851.14</v>
      </c>
      <c r="K41" s="21">
        <v>1087.6</v>
      </c>
      <c r="L41" s="21">
        <v>1499.41</v>
      </c>
    </row>
    <row r="42" ht="16.5" customHeight="1" spans="3:12">
      <c r="D42" s="51" t="s">
        <v>35</v>
      </c>
      <c r="H42" s="21">
        <v>364.2</v>
      </c>
      <c r="I42" s="21">
        <v>352.26</v>
      </c>
      <c r="J42" s="21">
        <v>340.93</v>
      </c>
      <c r="K42" s="21">
        <v>322.4</v>
      </c>
      <c r="L42" s="21">
        <v>303.36</v>
      </c>
    </row>
    <row r="43" ht="16.5" customHeight="1" spans="3:12">
      <c r="D43" s="51" t="s">
        <v>36</v>
      </c>
      <c r="H43" s="21">
        <v>779.73</v>
      </c>
      <c r="I43" s="21">
        <v>779.73</v>
      </c>
      <c r="J43" s="21">
        <v>779.73</v>
      </c>
      <c r="K43" s="21">
        <v>896.93</v>
      </c>
      <c r="L43" s="21">
        <v>993.29</v>
      </c>
    </row>
    <row r="44" ht="16.5" customHeight="1" spans="3:12">
      <c r="D44" s="51" t="s">
        <v>37</v>
      </c>
      <c r="H44" s="21">
        <v>2013.1</v>
      </c>
      <c r="I44" s="21">
        <v>2727.32</v>
      </c>
      <c r="J44" s="21">
        <v>2678.11</v>
      </c>
      <c r="K44" s="21">
        <v>2724.74</v>
      </c>
      <c r="L44" s="21">
        <v>3173.66</v>
      </c>
    </row>
    <row r="45" ht="16.5" customHeight="1" spans="3:12">
      <c r="D45" s="51" t="s">
        <v>38</v>
      </c>
      <c r="H45" s="21">
        <v>27.09</v>
      </c>
      <c r="I45" s="21">
        <v>18.59</v>
      </c>
      <c r="J45" s="21">
        <v>9.64</v>
      </c>
      <c r="K45" s="21">
        <v>3.31</v>
      </c>
      <c r="L45" s="21">
        <v>102.47</v>
      </c>
    </row>
    <row r="46" ht="16.5" customHeight="1" spans="3:12">
      <c r="D46" s="51" t="s">
        <v>39</v>
      </c>
      <c r="H46" s="21">
        <v>867.13</v>
      </c>
      <c r="I46" s="21">
        <v>874.88</v>
      </c>
      <c r="J46" s="21">
        <v>939.12</v>
      </c>
      <c r="K46" s="21">
        <v>581.89</v>
      </c>
      <c r="L46" s="21">
        <v>501.02</v>
      </c>
    </row>
    <row r="47" ht="16.5" customHeight="1" spans="3:12">
      <c r="D47" s="51" t="s">
        <v>40</v>
      </c>
      <c r="H47" s="21">
        <v>269.24</v>
      </c>
      <c r="I47" s="21">
        <v>337.59</v>
      </c>
      <c r="J47" s="21">
        <v>549.73</v>
      </c>
      <c r="K47" s="21">
        <v>4711.78</v>
      </c>
      <c r="L47" s="21">
        <v>5288.24</v>
      </c>
    </row>
    <row r="48" ht="16.5" customHeight="1" spans="3:12">
      <c r="D48" s="2" t="s">
        <v>41</v>
      </c>
      <c r="H48" s="21"/>
      <c r="I48" s="21"/>
      <c r="J48" s="21"/>
      <c r="K48" s="21"/>
      <c r="L48" s="21"/>
    </row>
    <row r="49" ht="16.5" customHeight="1" spans="3:12">
      <c r="D49" s="59" t="s">
        <v>42</v>
      </c>
      <c r="E49" s="60"/>
      <c r="H49" s="21">
        <v>12307.49</v>
      </c>
      <c r="I49" s="21">
        <v>11844.57</v>
      </c>
      <c r="J49" s="21">
        <v>17619.87</v>
      </c>
      <c r="K49" s="21">
        <v>13720.54</v>
      </c>
      <c r="L49" s="21">
        <v>12089.55</v>
      </c>
    </row>
    <row r="50" ht="16.5" customHeight="1" spans="3:12">
      <c r="D50" s="59" t="s">
        <v>43</v>
      </c>
      <c r="E50" s="60"/>
      <c r="H50" s="21">
        <v>6.61</v>
      </c>
      <c r="I50" s="21">
        <v>5.48</v>
      </c>
      <c r="J50" s="21">
        <v>4.05</v>
      </c>
      <c r="K50" s="21">
        <v>7.6</v>
      </c>
      <c r="L50" s="21">
        <v>4.87</v>
      </c>
    </row>
    <row r="51" ht="16.5" customHeight="1" spans="3:12">
      <c r="D51" s="59" t="s">
        <v>44</v>
      </c>
      <c r="E51" s="60"/>
      <c r="H51" s="21">
        <v>1589.58</v>
      </c>
      <c r="I51" s="21">
        <v>3739.75</v>
      </c>
      <c r="J51" s="21">
        <v>408.99</v>
      </c>
      <c r="K51" s="21">
        <v>1557.57</v>
      </c>
      <c r="L51" s="21">
        <v>343.22</v>
      </c>
    </row>
    <row r="52" ht="16.5" customHeight="1" spans="3:12">
      <c r="D52" s="51" t="s">
        <v>45</v>
      </c>
      <c r="H52" s="21">
        <v>63.53</v>
      </c>
      <c r="I52" s="21">
        <v>52.02</v>
      </c>
      <c r="J52" s="21">
        <v>72.19</v>
      </c>
      <c r="K52" s="21">
        <v>87.98</v>
      </c>
      <c r="L52" s="21">
        <v>155.18</v>
      </c>
    </row>
    <row r="53" ht="16.5" customHeight="1" spans="3:12">
      <c r="D53" s="51" t="s">
        <v>46</v>
      </c>
      <c r="H53" s="21">
        <v>42.3</v>
      </c>
      <c r="I53" s="21">
        <v>66.16</v>
      </c>
      <c r="J53" s="21">
        <v>44.93</v>
      </c>
      <c r="K53" s="21">
        <v>50.24</v>
      </c>
      <c r="L53" s="21">
        <v>70.05</v>
      </c>
    </row>
    <row r="54" ht="16.5" customHeight="1" spans="3:12">
      <c r="D54" s="51" t="s">
        <v>47</v>
      </c>
      <c r="H54" s="21">
        <v>1291.22</v>
      </c>
      <c r="I54" s="21">
        <v>1311.95</v>
      </c>
      <c r="J54" s="21">
        <v>1379.86</v>
      </c>
      <c r="K54" s="21">
        <v>1015.93</v>
      </c>
      <c r="L54" s="21">
        <v>1088.45</v>
      </c>
    </row>
    <row r="55" ht="16.5" customHeight="1" spans="3:12">
      <c r="D55" s="53" t="s">
        <v>48</v>
      </c>
      <c r="E55" s="54"/>
      <c r="F55" s="54"/>
      <c r="G55" s="54"/>
      <c r="H55" s="55">
        <f>SUM(H39:H54)</f>
        <v>43027.1</v>
      </c>
      <c r="I55" s="55">
        <f>SUM(I39:I54)</f>
        <v>46212.09</v>
      </c>
      <c r="J55" s="55">
        <f>SUM(J39:J54)</f>
        <v>50760.62</v>
      </c>
      <c r="K55" s="55">
        <f>SUM(K39:K54)</f>
        <v>44197.4</v>
      </c>
      <c r="L55" s="55">
        <f>SUM(L39:L54)</f>
        <v>43083.97</v>
      </c>
    </row>
    <row r="56" ht="16.5" customHeight="1" spans="3:12">
      <c r="D56" s="56"/>
      <c r="H56" s="56"/>
      <c r="I56" s="56"/>
      <c r="J56" s="56"/>
      <c r="K56" s="56"/>
      <c r="L56" s="56"/>
    </row>
    <row r="57" ht="16.5" customHeight="1" spans="3:12">
      <c r="C57" s="34" t="s">
        <v>49</v>
      </c>
      <c r="H57" s="56"/>
      <c r="I57" s="56"/>
      <c r="J57" s="56"/>
      <c r="K57" s="56"/>
      <c r="L57" s="56"/>
    </row>
    <row r="58" ht="16.5" customHeight="1" spans="3:12">
      <c r="D58" s="51" t="s">
        <v>50</v>
      </c>
      <c r="H58" s="21">
        <v>10864.15</v>
      </c>
      <c r="I58" s="21">
        <v>11771.16</v>
      </c>
      <c r="J58" s="21">
        <v>14152.88</v>
      </c>
      <c r="K58" s="21">
        <v>15637.56</v>
      </c>
      <c r="L58" s="21">
        <v>18622.96</v>
      </c>
    </row>
    <row r="59" ht="16.5" customHeight="1" spans="3:12">
      <c r="D59" s="51" t="s">
        <v>51</v>
      </c>
      <c r="H59" s="21">
        <v>109.44</v>
      </c>
      <c r="I59" s="21">
        <v>142.97</v>
      </c>
      <c r="J59" s="21">
        <v>150</v>
      </c>
      <c r="K59" s="21">
        <v>198.58</v>
      </c>
      <c r="L59" s="21">
        <v>249.69</v>
      </c>
    </row>
    <row r="60" ht="16.5" customHeight="1" spans="3:12">
      <c r="D60" s="2" t="s">
        <v>41</v>
      </c>
    </row>
    <row r="61" ht="16.5" customHeight="1" spans="3:12">
      <c r="D61" s="61" t="s">
        <v>52</v>
      </c>
      <c r="H61" s="21">
        <v>12264.28</v>
      </c>
      <c r="I61" s="21">
        <v>17232.86</v>
      </c>
      <c r="J61" s="21">
        <v>12944.42</v>
      </c>
      <c r="K61" s="21">
        <v>16287.5</v>
      </c>
      <c r="L61" s="21">
        <v>20750.64</v>
      </c>
    </row>
    <row r="62" ht="16.5" customHeight="1" spans="3:12">
      <c r="D62" s="61" t="s">
        <v>53</v>
      </c>
      <c r="H62" s="21">
        <v>2461.9</v>
      </c>
      <c r="I62" s="21">
        <v>2956.17</v>
      </c>
      <c r="J62" s="21">
        <v>4025.82</v>
      </c>
      <c r="K62" s="21">
        <v>4719.67</v>
      </c>
      <c r="L62" s="21">
        <v>3922.86</v>
      </c>
    </row>
    <row r="63" ht="16.5" customHeight="1" spans="3:12">
      <c r="D63" s="61" t="s">
        <v>54</v>
      </c>
      <c r="H63" s="21">
        <v>271.37</v>
      </c>
      <c r="I63" s="21">
        <v>463.35</v>
      </c>
      <c r="J63" s="21">
        <v>625.89</v>
      </c>
      <c r="K63" s="21">
        <v>620</v>
      </c>
      <c r="L63" s="21">
        <v>643.46</v>
      </c>
    </row>
    <row r="64" ht="16.5" customHeight="1" spans="3:12">
      <c r="D64" s="61" t="s">
        <v>55</v>
      </c>
      <c r="H64" s="21">
        <v>4383.05</v>
      </c>
      <c r="I64" s="21">
        <v>4416.84</v>
      </c>
      <c r="J64" s="21">
        <v>6591.79</v>
      </c>
      <c r="K64" s="21">
        <v>3392.36</v>
      </c>
      <c r="L64" s="21">
        <v>2365.33</v>
      </c>
    </row>
    <row r="65" ht="16.5" customHeight="1" spans="3:12">
      <c r="D65" s="61" t="s">
        <v>56</v>
      </c>
      <c r="H65" s="21">
        <v>6.77</v>
      </c>
      <c r="I65" s="21">
        <v>7.12</v>
      </c>
      <c r="J65" s="21">
        <v>9.81</v>
      </c>
      <c r="K65" s="21">
        <v>9.51</v>
      </c>
      <c r="L65" s="21">
        <v>8.52</v>
      </c>
    </row>
    <row r="66" ht="16.5" customHeight="1" spans="3:12">
      <c r="D66" s="61" t="s">
        <v>57</v>
      </c>
      <c r="H66" s="21">
        <v>2565.41</v>
      </c>
      <c r="I66" s="21">
        <v>1118.67</v>
      </c>
      <c r="J66" s="21">
        <v>1181.74</v>
      </c>
      <c r="K66" s="21">
        <v>1656.25</v>
      </c>
      <c r="L66" s="21">
        <v>2361.34</v>
      </c>
    </row>
    <row r="67" ht="16.5" customHeight="1" spans="3:12">
      <c r="D67" s="51" t="s">
        <v>58</v>
      </c>
      <c r="H67" s="21">
        <v>1306.08</v>
      </c>
      <c r="I67" s="21">
        <v>1561.75</v>
      </c>
      <c r="J67" s="21">
        <v>1383.19</v>
      </c>
      <c r="K67" s="21">
        <v>1371.85</v>
      </c>
      <c r="L67" s="21">
        <v>1783.61</v>
      </c>
    </row>
    <row r="68" ht="16.5" customHeight="1" spans="3:12">
      <c r="D68" s="53" t="s">
        <v>59</v>
      </c>
      <c r="E68" s="54"/>
      <c r="F68" s="54"/>
      <c r="G68" s="54"/>
      <c r="H68" s="55">
        <f>SUM(H58:H67)</f>
        <v>34232.45</v>
      </c>
      <c r="I68" s="55">
        <f>SUM(I58:I67)</f>
        <v>39670.89</v>
      </c>
      <c r="J68" s="55">
        <f>SUM(J58:J67)</f>
        <v>41065.54</v>
      </c>
      <c r="K68" s="55">
        <f>SUM(K58:K67)</f>
        <v>43893.28</v>
      </c>
      <c r="L68" s="55">
        <f>SUM(L58:L67)</f>
        <v>50708.41</v>
      </c>
    </row>
    <row r="69" ht="16.5" customHeight="1" spans="3:12">
      <c r="D69" s="56"/>
      <c r="H69" s="56"/>
      <c r="I69" s="56"/>
      <c r="J69" s="56"/>
      <c r="K69" s="56"/>
      <c r="L69" s="56"/>
    </row>
    <row r="70" ht="16.5" customHeight="1" spans="3:12">
      <c r="D70" s="57" t="s">
        <v>60</v>
      </c>
      <c r="H70" s="21">
        <f>H55+H68</f>
        <v>77259.55</v>
      </c>
      <c r="I70" s="21">
        <f>I55+I68</f>
        <v>85882.98</v>
      </c>
      <c r="J70" s="21">
        <f>J55+J68</f>
        <v>91826.16</v>
      </c>
      <c r="K70" s="21">
        <f>K55+K68</f>
        <v>88090.68</v>
      </c>
      <c r="L70" s="21">
        <f>L55+L68</f>
        <v>93792.38</v>
      </c>
    </row>
    <row r="71" ht="16.5" customHeight="1" spans="3:12">
      <c r="D71" s="56"/>
      <c r="H71" s="56"/>
      <c r="I71" s="56"/>
      <c r="J71" s="56"/>
      <c r="K71" s="56"/>
      <c r="L71" s="56"/>
    </row>
    <row r="72" ht="16.5" customHeight="1" spans="3:12">
      <c r="C72" s="34" t="s">
        <v>61</v>
      </c>
      <c r="H72" s="56"/>
      <c r="I72" s="56"/>
      <c r="J72" s="56"/>
      <c r="K72" s="56"/>
      <c r="L72" s="56"/>
    </row>
    <row r="73" ht="16.5" customHeight="1" spans="3:12">
      <c r="C73" s="34"/>
      <c r="H73" s="56"/>
      <c r="I73" s="56"/>
      <c r="J73" s="56"/>
      <c r="K73" s="56"/>
      <c r="L73" s="56"/>
    </row>
    <row r="74" ht="16.5" customHeight="1" spans="3:12">
      <c r="D74" s="53" t="s">
        <v>62</v>
      </c>
      <c r="H74" s="56"/>
      <c r="I74" s="56"/>
      <c r="J74" s="56"/>
      <c r="K74" s="56"/>
      <c r="L74" s="56"/>
    </row>
    <row r="75" ht="16.5" customHeight="1" spans="3:12">
      <c r="D75" s="51" t="s">
        <v>63</v>
      </c>
      <c r="H75" s="21">
        <v>1232.33</v>
      </c>
      <c r="I75" s="21">
        <v>1242.8</v>
      </c>
      <c r="J75" s="21">
        <v>1248.47</v>
      </c>
      <c r="K75" s="21">
        <v>1251.41</v>
      </c>
      <c r="L75" s="21">
        <v>1252.95</v>
      </c>
    </row>
    <row r="76" ht="16.5" customHeight="1" spans="3:12">
      <c r="D76" s="51" t="s">
        <v>64</v>
      </c>
      <c r="H76" s="21">
        <v>61223.24</v>
      </c>
      <c r="I76" s="21">
        <v>67912.46</v>
      </c>
      <c r="J76" s="21">
        <v>73258.53</v>
      </c>
      <c r="K76" s="21">
        <v>68778.64</v>
      </c>
      <c r="L76" s="21">
        <v>71254.35</v>
      </c>
    </row>
    <row r="77" ht="16.5" customHeight="1" spans="3:12">
      <c r="D77" s="57" t="s">
        <v>65</v>
      </c>
      <c r="H77" s="21">
        <f>SUM(H75:H76)</f>
        <v>62455.57</v>
      </c>
      <c r="I77" s="21">
        <f>SUM(I75:I76)</f>
        <v>69155.26</v>
      </c>
      <c r="J77" s="21">
        <f>SUM(J75:J76)</f>
        <v>74507</v>
      </c>
      <c r="K77" s="21">
        <f>SUM(K75:K76)</f>
        <v>70030.05</v>
      </c>
      <c r="L77" s="21">
        <f>SUM(L75:L76)</f>
        <v>72507.3</v>
      </c>
    </row>
    <row r="78" ht="16.5" customHeight="1" spans="3:12">
      <c r="D78" s="51" t="s">
        <v>66</v>
      </c>
      <c r="H78" s="21">
        <v>366.3</v>
      </c>
      <c r="I78" s="21">
        <v>383.53</v>
      </c>
      <c r="J78" s="21">
        <v>382.97</v>
      </c>
      <c r="K78" s="21">
        <v>367.89</v>
      </c>
      <c r="L78" s="21">
        <v>365.72</v>
      </c>
    </row>
    <row r="79" ht="16.5" customHeight="1" spans="3:12">
      <c r="D79" s="53" t="s">
        <v>67</v>
      </c>
      <c r="E79" s="54"/>
      <c r="F79" s="54"/>
      <c r="G79" s="54"/>
      <c r="H79" s="55">
        <f>H77+H78</f>
        <v>62821.87</v>
      </c>
      <c r="I79" s="55">
        <f>I77+I78</f>
        <v>69538.79</v>
      </c>
      <c r="J79" s="55">
        <f>J77+J78</f>
        <v>74889.97</v>
      </c>
      <c r="K79" s="55">
        <f>K77+K78</f>
        <v>70397.94</v>
      </c>
      <c r="L79" s="55">
        <f>L77+L78</f>
        <v>72873.02</v>
      </c>
    </row>
    <row r="80" ht="16.5" customHeight="1" spans="3:12">
      <c r="D80" s="56"/>
      <c r="H80" s="56"/>
      <c r="I80" s="56"/>
      <c r="J80" s="56"/>
      <c r="K80" s="56"/>
      <c r="L80" s="56"/>
    </row>
    <row r="81" ht="16.5" customHeight="1" spans="3:12">
      <c r="C81" s="34" t="s">
        <v>68</v>
      </c>
      <c r="H81" s="56"/>
      <c r="I81" s="56"/>
      <c r="J81" s="56"/>
      <c r="K81" s="56"/>
      <c r="L81" s="56"/>
    </row>
    <row r="82" ht="16.5" customHeight="1" spans="3:12">
      <c r="C82" s="34"/>
      <c r="D82" s="2" t="s">
        <v>41</v>
      </c>
      <c r="H82" s="56"/>
      <c r="I82" s="56"/>
      <c r="J82" s="56"/>
      <c r="K82" s="56"/>
      <c r="L82" s="56"/>
    </row>
    <row r="83" ht="16.5" customHeight="1" spans="3:12">
      <c r="D83" s="61" t="s">
        <v>69</v>
      </c>
      <c r="H83" s="21">
        <v>4.85</v>
      </c>
      <c r="I83" s="21">
        <v>3.49</v>
      </c>
      <c r="J83" s="21">
        <v>1.76</v>
      </c>
      <c r="K83" s="21">
        <v>0</v>
      </c>
      <c r="L83" s="21">
        <v>60</v>
      </c>
    </row>
    <row r="84" ht="16.5" customHeight="1" spans="3:12">
      <c r="D84" s="61" t="s">
        <v>70</v>
      </c>
      <c r="H84" s="21">
        <v>193.67</v>
      </c>
      <c r="I84" s="21">
        <v>213.37</v>
      </c>
      <c r="J84" s="21">
        <v>230.61</v>
      </c>
      <c r="K84" s="21">
        <v>137.21</v>
      </c>
      <c r="L84" s="21">
        <v>140.86</v>
      </c>
    </row>
    <row r="85" ht="16.5" customHeight="1" spans="3:12">
      <c r="D85" s="61" t="s">
        <v>71</v>
      </c>
      <c r="H85" s="21">
        <v>144.5</v>
      </c>
      <c r="I85" s="21">
        <v>416.87</v>
      </c>
      <c r="J85" s="21">
        <v>433.96</v>
      </c>
      <c r="K85" s="21">
        <v>301.34</v>
      </c>
      <c r="L85" s="21">
        <v>510.4</v>
      </c>
    </row>
    <row r="86" ht="16.5" customHeight="1" spans="3:12">
      <c r="D86" s="51" t="s">
        <v>72</v>
      </c>
      <c r="H86" s="21">
        <v>221.05</v>
      </c>
      <c r="I86" s="21">
        <v>259.21</v>
      </c>
      <c r="J86" s="21">
        <v>288.3</v>
      </c>
      <c r="K86" s="21">
        <v>303.11</v>
      </c>
      <c r="L86" s="21">
        <v>389.43</v>
      </c>
    </row>
    <row r="87" ht="16.5" customHeight="1" spans="3:12">
      <c r="D87" s="51" t="s">
        <v>73</v>
      </c>
      <c r="H87" s="21">
        <v>1673.47</v>
      </c>
      <c r="I87" s="21">
        <v>1629</v>
      </c>
      <c r="J87" s="21">
        <v>2141.44</v>
      </c>
      <c r="K87" s="21">
        <v>2582.46</v>
      </c>
      <c r="L87" s="21">
        <v>3089.62</v>
      </c>
    </row>
    <row r="88" ht="16.5" customHeight="1" spans="3:12">
      <c r="D88" s="51" t="s">
        <v>74</v>
      </c>
      <c r="H88" s="21">
        <v>36.43</v>
      </c>
      <c r="I88" s="21">
        <v>82.84</v>
      </c>
      <c r="J88" s="21">
        <v>149.72</v>
      </c>
      <c r="K88" s="21">
        <v>34.51</v>
      </c>
      <c r="L88" s="21">
        <v>41.78</v>
      </c>
    </row>
    <row r="89" ht="16.5" customHeight="1" spans="3:12">
      <c r="D89" s="53" t="s">
        <v>75</v>
      </c>
      <c r="E89" s="54"/>
      <c r="F89" s="54"/>
      <c r="G89" s="54"/>
      <c r="H89" s="55">
        <f>SUM(H83:H88)</f>
        <v>2273.97</v>
      </c>
      <c r="I89" s="55">
        <f>SUM(I83:I88)</f>
        <v>2604.78</v>
      </c>
      <c r="J89" s="55">
        <f>SUM(J83:J88)</f>
        <v>3245.79</v>
      </c>
      <c r="K89" s="55">
        <f>SUM(K83:K88)</f>
        <v>3358.63</v>
      </c>
      <c r="L89" s="55">
        <f>SUM(L83:L88)</f>
        <v>4232.09</v>
      </c>
    </row>
    <row r="90" ht="16.5" customHeight="1" spans="3:12">
      <c r="D90" s="56"/>
      <c r="H90" s="56"/>
      <c r="I90" s="56"/>
      <c r="J90" s="56"/>
      <c r="K90" s="56"/>
      <c r="L90" s="56"/>
    </row>
    <row r="91" ht="16.5" customHeight="1" spans="3:12">
      <c r="C91" s="34" t="s">
        <v>76</v>
      </c>
      <c r="H91" s="56"/>
      <c r="I91" s="56"/>
      <c r="J91" s="56"/>
      <c r="K91" s="56"/>
      <c r="L91" s="56"/>
    </row>
    <row r="92" ht="16.5" customHeight="1" spans="3:12">
      <c r="C92" s="34"/>
      <c r="D92" s="2" t="s">
        <v>77</v>
      </c>
      <c r="H92" s="56"/>
      <c r="I92" s="56"/>
      <c r="J92" s="56"/>
      <c r="K92" s="56"/>
      <c r="L92" s="56"/>
    </row>
    <row r="93" ht="16.5" customHeight="1" spans="3:12">
      <c r="D93" s="61" t="s">
        <v>78</v>
      </c>
      <c r="H93" s="21">
        <v>0.74</v>
      </c>
      <c r="I93" s="21">
        <v>35.32</v>
      </c>
      <c r="J93" s="21">
        <v>9.52</v>
      </c>
      <c r="K93" s="21">
        <v>91.26</v>
      </c>
      <c r="L93" s="21">
        <v>2126.22</v>
      </c>
    </row>
    <row r="94" ht="16.5" customHeight="1" spans="3:12">
      <c r="D94" s="61" t="s">
        <v>79</v>
      </c>
      <c r="H94" s="21">
        <v>101.42</v>
      </c>
      <c r="I94" s="21">
        <v>137.88</v>
      </c>
      <c r="J94" s="21">
        <v>207.23</v>
      </c>
      <c r="K94" s="21">
        <v>180.64</v>
      </c>
      <c r="L94" s="21">
        <v>350.13</v>
      </c>
    </row>
    <row r="95" ht="16.5" customHeight="1" spans="3:12">
      <c r="D95" s="61" t="s">
        <v>80</v>
      </c>
      <c r="H95" s="21">
        <v>4315.84</v>
      </c>
      <c r="I95" s="21">
        <v>4521.11</v>
      </c>
      <c r="J95" s="21">
        <v>4590.6</v>
      </c>
      <c r="K95" s="21">
        <v>4626.66</v>
      </c>
      <c r="L95" s="21">
        <v>5289.42</v>
      </c>
    </row>
    <row r="96" ht="16.5" customHeight="1" spans="3:12">
      <c r="D96" s="61" t="s">
        <v>81</v>
      </c>
      <c r="H96" s="21">
        <v>50.18</v>
      </c>
      <c r="I96" s="21">
        <v>53.86</v>
      </c>
      <c r="J96" s="21">
        <v>61.54</v>
      </c>
      <c r="K96" s="21">
        <v>56.07</v>
      </c>
      <c r="L96" s="21">
        <v>71.98</v>
      </c>
    </row>
    <row r="97" ht="16.5" customHeight="1" spans="3:12">
      <c r="D97" s="61" t="s">
        <v>82</v>
      </c>
      <c r="H97" s="21">
        <v>1812.85</v>
      </c>
      <c r="I97" s="21">
        <v>2407.71</v>
      </c>
      <c r="J97" s="21">
        <v>2179</v>
      </c>
      <c r="K97" s="21">
        <v>1921.5</v>
      </c>
      <c r="L97" s="21">
        <v>2099.15</v>
      </c>
    </row>
    <row r="98" ht="16.5" customHeight="1" spans="3:12">
      <c r="D98" s="51" t="s">
        <v>83</v>
      </c>
      <c r="H98" s="21">
        <v>5116.03</v>
      </c>
      <c r="I98" s="21">
        <v>5571.35</v>
      </c>
      <c r="J98" s="21">
        <v>5594.72</v>
      </c>
      <c r="K98" s="21">
        <v>6148.27</v>
      </c>
      <c r="L98" s="21">
        <v>5037.64</v>
      </c>
    </row>
    <row r="99" ht="16.5" customHeight="1" spans="3:12">
      <c r="D99" s="51" t="s">
        <v>84</v>
      </c>
      <c r="H99" s="21">
        <v>79.56</v>
      </c>
      <c r="I99" s="21">
        <v>100.56</v>
      </c>
      <c r="J99" s="21">
        <v>106.91</v>
      </c>
      <c r="K99" s="21">
        <v>80.06</v>
      </c>
      <c r="L99" s="21">
        <v>423.91</v>
      </c>
    </row>
    <row r="100" ht="16.5" customHeight="1" spans="3:12">
      <c r="D100" s="51" t="s">
        <v>85</v>
      </c>
      <c r="H100" s="21">
        <v>687.09</v>
      </c>
      <c r="I100" s="21">
        <v>911.62</v>
      </c>
      <c r="J100" s="21">
        <v>940.88</v>
      </c>
      <c r="K100" s="21">
        <v>1229.65</v>
      </c>
      <c r="L100" s="21">
        <v>1288.82</v>
      </c>
    </row>
    <row r="101" ht="16.5" customHeight="1" spans="3:12">
      <c r="D101" s="53" t="s">
        <v>86</v>
      </c>
      <c r="E101" s="54"/>
      <c r="F101" s="54"/>
      <c r="G101" s="54"/>
      <c r="H101" s="55">
        <f>SUM(H93:H100)</f>
        <v>12163.71</v>
      </c>
      <c r="I101" s="55">
        <f>SUM(I93:I100)</f>
        <v>13739.41</v>
      </c>
      <c r="J101" s="55">
        <f>SUM(J93:J100)</f>
        <v>13690.4</v>
      </c>
      <c r="K101" s="55">
        <f>SUM(K93:K100)</f>
        <v>14334.11</v>
      </c>
      <c r="L101" s="55">
        <f>SUM(L93:L100)</f>
        <v>16687.27</v>
      </c>
    </row>
    <row r="102" ht="16.5" customHeight="1" spans="3:12">
      <c r="D102" s="56"/>
      <c r="H102" s="56"/>
      <c r="I102" s="56"/>
      <c r="J102" s="56"/>
      <c r="K102" s="56"/>
      <c r="L102" s="56"/>
    </row>
    <row r="103" ht="16.5" customHeight="1" spans="3:12">
      <c r="D103" s="57" t="s">
        <v>87</v>
      </c>
      <c r="H103" s="21">
        <f>H79+H89+H101</f>
        <v>77259.55</v>
      </c>
      <c r="I103" s="21">
        <f>I79+I89+I101</f>
        <v>85882.98</v>
      </c>
      <c r="J103" s="21">
        <f>J79+J89+J101</f>
        <v>91826.16</v>
      </c>
      <c r="K103" s="21">
        <f>K79+K89+K101</f>
        <v>88090.68</v>
      </c>
      <c r="L103" s="21">
        <f>L79+L89+L101</f>
        <v>93792.38</v>
      </c>
    </row>
    <row r="105" ht="16.5" customHeight="1" spans="3:12">
      <c r="C105" s="62" t="s">
        <v>88</v>
      </c>
    </row>
    <row r="107" ht="16.5" customHeight="1" spans="3:12">
      <c r="D107" s="53" t="s">
        <v>89</v>
      </c>
      <c r="H107" s="21"/>
      <c r="I107" s="21"/>
      <c r="J107" s="21"/>
      <c r="K107" s="21"/>
      <c r="L107" s="21"/>
    </row>
    <row r="108" ht="16.5" customHeight="1" spans="3:12">
      <c r="D108" s="51" t="s">
        <v>90</v>
      </c>
      <c r="H108" s="21">
        <v>20740.47</v>
      </c>
      <c r="I108" s="21">
        <v>25915.12</v>
      </c>
      <c r="J108" s="21">
        <v>27139.88</v>
      </c>
      <c r="K108" s="21">
        <v>26926.94</v>
      </c>
      <c r="L108" s="21">
        <v>28033.39</v>
      </c>
    </row>
    <row r="109" ht="16.5" customHeight="1" spans="3:12">
      <c r="D109" s="51" t="s">
        <v>91</v>
      </c>
      <c r="H109" s="21">
        <v>0</v>
      </c>
      <c r="I109" s="21">
        <v>0</v>
      </c>
      <c r="J109" s="21">
        <v>0</v>
      </c>
      <c r="K109" s="21">
        <v>15654.65</v>
      </c>
      <c r="L109" s="21">
        <v>0</v>
      </c>
    </row>
    <row r="110" ht="16.5" customHeight="1" spans="3:12">
      <c r="D110" s="51" t="s">
        <v>14</v>
      </c>
      <c r="H110" s="21">
        <v>1732.41</v>
      </c>
      <c r="I110" s="21">
        <v>1809.01</v>
      </c>
      <c r="J110" s="21">
        <v>1816.39</v>
      </c>
      <c r="K110" s="21">
        <v>1950.58</v>
      </c>
      <c r="L110" s="21">
        <v>1710.53</v>
      </c>
    </row>
    <row r="111" ht="16.5" customHeight="1" spans="3:12">
      <c r="D111" s="51" t="s">
        <v>92</v>
      </c>
      <c r="H111" s="21">
        <v>33.17</v>
      </c>
      <c r="I111" s="21">
        <v>60.41</v>
      </c>
      <c r="J111" s="21">
        <v>107.3</v>
      </c>
      <c r="K111" s="21">
        <v>133.79</v>
      </c>
      <c r="L111" s="21">
        <v>128</v>
      </c>
    </row>
    <row r="112" ht="16.5" customHeight="1" spans="3:12">
      <c r="D112" s="51" t="s">
        <v>13</v>
      </c>
      <c r="H112" s="21">
        <v>39.36</v>
      </c>
      <c r="I112" s="21">
        <v>43.2</v>
      </c>
      <c r="J112" s="21">
        <v>45.96</v>
      </c>
      <c r="K112" s="21">
        <v>50.01</v>
      </c>
      <c r="L112" s="21">
        <v>85.17</v>
      </c>
    </row>
    <row r="113" ht="16.5" customHeight="1" spans="4:12">
      <c r="D113" s="51" t="s">
        <v>93</v>
      </c>
      <c r="H113" s="21">
        <v>-1082.63</v>
      </c>
      <c r="I113" s="21">
        <v>-1534</v>
      </c>
      <c r="J113" s="21">
        <v>-1710.51</v>
      </c>
      <c r="K113" s="21">
        <v>-1510.46</v>
      </c>
      <c r="L113" s="21">
        <v>-1462.23</v>
      </c>
    </row>
    <row r="114" ht="16.5" customHeight="1" spans="4:12">
      <c r="D114" s="51" t="s">
        <v>94</v>
      </c>
      <c r="H114" s="21">
        <v>-0.01</v>
      </c>
      <c r="I114" s="21">
        <v>-0.02</v>
      </c>
      <c r="J114" s="21">
        <v>-11.13</v>
      </c>
      <c r="K114" s="21">
        <v>-12.14</v>
      </c>
      <c r="L114" s="21">
        <v>-15.16</v>
      </c>
    </row>
    <row r="115" ht="16.5" customHeight="1" spans="4:12">
      <c r="D115" s="51" t="s">
        <v>95</v>
      </c>
      <c r="H115" s="21">
        <v>-605.76</v>
      </c>
      <c r="I115" s="21">
        <v>-399.11</v>
      </c>
      <c r="J115" s="21">
        <v>-752.44</v>
      </c>
      <c r="K115" s="21">
        <v>-16474.13</v>
      </c>
      <c r="L115" s="21">
        <v>-879.5</v>
      </c>
    </row>
    <row r="116" ht="16.5" customHeight="1" spans="4:12">
      <c r="D116" s="53" t="s">
        <v>96</v>
      </c>
      <c r="H116" s="55">
        <f>SUM(H108:H115)</f>
        <v>20857.01</v>
      </c>
      <c r="I116" s="55">
        <f>SUM(I108:I115)</f>
        <v>25894.61</v>
      </c>
      <c r="J116" s="55">
        <f>SUM(J108:J115)</f>
        <v>26635.45</v>
      </c>
      <c r="K116" s="55">
        <f>SUM(K108:K115)</f>
        <v>26719.24</v>
      </c>
      <c r="L116" s="55">
        <f>SUM(L108:L115)</f>
        <v>27600.2</v>
      </c>
    </row>
    <row r="117" ht="16.5" customHeight="1" spans="4:12">
      <c r="D117" s="56"/>
      <c r="H117" s="56"/>
      <c r="I117" s="56"/>
      <c r="J117" s="56"/>
      <c r="K117" s="56"/>
      <c r="L117" s="56"/>
    </row>
    <row r="118" ht="16.5" customHeight="1" spans="4:12">
      <c r="D118" s="51" t="s">
        <v>97</v>
      </c>
      <c r="H118" s="21">
        <v>-732.29</v>
      </c>
      <c r="I118" s="21">
        <v>-884.21</v>
      </c>
      <c r="J118" s="21">
        <v>-933.64</v>
      </c>
      <c r="K118" s="21">
        <v>-1022.8</v>
      </c>
      <c r="L118" s="21">
        <v>468.08</v>
      </c>
    </row>
    <row r="119" ht="16.5" customHeight="1" spans="4:12">
      <c r="D119" s="51" t="s">
        <v>98</v>
      </c>
      <c r="H119" s="21">
        <v>-466.37</v>
      </c>
      <c r="I119" s="21">
        <v>-940.54</v>
      </c>
      <c r="J119" s="21">
        <v>-2544.87</v>
      </c>
      <c r="K119" s="21">
        <v>-2975.38</v>
      </c>
      <c r="L119" s="21">
        <v>-3306.25</v>
      </c>
    </row>
    <row r="120" ht="16.5" customHeight="1" spans="4:12">
      <c r="D120" s="51" t="s">
        <v>99</v>
      </c>
      <c r="H120" s="21">
        <v>1099.11</v>
      </c>
      <c r="I120" s="21">
        <v>1057.93</v>
      </c>
      <c r="J120" s="21">
        <v>141.48</v>
      </c>
      <c r="K120" s="21">
        <v>1256.18</v>
      </c>
      <c r="L120" s="21">
        <v>75.89</v>
      </c>
    </row>
    <row r="121" ht="16.5" customHeight="1" spans="4:12">
      <c r="D121" s="53" t="s">
        <v>100</v>
      </c>
      <c r="H121" s="55">
        <f>H116+SUM(H118:H120)</f>
        <v>20757.46</v>
      </c>
      <c r="I121" s="55">
        <f>I116+SUM(I118:I120)</f>
        <v>25127.79</v>
      </c>
      <c r="J121" s="55">
        <f>J116+SUM(J118:J120)</f>
        <v>23298.42</v>
      </c>
      <c r="K121" s="55">
        <f>K116+SUM(K118:K120)</f>
        <v>23977.24</v>
      </c>
      <c r="L121" s="55">
        <f>L116+SUM(L118:L120)</f>
        <v>24837.92</v>
      </c>
    </row>
    <row r="122" ht="16.5" customHeight="1" spans="4:12">
      <c r="D122" s="51" t="s">
        <v>101</v>
      </c>
      <c r="H122" s="21">
        <v>-4981.95</v>
      </c>
      <c r="I122" s="21">
        <v>-6250.24</v>
      </c>
      <c r="J122" s="21">
        <v>-6119.56</v>
      </c>
      <c r="K122" s="21">
        <v>-6350.2</v>
      </c>
      <c r="L122" s="21">
        <v>-6373.61</v>
      </c>
    </row>
    <row r="123" ht="16.5" customHeight="1" spans="4:12">
      <c r="D123" s="53" t="s">
        <v>102</v>
      </c>
      <c r="H123" s="63">
        <f>H121+H122</f>
        <v>15775.51</v>
      </c>
      <c r="I123" s="63">
        <f>I121+I122</f>
        <v>18877.55</v>
      </c>
      <c r="J123" s="63">
        <f>J121+J122</f>
        <v>17178.86</v>
      </c>
      <c r="K123" s="63">
        <f>K121+K122</f>
        <v>17627.04</v>
      </c>
      <c r="L123" s="63">
        <f>L121+L122</f>
        <v>18464.31</v>
      </c>
    </row>
    <row r="124" ht="16.5" customHeight="1" spans="4:12">
      <c r="D124" s="56"/>
      <c r="H124" s="56"/>
      <c r="I124" s="56"/>
      <c r="J124" s="56"/>
      <c r="K124" s="56"/>
      <c r="L124" s="56"/>
    </row>
    <row r="125" ht="16.5" customHeight="1" spans="4:12">
      <c r="D125" s="53" t="s">
        <v>103</v>
      </c>
      <c r="H125" s="56"/>
      <c r="I125" s="56"/>
      <c r="J125" s="56"/>
      <c r="K125" s="56"/>
      <c r="L125" s="56"/>
    </row>
    <row r="126" ht="16.5" customHeight="1" spans="4:12">
      <c r="D126" s="51" t="s">
        <v>104</v>
      </c>
      <c r="H126" s="21">
        <v>-2141.64</v>
      </c>
      <c r="I126" s="21">
        <v>-2742.99</v>
      </c>
      <c r="J126" s="21">
        <v>-3562.53</v>
      </c>
      <c r="K126" s="21">
        <v>-2278.7</v>
      </c>
      <c r="L126" s="21">
        <v>-2182.89</v>
      </c>
    </row>
    <row r="127" ht="16.5" customHeight="1" spans="4:12">
      <c r="D127" s="51" t="s">
        <v>105</v>
      </c>
      <c r="H127" s="21">
        <v>133.1</v>
      </c>
      <c r="I127" s="21">
        <v>49.17</v>
      </c>
      <c r="J127" s="21">
        <v>107.48</v>
      </c>
      <c r="K127" s="21">
        <v>175.42</v>
      </c>
      <c r="L127" s="21">
        <v>50.45</v>
      </c>
    </row>
    <row r="128" ht="16.5" customHeight="1" spans="4:12">
      <c r="D128" s="51" t="s">
        <v>106</v>
      </c>
      <c r="H128" s="21">
        <v>-64874.32</v>
      </c>
      <c r="I128" s="21">
        <v>-78483.49</v>
      </c>
      <c r="J128" s="21">
        <v>-72237.17</v>
      </c>
      <c r="K128" s="21">
        <v>-65999.55</v>
      </c>
      <c r="L128" s="21">
        <v>-65566.51</v>
      </c>
    </row>
    <row r="129" ht="16.5" customHeight="1" spans="4:12">
      <c r="D129" s="51" t="s">
        <v>107</v>
      </c>
      <c r="H129" s="21">
        <v>68260.67</v>
      </c>
      <c r="I129" s="21">
        <v>73172.8</v>
      </c>
      <c r="J129" s="21">
        <v>75201.73</v>
      </c>
      <c r="K129" s="21">
        <v>66919.64</v>
      </c>
      <c r="L129" s="21">
        <v>62370.47</v>
      </c>
    </row>
    <row r="130" ht="16.5" customHeight="1" spans="4:12">
      <c r="D130" s="51" t="s">
        <v>108</v>
      </c>
      <c r="H130" s="21">
        <v>-1.87</v>
      </c>
      <c r="I130" s="21">
        <v>-1.88</v>
      </c>
      <c r="J130" s="21">
        <v>-65.04</v>
      </c>
      <c r="K130" s="21">
        <v>-29.99</v>
      </c>
      <c r="L130" s="21">
        <v>-183.09</v>
      </c>
    </row>
    <row r="131" ht="16.5" customHeight="1" spans="4:12">
      <c r="D131" s="51" t="s">
        <v>109</v>
      </c>
      <c r="H131" s="21">
        <v>0</v>
      </c>
      <c r="I131" s="21">
        <v>56</v>
      </c>
      <c r="J131" s="21">
        <v>0</v>
      </c>
      <c r="K131" s="21">
        <v>0</v>
      </c>
      <c r="L131" s="21">
        <v>0.01</v>
      </c>
    </row>
    <row r="132" ht="16.5" customHeight="1" spans="4:12">
      <c r="D132" s="51" t="s">
        <v>110</v>
      </c>
      <c r="H132" s="21">
        <v>-4902.02</v>
      </c>
      <c r="I132" s="21">
        <v>-2448.96</v>
      </c>
      <c r="J132" s="21">
        <v>-2870.12</v>
      </c>
      <c r="K132" s="21">
        <v>-373.69</v>
      </c>
      <c r="L132" s="21">
        <v>-2606.33</v>
      </c>
    </row>
    <row r="133" ht="16.5" customHeight="1" spans="4:12">
      <c r="D133" s="51" t="s">
        <v>111</v>
      </c>
      <c r="H133" s="21">
        <v>2731.24</v>
      </c>
      <c r="I133" s="21">
        <v>4057.6</v>
      </c>
      <c r="J133" s="21">
        <v>2627.78</v>
      </c>
      <c r="K133" s="21">
        <v>390.91</v>
      </c>
      <c r="L133" s="21">
        <v>3366.19</v>
      </c>
    </row>
    <row r="134" ht="16.5" customHeight="1" spans="4:12">
      <c r="D134" s="51" t="s">
        <v>112</v>
      </c>
      <c r="H134" s="21">
        <v>-71.25</v>
      </c>
      <c r="I134" s="21">
        <v>-63.75</v>
      </c>
      <c r="J134" s="21">
        <v>0</v>
      </c>
      <c r="K134" s="21">
        <v>-280.45</v>
      </c>
      <c r="L134" s="21">
        <v>-279.47</v>
      </c>
    </row>
    <row r="135" ht="16.5" customHeight="1" spans="4:12">
      <c r="D135" s="51" t="s">
        <v>113</v>
      </c>
      <c r="H135" s="21">
        <v>16.06</v>
      </c>
      <c r="I135" s="21">
        <v>18.56</v>
      </c>
      <c r="J135" s="21">
        <v>24.52</v>
      </c>
      <c r="K135" s="21">
        <v>25.53</v>
      </c>
      <c r="L135" s="21">
        <v>30.27</v>
      </c>
    </row>
    <row r="136" ht="16.5" customHeight="1" spans="4:12">
      <c r="D136" s="51" t="s">
        <v>114</v>
      </c>
      <c r="H136" s="21">
        <v>0.01</v>
      </c>
      <c r="I136" s="21">
        <v>0.02</v>
      </c>
      <c r="J136" s="21">
        <v>11.13</v>
      </c>
      <c r="K136" s="21">
        <v>12.14</v>
      </c>
      <c r="L136" s="21">
        <v>15.16</v>
      </c>
    </row>
    <row r="137" ht="16.5" customHeight="1" spans="4:12">
      <c r="D137" s="51" t="s">
        <v>115</v>
      </c>
      <c r="H137" s="21">
        <v>1034.55</v>
      </c>
      <c r="I137" s="21">
        <v>1323.74</v>
      </c>
      <c r="J137" s="21">
        <v>1138.35</v>
      </c>
      <c r="K137" s="21">
        <v>1072.28</v>
      </c>
      <c r="L137" s="21">
        <v>917.01</v>
      </c>
    </row>
    <row r="138" ht="16.5" customHeight="1" spans="4:12">
      <c r="D138" s="51" t="s">
        <v>116</v>
      </c>
      <c r="H138" s="21">
        <v>-4531.12</v>
      </c>
      <c r="I138" s="21">
        <v>-8904.33</v>
      </c>
      <c r="J138" s="21">
        <v>-4612.1</v>
      </c>
      <c r="K138" s="21">
        <v>-6256.85</v>
      </c>
      <c r="L138" s="21">
        <v>-1449.33</v>
      </c>
    </row>
    <row r="139" ht="16.5" customHeight="1" spans="4:12">
      <c r="D139" s="51" t="s">
        <v>117</v>
      </c>
      <c r="H139" s="21">
        <v>4546.49</v>
      </c>
      <c r="I139" s="21">
        <v>6754.44</v>
      </c>
      <c r="J139" s="21">
        <v>5800</v>
      </c>
      <c r="K139" s="21">
        <v>6931.16</v>
      </c>
      <c r="L139" s="21">
        <v>3762.04</v>
      </c>
    </row>
    <row r="140" ht="16.5" customHeight="1" spans="4:12">
      <c r="D140" s="51" t="s">
        <v>118</v>
      </c>
      <c r="H140" s="21">
        <v>-3011.37</v>
      </c>
      <c r="I140" s="21">
        <v>-3520</v>
      </c>
      <c r="J140" s="21">
        <v>0</v>
      </c>
      <c r="K140" s="21">
        <v>-1200</v>
      </c>
      <c r="L140" s="21">
        <v>-1768.5</v>
      </c>
    </row>
    <row r="141" ht="16.5" customHeight="1" spans="4:12">
      <c r="D141" s="51" t="s">
        <v>119</v>
      </c>
      <c r="H141" s="21">
        <v>578.82</v>
      </c>
      <c r="I141" s="21">
        <v>5000</v>
      </c>
      <c r="J141" s="21">
        <v>0</v>
      </c>
      <c r="K141" s="21">
        <v>500</v>
      </c>
      <c r="L141" s="21">
        <v>1200</v>
      </c>
    </row>
    <row r="142" ht="16.5" customHeight="1" spans="4:12">
      <c r="D142" s="51" t="s">
        <v>120</v>
      </c>
      <c r="H142" s="21">
        <v>-13.16</v>
      </c>
      <c r="I142" s="21">
        <v>-8.56</v>
      </c>
      <c r="J142" s="21">
        <v>-12.55</v>
      </c>
      <c r="K142" s="21">
        <v>-17.55</v>
      </c>
      <c r="L142" s="21">
        <v>-9.53</v>
      </c>
    </row>
    <row r="143" ht="16.5" customHeight="1" spans="4:12">
      <c r="D143" s="51" t="s">
        <v>121</v>
      </c>
      <c r="H143" s="21">
        <v>7.32</v>
      </c>
      <c r="I143" s="21">
        <v>9.34</v>
      </c>
      <c r="J143" s="21">
        <v>11.29</v>
      </c>
      <c r="K143" s="21">
        <v>13.88</v>
      </c>
      <c r="L143" s="21">
        <v>13.31</v>
      </c>
    </row>
    <row r="144" ht="16.5" customHeight="1" spans="4:12">
      <c r="D144" s="53" t="s">
        <v>122</v>
      </c>
      <c r="H144" s="63">
        <f>SUM(H126:H143)</f>
        <v>-2238.49</v>
      </c>
      <c r="I144" s="63">
        <f>SUM(I126:I143)</f>
        <v>-5732.29</v>
      </c>
      <c r="J144" s="63">
        <f>SUM(J126:J143)</f>
        <v>1562.76999999999</v>
      </c>
      <c r="K144" s="63">
        <f>SUM(K126:K143)</f>
        <v>-395.820000000003</v>
      </c>
      <c r="L144" s="63">
        <f>SUM(L126:L143)</f>
        <v>-2320.74</v>
      </c>
    </row>
    <row r="145" ht="16.5" customHeight="1" spans="4:12">
      <c r="D145" s="56"/>
      <c r="H145" s="56"/>
      <c r="I145" s="56"/>
      <c r="J145" s="56"/>
      <c r="K145" s="56"/>
      <c r="L145" s="56"/>
    </row>
    <row r="146" ht="16.5" customHeight="1" spans="4:12">
      <c r="D146" s="53" t="s">
        <v>123</v>
      </c>
      <c r="H146" s="56"/>
      <c r="I146" s="56"/>
      <c r="J146" s="56"/>
      <c r="K146" s="56"/>
      <c r="L146" s="56"/>
    </row>
    <row r="147" ht="16.5" customHeight="1" spans="4:12">
      <c r="D147" s="51" t="s">
        <v>124</v>
      </c>
      <c r="H147" s="21">
        <v>291.82</v>
      </c>
      <c r="I147" s="21">
        <v>2477.39</v>
      </c>
      <c r="J147" s="21">
        <v>1442.83</v>
      </c>
      <c r="K147" s="21">
        <v>797.33</v>
      </c>
      <c r="L147" s="21">
        <v>404.85</v>
      </c>
    </row>
    <row r="148" ht="16.5" customHeight="1" spans="4:12">
      <c r="D148" s="51" t="s">
        <v>125</v>
      </c>
      <c r="H148" s="21">
        <v>0</v>
      </c>
      <c r="I148" s="21">
        <v>0</v>
      </c>
      <c r="J148" s="21">
        <v>8</v>
      </c>
      <c r="K148" s="21">
        <v>89.5</v>
      </c>
      <c r="L148" s="21">
        <v>2060.5</v>
      </c>
    </row>
    <row r="149" ht="16.5" customHeight="1" spans="4:12">
      <c r="D149" s="51" t="s">
        <v>126</v>
      </c>
      <c r="H149" s="21">
        <v>0</v>
      </c>
      <c r="I149" s="21">
        <v>0</v>
      </c>
      <c r="J149" s="21">
        <v>0</v>
      </c>
      <c r="K149" s="21">
        <v>-52.5</v>
      </c>
      <c r="L149" s="21">
        <v>-96.44</v>
      </c>
    </row>
    <row r="150" ht="16.5" customHeight="1" spans="4:12">
      <c r="D150" s="51" t="s">
        <v>127</v>
      </c>
      <c r="H150" s="21">
        <v>0</v>
      </c>
      <c r="I150" s="21">
        <v>0</v>
      </c>
      <c r="J150" s="21">
        <v>0</v>
      </c>
      <c r="K150" s="21">
        <v>0</v>
      </c>
      <c r="L150" s="21">
        <v>60</v>
      </c>
    </row>
    <row r="151" ht="16.5" customHeight="1" spans="4:12">
      <c r="D151" s="51" t="s">
        <v>128</v>
      </c>
      <c r="H151" s="21">
        <v>-0.35</v>
      </c>
      <c r="I151" s="21">
        <v>-0.73</v>
      </c>
      <c r="J151" s="21">
        <v>-1.57</v>
      </c>
      <c r="K151" s="21">
        <v>-1.52</v>
      </c>
      <c r="L151" s="21">
        <v>-8.87</v>
      </c>
    </row>
    <row r="152" ht="16.5" customHeight="1" spans="4:12">
      <c r="D152" s="51" t="s">
        <v>129</v>
      </c>
      <c r="H152" s="21">
        <v>-0.34</v>
      </c>
      <c r="I152" s="21">
        <v>0</v>
      </c>
      <c r="J152" s="21">
        <v>0</v>
      </c>
      <c r="K152" s="21">
        <v>0</v>
      </c>
      <c r="L152" s="21">
        <v>0</v>
      </c>
    </row>
    <row r="153" ht="16.5" customHeight="1" spans="4:12">
      <c r="D153" s="51" t="s">
        <v>130</v>
      </c>
      <c r="H153" s="21">
        <v>0</v>
      </c>
      <c r="I153" s="21">
        <v>0</v>
      </c>
      <c r="J153" s="21">
        <v>0</v>
      </c>
      <c r="K153" s="21">
        <v>0</v>
      </c>
      <c r="L153" s="21">
        <v>-154.22</v>
      </c>
    </row>
    <row r="154" ht="16.5" customHeight="1" spans="4:12">
      <c r="D154" s="51" t="s">
        <v>131</v>
      </c>
      <c r="H154" s="21">
        <v>-59.02</v>
      </c>
      <c r="I154" s="21">
        <v>-59.11</v>
      </c>
      <c r="J154" s="21">
        <v>-66.89</v>
      </c>
      <c r="K154" s="21">
        <v>-65.52</v>
      </c>
      <c r="L154" s="21">
        <v>-68.24</v>
      </c>
    </row>
    <row r="155" ht="16.5" customHeight="1" spans="4:12">
      <c r="D155" s="51" t="s">
        <v>132</v>
      </c>
      <c r="H155" s="21">
        <v>-39.55</v>
      </c>
      <c r="I155" s="21">
        <v>-41.42</v>
      </c>
      <c r="J155" s="21">
        <v>-46.25</v>
      </c>
      <c r="K155" s="21">
        <v>-50.01</v>
      </c>
      <c r="L155" s="21">
        <v>-81.7</v>
      </c>
    </row>
    <row r="156" ht="16.5" customHeight="1" spans="4:12">
      <c r="D156" s="51" t="s">
        <v>133</v>
      </c>
      <c r="H156" s="21">
        <v>15.26</v>
      </c>
      <c r="I156" s="21">
        <v>14.94</v>
      </c>
      <c r="J156" s="21">
        <v>12.12</v>
      </c>
      <c r="K156" s="21">
        <v>8.09</v>
      </c>
      <c r="L156" s="21">
        <v>9.02</v>
      </c>
    </row>
    <row r="157" ht="16.5" customHeight="1" spans="4:12">
      <c r="D157" s="51" t="s">
        <v>134</v>
      </c>
      <c r="H157" s="21">
        <v>-13788.32</v>
      </c>
      <c r="I157" s="21">
        <v>-15417.53</v>
      </c>
      <c r="J157" s="21">
        <v>-19899.2</v>
      </c>
      <c r="K157" s="21">
        <v>-17782.22</v>
      </c>
      <c r="L157" s="21">
        <v>-18271.44</v>
      </c>
    </row>
    <row r="158" ht="16.5" customHeight="1" spans="4:12">
      <c r="D158" s="51" t="s">
        <v>135</v>
      </c>
      <c r="H158" s="21">
        <v>0</v>
      </c>
      <c r="I158" s="21">
        <v>20.43</v>
      </c>
      <c r="J158" s="21">
        <v>0</v>
      </c>
      <c r="K158" s="21">
        <v>19.45</v>
      </c>
      <c r="L158" s="21">
        <v>-0.58</v>
      </c>
    </row>
    <row r="159" ht="16.5" customHeight="1" spans="4:12">
      <c r="D159" s="53" t="s">
        <v>136</v>
      </c>
      <c r="H159" s="63">
        <f>SUM(H147:H158)</f>
        <v>-13580.5</v>
      </c>
      <c r="I159" s="63">
        <f>SUM(I147:I158)</f>
        <v>-13006.03</v>
      </c>
      <c r="J159" s="63">
        <f>SUM(J147:J158)</f>
        <v>-18550.96</v>
      </c>
      <c r="K159" s="63">
        <f>SUM(K147:K158)</f>
        <v>-17037.4</v>
      </c>
      <c r="L159" s="63">
        <f>SUM(L147:L158)</f>
        <v>-16147.12</v>
      </c>
    </row>
    <row r="160" ht="16.5" customHeight="1" spans="4:12">
      <c r="D160" s="56"/>
      <c r="H160" s="56"/>
      <c r="I160" s="56"/>
      <c r="J160" s="56"/>
      <c r="K160" s="56"/>
      <c r="L160" s="56"/>
    </row>
    <row r="161" ht="16.5" customHeight="1" spans="4:12">
      <c r="D161" s="53" t="s">
        <v>137</v>
      </c>
      <c r="H161" s="55">
        <f>H123+H144+H159</f>
        <v>-43.4799999999996</v>
      </c>
      <c r="I161" s="55">
        <f>I123+I144+I159</f>
        <v>139.229999999998</v>
      </c>
      <c r="J161" s="55">
        <f>J123+J144+J159</f>
        <v>190.669999999995</v>
      </c>
      <c r="K161" s="55">
        <f>K123+K144+K159</f>
        <v>193.819999999996</v>
      </c>
      <c r="L161" s="55">
        <f>L123+L144+L159</f>
        <v>-3.54999999999382</v>
      </c>
    </row>
    <row r="162" ht="16.5" customHeight="1" spans="4:12">
      <c r="D162" s="51" t="s">
        <v>138</v>
      </c>
      <c r="H162" s="21">
        <v>310.16</v>
      </c>
      <c r="I162" s="21">
        <v>266.68</v>
      </c>
      <c r="J162" s="21">
        <v>405.91</v>
      </c>
      <c r="K162" s="21">
        <v>596.58</v>
      </c>
      <c r="L162" s="21">
        <v>622.38</v>
      </c>
    </row>
    <row r="163" ht="16.5" customHeight="1" spans="4:12">
      <c r="D163" s="331" t="s">
        <v>139</v>
      </c>
      <c r="H163" s="21"/>
      <c r="I163" s="21">
        <v>23.48</v>
      </c>
      <c r="J163" s="21">
        <v>29.3100000000022</v>
      </c>
      <c r="K163" s="202"/>
      <c r="L163" s="202">
        <v>25.22</v>
      </c>
    </row>
    <row r="164" ht="16.5" customHeight="1" spans="4:12">
      <c r="D164" s="51" t="s">
        <v>54</v>
      </c>
      <c r="H164" s="21"/>
      <c r="I164" s="21">
        <v>33.96</v>
      </c>
      <c r="J164" s="21"/>
      <c r="K164" s="202"/>
      <c r="L164" s="202"/>
    </row>
    <row r="165" ht="16.5" customHeight="1" spans="4:12">
      <c r="D165" s="51" t="s">
        <v>140</v>
      </c>
      <c r="H165" s="21"/>
      <c r="I165" s="21"/>
      <c r="J165" s="21"/>
      <c r="K165" s="202">
        <v>-2.38</v>
      </c>
      <c r="L165" s="202">
        <v>-0.59</v>
      </c>
    </row>
    <row r="166" ht="16.5" customHeight="1" spans="4:12">
      <c r="D166" s="51" t="s">
        <v>141</v>
      </c>
      <c r="H166" s="21">
        <v>0</v>
      </c>
      <c r="I166" s="21">
        <v>0</v>
      </c>
      <c r="J166" s="21">
        <v>0</v>
      </c>
      <c r="K166" s="21">
        <v>31.72</v>
      </c>
      <c r="L166" s="21">
        <v>0</v>
      </c>
    </row>
    <row r="167" ht="16.5" customHeight="1" spans="4:12">
      <c r="D167" s="51" t="s">
        <v>142</v>
      </c>
      <c r="H167" s="21">
        <v>0</v>
      </c>
      <c r="I167" s="21">
        <v>0</v>
      </c>
      <c r="J167" s="21">
        <v>0</v>
      </c>
      <c r="K167" s="21">
        <v>-199.74</v>
      </c>
      <c r="L167" s="21">
        <v>0</v>
      </c>
    </row>
    <row r="168" ht="16.5" customHeight="1" spans="4:12">
      <c r="D168" s="53" t="s">
        <v>143</v>
      </c>
      <c r="H168" s="63">
        <f>H161+H162+H166+H167</f>
        <v>266.68</v>
      </c>
      <c r="I168" s="63">
        <f>I161+I162+I166+I167</f>
        <v>405.909999999998</v>
      </c>
      <c r="J168" s="63">
        <f>J161+J162+J166+J167</f>
        <v>596.579999999995</v>
      </c>
      <c r="K168" s="63">
        <f>K161+K162+K166+K167</f>
        <v>622.379999999996</v>
      </c>
      <c r="L168" s="63">
        <f>L161+L162+L166+L167</f>
        <v>618.830000000006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80"/>
  <sheetViews>
    <sheetView showGridLines="0" tabSelected="1" zoomScale="108" zoomScaleNormal="108" workbookViewId="0">
      <pane xSplit="6" ySplit="2" topLeftCell="G3" activePane="bottomRight" state="frozen"/>
      <selection/>
      <selection pane="topRight"/>
      <selection pane="bottomLeft"/>
      <selection pane="bottomRight" activeCell="E6" sqref="E6"/>
    </sheetView>
  </sheetViews>
  <sheetFormatPr defaultColWidth="9.15178571428571" defaultRowHeight="16.8"/>
  <cols>
    <col min="1" max="3" width="1.24107142857143" style="219" customWidth="1"/>
    <col min="4" max="4" width="40" style="219" customWidth="1"/>
    <col min="5" max="5" width="9.14285714285714" style="219"/>
    <col min="6" max="6" width="11.4285714285714" style="219" customWidth="1"/>
    <col min="7" max="7" width="4.35714285714286" style="219" customWidth="1"/>
    <col min="8" max="17" width="12" style="219" customWidth="1"/>
    <col min="18" max="26" width="9.14285714285714" style="219"/>
    <col min="27" max="28" width="9.21428571428571" style="219" customWidth="1"/>
    <col min="29" max="16384" width="9.14285714285714" style="219"/>
  </cols>
  <sheetData>
    <row r="1" ht="33.75" customHeight="1" spans="1:17">
      <c r="A1" s="220" t="s">
        <v>0</v>
      </c>
      <c r="B1" s="221"/>
      <c r="C1" s="221"/>
      <c r="D1" s="221"/>
      <c r="E1" s="221"/>
      <c r="F1" s="221"/>
      <c r="G1" s="222"/>
      <c r="H1" s="223" t="s">
        <v>144</v>
      </c>
      <c r="I1" s="223"/>
      <c r="J1" s="223"/>
      <c r="K1" s="223"/>
      <c r="L1" s="223"/>
      <c r="M1" s="224" t="s">
        <v>145</v>
      </c>
      <c r="N1" s="224"/>
      <c r="O1" s="224"/>
      <c r="P1" s="224"/>
      <c r="Q1" s="224"/>
    </row>
    <row r="2" ht="20.25" customHeight="1" spans="1:17">
      <c r="A2" s="193" t="s">
        <v>146</v>
      </c>
      <c r="B2" s="221"/>
      <c r="C2" s="221"/>
      <c r="D2" s="221"/>
      <c r="E2" s="221"/>
      <c r="F2" s="221"/>
      <c r="G2" s="222"/>
      <c r="H2" s="225">
        <v>2022</v>
      </c>
      <c r="I2" s="225">
        <f t="shared" ref="I2:Q2" si="0">H2+1</f>
        <v>2023</v>
      </c>
      <c r="J2" s="225">
        <f t="shared" si="0"/>
        <v>2024</v>
      </c>
      <c r="K2" s="225">
        <f t="shared" si="0"/>
        <v>2025</v>
      </c>
      <c r="L2" s="225">
        <f t="shared" si="0"/>
        <v>2026</v>
      </c>
      <c r="M2" s="226">
        <f t="shared" si="0"/>
        <v>2027</v>
      </c>
      <c r="N2" s="226">
        <f t="shared" si="0"/>
        <v>2028</v>
      </c>
      <c r="O2" s="226">
        <f t="shared" si="0"/>
        <v>2029</v>
      </c>
      <c r="P2" s="226">
        <f t="shared" si="0"/>
        <v>2030</v>
      </c>
      <c r="Q2" s="226">
        <f t="shared" si="0"/>
        <v>2031</v>
      </c>
    </row>
    <row r="3" ht="19" customHeight="1" spans="1:17">
      <c r="H3" s="227"/>
      <c r="I3" s="227"/>
      <c r="J3" s="227"/>
      <c r="K3" s="227"/>
      <c r="L3" s="227"/>
      <c r="M3" s="227"/>
      <c r="N3" s="227"/>
      <c r="O3" s="227"/>
      <c r="P3" s="227"/>
      <c r="Q3" s="227"/>
    </row>
    <row r="4" ht="16.5" customHeight="1" spans="1:17">
      <c r="A4" s="228" t="s">
        <v>147</v>
      </c>
      <c r="B4" s="229"/>
      <c r="C4" s="230"/>
      <c r="D4" s="231"/>
      <c r="E4" s="232"/>
      <c r="F4" s="232"/>
      <c r="G4" s="232"/>
      <c r="H4" s="233"/>
      <c r="I4" s="233"/>
      <c r="J4" s="233"/>
      <c r="K4" s="233"/>
      <c r="L4" s="233"/>
      <c r="M4" s="232"/>
      <c r="N4" s="232"/>
      <c r="O4" s="232"/>
      <c r="P4" s="232"/>
      <c r="Q4" s="232"/>
    </row>
    <row r="5" ht="16.5" customHeight="1" outlineLevel="1" spans="1:17">
      <c r="H5" s="227"/>
      <c r="I5" s="227"/>
      <c r="J5" s="227"/>
      <c r="K5" s="227"/>
      <c r="L5" s="227"/>
      <c r="M5" s="227"/>
      <c r="N5" s="227"/>
      <c r="O5" s="227"/>
      <c r="P5" s="227"/>
      <c r="Q5" s="227"/>
    </row>
    <row r="6" ht="20.25" customHeight="1" outlineLevel="1" spans="1:17">
      <c r="C6" s="234" t="s">
        <v>148</v>
      </c>
      <c r="E6" s="235" t="s">
        <v>149</v>
      </c>
      <c r="G6" s="236">
        <f>IF(E6=Scenarios!D6,1,IF(E6=Scenarios!D5,2,3))</f>
        <v>3</v>
      </c>
    </row>
    <row r="7" ht="16.5" customHeight="1" outlineLevel="1" spans="1:17">
      <c r="C7" s="237"/>
      <c r="D7" s="237" t="s">
        <v>150</v>
      </c>
      <c r="I7" s="238">
        <f>I22/H22-1</f>
        <v>0.173502905300456</v>
      </c>
      <c r="J7" s="238">
        <f>J22/I22-1</f>
        <v>0.00421180788207143</v>
      </c>
      <c r="K7" s="238">
        <f>K22/J22-1</f>
        <v>0.0621064493472125</v>
      </c>
      <c r="L7" s="238">
        <f>L22/K22-1</f>
        <v>0.101706497438269</v>
      </c>
      <c r="M7" s="238">
        <f t="array" ref="M7:Q7">CHOOSE(G6,Scenarios!H6:L6,Scenarios!H5:L5,Scenarios!H7:L7)</f>
        <v>0.00421180788207143</v>
      </c>
      <c r="N7" s="238">
        <v>0.00379062709386429</v>
      </c>
      <c r="O7" s="238">
        <v>0.00341156438447786</v>
      </c>
      <c r="P7" s="238">
        <v>0.00307040794603007</v>
      </c>
      <c r="Q7" s="238">
        <v>0.00276336715142706</v>
      </c>
    </row>
    <row r="8" ht="16.5" customHeight="1" outlineLevel="1" spans="1:17">
      <c r="D8" s="219" t="s">
        <v>151</v>
      </c>
      <c r="H8" s="238">
        <f>-H23/H22</f>
        <v>0.404648204676454</v>
      </c>
      <c r="I8" s="238">
        <f>-I23/I22</f>
        <v>0.379070158593621</v>
      </c>
      <c r="J8" s="238">
        <f>-J23/J22</f>
        <v>0.354594433221339</v>
      </c>
      <c r="K8" s="238">
        <f>-K23/K22</f>
        <v>0.391834710201025</v>
      </c>
      <c r="L8" s="238">
        <f>L23/-L22</f>
        <v>0.361991709127</v>
      </c>
      <c r="M8" s="238">
        <f t="shared" ref="M8:M18" si="1">AVERAGE(H8:L8)</f>
        <v>0.378427843163888</v>
      </c>
      <c r="N8" s="238">
        <f t="shared" ref="N8:N18" si="2">M8</f>
        <v>0.378427843163888</v>
      </c>
      <c r="O8" s="238">
        <f t="shared" ref="O8:O18" si="3">N8</f>
        <v>0.378427843163888</v>
      </c>
      <c r="P8" s="238">
        <f t="shared" ref="P8:P18" si="4">O8</f>
        <v>0.378427843163888</v>
      </c>
      <c r="Q8" s="238">
        <f t="shared" ref="Q8:Q18" si="5">P8</f>
        <v>0.378427843163888</v>
      </c>
    </row>
    <row r="9" ht="16.5" customHeight="1" outlineLevel="1" spans="1:17">
      <c r="D9" s="219" t="s">
        <v>152</v>
      </c>
      <c r="H9" s="238">
        <f>-H25/H22</f>
        <v>0.278529118030285</v>
      </c>
      <c r="I9" s="238">
        <f>-I25/I22</f>
        <v>0.285520400960765</v>
      </c>
      <c r="J9" s="238">
        <f>-J25/J22</f>
        <v>0.303732185986841</v>
      </c>
      <c r="K9" s="238">
        <f>-K25/K22</f>
        <v>0.289854726183816</v>
      </c>
      <c r="L9" s="238">
        <f>-L25/L22</f>
        <v>0.334183374144857</v>
      </c>
      <c r="M9" s="238">
        <f t="shared" si="1"/>
        <v>0.298363961061313</v>
      </c>
      <c r="N9" s="238">
        <f t="shared" si="2"/>
        <v>0.298363961061313</v>
      </c>
      <c r="O9" s="238">
        <f t="shared" si="3"/>
        <v>0.298363961061313</v>
      </c>
      <c r="P9" s="238">
        <f t="shared" si="4"/>
        <v>0.298363961061313</v>
      </c>
      <c r="Q9" s="238">
        <f t="shared" si="5"/>
        <v>0.298363961061313</v>
      </c>
    </row>
    <row r="10" ht="16.5" customHeight="1" outlineLevel="1" spans="1:17">
      <c r="D10" s="219" t="s">
        <v>153</v>
      </c>
      <c r="H10" s="238">
        <f>-H27/H110</f>
        <v>0.0680816330380291</v>
      </c>
      <c r="I10" s="238">
        <f>-I27/I110</f>
        <v>0.0673804459972363</v>
      </c>
      <c r="J10" s="238">
        <f>-J27/J110</f>
        <v>0.0634630529376456</v>
      </c>
      <c r="K10" s="238">
        <f>-K27/K110</f>
        <v>0.0774937936994635</v>
      </c>
      <c r="L10" s="238">
        <f>-L27/L110</f>
        <v>0.0768890183460588</v>
      </c>
      <c r="M10" s="238">
        <f t="shared" si="1"/>
        <v>0.0706615888036866</v>
      </c>
      <c r="N10" s="238">
        <f t="shared" si="2"/>
        <v>0.0706615888036866</v>
      </c>
      <c r="O10" s="238">
        <f t="shared" si="3"/>
        <v>0.0706615888036866</v>
      </c>
      <c r="P10" s="238">
        <f t="shared" si="4"/>
        <v>0.0706615888036866</v>
      </c>
      <c r="Q10" s="238">
        <f t="shared" si="5"/>
        <v>0.0706615888036866</v>
      </c>
    </row>
    <row r="11" ht="16.5" customHeight="1" outlineLevel="1" spans="1:17">
      <c r="D11" s="219" t="s">
        <v>154</v>
      </c>
      <c r="H11" s="238">
        <f>-H29/H115</f>
        <v>0.198267177110619</v>
      </c>
      <c r="I11" s="238">
        <f>-I29/I115</f>
        <v>0.199206861569676</v>
      </c>
      <c r="J11" s="238">
        <f>-J29/J115</f>
        <v>0.197788010500495</v>
      </c>
      <c r="K11" s="238">
        <f>-K29/K115</f>
        <v>0.328401719991254</v>
      </c>
      <c r="L11" s="238">
        <f>-L29/L115</f>
        <v>0.42402668525341</v>
      </c>
      <c r="M11" s="238">
        <f t="shared" si="1"/>
        <v>0.269538090885091</v>
      </c>
      <c r="N11" s="238">
        <f t="shared" si="2"/>
        <v>0.269538090885091</v>
      </c>
      <c r="O11" s="238">
        <f t="shared" si="3"/>
        <v>0.269538090885091</v>
      </c>
      <c r="P11" s="238">
        <f t="shared" si="4"/>
        <v>0.269538090885091</v>
      </c>
      <c r="Q11" s="238">
        <f t="shared" si="5"/>
        <v>0.269538090885091</v>
      </c>
    </row>
    <row r="12" ht="16.5" customHeight="1" outlineLevel="1" spans="1:17">
      <c r="D12" s="219" t="s">
        <v>155</v>
      </c>
      <c r="H12" s="238">
        <f>H30/H22</f>
        <v>0.0284308126252972</v>
      </c>
      <c r="I12" s="238">
        <f>I30/I22</f>
        <v>0.02747581262029</v>
      </c>
      <c r="J12" s="238">
        <f>J30/J22</f>
        <v>0.0357608339041045</v>
      </c>
      <c r="K12" s="238">
        <f>K30/K22</f>
        <v>0.216340136924634</v>
      </c>
      <c r="L12" s="238">
        <f>L30/L22</f>
        <v>0.0279288955263919</v>
      </c>
      <c r="M12" s="238">
        <f t="shared" si="1"/>
        <v>0.0671872983201434</v>
      </c>
      <c r="N12" s="238">
        <f t="shared" si="2"/>
        <v>0.0671872983201434</v>
      </c>
      <c r="O12" s="238">
        <f t="shared" si="3"/>
        <v>0.0671872983201434</v>
      </c>
      <c r="P12" s="238">
        <f t="shared" si="4"/>
        <v>0.0671872983201434</v>
      </c>
      <c r="Q12" s="238">
        <f t="shared" si="5"/>
        <v>0.0671872983201434</v>
      </c>
    </row>
    <row r="13" ht="16.5" customHeight="1" outlineLevel="1" spans="1:17">
      <c r="D13" s="219" t="s">
        <v>156</v>
      </c>
      <c r="H13" s="238">
        <f>-H32/H31</f>
        <v>0.252517903403346</v>
      </c>
      <c r="I13" s="238">
        <f>-I32/I31</f>
        <v>0.248441836271644</v>
      </c>
      <c r="J13" s="238">
        <f>-J32/J31</f>
        <v>0.23539234513933</v>
      </c>
      <c r="K13" s="238">
        <f>-K32/K31</f>
        <v>0.164281959185036</v>
      </c>
      <c r="L13" s="238">
        <f>-L32/L31</f>
        <v>0.250245867517271</v>
      </c>
      <c r="M13" s="238">
        <f t="shared" si="1"/>
        <v>0.230175982303325</v>
      </c>
      <c r="N13" s="238">
        <f t="shared" si="2"/>
        <v>0.230175982303325</v>
      </c>
      <c r="O13" s="238">
        <f t="shared" si="3"/>
        <v>0.230175982303325</v>
      </c>
      <c r="P13" s="238">
        <f t="shared" si="4"/>
        <v>0.230175982303325</v>
      </c>
      <c r="Q13" s="238">
        <f t="shared" si="5"/>
        <v>0.230175982303325</v>
      </c>
    </row>
    <row r="14" ht="16.5" customHeight="1" outlineLevel="1" spans="1:17">
      <c r="D14" s="219" t="s">
        <v>157</v>
      </c>
      <c r="H14" s="238">
        <f>-H90/H33</f>
        <v>0.889389432972567</v>
      </c>
      <c r="I14" s="238">
        <f>-I90/I33</f>
        <v>0.791587597911763</v>
      </c>
      <c r="J14" s="238">
        <f>-J90/J33</f>
        <v>0.958934739698988</v>
      </c>
      <c r="K14" s="238">
        <f>-K90/K33</f>
        <v>0.507302764312254</v>
      </c>
      <c r="L14" s="238">
        <f>-L90/L33</f>
        <v>0.869317232962939</v>
      </c>
      <c r="M14" s="238">
        <f t="shared" si="1"/>
        <v>0.803306353571702</v>
      </c>
      <c r="N14" s="238">
        <f t="shared" si="2"/>
        <v>0.803306353571702</v>
      </c>
      <c r="O14" s="238">
        <f t="shared" si="3"/>
        <v>0.803306353571702</v>
      </c>
      <c r="P14" s="238">
        <f t="shared" si="4"/>
        <v>0.803306353571702</v>
      </c>
      <c r="Q14" s="238">
        <f t="shared" si="5"/>
        <v>0.803306353571702</v>
      </c>
    </row>
    <row r="15" ht="16.5" customHeight="1" outlineLevel="1" spans="1:17">
      <c r="D15" s="219" t="s">
        <v>158</v>
      </c>
      <c r="H15" s="219">
        <f>H40/H22*365</f>
        <v>13.7810605205494</v>
      </c>
      <c r="I15" s="219">
        <f>I40/I22*365</f>
        <v>14.1012453114102</v>
      </c>
      <c r="J15" s="219">
        <f>J40/J22*365</f>
        <v>19.1230469769258</v>
      </c>
      <c r="K15" s="219">
        <f>K40/K22*365</f>
        <v>21.1079631155807</v>
      </c>
      <c r="L15" s="219">
        <f>L40/L22*365</f>
        <v>15.9247121644811</v>
      </c>
      <c r="M15" s="219">
        <f t="shared" si="1"/>
        <v>16.8076056177894</v>
      </c>
      <c r="N15" s="219">
        <f t="shared" si="2"/>
        <v>16.8076056177894</v>
      </c>
      <c r="O15" s="219">
        <f t="shared" si="3"/>
        <v>16.8076056177894</v>
      </c>
      <c r="P15" s="219">
        <f t="shared" si="4"/>
        <v>16.8076056177894</v>
      </c>
      <c r="Q15" s="219">
        <f t="shared" si="5"/>
        <v>16.8076056177894</v>
      </c>
    </row>
    <row r="16" ht="16.5" customHeight="1" outlineLevel="1" spans="1:17">
      <c r="D16" s="219" t="s">
        <v>159</v>
      </c>
      <c r="H16" s="219">
        <f>-H41/H23*365</f>
        <v>150.290097771202</v>
      </c>
      <c r="I16" s="219">
        <f>-I41/I23*365</f>
        <v>148.124783448259</v>
      </c>
      <c r="J16" s="219">
        <f>-J41/J23*365</f>
        <v>189.59009748154</v>
      </c>
      <c r="K16" s="219">
        <f>-K41/K23*365</f>
        <v>178.484611016326</v>
      </c>
      <c r="L16" s="219">
        <f>-L41/L23*365</f>
        <v>208.842492967284</v>
      </c>
      <c r="M16" s="219">
        <f t="shared" si="1"/>
        <v>175.066416536922</v>
      </c>
      <c r="N16" s="219">
        <f t="shared" si="2"/>
        <v>175.066416536922</v>
      </c>
      <c r="O16" s="219">
        <f t="shared" si="3"/>
        <v>175.066416536922</v>
      </c>
      <c r="P16" s="219">
        <f t="shared" si="4"/>
        <v>175.066416536922</v>
      </c>
      <c r="Q16" s="219">
        <f t="shared" si="5"/>
        <v>175.066416536922</v>
      </c>
    </row>
    <row r="17" ht="16.5" customHeight="1" outlineLevel="1" spans="1:17">
      <c r="D17" s="219" t="s">
        <v>160</v>
      </c>
      <c r="H17" s="219">
        <f>-H54/H23*365</f>
        <v>61.1065234998429</v>
      </c>
      <c r="I17" s="219">
        <f>-I54/I23*365</f>
        <v>58.6273472484957</v>
      </c>
      <c r="J17" s="219">
        <f>-J54/J23*365</f>
        <v>64.2710923430325</v>
      </c>
      <c r="K17" s="219">
        <f>-K54/K23*365</f>
        <v>54.8697540114176</v>
      </c>
      <c r="L17" s="219">
        <f>-L54/L23*365</f>
        <v>63.2433126212828</v>
      </c>
      <c r="M17" s="219">
        <f t="shared" si="1"/>
        <v>60.4236059448143</v>
      </c>
      <c r="N17" s="219">
        <f t="shared" si="2"/>
        <v>60.4236059448143</v>
      </c>
      <c r="O17" s="219">
        <f t="shared" si="3"/>
        <v>60.4236059448143</v>
      </c>
      <c r="P17" s="219">
        <f t="shared" si="4"/>
        <v>60.4236059448143</v>
      </c>
      <c r="Q17" s="219">
        <f t="shared" si="5"/>
        <v>60.4236059448143</v>
      </c>
    </row>
    <row r="18" ht="16.5" customHeight="1" outlineLevel="1" spans="1:17">
      <c r="D18" s="219" t="s">
        <v>161</v>
      </c>
      <c r="H18" s="109">
        <f>H22/SUM(H45:H46)</f>
        <v>2.56247664177612</v>
      </c>
      <c r="I18" s="109">
        <f>I22/SUM(I45:I46)</f>
        <v>2.85008436476868</v>
      </c>
      <c r="J18" s="109">
        <f>J22/SUM(J45:J46)</f>
        <v>2.68473845629222</v>
      </c>
      <c r="K18" s="109">
        <f>K22/SUM(K45:K46)</f>
        <v>3.84158847402674</v>
      </c>
      <c r="L18" s="109">
        <f>L22/SUM(L45:L46)</f>
        <v>4.04164070780708</v>
      </c>
      <c r="M18" s="109">
        <f t="shared" si="1"/>
        <v>3.19610572893417</v>
      </c>
      <c r="N18" s="109">
        <f t="shared" si="2"/>
        <v>3.19610572893417</v>
      </c>
      <c r="O18" s="109">
        <f t="shared" si="3"/>
        <v>3.19610572893417</v>
      </c>
      <c r="P18" s="109">
        <f t="shared" si="4"/>
        <v>3.19610572893417</v>
      </c>
      <c r="Q18" s="109">
        <f t="shared" si="5"/>
        <v>3.19610572893417</v>
      </c>
    </row>
    <row r="20" ht="16.5" customHeight="1" spans="1:17">
      <c r="A20" s="239" t="s">
        <v>162</v>
      </c>
      <c r="B20" s="239"/>
      <c r="C20" s="239"/>
      <c r="D20" s="239"/>
      <c r="E20" s="239"/>
      <c r="F20" s="239"/>
      <c r="G20" s="239"/>
      <c r="H20" s="239"/>
      <c r="I20" s="239"/>
      <c r="J20" s="239"/>
      <c r="K20" s="239"/>
      <c r="L20" s="239"/>
      <c r="M20" s="239"/>
      <c r="N20" s="239"/>
      <c r="O20" s="239"/>
      <c r="P20" s="239"/>
      <c r="Q20" s="239"/>
    </row>
    <row r="21" ht="18.75" customHeight="1" outlineLevel="1"/>
    <row r="22" ht="18.75" customHeight="1" outlineLevel="1" spans="1:17">
      <c r="D22" s="240" t="s">
        <v>163</v>
      </c>
      <c r="H22" s="219">
        <f>'Historical Data'!H5</f>
        <v>65204.96</v>
      </c>
      <c r="I22" s="219">
        <f>'Historical Data'!I5</f>
        <v>76518.21</v>
      </c>
      <c r="J22" s="219">
        <f>'Historical Data'!J5</f>
        <v>76840.49</v>
      </c>
      <c r="K22" s="219">
        <f>'Historical Data'!K5</f>
        <v>81612.78</v>
      </c>
      <c r="L22" s="219">
        <f>'Historical Data'!L5</f>
        <v>89913.33</v>
      </c>
      <c r="M22" s="219">
        <f>L22*(1+M7)</f>
        <v>90292.0276719973</v>
      </c>
      <c r="N22" s="219">
        <f>M22*(1+N7)</f>
        <v>90634.2910784507</v>
      </c>
      <c r="O22" s="219">
        <f>N22*(1+O7)</f>
        <v>90943.4957979063</v>
      </c>
      <c r="P22" s="219">
        <f>O22*(1+P7)</f>
        <v>91222.729430044</v>
      </c>
      <c r="Q22" s="219">
        <f>P22*(1+Q7)</f>
        <v>91474.8113240145</v>
      </c>
    </row>
    <row r="23" ht="18.75" customHeight="1" outlineLevel="1" spans="1:17">
      <c r="D23" s="241" t="s">
        <v>164</v>
      </c>
      <c r="H23" s="219">
        <f>-SUM('Historical Data'!H10:H12)</f>
        <v>-26385.07</v>
      </c>
      <c r="I23" s="219">
        <f>-SUM('Historical Data'!I10:I12)</f>
        <v>-29005.77</v>
      </c>
      <c r="J23" s="219">
        <f>-SUM('Historical Data'!J10:J12)</f>
        <v>-27247.21</v>
      </c>
      <c r="K23" s="219">
        <f>-SUM('Historical Data'!K10:K12)</f>
        <v>-31978.72</v>
      </c>
      <c r="L23" s="219">
        <f>-SUM('Historical Data'!L10:L12)</f>
        <v>-32547.88</v>
      </c>
      <c r="M23" s="219">
        <f>M22*-M8</f>
        <v>-34169.017286808</v>
      </c>
      <c r="N23" s="219">
        <f>N22*-N8</f>
        <v>-34298.5392895061</v>
      </c>
      <c r="O23" s="219">
        <f>O22*-O8</f>
        <v>-34415.5509645858</v>
      </c>
      <c r="P23" s="219">
        <f>P22*-P8</f>
        <v>-34521.2207457345</v>
      </c>
      <c r="Q23" s="219">
        <f>Q22*-Q8</f>
        <v>-34616.6155531704</v>
      </c>
    </row>
    <row r="24" ht="18.75" customHeight="1" outlineLevel="1" spans="1:17">
      <c r="D24" s="240" t="s">
        <v>165</v>
      </c>
      <c r="E24" s="242"/>
      <c r="F24" s="242"/>
      <c r="G24" s="242"/>
      <c r="H24" s="242">
        <f t="shared" ref="H24:Q24" si="6">SUM(H22:H23)</f>
        <v>38819.89</v>
      </c>
      <c r="I24" s="242">
        <f t="shared" si="6"/>
        <v>47512.44</v>
      </c>
      <c r="J24" s="242">
        <f t="shared" si="6"/>
        <v>49593.28</v>
      </c>
      <c r="K24" s="242">
        <f t="shared" si="6"/>
        <v>49634.06</v>
      </c>
      <c r="L24" s="242">
        <f t="shared" si="6"/>
        <v>57365.45</v>
      </c>
      <c r="M24" s="242">
        <f t="shared" si="6"/>
        <v>56123.0103851893</v>
      </c>
      <c r="N24" s="242">
        <f t="shared" si="6"/>
        <v>56335.7517889446</v>
      </c>
      <c r="O24" s="242">
        <f t="shared" si="6"/>
        <v>56527.9448333205</v>
      </c>
      <c r="P24" s="242">
        <f t="shared" si="6"/>
        <v>56701.5086843095</v>
      </c>
      <c r="Q24" s="242">
        <f t="shared" si="6"/>
        <v>56858.1957708441</v>
      </c>
    </row>
    <row r="25" ht="18.75" customHeight="1" outlineLevel="1" spans="1:17">
      <c r="D25" s="241" t="s">
        <v>166</v>
      </c>
      <c r="H25" s="219">
        <f>-SUM('Historical Data'!H13:H14,'Historical Data'!H17)</f>
        <v>-18161.48</v>
      </c>
      <c r="I25" s="219">
        <f>-SUM('Historical Data'!I13:I14,'Historical Data'!I17)</f>
        <v>-21847.51</v>
      </c>
      <c r="J25" s="219">
        <f>-SUM('Historical Data'!J13:J14,'Historical Data'!J17)</f>
        <v>-23338.93</v>
      </c>
      <c r="K25" s="219">
        <f>-SUM('Historical Data'!K13:K14,'Historical Data'!K17)</f>
        <v>-23655.85</v>
      </c>
      <c r="L25" s="219">
        <f>-SUM('Historical Data'!L13:L14,'Historical Data'!L17)</f>
        <v>-30047.54</v>
      </c>
      <c r="M25" s="219">
        <f>M22*-M9</f>
        <v>-26939.8870284748</v>
      </c>
      <c r="N25" s="219">
        <f>N22*-N9</f>
        <v>-27042.0060941506</v>
      </c>
      <c r="O25" s="219">
        <f>O22*-O9</f>
        <v>-27134.2616390262</v>
      </c>
      <c r="P25" s="219">
        <f>P22*-P9</f>
        <v>-27217.5748915723</v>
      </c>
      <c r="Q25" s="219">
        <f>Q22*-Q9</f>
        <v>-27292.7870439692</v>
      </c>
    </row>
    <row r="26" ht="18.75" customHeight="1" outlineLevel="1" spans="1:17">
      <c r="D26" s="240" t="s">
        <v>167</v>
      </c>
      <c r="E26" s="242"/>
      <c r="F26" s="242"/>
      <c r="G26" s="242"/>
      <c r="H26" s="242">
        <f t="shared" ref="H26:Q26" si="7">SUM(H24:H25)</f>
        <v>20658.41</v>
      </c>
      <c r="I26" s="242">
        <f t="shared" si="7"/>
        <v>25664.93</v>
      </c>
      <c r="J26" s="242">
        <f t="shared" si="7"/>
        <v>26254.35</v>
      </c>
      <c r="K26" s="242">
        <f t="shared" si="7"/>
        <v>25978.21</v>
      </c>
      <c r="L26" s="242">
        <f t="shared" si="7"/>
        <v>27317.91</v>
      </c>
      <c r="M26" s="242">
        <f t="shared" si="7"/>
        <v>29183.1233567145</v>
      </c>
      <c r="N26" s="242">
        <f t="shared" si="7"/>
        <v>29293.745694794</v>
      </c>
      <c r="O26" s="242">
        <f t="shared" si="7"/>
        <v>29393.6831942943</v>
      </c>
      <c r="P26" s="242">
        <f t="shared" si="7"/>
        <v>29483.9337927372</v>
      </c>
      <c r="Q26" s="242">
        <f t="shared" si="7"/>
        <v>29565.4087268749</v>
      </c>
    </row>
    <row r="27" ht="18.75" customHeight="1" outlineLevel="1" spans="1:17">
      <c r="D27" s="241" t="s">
        <v>168</v>
      </c>
      <c r="H27" s="219">
        <f>-'Historical Data'!H16</f>
        <v>-1732.41</v>
      </c>
      <c r="I27" s="219">
        <f>-'Historical Data'!I16</f>
        <v>-1809.01</v>
      </c>
      <c r="J27" s="219">
        <f>-'Historical Data'!J16</f>
        <v>-1816.39</v>
      </c>
      <c r="K27" s="219">
        <f>-'Historical Data'!K16</f>
        <v>-1646.32</v>
      </c>
      <c r="L27" s="219">
        <f>-'Historical Data'!L16</f>
        <v>-1710.53</v>
      </c>
      <c r="M27" s="219">
        <f>M109</f>
        <v>-1571.98999410253</v>
      </c>
      <c r="N27" s="219">
        <f>N109</f>
        <v>-1469.28317851841</v>
      </c>
      <c r="O27" s="219">
        <f>O109</f>
        <v>-1373.0282772125</v>
      </c>
      <c r="P27" s="219">
        <f>P109</f>
        <v>-1282.8440171619</v>
      </c>
      <c r="Q27" s="219">
        <f>Q109</f>
        <v>-1198.36969987678</v>
      </c>
    </row>
    <row r="28" ht="18.75" customHeight="1" outlineLevel="1" spans="1:17">
      <c r="D28" s="240" t="s">
        <v>169</v>
      </c>
      <c r="E28" s="242"/>
      <c r="F28" s="242"/>
      <c r="G28" s="242"/>
      <c r="H28" s="242">
        <f t="shared" ref="H28:Q28" si="8">SUM(H26:H27)</f>
        <v>18926</v>
      </c>
      <c r="I28" s="242">
        <f t="shared" si="8"/>
        <v>23855.92</v>
      </c>
      <c r="J28" s="242">
        <f t="shared" si="8"/>
        <v>24437.96</v>
      </c>
      <c r="K28" s="242">
        <f t="shared" si="8"/>
        <v>24331.89</v>
      </c>
      <c r="L28" s="242">
        <f t="shared" si="8"/>
        <v>25607.38</v>
      </c>
      <c r="M28" s="242">
        <f t="shared" si="8"/>
        <v>27611.1333626119</v>
      </c>
      <c r="N28" s="242">
        <f t="shared" si="8"/>
        <v>27824.4625162756</v>
      </c>
      <c r="O28" s="242">
        <f t="shared" si="8"/>
        <v>28020.6549170818</v>
      </c>
      <c r="P28" s="242">
        <f t="shared" si="8"/>
        <v>28201.0897755753</v>
      </c>
      <c r="Q28" s="242">
        <f t="shared" si="8"/>
        <v>28367.0390269981</v>
      </c>
    </row>
    <row r="29" ht="18.75" customHeight="1" outlineLevel="1" spans="1:17">
      <c r="D29" s="243" t="s">
        <v>170</v>
      </c>
      <c r="H29" s="219">
        <f>-'Historical Data'!H15</f>
        <v>-39.36</v>
      </c>
      <c r="I29" s="219">
        <f>-'Historical Data'!I15</f>
        <v>-43.2</v>
      </c>
      <c r="J29" s="219">
        <f>-'Historical Data'!J15</f>
        <v>-45.96</v>
      </c>
      <c r="K29" s="219">
        <f>-'Historical Data'!K15</f>
        <v>-45.06</v>
      </c>
      <c r="L29" s="219">
        <f>-'Historical Data'!L15</f>
        <v>-85.17</v>
      </c>
      <c r="M29" s="219">
        <f>M116</f>
        <v>-54.1394209351794</v>
      </c>
      <c r="N29" s="219">
        <f>N116</f>
        <v>-32.7598751966467</v>
      </c>
      <c r="O29" s="219">
        <f>O116</f>
        <v>-11.380329458114</v>
      </c>
      <c r="P29" s="219">
        <f>P116</f>
        <v>0</v>
      </c>
      <c r="Q29" s="219">
        <f>Q116</f>
        <v>0</v>
      </c>
    </row>
    <row r="30" ht="18.75" customHeight="1" outlineLevel="1" spans="1:17">
      <c r="D30" s="241" t="s">
        <v>171</v>
      </c>
      <c r="H30" s="219">
        <f>'Historical Data'!H6+SUM('Historical Data'!H22,'Historical Data'!H20)</f>
        <v>1853.83</v>
      </c>
      <c r="I30" s="219">
        <f>'Historical Data'!I6+SUM('Historical Data'!I22,'Historical Data'!I20)</f>
        <v>2102.4</v>
      </c>
      <c r="J30" s="219">
        <f>'Historical Data'!J6+SUM('Historical Data'!J22,'Historical Data'!J20)</f>
        <v>2747.88</v>
      </c>
      <c r="K30" s="219">
        <f>'Historical Data'!K6+SUM('Historical Data'!K22,'Historical Data'!K20)+SUM('Historical Data'!K32)</f>
        <v>17656.12</v>
      </c>
      <c r="L30" s="219">
        <f>'Historical Data'!L6+SUM('Historical Data'!L22,'Historical Data'!L20)</f>
        <v>2511.18</v>
      </c>
      <c r="M30" s="219">
        <f>M22*M12</f>
        <v>6066.47739912912</v>
      </c>
      <c r="N30" s="219">
        <f>N22*N12</f>
        <v>6089.47315272258</v>
      </c>
      <c r="O30" s="219">
        <f>O22*O12</f>
        <v>6110.24778245064</v>
      </c>
      <c r="P30" s="219">
        <f>P22*P12</f>
        <v>6129.00873579409</v>
      </c>
      <c r="Q30" s="219">
        <f>Q22*Q12</f>
        <v>6145.94543720539</v>
      </c>
    </row>
    <row r="31" ht="18.75" customHeight="1" outlineLevel="1" spans="1:17">
      <c r="D31" s="240" t="s">
        <v>172</v>
      </c>
      <c r="E31" s="242"/>
      <c r="F31" s="242"/>
      <c r="G31" s="242"/>
      <c r="H31" s="242">
        <f t="shared" ref="H31:Q31" si="9">SUM(H28:H30)</f>
        <v>20740.47</v>
      </c>
      <c r="I31" s="242">
        <f t="shared" si="9"/>
        <v>25915.12</v>
      </c>
      <c r="J31" s="242">
        <f t="shared" si="9"/>
        <v>27139.88</v>
      </c>
      <c r="K31" s="242">
        <f t="shared" si="9"/>
        <v>41942.95</v>
      </c>
      <c r="L31" s="242">
        <f t="shared" si="9"/>
        <v>28033.39</v>
      </c>
      <c r="M31" s="242">
        <f t="shared" si="9"/>
        <v>33623.4713408059</v>
      </c>
      <c r="N31" s="242">
        <f t="shared" si="9"/>
        <v>33881.1757938015</v>
      </c>
      <c r="O31" s="242">
        <f t="shared" si="9"/>
        <v>34119.5223700743</v>
      </c>
      <c r="P31" s="242">
        <f t="shared" si="9"/>
        <v>34330.0985113694</v>
      </c>
      <c r="Q31" s="242">
        <f t="shared" si="9"/>
        <v>34512.9844642035</v>
      </c>
    </row>
    <row r="32" ht="18.75" customHeight="1" outlineLevel="1" spans="1:17">
      <c r="D32" s="241" t="s">
        <v>173</v>
      </c>
      <c r="H32" s="219">
        <f>-SUM('Historical Data'!H24:H25)</f>
        <v>-5237.34</v>
      </c>
      <c r="I32" s="219">
        <f>-SUM('Historical Data'!I24:I25)</f>
        <v>-6438.4</v>
      </c>
      <c r="J32" s="219">
        <f>-SUM('Historical Data'!J24:J25)</f>
        <v>-6388.52</v>
      </c>
      <c r="K32" s="219">
        <f>-SUM('Historical Data'!K24:K25)</f>
        <v>-6890.47</v>
      </c>
      <c r="L32" s="219">
        <f>-SUM('Historical Data'!L24:L25)</f>
        <v>-7015.24</v>
      </c>
      <c r="M32" s="219">
        <f>-M31*M13</f>
        <v>-7739.31554431769</v>
      </c>
      <c r="N32" s="219">
        <f>-N31*N13</f>
        <v>-7798.63291992991</v>
      </c>
      <c r="O32" s="219">
        <f>-O31*O13</f>
        <v>-7853.49457725213</v>
      </c>
      <c r="P32" s="219">
        <f>-P31*P13</f>
        <v>-7901.96414742436</v>
      </c>
      <c r="Q32" s="219">
        <f>-Q31*Q13</f>
        <v>-7944.06010126743</v>
      </c>
    </row>
    <row r="33" ht="18.75" customHeight="1" outlineLevel="1" spans="1:18">
      <c r="D33" s="240" t="s">
        <v>174</v>
      </c>
      <c r="E33" s="242"/>
      <c r="F33" s="242"/>
      <c r="G33" s="242"/>
      <c r="H33" s="242">
        <f t="shared" ref="H33:Q33" si="10">SUM(H31:H32)</f>
        <v>15503.13</v>
      </c>
      <c r="I33" s="242">
        <f t="shared" si="10"/>
        <v>19476.72</v>
      </c>
      <c r="J33" s="242">
        <f t="shared" si="10"/>
        <v>20751.36</v>
      </c>
      <c r="K33" s="242">
        <f t="shared" si="10"/>
        <v>35052.48</v>
      </c>
      <c r="L33" s="242">
        <f t="shared" si="10"/>
        <v>21018.15</v>
      </c>
      <c r="M33" s="242">
        <f t="shared" si="10"/>
        <v>25884.1557964882</v>
      </c>
      <c r="N33" s="242">
        <f t="shared" si="10"/>
        <v>26082.5428738716</v>
      </c>
      <c r="O33" s="242">
        <f t="shared" si="10"/>
        <v>26266.0277928222</v>
      </c>
      <c r="P33" s="242">
        <f t="shared" si="10"/>
        <v>26428.134363945</v>
      </c>
      <c r="Q33" s="242">
        <f t="shared" si="10"/>
        <v>26568.9243629361</v>
      </c>
    </row>
    <row r="34" ht="18.75" customHeight="1"/>
    <row r="35" ht="18.75" customHeight="1" spans="1:18">
      <c r="A35" s="239" t="s">
        <v>175</v>
      </c>
      <c r="B35" s="239"/>
      <c r="C35" s="239"/>
      <c r="D35" s="239"/>
      <c r="E35" s="239"/>
      <c r="F35" s="239"/>
      <c r="G35" s="239"/>
      <c r="H35" s="239"/>
      <c r="I35" s="239"/>
      <c r="J35" s="239"/>
      <c r="K35" s="239"/>
      <c r="L35" s="239"/>
      <c r="M35" s="239"/>
      <c r="N35" s="239"/>
      <c r="O35" s="239"/>
      <c r="P35" s="239"/>
      <c r="Q35" s="239"/>
      <c r="R35" s="227"/>
    </row>
    <row r="36" ht="18.75" customHeight="1" outlineLevel="1"/>
    <row r="37" ht="18.75" customHeight="1" outlineLevel="1" spans="1:18">
      <c r="B37" s="218" t="s">
        <v>176</v>
      </c>
    </row>
    <row r="38" ht="18.75" customHeight="1" outlineLevel="1" spans="1:18">
      <c r="C38" s="218" t="s">
        <v>177</v>
      </c>
    </row>
    <row r="39" ht="18.75" customHeight="1" outlineLevel="1" spans="1:18">
      <c r="D39" s="219" t="s">
        <v>178</v>
      </c>
      <c r="H39" s="219">
        <f>'Historical Data'!H63+'Historical Data'!H64</f>
        <v>4654.42</v>
      </c>
      <c r="I39" s="219">
        <f>'Historical Data'!I63+'Historical Data'!I64</f>
        <v>4880.19</v>
      </c>
      <c r="J39" s="219">
        <f>'Historical Data'!J63+'Historical Data'!J64</f>
        <v>7217.68</v>
      </c>
      <c r="K39" s="219">
        <f>'Historical Data'!K63+'Historical Data'!K64</f>
        <v>4012.36</v>
      </c>
      <c r="L39" s="219">
        <f>'Historical Data'!L63+'Historical Data'!L64</f>
        <v>3008.79</v>
      </c>
      <c r="M39" s="244">
        <f>M96</f>
        <v>11490.5611452945</v>
      </c>
      <c r="N39" s="244">
        <f>N96</f>
        <v>17847.2657764742</v>
      </c>
      <c r="O39" s="244">
        <f>O96</f>
        <v>24196.6985129663</v>
      </c>
      <c r="P39" s="244">
        <f>P96</f>
        <v>30544.3737885677</v>
      </c>
      <c r="Q39" s="244">
        <f>Q96</f>
        <v>36848.2400567206</v>
      </c>
    </row>
    <row r="40" ht="18.75" customHeight="1" outlineLevel="1" spans="1:18">
      <c r="D40" s="219" t="s">
        <v>179</v>
      </c>
      <c r="H40" s="219">
        <f>'Historical Data'!H62</f>
        <v>2461.9</v>
      </c>
      <c r="I40" s="219">
        <f>'Historical Data'!I62</f>
        <v>2956.17</v>
      </c>
      <c r="J40" s="219">
        <f>'Historical Data'!J62</f>
        <v>4025.82</v>
      </c>
      <c r="K40" s="219">
        <f>'Historical Data'!K62</f>
        <v>4719.67</v>
      </c>
      <c r="L40" s="219">
        <f>'Historical Data'!L62</f>
        <v>3922.86</v>
      </c>
      <c r="M40" s="219">
        <f>M22/365*M15</f>
        <v>4157.7884699766</v>
      </c>
      <c r="N40" s="219">
        <f>N22/365*N15</f>
        <v>4173.54909560145</v>
      </c>
      <c r="O40" s="219">
        <f>O22/365*O15</f>
        <v>4187.78742705287</v>
      </c>
      <c r="P40" s="219">
        <f>P22/365*P15</f>
        <v>4200.64564284518</v>
      </c>
      <c r="Q40" s="219">
        <f>Q22/365*Q15</f>
        <v>4212.2535690294</v>
      </c>
    </row>
    <row r="41" ht="18.75" customHeight="1" outlineLevel="1" spans="1:18">
      <c r="D41" s="219" t="s">
        <v>180</v>
      </c>
      <c r="H41" s="219">
        <f>'Historical Data'!H58</f>
        <v>10864.15</v>
      </c>
      <c r="I41" s="219">
        <f>'Historical Data'!I58</f>
        <v>11771.16</v>
      </c>
      <c r="J41" s="219">
        <f>'Historical Data'!J58</f>
        <v>14152.88</v>
      </c>
      <c r="K41" s="219">
        <f>'Historical Data'!K58</f>
        <v>15637.56</v>
      </c>
      <c r="L41" s="219">
        <f>'Historical Data'!L58</f>
        <v>18622.96</v>
      </c>
      <c r="M41" s="219">
        <f>-M23/365*M16</f>
        <v>16388.6230492866</v>
      </c>
      <c r="N41" s="219">
        <f>-N23/365*N16</f>
        <v>16450.7462078484</v>
      </c>
      <c r="O41" s="219">
        <f>-O23/365*O16</f>
        <v>16506.8689877092</v>
      </c>
      <c r="P41" s="219">
        <f>-P23/365*P16</f>
        <v>16557.5518094131</v>
      </c>
      <c r="Q41" s="219">
        <f>-Q23/365*Q16</f>
        <v>16603.3064041913</v>
      </c>
    </row>
    <row r="42" ht="18.75" customHeight="1" outlineLevel="1" spans="1:18">
      <c r="D42" s="219" t="s">
        <v>181</v>
      </c>
      <c r="H42" s="219">
        <f>SUM('Historical Data'!H66:H67,'Historical Data'!H61,'Historical Data'!H59,'Historical Data'!H65)</f>
        <v>16251.98</v>
      </c>
      <c r="I42" s="219">
        <f>SUM('Historical Data'!I66:I67,'Historical Data'!I61,'Historical Data'!I59,'Historical Data'!I65)</f>
        <v>20063.37</v>
      </c>
      <c r="J42" s="219">
        <f>SUM('Historical Data'!J66:J67,'Historical Data'!J61,'Historical Data'!J59,'Historical Data'!J65)</f>
        <v>15669.16</v>
      </c>
      <c r="K42" s="219">
        <f>SUM('Historical Data'!K66:K67,'Historical Data'!K61,'Historical Data'!K59,'Historical Data'!K65)</f>
        <v>19523.69</v>
      </c>
      <c r="L42" s="219">
        <f>SUM('Historical Data'!L66:L67,'Historical Data'!L61,'Historical Data'!L59,'Historical Data'!L65)</f>
        <v>25153.8</v>
      </c>
      <c r="M42" s="219">
        <f>L42</f>
        <v>25153.8</v>
      </c>
      <c r="N42" s="219">
        <f>M42</f>
        <v>25153.8</v>
      </c>
      <c r="O42" s="219">
        <f>N42</f>
        <v>25153.8</v>
      </c>
      <c r="P42" s="219">
        <f>O42</f>
        <v>25153.8</v>
      </c>
      <c r="Q42" s="219">
        <f>P42</f>
        <v>25153.8</v>
      </c>
    </row>
    <row r="43" ht="18.75" customHeight="1" outlineLevel="1"/>
    <row r="44" ht="18.75" customHeight="1" outlineLevel="1" spans="1:18">
      <c r="C44" s="218" t="s">
        <v>182</v>
      </c>
    </row>
    <row r="45" ht="18.75" customHeight="1" outlineLevel="1" spans="1:18">
      <c r="D45" s="219" t="s">
        <v>183</v>
      </c>
      <c r="H45" s="219">
        <f>'Historical Data'!H40+'Historical Data'!H41</f>
        <v>23405.88</v>
      </c>
      <c r="I45" s="219">
        <f>'Historical Data'!I40+'Historical Data'!I41</f>
        <v>24101.79</v>
      </c>
      <c r="J45" s="219">
        <f>'Historical Data'!J40+'Historical Data'!J41</f>
        <v>25933.47</v>
      </c>
      <c r="K45" s="219">
        <f>'Historical Data'!K40+'Historical Data'!K41</f>
        <v>18516.49</v>
      </c>
      <c r="L45" s="219">
        <f>'Historical Data'!L40+'Historical Data'!L41</f>
        <v>18970.61</v>
      </c>
      <c r="M45" s="219">
        <f>M110-M46</f>
        <v>17517.1072225652</v>
      </c>
      <c r="N45" s="219">
        <f>N110-N46</f>
        <v>16154.9116799016</v>
      </c>
      <c r="O45" s="219">
        <f>O110-O46</f>
        <v>14878.6276113229</v>
      </c>
      <c r="P45" s="219">
        <f>P110-P46</f>
        <v>13683.1504261183</v>
      </c>
      <c r="Q45" s="219">
        <f>Q110-Q46</f>
        <v>12563.6523016367</v>
      </c>
    </row>
    <row r="46" ht="18.75" customHeight="1" outlineLevel="1" spans="1:18">
      <c r="D46" s="219" t="s">
        <v>184</v>
      </c>
      <c r="H46" s="219">
        <f>'Historical Data'!H44+'Historical Data'!H45</f>
        <v>2040.19</v>
      </c>
      <c r="I46" s="219">
        <f>'Historical Data'!I44+'Historical Data'!I45</f>
        <v>2745.91</v>
      </c>
      <c r="J46" s="219">
        <f>'Historical Data'!J44+'Historical Data'!J45</f>
        <v>2687.75</v>
      </c>
      <c r="K46" s="219">
        <f>'Historical Data'!K44+'Historical Data'!K45</f>
        <v>2728.05</v>
      </c>
      <c r="L46" s="219">
        <f>'Historical Data'!L44+'Historical Data'!L45</f>
        <v>3276.13</v>
      </c>
      <c r="M46" s="219">
        <f>L46</f>
        <v>3276.13</v>
      </c>
      <c r="N46" s="219">
        <f>M46</f>
        <v>3276.13</v>
      </c>
      <c r="O46" s="219">
        <f>N46</f>
        <v>3276.13</v>
      </c>
      <c r="P46" s="219">
        <f>O46</f>
        <v>3276.13</v>
      </c>
      <c r="Q46" s="219">
        <f>P46</f>
        <v>3276.13</v>
      </c>
    </row>
    <row r="47" ht="18.75" customHeight="1" outlineLevel="1" spans="1:18">
      <c r="D47" s="219" t="s">
        <v>36</v>
      </c>
      <c r="H47" s="219">
        <f>'Historical Data'!H43</f>
        <v>779.73</v>
      </c>
      <c r="I47" s="219">
        <f>'Historical Data'!I43</f>
        <v>779.73</v>
      </c>
      <c r="J47" s="219">
        <f>'Historical Data'!J43</f>
        <v>779.73</v>
      </c>
      <c r="K47" s="219">
        <f>'Historical Data'!K43</f>
        <v>896.93</v>
      </c>
      <c r="L47" s="219">
        <f>'Historical Data'!L43</f>
        <v>993.29</v>
      </c>
      <c r="M47" s="219">
        <f>L47</f>
        <v>993.29</v>
      </c>
      <c r="N47" s="219">
        <f>M47</f>
        <v>993.29</v>
      </c>
      <c r="O47" s="219">
        <f>N47</f>
        <v>993.29</v>
      </c>
      <c r="P47" s="219">
        <f>O47</f>
        <v>993.29</v>
      </c>
      <c r="Q47" s="219">
        <f>P47</f>
        <v>993.29</v>
      </c>
    </row>
    <row r="48" ht="18.75" customHeight="1" outlineLevel="1" spans="1:18">
      <c r="D48" s="219" t="s">
        <v>185</v>
      </c>
      <c r="H48" s="219">
        <f>SUM('Historical Data'!H49:H51)</f>
        <v>13903.68</v>
      </c>
      <c r="I48" s="219">
        <f>SUM('Historical Data'!I49:I51)</f>
        <v>15589.8</v>
      </c>
      <c r="J48" s="219">
        <f>SUM('Historical Data'!J49:J51)</f>
        <v>18032.91</v>
      </c>
      <c r="K48" s="219">
        <f>SUM('Historical Data'!K49:K51)</f>
        <v>15285.71</v>
      </c>
      <c r="L48" s="219">
        <f>SUM('Historical Data'!L49:L51)</f>
        <v>12437.64</v>
      </c>
      <c r="M48" s="219">
        <f>L48</f>
        <v>12437.64</v>
      </c>
      <c r="N48" s="219">
        <f>M48</f>
        <v>12437.64</v>
      </c>
      <c r="O48" s="219">
        <f>N48</f>
        <v>12437.64</v>
      </c>
      <c r="P48" s="219">
        <f>O48</f>
        <v>12437.64</v>
      </c>
      <c r="Q48" s="219">
        <f>P48</f>
        <v>12437.64</v>
      </c>
    </row>
    <row r="49" ht="18.75" customHeight="1" outlineLevel="1" spans="2:18">
      <c r="D49" s="219" t="s">
        <v>186</v>
      </c>
      <c r="H49" s="219">
        <f>SUM('Historical Data'!H52:H54,'Historical Data'!H46:H47,'Historical Data'!H42)</f>
        <v>2897.62</v>
      </c>
      <c r="I49" s="219">
        <f>SUM('Historical Data'!I52:I54,'Historical Data'!I46:I47,'Historical Data'!I42)</f>
        <v>2994.86</v>
      </c>
      <c r="J49" s="219">
        <f>SUM('Historical Data'!J52:J54,'Historical Data'!J46:J47,'Historical Data'!J42)</f>
        <v>3326.76</v>
      </c>
      <c r="K49" s="219">
        <f>SUM('Historical Data'!K52:K54,'Historical Data'!K46:K47,'Historical Data'!K42)</f>
        <v>6770.22</v>
      </c>
      <c r="L49" s="219">
        <f>SUM('Historical Data'!L52:L54,'Historical Data'!L46:L47,'Historical Data'!L42)</f>
        <v>7406.3</v>
      </c>
      <c r="M49" s="219">
        <f>L49</f>
        <v>7406.3</v>
      </c>
      <c r="N49" s="219">
        <f>M49</f>
        <v>7406.3</v>
      </c>
      <c r="O49" s="219">
        <f>N49</f>
        <v>7406.3</v>
      </c>
      <c r="P49" s="219">
        <f>O49</f>
        <v>7406.3</v>
      </c>
      <c r="Q49" s="219">
        <f>P49</f>
        <v>7406.3</v>
      </c>
    </row>
    <row r="50" ht="18.75" customHeight="1" outlineLevel="1" spans="2:18">
      <c r="C50" s="237"/>
      <c r="D50" s="242" t="s">
        <v>187</v>
      </c>
      <c r="E50" s="237"/>
      <c r="F50" s="237"/>
      <c r="G50" s="237"/>
      <c r="H50" s="242">
        <f>SUM(H38:H49)</f>
        <v>77259.55</v>
      </c>
      <c r="I50" s="242">
        <f>SUM(I38:I49)</f>
        <v>85882.98</v>
      </c>
      <c r="J50" s="242">
        <f>SUM(J38:J49)</f>
        <v>91826.16</v>
      </c>
      <c r="K50" s="242">
        <f>SUM(K38:K49)</f>
        <v>88090.68</v>
      </c>
      <c r="L50" s="242">
        <f>SUM(L38:L49)</f>
        <v>93792.38</v>
      </c>
      <c r="M50" s="242">
        <f>SUM(M39:M49)</f>
        <v>98821.239887123</v>
      </c>
      <c r="N50" s="242">
        <f>SUM(N39:N49)</f>
        <v>103893.632759826</v>
      </c>
      <c r="O50" s="242">
        <f>SUM(O39:O49)</f>
        <v>109037.142539051</v>
      </c>
      <c r="P50" s="242">
        <f>SUM(P39:P49)</f>
        <v>114252.881666944</v>
      </c>
      <c r="Q50" s="242">
        <f>SUM(Q39:Q49)</f>
        <v>119494.612331578</v>
      </c>
      <c r="R50" s="218"/>
    </row>
    <row r="51" ht="18.75" customHeight="1" outlineLevel="1"/>
    <row r="52" ht="18.75" customHeight="1" outlineLevel="1" spans="2:18">
      <c r="B52" s="218" t="s">
        <v>188</v>
      </c>
    </row>
    <row r="53" ht="18.75" customHeight="1" outlineLevel="1" spans="2:18">
      <c r="C53" s="218" t="s">
        <v>189</v>
      </c>
    </row>
    <row r="54" ht="18.75" customHeight="1" outlineLevel="1" spans="2:18">
      <c r="D54" s="219" t="s">
        <v>190</v>
      </c>
      <c r="H54" s="219">
        <f>SUM('Historical Data'!H94:H95)</f>
        <v>4417.26</v>
      </c>
      <c r="I54" s="219">
        <f>SUM('Historical Data'!I94:I95)</f>
        <v>4658.99</v>
      </c>
      <c r="J54" s="219">
        <f>SUM('Historical Data'!J94:J95)</f>
        <v>4797.83</v>
      </c>
      <c r="K54" s="219">
        <f>SUM('Historical Data'!K94:K95)</f>
        <v>4807.3</v>
      </c>
      <c r="L54" s="219">
        <f>SUM('Historical Data'!L94:L95)</f>
        <v>5639.55</v>
      </c>
      <c r="M54" s="219">
        <f>-M23/365*M17</f>
        <v>5656.48009879352</v>
      </c>
      <c r="N54" s="219">
        <f>-N23/365*N17</f>
        <v>5677.92170551191</v>
      </c>
      <c r="O54" s="219">
        <f>-O23/365*O17</f>
        <v>5697.29230098029</v>
      </c>
      <c r="P54" s="219">
        <f>-P23/365*P17</f>
        <v>5714.78531253208</v>
      </c>
      <c r="Q54" s="219">
        <f>-Q23/365*Q17</f>
        <v>5730.57736254219</v>
      </c>
    </row>
    <row r="55" ht="18.75" customHeight="1" outlineLevel="1" spans="2:18">
      <c r="D55" s="219" t="s">
        <v>191</v>
      </c>
      <c r="H55" s="219">
        <f>SUM('Historical Data'!H93,'Historical Data'!H96:H100)</f>
        <v>7746.45</v>
      </c>
      <c r="I55" s="219">
        <f>SUM('Historical Data'!I93,'Historical Data'!I96:I100)</f>
        <v>9080.42</v>
      </c>
      <c r="J55" s="219">
        <f>SUM('Historical Data'!J93,'Historical Data'!J96:J100)</f>
        <v>8892.57</v>
      </c>
      <c r="K55" s="219">
        <f>SUM('Historical Data'!K93,'Historical Data'!K96:K100)</f>
        <v>9526.81</v>
      </c>
      <c r="L55" s="219">
        <f>SUM('Historical Data'!L93,'Historical Data'!L96:L100)</f>
        <v>11047.72</v>
      </c>
      <c r="M55" s="219">
        <f>L55</f>
        <v>11047.72</v>
      </c>
      <c r="N55" s="219">
        <f>M55</f>
        <v>11047.72</v>
      </c>
      <c r="O55" s="219">
        <f>N55</f>
        <v>11047.72</v>
      </c>
      <c r="P55" s="219">
        <f>O55</f>
        <v>11047.72</v>
      </c>
      <c r="Q55" s="219">
        <f>P55</f>
        <v>11047.72</v>
      </c>
    </row>
    <row r="56" ht="18.75" customHeight="1" outlineLevel="1"/>
    <row r="57" ht="18.75" customHeight="1" outlineLevel="1" spans="2:18">
      <c r="C57" s="218" t="s">
        <v>192</v>
      </c>
    </row>
    <row r="58" ht="18.75" customHeight="1" outlineLevel="1" spans="2:18">
      <c r="D58" s="219" t="s">
        <v>193</v>
      </c>
      <c r="H58" s="219">
        <f>SUM('Historical Data'!H83:H84)</f>
        <v>198.52</v>
      </c>
      <c r="I58" s="219">
        <f>SUM('Historical Data'!I83:I84)</f>
        <v>216.86</v>
      </c>
      <c r="J58" s="219">
        <f>SUM('Historical Data'!J83:J84)</f>
        <v>232.37</v>
      </c>
      <c r="K58" s="219">
        <f>SUM('Historical Data'!K83:K84)</f>
        <v>137.21</v>
      </c>
      <c r="L58" s="219">
        <f>SUM('Historical Data'!L83:L84)</f>
        <v>200.86</v>
      </c>
      <c r="M58" s="219">
        <f>M115</f>
        <v>121.5408</v>
      </c>
      <c r="N58" s="219">
        <f>N115</f>
        <v>42.2216</v>
      </c>
      <c r="O58" s="219">
        <f>O115</f>
        <v>0</v>
      </c>
      <c r="P58" s="219">
        <f>P115</f>
        <v>0</v>
      </c>
      <c r="Q58" s="219">
        <f>Q115</f>
        <v>0</v>
      </c>
    </row>
    <row r="59" ht="18.75" customHeight="1" outlineLevel="1" spans="2:18">
      <c r="D59" s="219" t="s">
        <v>194</v>
      </c>
      <c r="H59" s="219">
        <f>SUM('Historical Data'!H85:H88)</f>
        <v>2075.45</v>
      </c>
      <c r="I59" s="219">
        <f>SUM('Historical Data'!I85:I88)</f>
        <v>2387.92</v>
      </c>
      <c r="J59" s="219">
        <f>SUM('Historical Data'!J85:J88)</f>
        <v>3013.42</v>
      </c>
      <c r="K59" s="219">
        <f>SUM('Historical Data'!K85:K88)</f>
        <v>3221.42</v>
      </c>
      <c r="L59" s="219">
        <f>SUM('Historical Data'!L85:L88)</f>
        <v>4031.23</v>
      </c>
      <c r="M59" s="219">
        <f>L59</f>
        <v>4031.23</v>
      </c>
      <c r="N59" s="219">
        <f>M59</f>
        <v>4031.23</v>
      </c>
      <c r="O59" s="219">
        <f>N59</f>
        <v>4031.23</v>
      </c>
      <c r="P59" s="219">
        <f>O59</f>
        <v>4031.23</v>
      </c>
      <c r="Q59" s="219">
        <f>P59</f>
        <v>4031.23</v>
      </c>
    </row>
    <row r="60" ht="18.75" customHeight="1" outlineLevel="1" spans="2:18">
      <c r="C60" s="237"/>
      <c r="D60" s="242" t="s">
        <v>195</v>
      </c>
      <c r="E60" s="237"/>
      <c r="F60" s="237"/>
      <c r="G60" s="237"/>
      <c r="H60" s="242">
        <f t="shared" ref="H60:Q60" si="11">SUM(H54:H59)</f>
        <v>14437.68</v>
      </c>
      <c r="I60" s="242">
        <f t="shared" si="11"/>
        <v>16344.19</v>
      </c>
      <c r="J60" s="242">
        <f t="shared" si="11"/>
        <v>16936.19</v>
      </c>
      <c r="K60" s="242">
        <f t="shared" si="11"/>
        <v>17692.74</v>
      </c>
      <c r="L60" s="242">
        <f t="shared" si="11"/>
        <v>20919.36</v>
      </c>
      <c r="M60" s="242">
        <f t="shared" si="11"/>
        <v>20856.9708987935</v>
      </c>
      <c r="N60" s="242">
        <f t="shared" si="11"/>
        <v>20799.0933055119</v>
      </c>
      <c r="O60" s="242">
        <f t="shared" si="11"/>
        <v>20776.2423009803</v>
      </c>
      <c r="P60" s="242">
        <f t="shared" si="11"/>
        <v>20793.7353125321</v>
      </c>
      <c r="Q60" s="242">
        <f t="shared" si="11"/>
        <v>20809.5273625422</v>
      </c>
    </row>
    <row r="61" ht="18.75" customHeight="1" outlineLevel="1"/>
    <row r="62" ht="18.75" customHeight="1" outlineLevel="1" spans="2:18">
      <c r="D62" s="219" t="s">
        <v>62</v>
      </c>
      <c r="H62" s="219">
        <f>'Historical Data'!H75</f>
        <v>1232.33</v>
      </c>
      <c r="I62" s="219">
        <f>'Historical Data'!I75</f>
        <v>1242.8</v>
      </c>
      <c r="J62" s="219">
        <f>'Historical Data'!J75</f>
        <v>1248.47</v>
      </c>
      <c r="K62" s="219">
        <f>'Historical Data'!K75</f>
        <v>1251.41</v>
      </c>
      <c r="L62" s="219">
        <f>'Historical Data'!L75</f>
        <v>1252.95</v>
      </c>
      <c r="M62" s="219">
        <f>L62</f>
        <v>1252.95</v>
      </c>
      <c r="N62" s="219">
        <f>M62</f>
        <v>1252.95</v>
      </c>
      <c r="O62" s="219">
        <f>N62</f>
        <v>1252.95</v>
      </c>
      <c r="P62" s="219">
        <f>O62</f>
        <v>1252.95</v>
      </c>
      <c r="Q62" s="219">
        <f>P62</f>
        <v>1252.95</v>
      </c>
    </row>
    <row r="63" ht="18.75" customHeight="1" outlineLevel="1" spans="2:18">
      <c r="D63" s="219" t="s">
        <v>64</v>
      </c>
      <c r="H63" s="219">
        <f>'Historical Data'!H76</f>
        <v>61223.24</v>
      </c>
      <c r="I63" s="219">
        <f>'Historical Data'!I76</f>
        <v>67912.46</v>
      </c>
      <c r="J63" s="219">
        <f>'Historical Data'!J76</f>
        <v>73258.53</v>
      </c>
      <c r="K63" s="219">
        <f>'Historical Data'!K76</f>
        <v>68778.64</v>
      </c>
      <c r="L63" s="219">
        <f>'Historical Data'!L76</f>
        <v>71254.35</v>
      </c>
      <c r="M63" s="245">
        <f>L63+M33+M90</f>
        <v>76345.5989883294</v>
      </c>
      <c r="N63" s="245">
        <f>M63+N33+N90</f>
        <v>81475.8694543137</v>
      </c>
      <c r="O63" s="245">
        <f>N63+O33+O90</f>
        <v>86642.2302380709</v>
      </c>
      <c r="P63" s="245">
        <f>O63+P33+P90</f>
        <v>91840.4763544122</v>
      </c>
      <c r="Q63" s="245">
        <f>P63+Q33+Q90</f>
        <v>97066.4149690358</v>
      </c>
    </row>
    <row r="64" ht="18.75" customHeight="1" outlineLevel="1" spans="2:18">
      <c r="C64" s="237"/>
      <c r="D64" s="242" t="s">
        <v>196</v>
      </c>
      <c r="E64" s="237"/>
      <c r="F64" s="237"/>
      <c r="G64" s="237"/>
      <c r="H64" s="242">
        <f t="shared" ref="H64:Q64" si="12">SUM(H62:H63)</f>
        <v>62455.57</v>
      </c>
      <c r="I64" s="242">
        <f t="shared" si="12"/>
        <v>69155.26</v>
      </c>
      <c r="J64" s="242">
        <f t="shared" si="12"/>
        <v>74507</v>
      </c>
      <c r="K64" s="242">
        <f t="shared" si="12"/>
        <v>70030.05</v>
      </c>
      <c r="L64" s="242">
        <f t="shared" si="12"/>
        <v>72507.3</v>
      </c>
      <c r="M64" s="246">
        <f t="shared" si="12"/>
        <v>77598.5489883294</v>
      </c>
      <c r="N64" s="246">
        <f t="shared" si="12"/>
        <v>82728.8194543137</v>
      </c>
      <c r="O64" s="246">
        <f t="shared" si="12"/>
        <v>87895.1802380709</v>
      </c>
      <c r="P64" s="246">
        <f t="shared" si="12"/>
        <v>93093.4263544122</v>
      </c>
      <c r="Q64" s="246">
        <f t="shared" si="12"/>
        <v>98319.3649690358</v>
      </c>
    </row>
    <row r="65" ht="18.75" customHeight="1" outlineLevel="1" spans="1:17">
      <c r="D65" s="219" t="s">
        <v>197</v>
      </c>
      <c r="H65" s="219">
        <f>'Historical Data'!H78</f>
        <v>366.3</v>
      </c>
      <c r="I65" s="219">
        <f>'Historical Data'!I78</f>
        <v>383.53</v>
      </c>
      <c r="J65" s="219">
        <f>'Historical Data'!J78</f>
        <v>382.97</v>
      </c>
      <c r="K65" s="219">
        <f>'Historical Data'!K78</f>
        <v>367.89</v>
      </c>
      <c r="L65" s="219">
        <f>'Historical Data'!L78</f>
        <v>365.72</v>
      </c>
      <c r="M65" s="219">
        <f>L65</f>
        <v>365.72</v>
      </c>
      <c r="N65" s="219">
        <f>M65</f>
        <v>365.72</v>
      </c>
      <c r="O65" s="219">
        <f>N65</f>
        <v>365.72</v>
      </c>
      <c r="P65" s="219">
        <f>O65</f>
        <v>365.72</v>
      </c>
      <c r="Q65" s="219">
        <f>P65</f>
        <v>365.72</v>
      </c>
    </row>
    <row r="66" ht="18.75" customHeight="1" outlineLevel="1" spans="1:17">
      <c r="C66" s="237"/>
      <c r="D66" s="242" t="s">
        <v>198</v>
      </c>
      <c r="E66" s="237"/>
      <c r="F66" s="237"/>
      <c r="G66" s="237"/>
      <c r="H66" s="242">
        <f t="shared" ref="H66:Q66" si="13">SUM(H60+H64+H65)</f>
        <v>77259.55</v>
      </c>
      <c r="I66" s="242">
        <f t="shared" si="13"/>
        <v>85882.98</v>
      </c>
      <c r="J66" s="242">
        <f t="shared" si="13"/>
        <v>91826.16</v>
      </c>
      <c r="K66" s="242">
        <f t="shared" si="13"/>
        <v>88090.68</v>
      </c>
      <c r="L66" s="242">
        <f t="shared" si="13"/>
        <v>93792.38</v>
      </c>
      <c r="M66" s="246">
        <f t="shared" si="13"/>
        <v>98821.239887123</v>
      </c>
      <c r="N66" s="246">
        <f t="shared" si="13"/>
        <v>103893.632759826</v>
      </c>
      <c r="O66" s="246">
        <f t="shared" si="13"/>
        <v>109037.142539051</v>
      </c>
      <c r="P66" s="246">
        <f t="shared" si="13"/>
        <v>114252.881666944</v>
      </c>
      <c r="Q66" s="246">
        <f t="shared" si="13"/>
        <v>119494.612331578</v>
      </c>
    </row>
    <row r="67" ht="18.75" customHeight="1" outlineLevel="1" spans="1:17">
      <c r="D67" s="218"/>
      <c r="H67" s="218"/>
      <c r="I67" s="218"/>
      <c r="J67" s="218"/>
      <c r="K67" s="218"/>
      <c r="L67" s="218"/>
    </row>
    <row r="68" ht="18.75" customHeight="1" outlineLevel="1" spans="1:17">
      <c r="D68" s="218" t="s">
        <v>199</v>
      </c>
      <c r="H68" s="247" t="str">
        <f t="shared" ref="H68:Q68" si="14">IF(H66=H50,"TALLIED","ERROR")</f>
        <v>TALLIED</v>
      </c>
      <c r="I68" s="247" t="str">
        <f t="shared" si="14"/>
        <v>TALLIED</v>
      </c>
      <c r="J68" s="247" t="str">
        <f t="shared" si="14"/>
        <v>TALLIED</v>
      </c>
      <c r="K68" s="247" t="str">
        <f t="shared" si="14"/>
        <v>TALLIED</v>
      </c>
      <c r="L68" s="247" t="str">
        <f t="shared" si="14"/>
        <v>TALLIED</v>
      </c>
      <c r="M68" s="247" t="str">
        <f t="shared" si="14"/>
        <v>TALLIED</v>
      </c>
      <c r="N68" s="247" t="str">
        <f t="shared" si="14"/>
        <v>TALLIED</v>
      </c>
      <c r="O68" s="247" t="str">
        <f t="shared" si="14"/>
        <v>TALLIED</v>
      </c>
      <c r="P68" s="247" t="str">
        <f t="shared" si="14"/>
        <v>TALLIED</v>
      </c>
      <c r="Q68" s="247" t="str">
        <f t="shared" si="14"/>
        <v>TALLIED</v>
      </c>
    </row>
    <row r="69" ht="18.75" customHeight="1"/>
    <row r="70" ht="18.75" customHeight="1" spans="1:17">
      <c r="A70" s="239" t="s">
        <v>200</v>
      </c>
      <c r="B70" s="239"/>
      <c r="C70" s="239"/>
      <c r="D70" s="239"/>
      <c r="E70" s="239"/>
      <c r="F70" s="239"/>
      <c r="G70" s="239"/>
      <c r="H70" s="239"/>
      <c r="I70" s="239"/>
      <c r="J70" s="239"/>
      <c r="K70" s="239"/>
      <c r="L70" s="239"/>
      <c r="M70" s="239"/>
      <c r="N70" s="239"/>
      <c r="O70" s="239"/>
      <c r="P70" s="239"/>
      <c r="Q70" s="239"/>
    </row>
    <row r="71" ht="18.75" customHeight="1" outlineLevel="1"/>
    <row r="72" ht="18.75" customHeight="1" outlineLevel="1" spans="1:17">
      <c r="B72" s="218" t="s">
        <v>201</v>
      </c>
    </row>
    <row r="73" ht="18.75" customHeight="1" outlineLevel="1" spans="1:17">
      <c r="D73" s="219" t="s">
        <v>174</v>
      </c>
      <c r="H73" s="219">
        <f>'Historical Data'!H108+'Historical Data'!H122</f>
        <v>15758.52</v>
      </c>
      <c r="I73" s="219">
        <f>'Historical Data'!I108+'Historical Data'!I122</f>
        <v>19664.88</v>
      </c>
      <c r="J73" s="219">
        <f>'Historical Data'!J108+'Historical Data'!J122</f>
        <v>21020.32</v>
      </c>
      <c r="K73" s="219">
        <f>SUM('Historical Data'!K108:K109,'Historical Data'!K122)</f>
        <v>36231.39</v>
      </c>
      <c r="L73" s="219">
        <f>'Historical Data'!L108+'Historical Data'!L122</f>
        <v>21659.78</v>
      </c>
      <c r="M73" s="248">
        <f>M33</f>
        <v>25884.1557964882</v>
      </c>
      <c r="N73" s="248">
        <f>N33</f>
        <v>26082.5428738716</v>
      </c>
      <c r="O73" s="248">
        <f>O33</f>
        <v>26266.0277928222</v>
      </c>
      <c r="P73" s="248">
        <f>P33</f>
        <v>26428.134363945</v>
      </c>
      <c r="Q73" s="248">
        <f>Q33</f>
        <v>26568.9243629361</v>
      </c>
    </row>
    <row r="74" ht="18.75" customHeight="1" outlineLevel="1" spans="1:17">
      <c r="D74" s="219" t="s">
        <v>202</v>
      </c>
      <c r="H74" s="219">
        <f>'Historical Data'!H110</f>
        <v>1732.41</v>
      </c>
      <c r="I74" s="219">
        <f>'Historical Data'!I110</f>
        <v>1809.01</v>
      </c>
      <c r="J74" s="219">
        <f>'Historical Data'!J110</f>
        <v>1816.39</v>
      </c>
      <c r="K74" s="219">
        <f>'Historical Data'!K110</f>
        <v>1950.58</v>
      </c>
      <c r="L74" s="219">
        <f>'Historical Data'!L110</f>
        <v>1710.53</v>
      </c>
      <c r="M74" s="248">
        <f>-M109</f>
        <v>1571.98999410253</v>
      </c>
      <c r="N74" s="248">
        <f>-N109</f>
        <v>1469.28317851841</v>
      </c>
      <c r="O74" s="248">
        <f>-O109</f>
        <v>1373.0282772125</v>
      </c>
      <c r="P74" s="248">
        <f>-P109</f>
        <v>1282.8440171619</v>
      </c>
      <c r="Q74" s="248">
        <f>-Q109</f>
        <v>1198.36969987678</v>
      </c>
    </row>
    <row r="75" ht="18.75" customHeight="1" outlineLevel="1" spans="1:17">
      <c r="D75" s="219" t="s">
        <v>203</v>
      </c>
      <c r="H75" s="219">
        <f>SUM('Historical Data'!H111:H115)</f>
        <v>-1615.87</v>
      </c>
      <c r="I75" s="219">
        <f>SUM('Historical Data'!I111:I115)</f>
        <v>-1829.52</v>
      </c>
      <c r="J75" s="219">
        <f>SUM('Historical Data'!J111:J115)</f>
        <v>-2320.82</v>
      </c>
      <c r="K75" s="219">
        <f>SUM('Historical Data'!K111:K115)</f>
        <v>-17812.93</v>
      </c>
      <c r="L75" s="219">
        <f>SUM('Historical Data'!L111:L115)</f>
        <v>-2143.72</v>
      </c>
      <c r="M75" s="248">
        <f>-SUM(M29:M30)</f>
        <v>-6012.33797819395</v>
      </c>
      <c r="N75" s="248">
        <f>-SUM(N29:N30)</f>
        <v>-6056.71327752593</v>
      </c>
      <c r="O75" s="248">
        <f>-SUM(O29:O30)</f>
        <v>-6098.86745299253</v>
      </c>
      <c r="P75" s="248">
        <f>-SUM(P29:P30)</f>
        <v>-6129.00873579409</v>
      </c>
      <c r="Q75" s="248">
        <f>-SUM(Q29:Q30)</f>
        <v>-6145.94543720539</v>
      </c>
    </row>
    <row r="76" ht="18.75" customHeight="1" outlineLevel="1" spans="1:17">
      <c r="D76" s="219" t="s">
        <v>204</v>
      </c>
      <c r="H76" s="219">
        <f>H104</f>
        <v>-99.55</v>
      </c>
      <c r="I76" s="219">
        <f>I104</f>
        <v>-766.82</v>
      </c>
      <c r="J76" s="219">
        <f>J104</f>
        <v>-3337.03</v>
      </c>
      <c r="K76" s="219">
        <f>K104</f>
        <v>-2742</v>
      </c>
      <c r="L76" s="219">
        <f>L104</f>
        <v>-2762.28</v>
      </c>
      <c r="M76" s="249">
        <f>-M104</f>
        <v>2016.33857953029</v>
      </c>
      <c r="N76" s="249">
        <f>-N104</f>
        <v>-56.4421774682105</v>
      </c>
      <c r="O76" s="249">
        <f>-O104</f>
        <v>-50.9905158438269</v>
      </c>
      <c r="P76" s="249">
        <f>-P104</f>
        <v>-46.0480259444621</v>
      </c>
      <c r="Q76" s="249">
        <f>-Q104</f>
        <v>-41.5704709522961</v>
      </c>
    </row>
    <row r="77" ht="18.75" customHeight="1" outlineLevel="1" spans="1:17">
      <c r="D77" s="242" t="s">
        <v>205</v>
      </c>
      <c r="E77" s="242"/>
      <c r="F77" s="242"/>
      <c r="G77" s="242"/>
      <c r="H77" s="242">
        <f t="shared" ref="H77:Q77" si="15">SUM(H73:H76)</f>
        <v>15775.51</v>
      </c>
      <c r="I77" s="242">
        <f t="shared" si="15"/>
        <v>18877.55</v>
      </c>
      <c r="J77" s="242">
        <f t="shared" si="15"/>
        <v>17178.86</v>
      </c>
      <c r="K77" s="242">
        <f t="shared" si="15"/>
        <v>17627.04</v>
      </c>
      <c r="L77" s="242">
        <f t="shared" si="15"/>
        <v>18464.31</v>
      </c>
      <c r="M77" s="250">
        <f t="shared" si="15"/>
        <v>23460.1463919271</v>
      </c>
      <c r="N77" s="250">
        <f t="shared" si="15"/>
        <v>21438.6705973959</v>
      </c>
      <c r="O77" s="250">
        <f t="shared" si="15"/>
        <v>21489.1981011984</v>
      </c>
      <c r="P77" s="250">
        <f t="shared" si="15"/>
        <v>21535.9216193683</v>
      </c>
      <c r="Q77" s="250">
        <f t="shared" si="15"/>
        <v>21579.7781546551</v>
      </c>
    </row>
    <row r="78" ht="18.75" customHeight="1" outlineLevel="1" spans="1:17">
      <c r="M78" s="248"/>
      <c r="N78" s="248"/>
      <c r="O78" s="248"/>
      <c r="P78" s="248"/>
      <c r="Q78" s="248"/>
    </row>
    <row r="79" ht="18.75" customHeight="1" outlineLevel="1" spans="1:17">
      <c r="B79" s="218" t="s">
        <v>206</v>
      </c>
      <c r="M79" s="248"/>
      <c r="N79" s="248"/>
      <c r="O79" s="248"/>
      <c r="P79" s="248"/>
      <c r="Q79" s="248"/>
    </row>
    <row r="80" ht="18.75" customHeight="1" outlineLevel="1" spans="1:17">
      <c r="D80" s="219" t="s">
        <v>207</v>
      </c>
      <c r="H80" s="219">
        <f>'Historical Data'!H126</f>
        <v>-2141.64</v>
      </c>
      <c r="I80" s="219">
        <f>'Historical Data'!I126</f>
        <v>-2742.99</v>
      </c>
      <c r="J80" s="219">
        <f>'Historical Data'!J126</f>
        <v>-3562.53</v>
      </c>
      <c r="K80" s="219">
        <f>'Historical Data'!K126</f>
        <v>-2278.7</v>
      </c>
      <c r="L80" s="219">
        <f>'Historical Data'!L126</f>
        <v>-2182.89</v>
      </c>
      <c r="M80" s="251">
        <f>-M108</f>
        <v>-118.487216667759</v>
      </c>
      <c r="N80" s="251">
        <f>-N108</f>
        <v>-107.087635854762</v>
      </c>
      <c r="O80" s="251">
        <f>-O108</f>
        <v>-96.7442086337829</v>
      </c>
      <c r="P80" s="251">
        <f>-P108</f>
        <v>-87.3668319573249</v>
      </c>
      <c r="Q80" s="251">
        <f>-Q108</f>
        <v>-78.8715753951512</v>
      </c>
    </row>
    <row r="81" ht="18.75" customHeight="1" outlineLevel="1" spans="2:17">
      <c r="D81" s="219" t="s">
        <v>208</v>
      </c>
      <c r="H81" s="219">
        <f>SUM('Historical Data'!H128:H134,'Historical Data'!H138:H143)</f>
        <v>-1280.57</v>
      </c>
      <c r="I81" s="219">
        <f>SUM('Historical Data'!I128:I134,'Historical Data'!I138:I143)</f>
        <v>-4380.79</v>
      </c>
      <c r="J81" s="219">
        <f>SUM('Historical Data'!J128:J134,'Historical Data'!J138:J143)</f>
        <v>3843.82</v>
      </c>
      <c r="K81" s="219">
        <f>SUM('Historical Data'!K128:K134,'Historical Data'!K138:K143)</f>
        <v>597.509999999996</v>
      </c>
      <c r="L81" s="219">
        <f>SUM('Historical Data'!L128:L134,'Historical Data'!L138:L143)</f>
        <v>-1150.73999999999</v>
      </c>
      <c r="M81" s="251">
        <v>0</v>
      </c>
      <c r="N81" s="251">
        <v>0</v>
      </c>
      <c r="O81" s="251">
        <v>0</v>
      </c>
      <c r="P81" s="251">
        <v>0</v>
      </c>
      <c r="Q81" s="251">
        <v>0</v>
      </c>
    </row>
    <row r="82" ht="18.75" customHeight="1" outlineLevel="1" spans="2:17">
      <c r="D82" s="219" t="s">
        <v>209</v>
      </c>
      <c r="H82" s="219">
        <f>'Historical Data'!H127</f>
        <v>133.1</v>
      </c>
      <c r="I82" s="219">
        <f>'Historical Data'!I127</f>
        <v>49.17</v>
      </c>
      <c r="J82" s="219">
        <f>'Historical Data'!J127</f>
        <v>107.48</v>
      </c>
      <c r="K82" s="219">
        <f>'Historical Data'!K127</f>
        <v>175.42</v>
      </c>
      <c r="L82" s="219">
        <f>'Historical Data'!L127</f>
        <v>50.45</v>
      </c>
      <c r="M82" s="251">
        <v>0</v>
      </c>
      <c r="N82" s="251">
        <v>0</v>
      </c>
      <c r="O82" s="251">
        <v>0</v>
      </c>
      <c r="P82" s="251">
        <v>0</v>
      </c>
      <c r="Q82" s="251">
        <v>0</v>
      </c>
    </row>
    <row r="83" ht="18.75" customHeight="1" outlineLevel="1" spans="2:17">
      <c r="D83" s="219" t="s">
        <v>94</v>
      </c>
      <c r="H83" s="219">
        <f>'Historical Data'!H135+'Historical Data'!H136</f>
        <v>16.07</v>
      </c>
      <c r="I83" s="219">
        <f>'Historical Data'!I135+'Historical Data'!I136</f>
        <v>18.58</v>
      </c>
      <c r="J83" s="219">
        <f>'Historical Data'!J135+'Historical Data'!J136</f>
        <v>35.65</v>
      </c>
      <c r="K83" s="219">
        <f>'Historical Data'!K135+'Historical Data'!K136</f>
        <v>37.67</v>
      </c>
      <c r="L83" s="219">
        <f>'Historical Data'!L135+'Historical Data'!L136</f>
        <v>45.43</v>
      </c>
      <c r="M83" s="251">
        <v>0</v>
      </c>
      <c r="N83" s="251">
        <v>0</v>
      </c>
      <c r="O83" s="251">
        <v>0</v>
      </c>
      <c r="P83" s="251">
        <v>0</v>
      </c>
      <c r="Q83" s="251">
        <v>0</v>
      </c>
    </row>
    <row r="84" ht="18.75" customHeight="1" outlineLevel="1" spans="2:17">
      <c r="D84" s="219" t="s">
        <v>93</v>
      </c>
      <c r="H84" s="219">
        <f>'Historical Data'!H137</f>
        <v>1034.55</v>
      </c>
      <c r="I84" s="219">
        <f>'Historical Data'!I137</f>
        <v>1323.74</v>
      </c>
      <c r="J84" s="219">
        <f>'Historical Data'!J137</f>
        <v>1138.35</v>
      </c>
      <c r="K84" s="219">
        <f>'Historical Data'!K137</f>
        <v>1072.28</v>
      </c>
      <c r="L84" s="219">
        <f>'Historical Data'!L137</f>
        <v>917.01</v>
      </c>
      <c r="M84" s="251">
        <f>M30</f>
        <v>6066.47739912912</v>
      </c>
      <c r="N84" s="251">
        <f>N30</f>
        <v>6089.47315272258</v>
      </c>
      <c r="O84" s="251">
        <f>O30</f>
        <v>6110.24778245064</v>
      </c>
      <c r="P84" s="251">
        <f>P30</f>
        <v>6129.00873579409</v>
      </c>
      <c r="Q84" s="251">
        <f>Q30</f>
        <v>6145.94543720539</v>
      </c>
    </row>
    <row r="85" ht="18.75" customHeight="1" outlineLevel="1" spans="2:17">
      <c r="D85" s="252" t="s">
        <v>210</v>
      </c>
      <c r="E85" s="242"/>
      <c r="F85" s="242"/>
      <c r="G85" s="242"/>
      <c r="H85" s="242">
        <f t="shared" ref="H85:Q85" si="16">SUM(H80:H84)</f>
        <v>-2238.49</v>
      </c>
      <c r="I85" s="242">
        <f t="shared" si="16"/>
        <v>-5732.29</v>
      </c>
      <c r="J85" s="242">
        <f t="shared" si="16"/>
        <v>1562.77</v>
      </c>
      <c r="K85" s="242">
        <f t="shared" si="16"/>
        <v>-395.820000000004</v>
      </c>
      <c r="L85" s="242">
        <f t="shared" si="16"/>
        <v>-2320.73999999999</v>
      </c>
      <c r="M85" s="253">
        <f t="shared" si="16"/>
        <v>5947.99018246137</v>
      </c>
      <c r="N85" s="253">
        <f t="shared" si="16"/>
        <v>5982.38551686782</v>
      </c>
      <c r="O85" s="253">
        <f t="shared" si="16"/>
        <v>6013.50357381686</v>
      </c>
      <c r="P85" s="253">
        <f t="shared" si="16"/>
        <v>6041.64190383676</v>
      </c>
      <c r="Q85" s="253">
        <f t="shared" si="16"/>
        <v>6067.07386181024</v>
      </c>
    </row>
    <row r="86" ht="18.75" customHeight="1" outlineLevel="1" spans="2:17">
      <c r="M86" s="248"/>
      <c r="N86" s="248"/>
      <c r="O86" s="248"/>
      <c r="P86" s="248"/>
      <c r="Q86" s="248"/>
    </row>
    <row r="87" ht="18.75" customHeight="1" outlineLevel="1" spans="2:17">
      <c r="B87" s="218" t="s">
        <v>211</v>
      </c>
      <c r="M87" s="248"/>
      <c r="N87" s="248"/>
      <c r="O87" s="248"/>
      <c r="P87" s="248"/>
      <c r="Q87" s="248"/>
    </row>
    <row r="88" ht="18.75" customHeight="1" outlineLevel="1" spans="2:17">
      <c r="D88" s="219" t="s">
        <v>212</v>
      </c>
      <c r="H88" s="219">
        <f>SUM('Historical Data'!H148:H154,'Historical Data'!H156,'Historical Data'!H158)</f>
        <v>-44.45</v>
      </c>
      <c r="I88" s="219">
        <f>SUM('Historical Data'!I148:I154,'Historical Data'!I156,'Historical Data'!I158)</f>
        <v>-24.47</v>
      </c>
      <c r="J88" s="219">
        <f>SUM('Historical Data'!J148:J154,'Historical Data'!J156,'Historical Data'!J158)</f>
        <v>-48.34</v>
      </c>
      <c r="K88" s="219">
        <f>SUM('Historical Data'!K148:K154,'Historical Data'!K156,'Historical Data'!K158)</f>
        <v>-2.5</v>
      </c>
      <c r="L88" s="219">
        <f>SUM('Historical Data'!L148:L154,'Historical Data'!L156,'Historical Data'!L158)</f>
        <v>1801.17</v>
      </c>
      <c r="M88" s="251">
        <f>M114</f>
        <v>-79.3192</v>
      </c>
      <c r="N88" s="251">
        <f>N114</f>
        <v>-79.3192</v>
      </c>
      <c r="O88" s="251">
        <f>O114</f>
        <v>-42.2216</v>
      </c>
      <c r="P88" s="251">
        <f>P114</f>
        <v>0</v>
      </c>
      <c r="Q88" s="251">
        <f>Q114</f>
        <v>0</v>
      </c>
    </row>
    <row r="89" ht="18.75" customHeight="1" outlineLevel="1" spans="2:17">
      <c r="D89" s="219" t="s">
        <v>124</v>
      </c>
      <c r="H89" s="219">
        <f>'Historical Data'!H147</f>
        <v>291.82</v>
      </c>
      <c r="I89" s="219">
        <f>'Historical Data'!I147</f>
        <v>2477.39</v>
      </c>
      <c r="J89" s="219">
        <f>'Historical Data'!J147</f>
        <v>1442.83</v>
      </c>
      <c r="K89" s="219">
        <f>'Historical Data'!K147</f>
        <v>797.33</v>
      </c>
      <c r="L89" s="219">
        <f>'Historical Data'!L147</f>
        <v>404.85</v>
      </c>
      <c r="M89" s="251">
        <v>0</v>
      </c>
      <c r="N89" s="251">
        <v>0</v>
      </c>
      <c r="O89" s="251">
        <v>0</v>
      </c>
      <c r="P89" s="251">
        <v>0</v>
      </c>
      <c r="Q89" s="251">
        <v>0</v>
      </c>
    </row>
    <row r="90" ht="18.75" customHeight="1" outlineLevel="1" spans="2:17">
      <c r="D90" s="219" t="s">
        <v>213</v>
      </c>
      <c r="H90" s="219">
        <f>'Historical Data'!H157</f>
        <v>-13788.32</v>
      </c>
      <c r="I90" s="219">
        <f>'Historical Data'!I157</f>
        <v>-15417.53</v>
      </c>
      <c r="J90" s="219">
        <f>'Historical Data'!J157</f>
        <v>-19899.2</v>
      </c>
      <c r="K90" s="219">
        <f>'Historical Data'!K157</f>
        <v>-17782.22</v>
      </c>
      <c r="L90" s="219">
        <f>'Historical Data'!L157</f>
        <v>-18271.44</v>
      </c>
      <c r="M90" s="251">
        <f>M33*-M14</f>
        <v>-20792.9068081588</v>
      </c>
      <c r="N90" s="251">
        <f>N33*-N14</f>
        <v>-20952.2724078874</v>
      </c>
      <c r="O90" s="251">
        <f>O33*-O14</f>
        <v>-21099.667009065</v>
      </c>
      <c r="P90" s="251">
        <f>P33*-P14</f>
        <v>-21229.8882476037</v>
      </c>
      <c r="Q90" s="251">
        <f>Q33*-Q14</f>
        <v>-21342.9857483125</v>
      </c>
    </row>
    <row r="91" ht="18.75" customHeight="1" outlineLevel="1" spans="2:17">
      <c r="D91" s="219" t="s">
        <v>214</v>
      </c>
      <c r="H91" s="219">
        <f>'Historical Data'!H155</f>
        <v>-39.55</v>
      </c>
      <c r="I91" s="219">
        <f>'Historical Data'!I155</f>
        <v>-41.42</v>
      </c>
      <c r="J91" s="219">
        <f>'Historical Data'!J155</f>
        <v>-46.25</v>
      </c>
      <c r="K91" s="219">
        <f>'Historical Data'!K155</f>
        <v>-50.01</v>
      </c>
      <c r="L91" s="219">
        <f>'Historical Data'!L155</f>
        <v>-81.7</v>
      </c>
      <c r="M91" s="251">
        <f>M29</f>
        <v>-54.1394209351794</v>
      </c>
      <c r="N91" s="251">
        <f>N29</f>
        <v>-32.7598751966467</v>
      </c>
      <c r="O91" s="251">
        <f>O29</f>
        <v>-11.380329458114</v>
      </c>
      <c r="P91" s="251">
        <f>P29</f>
        <v>0</v>
      </c>
      <c r="Q91" s="251">
        <f>Q29</f>
        <v>0</v>
      </c>
    </row>
    <row r="92" ht="18.75" customHeight="1" outlineLevel="1" spans="2:17">
      <c r="D92" s="242" t="s">
        <v>211</v>
      </c>
      <c r="E92" s="242"/>
      <c r="F92" s="242"/>
      <c r="G92" s="242"/>
      <c r="H92" s="242">
        <f t="shared" ref="H92:Q92" si="17">SUM(H88:H91)</f>
        <v>-13580.5</v>
      </c>
      <c r="I92" s="242">
        <f t="shared" si="17"/>
        <v>-13006.03</v>
      </c>
      <c r="J92" s="242">
        <f t="shared" si="17"/>
        <v>-18550.96</v>
      </c>
      <c r="K92" s="242">
        <f t="shared" si="17"/>
        <v>-17037.4</v>
      </c>
      <c r="L92" s="242">
        <f t="shared" si="17"/>
        <v>-16147.12</v>
      </c>
      <c r="M92" s="253">
        <f t="shared" si="17"/>
        <v>-20926.3654290939</v>
      </c>
      <c r="N92" s="253">
        <f t="shared" si="17"/>
        <v>-21064.351483084</v>
      </c>
      <c r="O92" s="253">
        <f t="shared" si="17"/>
        <v>-21153.2689385231</v>
      </c>
      <c r="P92" s="253">
        <f t="shared" si="17"/>
        <v>-21229.8882476037</v>
      </c>
      <c r="Q92" s="253">
        <f t="shared" si="17"/>
        <v>-21342.9857483125</v>
      </c>
    </row>
    <row r="93" ht="18.75" customHeight="1" outlineLevel="1" spans="2:17">
      <c r="M93" s="248"/>
      <c r="N93" s="248"/>
      <c r="O93" s="248"/>
      <c r="P93" s="248"/>
      <c r="Q93" s="248"/>
    </row>
    <row r="94" ht="18.75" customHeight="1" outlineLevel="1" spans="2:17">
      <c r="D94" s="218" t="s">
        <v>215</v>
      </c>
      <c r="H94" s="219">
        <f t="shared" ref="H94:Q94" si="18">SUM(H85+H77+H92)</f>
        <v>-43.4799999999996</v>
      </c>
      <c r="I94" s="219">
        <f t="shared" si="18"/>
        <v>139.22999999999</v>
      </c>
      <c r="J94" s="219">
        <f t="shared" si="18"/>
        <v>190.669999999998</v>
      </c>
      <c r="K94" s="219">
        <f t="shared" si="18"/>
        <v>193.82</v>
      </c>
      <c r="L94" s="219">
        <f t="shared" si="18"/>
        <v>-3.54999999999563</v>
      </c>
      <c r="M94" s="251">
        <f t="shared" si="18"/>
        <v>8481.77114529449</v>
      </c>
      <c r="N94" s="251">
        <f t="shared" si="18"/>
        <v>6356.70463117967</v>
      </c>
      <c r="O94" s="251">
        <f t="shared" si="18"/>
        <v>6349.43273649211</v>
      </c>
      <c r="P94" s="251">
        <f t="shared" si="18"/>
        <v>6347.67527560146</v>
      </c>
      <c r="Q94" s="251">
        <f t="shared" si="18"/>
        <v>6303.86626815287</v>
      </c>
    </row>
    <row r="95" ht="18.75" customHeight="1" outlineLevel="1" spans="2:17">
      <c r="D95" s="219" t="s">
        <v>216</v>
      </c>
      <c r="H95" s="219">
        <f>SUM('Historical Data'!H162:H167)</f>
        <v>310.16</v>
      </c>
      <c r="I95" s="219">
        <f>SUM('Historical Data'!I162:I167)</f>
        <v>324.12</v>
      </c>
      <c r="J95" s="219">
        <f>SUM('Historical Data'!J162:J167)</f>
        <v>435.220000000002</v>
      </c>
      <c r="K95" s="219">
        <f>SUM('Historical Data'!K162:K167)</f>
        <v>426.18</v>
      </c>
      <c r="L95" s="219">
        <f>SUM('Historical Data'!L162:L167)</f>
        <v>647.01</v>
      </c>
      <c r="M95" s="251">
        <f>L96</f>
        <v>3008.79</v>
      </c>
      <c r="N95" s="251">
        <f>M96</f>
        <v>11490.5611452945</v>
      </c>
      <c r="O95" s="251">
        <f>N96</f>
        <v>17847.2657764742</v>
      </c>
      <c r="P95" s="251">
        <f>O96</f>
        <v>24196.6985129663</v>
      </c>
      <c r="Q95" s="251">
        <f>P96</f>
        <v>30544.3737885677</v>
      </c>
    </row>
    <row r="96" ht="18.75" customHeight="1" outlineLevel="1" spans="2:17">
      <c r="D96" s="242" t="s">
        <v>217</v>
      </c>
      <c r="E96" s="242"/>
      <c r="F96" s="242"/>
      <c r="G96" s="242"/>
      <c r="H96" s="242">
        <f>SUM(H94:H95)+'Historical Data'!H64</f>
        <v>4649.73</v>
      </c>
      <c r="I96" s="242">
        <f>SUM(I94:I95)+'Historical Data'!I64</f>
        <v>4880.18999999999</v>
      </c>
      <c r="J96" s="242">
        <f>SUM(J94:J95)+'Historical Data'!J64</f>
        <v>7217.68</v>
      </c>
      <c r="K96" s="242">
        <f>SUM(K94:K95)+'Historical Data'!K64</f>
        <v>4012.36</v>
      </c>
      <c r="L96" s="242">
        <f>SUM(L94:L95)+'Historical Data'!L64</f>
        <v>3008.79</v>
      </c>
      <c r="M96" s="253">
        <f>SUM(M94:M95)</f>
        <v>11490.5611452945</v>
      </c>
      <c r="N96" s="253">
        <f>SUM(N94:N95)</f>
        <v>17847.2657764742</v>
      </c>
      <c r="O96" s="253">
        <f>SUM(O94:O95)</f>
        <v>24196.6985129663</v>
      </c>
      <c r="P96" s="253">
        <f>SUM(P94:P95)</f>
        <v>30544.3737885677</v>
      </c>
      <c r="Q96" s="253">
        <f>SUM(Q94:Q95)</f>
        <v>36848.2400567206</v>
      </c>
    </row>
    <row r="97" ht="18.75" customHeight="1" spans="1:17">
      <c r="M97" s="248"/>
      <c r="N97" s="248"/>
      <c r="O97" s="248"/>
      <c r="P97" s="248"/>
      <c r="Q97" s="248"/>
    </row>
    <row r="98" ht="18.75" customHeight="1" spans="1:17">
      <c r="A98" s="239" t="s">
        <v>218</v>
      </c>
      <c r="B98" s="239"/>
      <c r="C98" s="239"/>
      <c r="D98" s="239"/>
      <c r="E98" s="239"/>
      <c r="F98" s="239"/>
      <c r="G98" s="239"/>
      <c r="H98" s="239"/>
      <c r="I98" s="239"/>
      <c r="J98" s="239"/>
      <c r="K98" s="239"/>
      <c r="L98" s="239"/>
      <c r="M98" s="239"/>
      <c r="N98" s="239"/>
      <c r="O98" s="239"/>
      <c r="P98" s="239"/>
      <c r="Q98" s="239"/>
    </row>
    <row r="99" ht="18.75" customHeight="1" outlineLevel="1" spans="1:17">
      <c r="A99" s="254"/>
      <c r="B99" s="254"/>
      <c r="C99" s="243"/>
      <c r="D99" s="243"/>
    </row>
    <row r="100" ht="18.75" customHeight="1" outlineLevel="1" spans="1:17">
      <c r="A100" s="254"/>
      <c r="B100" s="254"/>
      <c r="C100" s="240" t="s">
        <v>219</v>
      </c>
      <c r="D100" s="243"/>
    </row>
    <row r="101" ht="18.75" customHeight="1" outlineLevel="1" spans="1:17">
      <c r="A101" s="254"/>
      <c r="B101" s="254"/>
      <c r="C101" s="243"/>
      <c r="D101" s="243" t="s">
        <v>220</v>
      </c>
      <c r="H101" s="219">
        <f>'Historical Data'!H118</f>
        <v>-732.29</v>
      </c>
      <c r="I101" s="219">
        <f>'Historical Data'!I118</f>
        <v>-884.21</v>
      </c>
      <c r="J101" s="219">
        <f>'Historical Data'!J118</f>
        <v>-933.64</v>
      </c>
      <c r="K101" s="219">
        <f>'Historical Data'!K118</f>
        <v>-1022.8</v>
      </c>
      <c r="L101" s="219">
        <f>'Historical Data'!L118</f>
        <v>468.08</v>
      </c>
      <c r="M101" s="219">
        <f>M40-L40</f>
        <v>234.928469976595</v>
      </c>
      <c r="N101" s="219">
        <f>N40-M40</f>
        <v>15.7606256248509</v>
      </c>
      <c r="O101" s="219">
        <f>O40-N40</f>
        <v>14.2383314514227</v>
      </c>
      <c r="P101" s="219">
        <f>P40-O40</f>
        <v>12.8582157923074</v>
      </c>
      <c r="Q101" s="219">
        <f>Q40-P40</f>
        <v>11.6079261842242</v>
      </c>
    </row>
    <row r="102" ht="18.75" customHeight="1" outlineLevel="1" spans="1:17">
      <c r="A102" s="254"/>
      <c r="B102" s="254"/>
      <c r="C102" s="243"/>
      <c r="D102" s="243" t="s">
        <v>180</v>
      </c>
      <c r="H102" s="219">
        <f>'Historical Data'!H119</f>
        <v>-466.37</v>
      </c>
      <c r="I102" s="219">
        <f>'Historical Data'!I119</f>
        <v>-940.54</v>
      </c>
      <c r="J102" s="219">
        <f>'Historical Data'!J119</f>
        <v>-2544.87</v>
      </c>
      <c r="K102" s="219">
        <f>'Historical Data'!K119</f>
        <v>-2975.38</v>
      </c>
      <c r="L102" s="219">
        <f>'Historical Data'!L119</f>
        <v>-3306.25</v>
      </c>
      <c r="M102" s="219">
        <f>M41-L41</f>
        <v>-2234.33695071336</v>
      </c>
      <c r="N102" s="219">
        <f>N41-M41</f>
        <v>62.1231585617497</v>
      </c>
      <c r="O102" s="219">
        <f>O41-N41</f>
        <v>56.1227798607833</v>
      </c>
      <c r="P102" s="219">
        <f>P41-O41</f>
        <v>50.6828217039401</v>
      </c>
      <c r="Q102" s="219">
        <f>Q41-P41</f>
        <v>45.75459477818</v>
      </c>
    </row>
    <row r="103" ht="18.75" customHeight="1" outlineLevel="1" spans="1:17">
      <c r="A103" s="254"/>
      <c r="B103" s="254"/>
      <c r="C103" s="243"/>
      <c r="D103" s="243" t="s">
        <v>221</v>
      </c>
      <c r="H103" s="219">
        <f>'Historical Data'!H120</f>
        <v>1099.11</v>
      </c>
      <c r="I103" s="219">
        <f>'Historical Data'!I120</f>
        <v>1057.93</v>
      </c>
      <c r="J103" s="219">
        <f>'Historical Data'!J120</f>
        <v>141.48</v>
      </c>
      <c r="K103" s="219">
        <f>'Historical Data'!K120</f>
        <v>1256.18</v>
      </c>
      <c r="L103" s="219">
        <f>'Historical Data'!L120</f>
        <v>75.89</v>
      </c>
      <c r="M103" s="219">
        <f>L54-M54</f>
        <v>-16.930098793523</v>
      </c>
      <c r="N103" s="219">
        <f>M54-N54</f>
        <v>-21.4416067183902</v>
      </c>
      <c r="O103" s="219">
        <f>N54-O54</f>
        <v>-19.3705954683792</v>
      </c>
      <c r="P103" s="219">
        <f>O54-P54</f>
        <v>-17.4930115517855</v>
      </c>
      <c r="Q103" s="219">
        <f>P54-Q54</f>
        <v>-15.7920500101081</v>
      </c>
    </row>
    <row r="104" ht="18.75" customHeight="1" outlineLevel="1" spans="1:17">
      <c r="A104" s="254"/>
      <c r="B104" s="255"/>
      <c r="C104" s="240"/>
      <c r="D104" s="252" t="s">
        <v>222</v>
      </c>
      <c r="E104" s="237"/>
      <c r="F104" s="242"/>
      <c r="G104" s="242"/>
      <c r="H104" s="242">
        <f t="shared" ref="H104:Q104" si="19">SUM(H101:H103)</f>
        <v>-99.55</v>
      </c>
      <c r="I104" s="242">
        <f t="shared" si="19"/>
        <v>-766.82</v>
      </c>
      <c r="J104" s="242">
        <f t="shared" si="19"/>
        <v>-3337.03</v>
      </c>
      <c r="K104" s="242">
        <f t="shared" si="19"/>
        <v>-2742</v>
      </c>
      <c r="L104" s="242">
        <f t="shared" si="19"/>
        <v>-2762.28</v>
      </c>
      <c r="M104" s="242">
        <f t="shared" si="19"/>
        <v>-2016.33857953029</v>
      </c>
      <c r="N104" s="242">
        <f t="shared" si="19"/>
        <v>56.4421774682105</v>
      </c>
      <c r="O104" s="242">
        <f t="shared" si="19"/>
        <v>50.9905158438269</v>
      </c>
      <c r="P104" s="242">
        <f t="shared" si="19"/>
        <v>46.0480259444621</v>
      </c>
      <c r="Q104" s="242">
        <f t="shared" si="19"/>
        <v>41.5704709522961</v>
      </c>
    </row>
    <row r="105" ht="18.75" customHeight="1" outlineLevel="1" spans="1:17">
      <c r="A105" s="254"/>
      <c r="B105" s="254"/>
      <c r="C105" s="243"/>
      <c r="D105" s="243"/>
    </row>
    <row r="106" ht="18.75" customHeight="1" outlineLevel="1" spans="1:17">
      <c r="A106" s="254"/>
      <c r="B106" s="254"/>
      <c r="C106" s="240" t="s">
        <v>223</v>
      </c>
      <c r="D106" s="243"/>
    </row>
    <row r="107" ht="18.75" customHeight="1" outlineLevel="1" spans="1:17">
      <c r="A107" s="254"/>
      <c r="B107" s="254"/>
      <c r="C107" s="243"/>
      <c r="D107" s="243" t="s">
        <v>224</v>
      </c>
      <c r="I107" s="219">
        <f t="shared" ref="I107:Q107" si="20">H110</f>
        <v>25446.07</v>
      </c>
      <c r="J107" s="219">
        <f t="shared" si="20"/>
        <v>26847.7</v>
      </c>
      <c r="K107" s="219">
        <f t="shared" si="20"/>
        <v>28621.22</v>
      </c>
      <c r="L107" s="219">
        <f t="shared" si="20"/>
        <v>21244.54</v>
      </c>
      <c r="M107" s="219">
        <f t="shared" si="20"/>
        <v>22246.74</v>
      </c>
      <c r="N107" s="219">
        <f t="shared" si="20"/>
        <v>20793.2372225652</v>
      </c>
      <c r="O107" s="219">
        <f t="shared" si="20"/>
        <v>19431.0416799016</v>
      </c>
      <c r="P107" s="219">
        <f t="shared" si="20"/>
        <v>18154.7576113229</v>
      </c>
      <c r="Q107" s="219">
        <f t="shared" si="20"/>
        <v>16959.2804261183</v>
      </c>
    </row>
    <row r="108" ht="18.75" customHeight="1" outlineLevel="1" spans="1:17">
      <c r="A108" s="254"/>
      <c r="B108" s="254"/>
      <c r="C108" s="243"/>
      <c r="D108" s="243" t="s">
        <v>225</v>
      </c>
      <c r="I108" s="219">
        <f>I110-I107-I109</f>
        <v>3210.64</v>
      </c>
      <c r="J108" s="219">
        <f>J110-J107-J109</f>
        <v>3589.91</v>
      </c>
      <c r="K108" s="219">
        <f>K110-K107-K109</f>
        <v>-5730.36</v>
      </c>
      <c r="L108" s="219">
        <f>L110-L107-L109</f>
        <v>2712.73</v>
      </c>
      <c r="M108" s="219">
        <f>(M22-L22)/M18</f>
        <v>118.487216667759</v>
      </c>
      <c r="N108" s="219">
        <f>(N22-M22)/N18</f>
        <v>107.087635854762</v>
      </c>
      <c r="O108" s="219">
        <f>(O22-N22)/O18</f>
        <v>96.7442086337829</v>
      </c>
      <c r="P108" s="219">
        <f>(P22-O22)/P18</f>
        <v>87.3668319573249</v>
      </c>
      <c r="Q108" s="219">
        <f>(Q22-P22)/Q18</f>
        <v>78.8715753951512</v>
      </c>
    </row>
    <row r="109" ht="18.75" customHeight="1" outlineLevel="1" spans="1:17">
      <c r="A109" s="254"/>
      <c r="B109" s="254"/>
      <c r="C109" s="243"/>
      <c r="D109" s="243" t="s">
        <v>168</v>
      </c>
      <c r="H109" s="219">
        <f>H27</f>
        <v>-1732.41</v>
      </c>
      <c r="I109" s="219">
        <f>I27</f>
        <v>-1809.01</v>
      </c>
      <c r="J109" s="219">
        <f>J27</f>
        <v>-1816.39</v>
      </c>
      <c r="K109" s="219">
        <f>K27</f>
        <v>-1646.32</v>
      </c>
      <c r="L109" s="219">
        <f>L27</f>
        <v>-1710.53</v>
      </c>
      <c r="M109" s="219">
        <f>M107*-M10</f>
        <v>-1571.98999410253</v>
      </c>
      <c r="N109" s="219">
        <f>N107*-N10</f>
        <v>-1469.28317851841</v>
      </c>
      <c r="O109" s="219">
        <f>O107*-O10</f>
        <v>-1373.0282772125</v>
      </c>
      <c r="P109" s="219">
        <f>P107*-P10</f>
        <v>-1282.8440171619</v>
      </c>
      <c r="Q109" s="219">
        <f>Q107*-Q10</f>
        <v>-1198.36969987678</v>
      </c>
    </row>
    <row r="110" ht="18.75" customHeight="1" outlineLevel="1" spans="1:17">
      <c r="A110" s="254"/>
      <c r="B110" s="255"/>
      <c r="C110" s="240"/>
      <c r="D110" s="252" t="s">
        <v>226</v>
      </c>
      <c r="E110" s="237"/>
      <c r="F110" s="237"/>
      <c r="G110" s="237"/>
      <c r="H110" s="242">
        <f>H45+H46</f>
        <v>25446.07</v>
      </c>
      <c r="I110" s="242">
        <f>I45+I46</f>
        <v>26847.7</v>
      </c>
      <c r="J110" s="242">
        <f>J45+J46</f>
        <v>28621.22</v>
      </c>
      <c r="K110" s="242">
        <f>K45+K46</f>
        <v>21244.54</v>
      </c>
      <c r="L110" s="242">
        <f>L45+L46</f>
        <v>22246.74</v>
      </c>
      <c r="M110" s="242">
        <f>SUM(M107:M109)</f>
        <v>20793.2372225652</v>
      </c>
      <c r="N110" s="242">
        <f>SUM(N107:N109)</f>
        <v>19431.0416799016</v>
      </c>
      <c r="O110" s="242">
        <f>SUM(O107:O109)</f>
        <v>18154.7576113229</v>
      </c>
      <c r="P110" s="242">
        <f>SUM(P107:P109)</f>
        <v>16959.2804261183</v>
      </c>
      <c r="Q110" s="242">
        <f>SUM(Q107:Q109)</f>
        <v>15839.7823016367</v>
      </c>
    </row>
    <row r="111" ht="18.75" customHeight="1" outlineLevel="1" spans="1:17">
      <c r="A111" s="254"/>
      <c r="B111" s="254"/>
      <c r="C111" s="243"/>
      <c r="D111" s="243"/>
      <c r="N111" s="218"/>
    </row>
    <row r="112" ht="18.75" customHeight="1" outlineLevel="1" spans="1:17">
      <c r="A112" s="254"/>
      <c r="B112" s="254"/>
      <c r="C112" s="240" t="s">
        <v>227</v>
      </c>
      <c r="D112" s="243"/>
    </row>
    <row r="113" ht="18.75" customHeight="1" outlineLevel="1" spans="1:17">
      <c r="A113" s="254"/>
      <c r="B113" s="254"/>
      <c r="C113" s="243"/>
      <c r="D113" s="243" t="s">
        <v>224</v>
      </c>
      <c r="I113" s="219">
        <f t="shared" ref="I113:O113" si="21">H115</f>
        <v>198.52</v>
      </c>
      <c r="J113" s="219">
        <f t="shared" si="21"/>
        <v>216.86</v>
      </c>
      <c r="K113" s="219">
        <f t="shared" si="21"/>
        <v>232.37</v>
      </c>
      <c r="L113" s="219">
        <f t="shared" si="21"/>
        <v>137.21</v>
      </c>
      <c r="M113" s="219">
        <f t="shared" si="21"/>
        <v>200.86</v>
      </c>
      <c r="N113" s="219">
        <f t="shared" si="21"/>
        <v>121.5408</v>
      </c>
      <c r="O113" s="219">
        <f t="shared" si="21"/>
        <v>42.2216</v>
      </c>
      <c r="P113" s="219">
        <v>0</v>
      </c>
      <c r="Q113" s="219">
        <f>P115</f>
        <v>0</v>
      </c>
    </row>
    <row r="114" ht="18.75" customHeight="1" outlineLevel="1" spans="1:17">
      <c r="A114" s="254"/>
      <c r="B114" s="254"/>
      <c r="C114" s="243"/>
      <c r="D114" s="243" t="s">
        <v>228</v>
      </c>
      <c r="I114" s="219">
        <f>I113-I115</f>
        <v>-18.34</v>
      </c>
      <c r="J114" s="219">
        <f>J113-J115</f>
        <v>-15.51</v>
      </c>
      <c r="K114" s="219">
        <f>K113-K115</f>
        <v>95.16</v>
      </c>
      <c r="L114" s="219">
        <f>L113-L115</f>
        <v>-63.65</v>
      </c>
      <c r="M114" s="219">
        <f>-AVERAGE(Repayment!H12:L12)</f>
        <v>-79.3192</v>
      </c>
      <c r="N114" s="219">
        <f>M114</f>
        <v>-79.3192</v>
      </c>
      <c r="O114" s="219">
        <f>-O113</f>
        <v>-42.2216</v>
      </c>
      <c r="P114" s="219">
        <v>0</v>
      </c>
      <c r="Q114" s="219">
        <f>P114</f>
        <v>0</v>
      </c>
    </row>
    <row r="115" ht="18.75" customHeight="1" outlineLevel="1" spans="1:17">
      <c r="A115" s="255"/>
      <c r="B115" s="255"/>
      <c r="C115" s="240"/>
      <c r="D115" s="252" t="s">
        <v>226</v>
      </c>
      <c r="E115" s="237"/>
      <c r="F115" s="237"/>
      <c r="G115" s="237"/>
      <c r="H115" s="242">
        <f>H58</f>
        <v>198.52</v>
      </c>
      <c r="I115" s="242">
        <f>I58</f>
        <v>216.86</v>
      </c>
      <c r="J115" s="242">
        <f>J58</f>
        <v>232.37</v>
      </c>
      <c r="K115" s="242">
        <f>K58</f>
        <v>137.21</v>
      </c>
      <c r="L115" s="242">
        <f>L58</f>
        <v>200.86</v>
      </c>
      <c r="M115" s="242">
        <f>SUM(M113:M114)</f>
        <v>121.5408</v>
      </c>
      <c r="N115" s="242">
        <f>SUM(N113:N114)</f>
        <v>42.2216</v>
      </c>
      <c r="O115" s="237">
        <f>O113+O114</f>
        <v>0</v>
      </c>
      <c r="P115" s="237">
        <f>SUM(P113:P114)</f>
        <v>0</v>
      </c>
      <c r="Q115" s="237">
        <f>SUM(Q113:Q114)</f>
        <v>0</v>
      </c>
    </row>
    <row r="116" ht="18.75" customHeight="1" outlineLevel="1" spans="1:17">
      <c r="A116" s="254"/>
      <c r="B116" s="254"/>
      <c r="C116" s="243"/>
      <c r="D116" s="243" t="s">
        <v>229</v>
      </c>
      <c r="H116" s="219">
        <f>H29</f>
        <v>-39.36</v>
      </c>
      <c r="I116" s="219">
        <f>I29</f>
        <v>-43.2</v>
      </c>
      <c r="J116" s="219">
        <f>J29</f>
        <v>-45.96</v>
      </c>
      <c r="K116" s="219">
        <f>K29</f>
        <v>-45.06</v>
      </c>
      <c r="L116" s="219">
        <f>L29</f>
        <v>-85.17</v>
      </c>
      <c r="M116" s="219">
        <f>-M113*M11</f>
        <v>-54.1394209351794</v>
      </c>
      <c r="N116" s="219">
        <f>-N113*N11</f>
        <v>-32.7598751966467</v>
      </c>
      <c r="O116" s="219">
        <f>-O113*O11</f>
        <v>-11.380329458114</v>
      </c>
      <c r="P116" s="219">
        <f>-P113*P11</f>
        <v>0</v>
      </c>
      <c r="Q116" s="219">
        <f>-Q113*Q11</f>
        <v>0</v>
      </c>
    </row>
    <row r="117" ht="18.75" customHeight="1"/>
    <row r="118" ht="18.75" customHeight="1" spans="1:17">
      <c r="A118" s="256" t="s">
        <v>230</v>
      </c>
      <c r="B118" s="239"/>
      <c r="C118" s="239"/>
      <c r="D118" s="239"/>
      <c r="E118" s="239"/>
      <c r="F118" s="239"/>
      <c r="G118" s="239"/>
      <c r="H118" s="239"/>
      <c r="I118" s="239"/>
      <c r="J118" s="239"/>
      <c r="K118" s="239"/>
      <c r="L118" s="239"/>
      <c r="M118" s="239"/>
      <c r="N118" s="239"/>
      <c r="O118" s="239"/>
      <c r="P118" s="239"/>
      <c r="Q118" s="239"/>
    </row>
    <row r="119" ht="19.5" customHeight="1" outlineLevel="1" spans="1:17">
      <c r="A119" s="190"/>
      <c r="B119" s="190"/>
      <c r="C119" s="190"/>
      <c r="D119" s="190"/>
      <c r="E119" s="257"/>
      <c r="F119" s="257"/>
      <c r="G119" s="257"/>
      <c r="H119" s="257"/>
      <c r="I119" s="257"/>
      <c r="J119" s="257"/>
      <c r="K119" s="257"/>
      <c r="L119" s="257"/>
      <c r="M119" s="257"/>
      <c r="N119" s="257"/>
      <c r="O119" s="257"/>
      <c r="P119" s="257"/>
      <c r="Q119" s="257"/>
    </row>
    <row r="120" ht="18.75" customHeight="1" outlineLevel="1" spans="1:17">
      <c r="A120" s="190"/>
      <c r="B120" s="190"/>
      <c r="C120" s="258" t="s">
        <v>231</v>
      </c>
      <c r="D120" s="259"/>
    </row>
    <row r="121" ht="18.75" customHeight="1" outlineLevel="1" spans="1:17">
      <c r="A121" s="190"/>
      <c r="B121" s="190"/>
      <c r="C121" s="260" t="s">
        <v>232</v>
      </c>
      <c r="D121" s="261"/>
      <c r="E121" s="237"/>
      <c r="F121" s="262">
        <f>DATE(2026,8,5)</f>
        <v>46239</v>
      </c>
    </row>
    <row r="122" ht="18.75" customHeight="1" outlineLevel="1" spans="1:17">
      <c r="A122" s="190"/>
      <c r="B122" s="190"/>
      <c r="C122" s="260" t="s">
        <v>233</v>
      </c>
      <c r="D122" s="263"/>
      <c r="F122" s="264">
        <f>DATE(2026,8,31)</f>
        <v>46265</v>
      </c>
    </row>
    <row r="123" ht="18.75" customHeight="1" outlineLevel="1" spans="1:17">
      <c r="A123" s="190"/>
      <c r="B123" s="190"/>
      <c r="C123" s="260" t="s">
        <v>234</v>
      </c>
      <c r="D123" s="263"/>
      <c r="F123" s="265">
        <f>M13</f>
        <v>0.230175982303325</v>
      </c>
      <c r="H123" s="266"/>
      <c r="I123" s="266"/>
      <c r="J123" s="266"/>
      <c r="K123" s="266"/>
      <c r="L123" s="266"/>
      <c r="M123" s="266"/>
      <c r="N123" s="266"/>
      <c r="O123" s="266"/>
      <c r="P123" s="266"/>
      <c r="Q123" s="266"/>
    </row>
    <row r="124" ht="18.75" customHeight="1" outlineLevel="1" spans="1:17">
      <c r="A124" s="190"/>
      <c r="B124" s="190"/>
      <c r="C124" s="260" t="s">
        <v>235</v>
      </c>
      <c r="D124" s="263"/>
      <c r="F124" s="267">
        <f>Comp!T19</f>
        <v>33.9012205024307</v>
      </c>
      <c r="H124" s="266"/>
      <c r="I124" s="266"/>
      <c r="J124" s="266"/>
      <c r="K124" s="266"/>
      <c r="L124" s="266"/>
      <c r="M124" s="266"/>
      <c r="N124" s="266"/>
      <c r="O124" s="266"/>
      <c r="P124" s="266"/>
      <c r="Q124" s="266"/>
    </row>
    <row r="125" ht="18.75" customHeight="1" outlineLevel="1" spans="1:17">
      <c r="A125" s="190"/>
      <c r="B125" s="190"/>
      <c r="C125" s="260" t="s">
        <v>236</v>
      </c>
      <c r="D125" s="263"/>
      <c r="F125" s="268">
        <v>0.05</v>
      </c>
    </row>
    <row r="126" ht="18.75" customHeight="1" outlineLevel="1" spans="1:17">
      <c r="A126" s="190"/>
      <c r="B126" s="190"/>
      <c r="C126" s="260" t="s">
        <v>237</v>
      </c>
      <c r="D126" s="263"/>
      <c r="F126" s="265">
        <f>WACC!I46</f>
        <v>0.0908609390268062</v>
      </c>
    </row>
    <row r="127" ht="18.75" customHeight="1" outlineLevel="1" spans="1:17">
      <c r="A127" s="190"/>
      <c r="B127" s="190"/>
      <c r="C127" s="260" t="s">
        <v>238</v>
      </c>
      <c r="D127" s="263"/>
      <c r="F127" s="269">
        <f>Comp_Data!J5</f>
        <v>1252.1</v>
      </c>
    </row>
    <row r="128" outlineLevel="1"/>
    <row r="129" s="218" customFormat="1" ht="16.5" customHeight="1" outlineLevel="1" spans="1:28">
      <c r="D129" s="64" t="s">
        <v>239</v>
      </c>
      <c r="H129" s="270" t="s">
        <v>240</v>
      </c>
      <c r="I129" s="271">
        <v>2027</v>
      </c>
      <c r="J129" s="271">
        <f>I129+1</f>
        <v>2028</v>
      </c>
      <c r="K129" s="271">
        <f>J129+1</f>
        <v>2029</v>
      </c>
      <c r="L129" s="271">
        <f>K129+1</f>
        <v>2030</v>
      </c>
      <c r="M129" s="271">
        <f>L129+1</f>
        <v>2031</v>
      </c>
      <c r="N129" s="271" t="s">
        <v>241</v>
      </c>
      <c r="O129" s="272"/>
      <c r="P129" s="272"/>
      <c r="Q129" s="273"/>
      <c r="X129" s="274"/>
      <c r="Y129" s="274"/>
      <c r="Z129" s="274"/>
      <c r="AA129" s="274"/>
      <c r="AB129" s="274"/>
    </row>
    <row r="130" ht="16.5" customHeight="1" outlineLevel="1" spans="1:28">
      <c r="D130" s="275" t="s">
        <v>242</v>
      </c>
      <c r="E130" s="237"/>
      <c r="F130" s="237"/>
      <c r="G130" s="237"/>
      <c r="H130" s="276">
        <f>F121</f>
        <v>46239</v>
      </c>
      <c r="I130" s="276">
        <f>DATE(2027,3,31)</f>
        <v>46477</v>
      </c>
      <c r="J130" s="276">
        <f>DATE(2028,3,31)</f>
        <v>46843</v>
      </c>
      <c r="K130" s="276">
        <f>DATE(2029,3,31)</f>
        <v>47208</v>
      </c>
      <c r="L130" s="276">
        <f>DATE(2030,3,31)</f>
        <v>47573</v>
      </c>
      <c r="M130" s="276">
        <f>DATE(2031,3,31)</f>
        <v>47938</v>
      </c>
      <c r="N130" s="277">
        <f>M130</f>
        <v>47938</v>
      </c>
      <c r="O130" s="259"/>
      <c r="P130" s="278" t="s">
        <v>243</v>
      </c>
      <c r="X130" s="279"/>
      <c r="Y130" s="279"/>
      <c r="Z130" s="279"/>
      <c r="AA130" s="279"/>
      <c r="AB130" s="279"/>
    </row>
    <row r="131" ht="16.5" customHeight="1" outlineLevel="1" spans="1:28">
      <c r="D131" s="280" t="s">
        <v>244</v>
      </c>
      <c r="H131" s="281"/>
      <c r="I131" s="281">
        <v>1</v>
      </c>
      <c r="J131" s="281">
        <v>2</v>
      </c>
      <c r="K131" s="281">
        <v>3</v>
      </c>
      <c r="L131" s="281">
        <v>4</v>
      </c>
      <c r="M131" s="281">
        <v>5</v>
      </c>
      <c r="O131" s="263"/>
      <c r="P131" s="282" t="s">
        <v>235</v>
      </c>
      <c r="Q131" s="283">
        <f>F124</f>
        <v>33.9012205024307</v>
      </c>
      <c r="X131" s="269"/>
      <c r="Y131" s="269"/>
      <c r="Z131" s="269"/>
      <c r="AA131" s="269"/>
      <c r="AB131" s="269"/>
    </row>
    <row r="132" ht="16.5" customHeight="1" outlineLevel="1" spans="1:28">
      <c r="D132" s="280" t="s">
        <v>245</v>
      </c>
      <c r="I132" s="219">
        <f>YEARFRAC(H130,I130)</f>
        <v>0.655555555555556</v>
      </c>
      <c r="J132" s="219">
        <f>YEARFRAC(I130,J130)</f>
        <v>1</v>
      </c>
      <c r="K132" s="219">
        <f>YEARFRAC(J130,K130)</f>
        <v>1</v>
      </c>
      <c r="L132" s="219">
        <f>YEARFRAC(K130,L130)</f>
        <v>1</v>
      </c>
      <c r="M132" s="219">
        <f>YEARFRAC(L130,M130)</f>
        <v>1</v>
      </c>
      <c r="O132" s="259"/>
      <c r="P132" s="163" t="s">
        <v>246</v>
      </c>
      <c r="Q132" s="219">
        <f>M140*(1+F125)/(F126-F125)</f>
        <v>588859.04144393</v>
      </c>
      <c r="X132" s="284"/>
      <c r="Y132" s="284"/>
      <c r="Z132" s="284"/>
      <c r="AA132" s="284"/>
      <c r="AB132" s="284"/>
    </row>
    <row r="133" ht="16.5" customHeight="1" outlineLevel="1" spans="1:28">
      <c r="D133" s="190"/>
      <c r="O133" s="259"/>
      <c r="P133" s="285" t="s">
        <v>247</v>
      </c>
      <c r="Q133" s="237">
        <f>AVERAGE(Q131:Q132)</f>
        <v>294446.471332216</v>
      </c>
      <c r="X133" s="279"/>
      <c r="Y133" s="279"/>
      <c r="Z133" s="279"/>
      <c r="AA133" s="279"/>
      <c r="AB133" s="279"/>
    </row>
    <row r="134" ht="16.5" customHeight="1" outlineLevel="1" spans="1:28">
      <c r="D134" s="64" t="s">
        <v>169</v>
      </c>
      <c r="I134" s="219">
        <f>M28</f>
        <v>27611.1333626119</v>
      </c>
      <c r="J134" s="219">
        <f>N28</f>
        <v>27824.4625162756</v>
      </c>
      <c r="K134" s="219">
        <f>O28</f>
        <v>28020.6549170818</v>
      </c>
      <c r="L134" s="219">
        <f>P28</f>
        <v>28201.0897755753</v>
      </c>
      <c r="M134" s="219">
        <f>Q28</f>
        <v>28367.0390269981</v>
      </c>
      <c r="O134" s="259"/>
      <c r="P134" s="259"/>
      <c r="X134" s="279"/>
      <c r="Y134" s="279"/>
      <c r="Z134" s="279"/>
      <c r="AA134" s="279"/>
      <c r="AB134" s="279"/>
    </row>
    <row r="135" ht="16.5" customHeight="1" outlineLevel="1" spans="1:28">
      <c r="D135" s="190" t="s">
        <v>173</v>
      </c>
      <c r="I135" s="219">
        <f>-I134*$F$123</f>
        <v>-6355.41974424731</v>
      </c>
      <c r="J135" s="219">
        <f>-J134*$F$123</f>
        <v>-6404.52299174578</v>
      </c>
      <c r="K135" s="219">
        <f>-K134*$F$123</f>
        <v>-6449.6817703218</v>
      </c>
      <c r="L135" s="219">
        <f>-L134*$F$123</f>
        <v>-6491.21354111729</v>
      </c>
      <c r="M135" s="219">
        <f>-M134*$F$123</f>
        <v>-6529.41107307604</v>
      </c>
      <c r="X135" s="279"/>
      <c r="Y135" s="279"/>
      <c r="Z135" s="279"/>
      <c r="AA135" s="279"/>
      <c r="AB135" s="279"/>
    </row>
    <row r="136" ht="16.5" customHeight="1" outlineLevel="1" spans="1:28">
      <c r="D136" s="286" t="s">
        <v>248</v>
      </c>
      <c r="E136" s="237"/>
      <c r="F136" s="237"/>
      <c r="G136" s="237"/>
      <c r="H136" s="237"/>
      <c r="I136" s="237">
        <f>SUM(I134:I135)</f>
        <v>21255.7136183646</v>
      </c>
      <c r="J136" s="237">
        <f>SUM(J134:J135)</f>
        <v>21419.9395245298</v>
      </c>
      <c r="K136" s="237">
        <f>SUM(K134:K135)</f>
        <v>21570.97314676</v>
      </c>
      <c r="L136" s="237">
        <f>SUM(L134:L135)</f>
        <v>21709.876234458</v>
      </c>
      <c r="M136" s="237">
        <f>SUM(M134:M135)</f>
        <v>21837.627953922</v>
      </c>
      <c r="N136" s="237"/>
      <c r="X136" s="284"/>
      <c r="Y136" s="284"/>
      <c r="Z136" s="284"/>
      <c r="AA136" s="284"/>
      <c r="AB136" s="284"/>
    </row>
    <row r="137" ht="16.5" customHeight="1" outlineLevel="1" spans="1:28">
      <c r="D137" s="190" t="s">
        <v>202</v>
      </c>
      <c r="I137" s="219">
        <f>M74</f>
        <v>1571.98999410253</v>
      </c>
      <c r="J137" s="219">
        <f>N74</f>
        <v>1469.28317851841</v>
      </c>
      <c r="K137" s="219">
        <f>O74</f>
        <v>1373.0282772125</v>
      </c>
      <c r="L137" s="219">
        <f>P74</f>
        <v>1282.8440171619</v>
      </c>
      <c r="M137" s="219">
        <f>Q74</f>
        <v>1198.36969987678</v>
      </c>
    </row>
    <row r="138" outlineLevel="1" spans="1:28">
      <c r="D138" s="190" t="s">
        <v>249</v>
      </c>
      <c r="I138" s="219">
        <f>-M108</f>
        <v>-118.487216667759</v>
      </c>
      <c r="J138" s="219">
        <f>-N108</f>
        <v>-107.087635854762</v>
      </c>
      <c r="K138" s="219">
        <f>-O108</f>
        <v>-96.7442086337829</v>
      </c>
      <c r="L138" s="219">
        <f>-P108</f>
        <v>-87.3668319573249</v>
      </c>
      <c r="M138" s="219">
        <f>-Q108</f>
        <v>-78.8715753951512</v>
      </c>
      <c r="X138" s="287"/>
      <c r="Y138" s="287"/>
      <c r="Z138" s="287"/>
      <c r="AA138" s="287"/>
      <c r="AB138" s="287"/>
    </row>
    <row r="139" ht="16.5" customHeight="1" outlineLevel="1" spans="1:28">
      <c r="D139" s="190" t="s">
        <v>250</v>
      </c>
      <c r="I139" s="219">
        <f>-M104</f>
        <v>2016.33857953029</v>
      </c>
      <c r="J139" s="219">
        <f>-N104</f>
        <v>-56.4421774682105</v>
      </c>
      <c r="K139" s="219">
        <f>-O104</f>
        <v>-50.9905158438269</v>
      </c>
      <c r="L139" s="219">
        <f>-P104</f>
        <v>-46.0480259444621</v>
      </c>
      <c r="M139" s="219">
        <f>-Q104</f>
        <v>-41.5704709522961</v>
      </c>
      <c r="X139" s="269"/>
      <c r="Y139" s="269"/>
      <c r="Z139" s="269"/>
      <c r="AA139" s="269"/>
      <c r="AB139" s="269"/>
    </row>
    <row r="140" ht="16.5" customHeight="1" outlineLevel="1" spans="1:28">
      <c r="D140" s="286" t="s">
        <v>251</v>
      </c>
      <c r="E140" s="237"/>
      <c r="F140" s="237"/>
      <c r="G140" s="237"/>
      <c r="H140" s="237"/>
      <c r="I140" s="237">
        <f>SUM(I136:I139)</f>
        <v>24725.5549753297</v>
      </c>
      <c r="J140" s="237">
        <f>SUM(J136:J139)</f>
        <v>22725.6928897253</v>
      </c>
      <c r="K140" s="237">
        <f>SUM(K136:K139)</f>
        <v>22796.2666994949</v>
      </c>
      <c r="L140" s="237">
        <f>SUM(L136:L139)</f>
        <v>22859.3053937181</v>
      </c>
      <c r="M140" s="237">
        <f>SUM(M136:M139)</f>
        <v>22915.5556074514</v>
      </c>
      <c r="N140" s="237"/>
    </row>
    <row r="141" outlineLevel="1"/>
    <row r="142" ht="17.25" customHeight="1" outlineLevel="1" spans="1:28">
      <c r="D142" s="288" t="s">
        <v>252</v>
      </c>
      <c r="I142" s="218">
        <f>I140*I132</f>
        <v>16208.9749282717</v>
      </c>
      <c r="J142" s="218">
        <f>J140*J132</f>
        <v>22725.6928897253</v>
      </c>
      <c r="K142" s="218">
        <f>K140*K132</f>
        <v>22796.2666994949</v>
      </c>
      <c r="L142" s="218">
        <f>L140*L132</f>
        <v>22859.3053937181</v>
      </c>
      <c r="M142" s="218">
        <f>M140*M132</f>
        <v>22915.5556074514</v>
      </c>
      <c r="N142" s="218">
        <f>Q133</f>
        <v>294446.471332216</v>
      </c>
    </row>
    <row r="143" outlineLevel="1"/>
    <row r="144" ht="19.5" customHeight="1" outlineLevel="1" spans="1:28">
      <c r="A144" s="289"/>
      <c r="B144" s="289"/>
      <c r="C144" s="289"/>
      <c r="D144" s="288" t="s">
        <v>253</v>
      </c>
      <c r="E144" s="259"/>
      <c r="F144" s="259"/>
      <c r="G144" s="289"/>
      <c r="H144" s="289"/>
      <c r="I144" s="184" t="s">
        <v>254</v>
      </c>
      <c r="J144" s="290"/>
      <c r="K144" s="290"/>
      <c r="L144" s="290"/>
      <c r="M144" s="289"/>
      <c r="N144" s="289"/>
      <c r="O144" s="289"/>
      <c r="P144" s="289"/>
      <c r="Q144" s="289"/>
    </row>
    <row r="145" ht="16.5" customHeight="1" outlineLevel="1" spans="1:17">
      <c r="D145" s="291" t="s">
        <v>255</v>
      </c>
      <c r="E145" s="261"/>
      <c r="F145" s="261">
        <f>XNPV(F126,I142:N142,I130:N130)</f>
        <v>297859.708698982</v>
      </c>
      <c r="I145" s="190" t="s">
        <v>256</v>
      </c>
      <c r="J145" s="292"/>
      <c r="K145" s="292"/>
      <c r="L145" s="292">
        <v>285</v>
      </c>
      <c r="N145" s="269"/>
    </row>
    <row r="146" ht="16.5" customHeight="1" outlineLevel="1" spans="1:17">
      <c r="D146" s="293" t="s">
        <v>257</v>
      </c>
      <c r="E146" s="259"/>
      <c r="F146" s="259">
        <f>L39</f>
        <v>3008.79</v>
      </c>
      <c r="I146" s="190" t="s">
        <v>258</v>
      </c>
      <c r="J146" s="292"/>
      <c r="K146" s="292"/>
      <c r="L146" s="292">
        <f>F151</f>
        <v>239.838606100936</v>
      </c>
      <c r="N146" s="269"/>
    </row>
    <row r="147" ht="16.5" customHeight="1" outlineLevel="1" spans="1:17">
      <c r="D147" s="293" t="s">
        <v>259</v>
      </c>
      <c r="E147" s="294"/>
      <c r="F147" s="294">
        <f>-L115</f>
        <v>-200.86</v>
      </c>
      <c r="I147" s="190" t="s">
        <v>260</v>
      </c>
      <c r="J147" s="292"/>
      <c r="K147" s="292"/>
      <c r="L147" s="295">
        <f>L146/L145-1</f>
        <v>-0.158461031224784</v>
      </c>
      <c r="N147" s="284"/>
    </row>
    <row r="148" ht="16.5" customHeight="1" outlineLevel="1" spans="1:17">
      <c r="D148" s="293" t="s">
        <v>261</v>
      </c>
      <c r="E148" s="294"/>
      <c r="F148" s="294">
        <f>-L65</f>
        <v>-365.72</v>
      </c>
      <c r="N148" s="269"/>
    </row>
    <row r="149" ht="16.5" customHeight="1" outlineLevel="1" spans="1:17">
      <c r="D149" s="296" t="s">
        <v>262</v>
      </c>
      <c r="E149" s="261"/>
      <c r="F149" s="297">
        <f>SUM(F145:F148)</f>
        <v>300301.918698982</v>
      </c>
      <c r="I149" s="137"/>
      <c r="L149" s="298"/>
    </row>
    <row r="150" ht="19.5" customHeight="1" outlineLevel="1" spans="1:17">
      <c r="A150" s="289"/>
      <c r="B150" s="289"/>
      <c r="C150" s="289"/>
      <c r="D150" s="293"/>
      <c r="E150" s="259"/>
      <c r="F150" s="259"/>
      <c r="G150" s="289"/>
      <c r="H150" s="289"/>
      <c r="I150" s="289"/>
      <c r="J150" s="289"/>
      <c r="K150" s="289"/>
      <c r="L150" s="289"/>
      <c r="M150" s="289"/>
      <c r="N150" s="289"/>
      <c r="O150" s="289"/>
      <c r="P150" s="289"/>
      <c r="Q150" s="289"/>
    </row>
    <row r="151" ht="16.5" customHeight="1" outlineLevel="1" spans="1:17">
      <c r="D151" s="288" t="s">
        <v>263</v>
      </c>
      <c r="E151" s="259"/>
      <c r="F151" s="299">
        <f>F149/F127</f>
        <v>239.838606100936</v>
      </c>
    </row>
    <row r="152" ht="16.5" customHeight="1" spans="1:17">
      <c r="D152" s="106"/>
      <c r="F152" s="279"/>
    </row>
    <row r="153" ht="16.5" customHeight="1" spans="1:17">
      <c r="A153" s="300" t="s">
        <v>264</v>
      </c>
      <c r="B153" s="301"/>
      <c r="C153" s="301"/>
      <c r="D153" s="302"/>
      <c r="E153" s="299"/>
      <c r="F153" s="299"/>
      <c r="G153" s="299"/>
      <c r="H153" s="302"/>
      <c r="I153" s="302"/>
      <c r="J153" s="302"/>
      <c r="K153" s="302"/>
      <c r="L153" s="302"/>
      <c r="M153" s="303"/>
      <c r="N153" s="303"/>
      <c r="O153" s="301"/>
      <c r="P153" s="301"/>
      <c r="Q153" s="301"/>
    </row>
    <row r="154" ht="16.5" customHeight="1" outlineLevel="1"/>
    <row r="155" outlineLevel="1" spans="1:17">
      <c r="C155" s="222"/>
      <c r="D155" s="222"/>
      <c r="E155" s="222"/>
      <c r="F155" s="222"/>
    </row>
    <row r="156" ht="16.5" customHeight="1" outlineLevel="1" spans="1:17">
      <c r="C156" s="222"/>
      <c r="D156" s="222"/>
      <c r="E156" s="222"/>
      <c r="F156" s="222"/>
      <c r="H156" s="304" t="s">
        <v>265</v>
      </c>
      <c r="I156" s="304"/>
      <c r="J156" s="304"/>
      <c r="K156" s="304"/>
      <c r="L156" s="304"/>
      <c r="M156" s="304"/>
      <c r="N156" s="304"/>
    </row>
    <row r="157" ht="16.5" customHeight="1" outlineLevel="1" spans="1:17">
      <c r="A157" s="305"/>
      <c r="C157" s="222"/>
      <c r="D157" s="222"/>
      <c r="E157" s="222"/>
      <c r="F157" s="222"/>
    </row>
    <row r="158" ht="16.5" customHeight="1" outlineLevel="1" spans="1:17">
      <c r="C158" s="222"/>
      <c r="D158" s="222"/>
      <c r="E158" s="222"/>
      <c r="F158" s="222"/>
      <c r="H158" s="306"/>
      <c r="I158" s="306"/>
      <c r="J158" s="306"/>
      <c r="K158" s="306"/>
      <c r="L158" s="306"/>
      <c r="M158" s="306"/>
      <c r="N158" s="306"/>
      <c r="O158" s="306"/>
    </row>
    <row r="159" ht="16.5" customHeight="1" outlineLevel="1" spans="1:17">
      <c r="C159" s="222"/>
      <c r="D159" s="222"/>
      <c r="E159" s="222"/>
      <c r="F159" s="222"/>
      <c r="H159" s="306"/>
      <c r="I159" s="306"/>
      <c r="J159" s="307" t="s">
        <v>266</v>
      </c>
      <c r="K159" s="307"/>
      <c r="L159" s="307"/>
      <c r="M159" s="307"/>
      <c r="N159" s="307"/>
      <c r="O159" s="306"/>
    </row>
    <row r="160" ht="16.5" customHeight="1" outlineLevel="1" spans="1:17">
      <c r="C160" s="222"/>
      <c r="D160" s="222"/>
      <c r="E160" s="222"/>
      <c r="F160" s="222"/>
      <c r="H160" s="190"/>
      <c r="I160" s="308">
        <f>F151</f>
        <v>239.838606100936</v>
      </c>
      <c r="J160" s="309">
        <v>20</v>
      </c>
      <c r="K160" s="309">
        <v>25</v>
      </c>
      <c r="L160" s="309">
        <f>F124</f>
        <v>33.9012205024307</v>
      </c>
      <c r="M160" s="309">
        <v>30</v>
      </c>
      <c r="N160" s="309">
        <v>35</v>
      </c>
      <c r="O160" s="190"/>
    </row>
    <row r="161" ht="16.5" customHeight="1" outlineLevel="1" spans="1:15">
      <c r="C161" s="222"/>
      <c r="D161" s="222"/>
      <c r="E161" s="222"/>
      <c r="F161" s="222"/>
      <c r="H161" s="310" t="s">
        <v>237</v>
      </c>
      <c r="I161" s="311">
        <f>I162-1%</f>
        <v>0.0708609390268062</v>
      </c>
      <c r="J161" s="312">
        <f>(XNPV($I161,$I$142:$M$142,$I$130:$M$130)+AVERAGE(J$160,$M$140*(1+$F$125)/($I161-$F$125))/(1+$I161)^(($M$130-$I$130)/365)+$F$146+$F$147+$F$148)/$F$127</f>
        <v>426.690043820666</v>
      </c>
      <c r="K161" s="313">
        <f>(XNPV($I161,$I$142:$M$142,$I$130:$M$130)+AVERAGE(K$160,$M$140*(1+$F$125)/($I161-$F$125))/(1+$I161)^(($M$130-$I$130)/365)+$F$146+$F$147+$F$148)/$F$127</f>
        <v>426.691561874675</v>
      </c>
      <c r="L161" s="313">
        <f>(XNPV($I161,$I$142:$M$142,$I$130:$M$130)+AVERAGE(L$160,$M$140*(1+$F$125)/($I161-$F$125))/(1+$I161)^(($M$130-$I$130)/365)+$F$146+$F$147+$F$148)/$F$127</f>
        <v>426.694264381367</v>
      </c>
      <c r="M161" s="313">
        <f>(XNPV($I161,$I$142:$M$142,$I$130:$M$130)+AVERAGE(M$160,$M$140*(1+$F$125)/($I161-$F$125))/(1+$I161)^(($M$130-$I$130)/365)+$F$146+$F$147+$F$148)/$F$127</f>
        <v>426.693079928683</v>
      </c>
      <c r="N161" s="313">
        <f>(XNPV($I161,$I$142:$M$142,$I$130:$M$130)+AVERAGE(N$160,$M$140*(1+$F$125)/($I161-$F$125))/(1+$I161)^(($M$130-$I$130)/365)+$F$146+$F$147+$F$148)/$F$127</f>
        <v>426.694597982691</v>
      </c>
      <c r="O161" s="190"/>
    </row>
    <row r="162" ht="19.5" customHeight="1" outlineLevel="1" spans="1:15">
      <c r="A162" s="257"/>
      <c r="B162" s="257"/>
      <c r="C162" s="222"/>
      <c r="D162" s="222"/>
      <c r="E162" s="222"/>
      <c r="F162" s="222"/>
      <c r="H162" s="310"/>
      <c r="I162" s="311">
        <f>I163-1%</f>
        <v>0.0808609390268062</v>
      </c>
      <c r="J162" s="314">
        <f>(XNPV($I162,$I$142:$M$142,$I$130:$M$130)+AVERAGE(J$160,$M$140*(1+$F$125)/($I162-$F$125))/(1+$I162)^(($M$130-$I$130)/365)+$F$146+$F$147+$F$148)/$F$127</f>
        <v>303.203907803956</v>
      </c>
      <c r="K162" s="315">
        <f>(XNPV($I162,$I$142:$M$142,$I$130:$M$130)+AVERAGE(K$160,$M$140*(1+$F$125)/($I162-$F$125))/(1+$I162)^(($M$130-$I$130)/365)+$F$146+$F$147+$F$148)/$F$127</f>
        <v>303.20537041613</v>
      </c>
      <c r="L162" s="315">
        <f>(XNPV($I162,$I$142:$M$142,$I$130:$M$130)+AVERAGE(L$160,$M$140*(1+$F$125)/($I162-$F$125))/(1+$I162)^(($M$130-$I$130)/365)+$F$146+$F$147+$F$148)/$F$127</f>
        <v>303.207974222825</v>
      </c>
      <c r="M162" s="315">
        <f>(XNPV($I162,$I$142:$M$142,$I$130:$M$130)+AVERAGE(M$160,$M$140*(1+$F$125)/($I162-$F$125))/(1+$I162)^(($M$130-$I$130)/365)+$F$146+$F$147+$F$148)/$F$127</f>
        <v>303.206833028304</v>
      </c>
      <c r="N162" s="316">
        <f>(XNPV($I162,$I$142:$M$142,$I$130:$M$130)+AVERAGE(N$160,$M$140*(1+$F$125)/($I162-$F$125))/(1+$I162)^(($M$130-$I$130)/365)+$F$146+$F$147+$F$148)/$F$127</f>
        <v>303.208295640479</v>
      </c>
      <c r="O162" s="190"/>
    </row>
    <row r="163" ht="16.5" customHeight="1" outlineLevel="1" spans="1:15">
      <c r="C163" s="222"/>
      <c r="D163" s="222"/>
      <c r="E163" s="222"/>
      <c r="F163" s="222"/>
      <c r="H163" s="310"/>
      <c r="I163" s="311">
        <f>F126</f>
        <v>0.0908609390268062</v>
      </c>
      <c r="J163" s="314">
        <f>(XNPV($I163,$I$142:$M$142,$I$130:$M$130)+AVERAGE(J$160,$M$140*(1+$F$125)/($I163-$F$125))/(1+$I163)^(($M$130-$I$130)/365)+$F$146+$F$147+$F$148)/$F$127</f>
        <v>239.83468685173</v>
      </c>
      <c r="K163" s="315">
        <f>(XNPV($I163,$I$142:$M$142,$I$130:$M$130)+AVERAGE(K$160,$M$140*(1+$F$125)/($I163-$F$125))/(1+$I163)^(($M$130-$I$130)/365)+$F$146+$F$147+$F$148)/$F$127</f>
        <v>239.836096529825</v>
      </c>
      <c r="L163" s="317">
        <f>(XNPV($I163,$I$142:$M$142,$I$130:$M$130)+AVERAGE(L$160,$M$140*(1+$F$125)/($I163-$F$125))/(1+$I163)^(($M$130-$I$130)/365)+$F$146+$F$147+$F$148)/$F$127</f>
        <v>239.838606100936</v>
      </c>
      <c r="M163" s="315">
        <f>(XNPV($I163,$I$142:$M$142,$I$130:$M$130)+AVERAGE(M$160,$M$140*(1+$F$125)/($I163-$F$125))/(1+$I163)^(($M$130-$I$130)/365)+$F$146+$F$147+$F$148)/$F$127</f>
        <v>239.837506207919</v>
      </c>
      <c r="N163" s="316">
        <f>(XNPV($I163,$I$142:$M$142,$I$130:$M$130)+AVERAGE(N$160,$M$140*(1+$F$125)/($I163-$F$125))/(1+$I163)^(($M$130-$I$130)/365)+$F$146+$F$147+$F$148)/$F$127</f>
        <v>239.838915886014</v>
      </c>
      <c r="O163" s="190"/>
    </row>
    <row r="164" ht="16.5" customHeight="1" outlineLevel="1" spans="1:15">
      <c r="C164" s="222"/>
      <c r="D164" s="222"/>
      <c r="E164" s="222"/>
      <c r="F164" s="222"/>
      <c r="H164" s="310"/>
      <c r="I164" s="311">
        <f>I163+1%</f>
        <v>0.100860939026806</v>
      </c>
      <c r="J164" s="314">
        <f>(XNPV($I164,$I$142:$M$142,$I$130:$M$130)+AVERAGE(J$160,$M$140*(1+$F$125)/($I164-$F$125))/(1+$I164)^(($M$130-$I$130)/365)+$F$146+$F$147+$F$148)/$F$127</f>
        <v>201.136536841231</v>
      </c>
      <c r="K164" s="315">
        <f>(XNPV($I164,$I$142:$M$142,$I$130:$M$130)+AVERAGE(K$160,$M$140*(1+$F$125)/($I164-$F$125))/(1+$I164)^(($M$130-$I$130)/365)+$F$146+$F$147+$F$148)/$F$127</f>
        <v>201.137895958117</v>
      </c>
      <c r="L164" s="315">
        <f>(XNPV($I164,$I$142:$M$142,$I$130:$M$130)+AVERAGE(L$160,$M$140*(1+$F$125)/($I164-$F$125))/(1+$I164)^(($M$130-$I$130)/365)+$F$146+$F$147+$F$148)/$F$127</f>
        <v>201.140315517937</v>
      </c>
      <c r="M164" s="315">
        <f>(XNPV($I164,$I$142:$M$142,$I$130:$M$130)+AVERAGE(M$160,$M$140*(1+$F$125)/($I164-$F$125))/(1+$I164)^(($M$130-$I$130)/365)+$F$146+$F$147+$F$148)/$F$127</f>
        <v>201.139255075004</v>
      </c>
      <c r="N164" s="316">
        <f>(XNPV($I164,$I$142:$M$142,$I$130:$M$130)+AVERAGE(N$160,$M$140*(1+$F$125)/($I164-$F$125))/(1+$I164)^(($M$130-$I$130)/365)+$F$146+$F$147+$F$148)/$F$127</f>
        <v>201.140614191891</v>
      </c>
      <c r="O164" s="190"/>
    </row>
    <row r="165" ht="16.5" customHeight="1" outlineLevel="1" spans="1:15">
      <c r="C165" s="222"/>
      <c r="D165" s="222"/>
      <c r="E165" s="222"/>
      <c r="F165" s="222"/>
      <c r="H165" s="310"/>
      <c r="I165" s="311">
        <f>I164+1%</f>
        <v>0.110860939026806</v>
      </c>
      <c r="J165" s="314">
        <f>(XNPV($I165,$I$142:$M$142,$I$130:$M$130)+AVERAGE(J$160,$M$140*(1+$F$125)/($I165-$F$125))/(1+$I165)^(($M$130-$I$130)/365)+$F$146+$F$147+$F$148)/$F$127</f>
        <v>174.959194550037</v>
      </c>
      <c r="K165" s="316">
        <f>(XNPV($I165,$I$142:$M$142,$I$130:$M$130)+AVERAGE(K$160,$M$140*(1+$F$125)/($I165-$F$125))/(1+$I165)^(($M$130-$I$130)/365)+$F$146+$F$147+$F$148)/$F$127</f>
        <v>174.960505352093</v>
      </c>
      <c r="L165" s="316">
        <f>(XNPV($I165,$I$142:$M$142,$I$130:$M$130)+AVERAGE(L$160,$M$140*(1+$F$125)/($I165-$F$125))/(1+$I165)^(($M$130-$I$130)/365)+$F$146+$F$147+$F$148)/$F$127</f>
        <v>174.96283889972</v>
      </c>
      <c r="M165" s="316">
        <f>(XNPV($I165,$I$142:$M$142,$I$130:$M$130)+AVERAGE(M$160,$M$140*(1+$F$125)/($I165-$F$125))/(1+$I165)^(($M$130-$I$130)/365)+$F$146+$F$147+$F$148)/$F$127</f>
        <v>174.961816154149</v>
      </c>
      <c r="N165" s="316">
        <f>(XNPV($I165,$I$142:$M$142,$I$130:$M$130)+AVERAGE(N$160,$M$140*(1+$F$125)/($I165-$F$125))/(1+$I165)^(($M$130-$I$130)/365)+$F$146+$F$147+$F$148)/$F$127</f>
        <v>174.963126956205</v>
      </c>
      <c r="O165" s="190"/>
    </row>
    <row r="166" ht="16.5" customHeight="1" outlineLevel="1" spans="1:15">
      <c r="C166" s="222"/>
      <c r="D166" s="222"/>
      <c r="E166" s="222"/>
      <c r="F166" s="222"/>
      <c r="H166" s="190"/>
      <c r="I166" s="190"/>
      <c r="J166" s="190"/>
      <c r="K166" s="190"/>
      <c r="L166" s="190"/>
      <c r="M166" s="190"/>
      <c r="N166" s="190"/>
      <c r="O166" s="190"/>
    </row>
    <row r="167" ht="16.5" customHeight="1" outlineLevel="1" spans="1:15">
      <c r="C167" s="222"/>
      <c r="D167" s="222"/>
      <c r="E167" s="222"/>
      <c r="F167" s="222"/>
    </row>
    <row r="168" ht="16.5" customHeight="1" outlineLevel="1" spans="1:15">
      <c r="C168" s="222"/>
      <c r="D168" s="222"/>
      <c r="E168" s="222"/>
      <c r="F168" s="222"/>
    </row>
    <row r="169" ht="16.5" customHeight="1" outlineLevel="1" spans="1:15">
      <c r="C169" s="222"/>
      <c r="D169" s="222"/>
      <c r="E169" s="222"/>
      <c r="F169" s="222"/>
      <c r="H169" s="292"/>
      <c r="I169" s="292"/>
      <c r="J169" s="292"/>
      <c r="K169" s="292"/>
      <c r="L169" s="292"/>
      <c r="M169" s="292"/>
      <c r="N169" s="259"/>
      <c r="O169" s="318"/>
    </row>
    <row r="170" ht="16.5" customHeight="1" outlineLevel="1" spans="1:15">
      <c r="C170" s="222"/>
      <c r="D170" s="222"/>
      <c r="E170" s="222"/>
      <c r="F170" s="222"/>
      <c r="H170" s="259"/>
      <c r="I170" s="259"/>
      <c r="J170" s="319" t="s">
        <v>267</v>
      </c>
      <c r="K170" s="319"/>
      <c r="L170" s="319"/>
      <c r="M170" s="319"/>
      <c r="N170" s="319"/>
      <c r="O170" s="318"/>
    </row>
    <row r="171" ht="17.25" customHeight="1" outlineLevel="1" spans="1:15">
      <c r="C171" s="222"/>
      <c r="D171" s="222"/>
      <c r="E171" s="222"/>
      <c r="F171" s="222"/>
      <c r="H171" s="259"/>
      <c r="I171" s="320">
        <f>F151</f>
        <v>239.838606100936</v>
      </c>
      <c r="J171" s="321">
        <f>K171-0.5%</f>
        <v>0.04</v>
      </c>
      <c r="K171" s="321">
        <f>L171-0.5%</f>
        <v>0.045</v>
      </c>
      <c r="L171" s="321">
        <f>F125</f>
        <v>0.05</v>
      </c>
      <c r="M171" s="321">
        <f>F125+0.5%</f>
        <v>0.055</v>
      </c>
      <c r="N171" s="321">
        <f>M171+0.5%</f>
        <v>0.06</v>
      </c>
      <c r="O171" s="109"/>
    </row>
    <row r="172" ht="17.25" customHeight="1" outlineLevel="1" spans="1:15">
      <c r="C172" s="222"/>
      <c r="D172" s="222"/>
      <c r="E172" s="222"/>
      <c r="F172" s="222"/>
      <c r="H172" s="322" t="s">
        <v>237</v>
      </c>
      <c r="I172" s="323">
        <f>I173-1%</f>
        <v>0.0708609390268062</v>
      </c>
      <c r="J172" s="324">
        <f>(XNPV($I172,$I$142:$M$142,$I$130:$M$130)+AVERAGE($F$124,$M$140*(1+J$171)/($I172-J$171))/(1+$I172)^(($M$130-$I$130)/365)+$F$146+$F$147+$F$148)/$F$127</f>
        <v>310.966464340743</v>
      </c>
      <c r="K172" s="325">
        <f>(XNPV($I172,$I$142:$M$142,$I$130:$M$130)+AVERAGE($F$124,$M$140*(1+K$171)/($I172-K$171))/(1+$I172)^(($M$130-$I$130)/365)+$F$146+$F$147+$F$148)/$F$127</f>
        <v>357.642854897394</v>
      </c>
      <c r="L172" s="326">
        <f>(XNPV($I172,$I$142:$M$142,$I$130:$M$130)+AVERAGE($F$124,$M$140*(1+L$171)/($I172-L$171))/(1+$I172)^(($M$130-$I$130)/365)+$F$146+$F$147+$F$148)/$F$127</f>
        <v>426.694264381367</v>
      </c>
      <c r="M172" s="325">
        <f>(XNPV($I172,$I$142:$M$142,$I$130:$M$130)+AVERAGE($F$124,$M$140*(1+M$171)/($I172-M$171))/(1+$I172)^(($M$130-$I$130)/365)+$F$146+$F$147+$F$148)/$F$127</f>
        <v>539.281185455967</v>
      </c>
      <c r="N172" s="325">
        <f>(XNPV($I172,$I$142:$M$142,$I$130:$M$130)+AVERAGE($F$124,$M$140*(1+N$171)/($I172-N$171))/(1+$I172)^(($M$130-$I$130)/365)+$F$146+$F$147+$F$148)/$F$127</f>
        <v>755.530341256974</v>
      </c>
      <c r="O172" s="318"/>
    </row>
    <row r="173" ht="17.25" customHeight="1" outlineLevel="1" spans="1:15">
      <c r="C173" s="222"/>
      <c r="D173" s="222"/>
      <c r="E173" s="222"/>
      <c r="F173" s="222"/>
      <c r="H173" s="322"/>
      <c r="I173" s="323">
        <f>I174-1%</f>
        <v>0.0808609390268062</v>
      </c>
      <c r="J173" s="327">
        <f>(XNPV($I173,$I$142:$M$142,$I$130:$M$130)+AVERAGE($F$124,$M$140*(1+J$171)/($I173-J$171))/(1+$I173)^(($M$130-$I$130)/365)+$F$146+$F$147+$F$148)/$F$127</f>
        <v>245.751110809306</v>
      </c>
      <c r="K173" s="328">
        <f>(XNPV($I173,$I$142:$M$142,$I$130:$M$130)+AVERAGE($F$124,$M$140*(1+K$171)/($I173-K$171))/(1+$I173)^(($M$130-$I$130)/365)+$F$146+$F$147+$F$148)/$F$127</f>
        <v>270.47400996639</v>
      </c>
      <c r="L173" s="328">
        <f>(XNPV($I173,$I$142:$M$142,$I$130:$M$130)+AVERAGE($F$124,$M$140*(1+L$171)/($I173-L$171))/(1+$I173)^(($M$130-$I$130)/365)+$F$146+$F$147+$F$148)/$F$127</f>
        <v>303.207974222825</v>
      </c>
      <c r="M173" s="328">
        <f>(XNPV($I173,$I$142:$M$142,$I$130:$M$130)+AVERAGE($F$124,$M$140*(1+M$171)/($I173-M$171))/(1+$I173)^(($M$130-$I$130)/365)+$F$146+$F$147+$F$148)/$F$127</f>
        <v>348.599624351572</v>
      </c>
      <c r="N173" s="325">
        <f>(XNPV($I173,$I$142:$M$142,$I$130:$M$130)+AVERAGE($F$124,$M$140*(1+N$171)/($I173-N$171))/(1+$I173)^(($M$130-$I$130)/365)+$F$146+$F$147+$F$148)/$F$127</f>
        <v>415.750434061017</v>
      </c>
      <c r="O173" s="318"/>
    </row>
    <row r="174" ht="17.25" customHeight="1" outlineLevel="1" spans="1:15">
      <c r="C174" s="222"/>
      <c r="D174" s="222"/>
      <c r="E174" s="222"/>
      <c r="F174" s="222"/>
      <c r="H174" s="322"/>
      <c r="I174" s="323">
        <f>F126</f>
        <v>0.0908609390268062</v>
      </c>
      <c r="J174" s="327">
        <f>(XNPV($I174,$I$142:$M$142,$I$130:$M$130)+AVERAGE($F$124,$M$140*(1+J$171)/($I174-J$171))/(1+$I174)^(($M$130-$I$130)/365)+$F$146+$F$147+$F$148)/$F$127</f>
        <v>205.926324306924</v>
      </c>
      <c r="K174" s="328">
        <f>(XNPV($I174,$I$142:$M$142,$I$130:$M$130)+AVERAGE($F$124,$M$140*(1+K$171)/($I174-K$171))/(1+$I174)^(($M$130-$I$130)/365)+$F$146+$F$147+$F$148)/$F$127</f>
        <v>221.03381783028</v>
      </c>
      <c r="L174" s="329">
        <f>(XNPV($I174,$I$142:$M$142,$I$130:$M$130)+AVERAGE($F$124,$M$140*(1+L$171)/($I174-L$171))/(1+$I174)^(($M$130-$I$130)/365)+$F$146+$F$147+$F$148)/$F$127</f>
        <v>239.838606100936</v>
      </c>
      <c r="M174" s="328">
        <f>(XNPV($I174,$I$142:$M$142,$I$130:$M$130)+AVERAGE($F$124,$M$140*(1+M$171)/($I174-M$171))/(1+$I174)^(($M$130-$I$130)/365)+$F$146+$F$147+$F$148)/$F$127</f>
        <v>263.887202476171</v>
      </c>
      <c r="N174" s="325">
        <f>(XNPV($I174,$I$142:$M$142,$I$130:$M$130)+AVERAGE($F$124,$M$140*(1+N$171)/($I174-N$171))/(1+$I174)^(($M$130-$I$130)/365)+$F$146+$F$147+$F$148)/$F$127</f>
        <v>295.728366781482</v>
      </c>
      <c r="O174" s="318"/>
    </row>
    <row r="175" ht="17.25" customHeight="1" outlineLevel="1" spans="1:15">
      <c r="C175" s="222"/>
      <c r="D175" s="222"/>
      <c r="E175" s="222"/>
      <c r="F175" s="222"/>
      <c r="H175" s="322"/>
      <c r="I175" s="323">
        <f>I174+1%</f>
        <v>0.100860939026806</v>
      </c>
      <c r="J175" s="327">
        <f>(XNPV($I175,$I$142:$M$142,$I$130:$M$130)+AVERAGE($F$124,$M$140*(1+J$171)/($I175-J$171))/(1+$I175)^(($M$130-$I$130)/365)+$F$146+$F$147+$F$148)/$F$127</f>
        <v>178.987617104668</v>
      </c>
      <c r="K175" s="328">
        <f>(XNPV($I175,$I$142:$M$142,$I$130:$M$130)+AVERAGE($F$124,$M$140*(1+K$171)/($I175-K$171))/(1+$I175)^(($M$130-$I$130)/365)+$F$146+$F$147+$F$148)/$F$127</f>
        <v>189.072544631001</v>
      </c>
      <c r="L175" s="328">
        <f>(XNPV($I175,$I$142:$M$142,$I$130:$M$130)+AVERAGE($F$124,$M$140*(1+L$171)/($I175-L$171))/(1+$I175)^(($M$130-$I$130)/365)+$F$146+$F$147+$F$148)/$F$127</f>
        <v>201.140315517937</v>
      </c>
      <c r="M175" s="328">
        <f>(XNPV($I175,$I$142:$M$142,$I$130:$M$130)+AVERAGE($F$124,$M$140*(1+M$171)/($I175-M$171))/(1+$I175)^(($M$130-$I$130)/365)+$F$146+$F$147+$F$148)/$F$127</f>
        <v>215.839469700335</v>
      </c>
      <c r="N175" s="325">
        <f>(XNPV($I175,$I$142:$M$142,$I$130:$M$130)+AVERAGE($F$124,$M$140*(1+N$171)/($I175-N$171))/(1+$I175)^(($M$130-$I$130)/365)+$F$146+$F$147+$F$148)/$F$127</f>
        <v>234.135984719878</v>
      </c>
      <c r="O175" s="318"/>
    </row>
    <row r="176" ht="17.25" customHeight="1" outlineLevel="1" spans="1:15">
      <c r="C176" s="222"/>
      <c r="D176" s="222"/>
      <c r="E176" s="222"/>
      <c r="F176" s="222"/>
      <c r="H176" s="322"/>
      <c r="I176" s="323">
        <f>I175+1%</f>
        <v>0.110860939026806</v>
      </c>
      <c r="J176" s="327">
        <f>(XNPV($I176,$I$142:$M$142,$I$130:$M$130)+AVERAGE($F$124,$M$140*(1+J$171)/($I176-J$171))/(1+$I176)^(($M$130-$I$130)/365)+$F$146+$F$147+$F$148)/$F$127</f>
        <v>159.48851634771</v>
      </c>
      <c r="K176" s="325">
        <f>(XNPV($I176,$I$142:$M$142,$I$130:$M$130)+AVERAGE($F$124,$M$140*(1+K$171)/($I176-K$171))/(1+$I176)^(($M$130-$I$130)/365)+$F$146+$F$147+$F$148)/$F$127</f>
        <v>166.638291428625</v>
      </c>
      <c r="L176" s="325">
        <f>(XNPV($I176,$I$142:$M$142,$I$130:$M$130)+AVERAGE($F$124,$M$140*(1+L$171)/($I176-L$171))/(1+$I176)^(($M$130-$I$130)/365)+$F$146+$F$147+$F$148)/$F$127</f>
        <v>174.96283889972</v>
      </c>
      <c r="M176" s="325">
        <f>(XNPV($I176,$I$142:$M$142,$I$130:$M$130)+AVERAGE($F$124,$M$140*(1+M$171)/($I176-M$171))/(1+$I176)^(($M$130-$I$130)/365)+$F$146+$F$147+$F$148)/$F$127</f>
        <v>184.777613283597</v>
      </c>
      <c r="N176" s="325">
        <f>(XNPV($I176,$I$142:$M$142,$I$130:$M$130)+AVERAGE($F$124,$M$140*(1+N$171)/($I176-N$171))/(1+$I176)^(($M$130-$I$130)/365)+$F$146+$F$147+$F$148)/$F$127</f>
        <v>196.522114992937</v>
      </c>
      <c r="O176" s="318"/>
    </row>
    <row r="177" ht="17.25" customHeight="1" outlineLevel="1" spans="3:15">
      <c r="C177" s="222"/>
      <c r="D177" s="222"/>
      <c r="E177" s="222"/>
      <c r="F177" s="222"/>
      <c r="H177" s="322"/>
      <c r="I177" s="259"/>
      <c r="J177" s="292"/>
      <c r="K177" s="292"/>
      <c r="L177" s="292"/>
      <c r="M177" s="292"/>
      <c r="N177" s="292"/>
      <c r="O177" s="318"/>
    </row>
    <row r="178" outlineLevel="1" spans="3:15">
      <c r="C178" s="222"/>
      <c r="D178" s="222"/>
      <c r="E178" s="222"/>
      <c r="F178" s="222"/>
    </row>
    <row r="179" outlineLevel="1" spans="3:15">
      <c r="C179" s="222"/>
      <c r="D179" s="222"/>
      <c r="E179" s="222"/>
      <c r="F179" s="222"/>
    </row>
    <row r="180" outlineLevel="1" spans="3:15">
      <c r="C180" s="222"/>
      <c r="D180" s="222"/>
      <c r="E180" s="222"/>
      <c r="F180" s="222"/>
    </row>
  </sheetData>
  <mergeCells count="7">
    <mergeCell ref="H1:L1"/>
    <mergeCell ref="M1:Q1"/>
    <mergeCell ref="H156:N156"/>
    <mergeCell ref="J159:N159"/>
    <mergeCell ref="J170:N170"/>
    <mergeCell ref="H161:H165"/>
    <mergeCell ref="H172:H177"/>
  </mergeCells>
  <dataValidations count="1">
    <dataValidation type="list" allowBlank="1" showInputMessage="1" showErrorMessage="1" sqref="E6">
      <formula1>Scenarios!$D$5:$D$7</formula1>
    </dataValidation>
  </dataValidations>
  <pageMargins left="0.75" right="0.75" top="1" bottom="1" header="0.511811023622047" footer="0.511811023622047"/>
  <pageSetup paperSize="9" orientation="portrait" horizontalDpi="300" verticalDpi="300"/>
  <headerFooter/>
  <ignoredErrors>
    <ignoredError sqref="A1:AB3 A6:D6 F6:AB6 A7:AB180" formula="1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65"/>
  <sheetViews>
    <sheetView showGridLines="0" zoomScale="74" zoomScaleNormal="74" workbookViewId="0">
      <pane ySplit="2" topLeftCell="A3" activePane="bottomLeft" state="frozen"/>
      <selection/>
      <selection pane="bottomLeft" activeCell="H21" sqref="H21"/>
    </sheetView>
  </sheetViews>
  <sheetFormatPr defaultColWidth="9.16071428571429" defaultRowHeight="16.8"/>
  <cols>
    <col min="1" max="2" width="1.24107142857143" style="1" customWidth="1"/>
    <col min="3" max="3" width="1.24107142857143" style="2" customWidth="1"/>
    <col min="4" max="4" width="40.6428571428571" style="2" customWidth="1"/>
    <col min="5" max="5" width="9.57142857142857" style="2" customWidth="1"/>
    <col min="6" max="6" width="9.14285714285714" style="2"/>
    <col min="7" max="7" width="2.64285714285714" style="2" customWidth="1"/>
    <col min="8" max="12" width="12.6428571428571" style="2" customWidth="1"/>
    <col min="13" max="13" width="9.71428571428571" style="2" customWidth="1"/>
  </cols>
  <sheetData>
    <row r="1" ht="33.75" customHeight="1" spans="1:18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ht="17.25" customHeight="1" spans="1:18">
      <c r="A2" s="193" t="s">
        <v>268</v>
      </c>
      <c r="B2" s="7"/>
      <c r="C2" s="7"/>
      <c r="D2" s="7"/>
      <c r="E2" s="7"/>
      <c r="F2" s="7"/>
      <c r="G2" s="7"/>
      <c r="H2" s="4"/>
      <c r="I2" s="4"/>
      <c r="J2" s="4"/>
      <c r="K2" s="4"/>
      <c r="L2" s="8"/>
      <c r="M2" s="4"/>
      <c r="N2" s="4"/>
      <c r="O2" s="4"/>
      <c r="P2" s="4"/>
      <c r="Q2" s="4"/>
      <c r="R2" s="4"/>
    </row>
    <row r="3" ht="16.5" customHeight="1" spans="1:18"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</row>
    <row r="4" ht="16.5" customHeight="1" spans="1:18">
      <c r="A4" s="154"/>
      <c r="B4" s="101" t="s">
        <v>269</v>
      </c>
      <c r="C4" s="194"/>
      <c r="D4" s="195" t="s">
        <v>270</v>
      </c>
      <c r="E4" s="196"/>
      <c r="F4" s="196"/>
      <c r="G4" s="196"/>
      <c r="H4" s="197" t="s">
        <v>271</v>
      </c>
      <c r="I4" s="195" t="s">
        <v>272</v>
      </c>
      <c r="J4" s="195" t="s">
        <v>273</v>
      </c>
      <c r="K4" s="195" t="s">
        <v>274</v>
      </c>
      <c r="L4" s="195" t="s">
        <v>275</v>
      </c>
      <c r="M4" s="195" t="s">
        <v>276</v>
      </c>
      <c r="N4" s="154"/>
      <c r="O4" s="154"/>
      <c r="P4" s="154"/>
      <c r="Q4" s="154"/>
      <c r="R4" s="154"/>
    </row>
    <row r="5" ht="16.5" customHeight="1" spans="1:18">
      <c r="D5" s="198" t="s">
        <v>277</v>
      </c>
      <c r="E5" s="87"/>
      <c r="F5" s="87"/>
      <c r="G5" s="87"/>
      <c r="H5" s="18">
        <v>0</v>
      </c>
      <c r="I5" s="199">
        <v>12</v>
      </c>
      <c r="J5" s="199">
        <v>24</v>
      </c>
      <c r="K5" s="199">
        <v>24</v>
      </c>
      <c r="L5" s="18">
        <v>0</v>
      </c>
      <c r="M5" s="200" t="s">
        <v>278</v>
      </c>
      <c r="N5" s="201"/>
    </row>
    <row r="6" ht="16.5" customHeight="1" spans="1:18">
      <c r="D6" s="202" t="s">
        <v>279</v>
      </c>
      <c r="E6" s="202"/>
      <c r="F6" s="202"/>
      <c r="G6" s="202"/>
      <c r="H6" s="18">
        <v>0</v>
      </c>
      <c r="I6" s="199">
        <v>12</v>
      </c>
      <c r="J6" s="199">
        <v>24</v>
      </c>
      <c r="K6" s="199">
        <v>24</v>
      </c>
      <c r="L6" s="18">
        <v>0</v>
      </c>
      <c r="M6" s="57"/>
      <c r="N6" s="201"/>
      <c r="O6" s="5"/>
    </row>
    <row r="7" ht="16.5" customHeight="1" spans="1:18">
      <c r="D7" s="53"/>
      <c r="E7" s="54"/>
      <c r="F7" s="54"/>
      <c r="G7" s="54"/>
      <c r="H7" s="117"/>
      <c r="I7" s="117"/>
      <c r="J7" s="117"/>
      <c r="K7" s="117"/>
      <c r="L7" s="117"/>
      <c r="N7" s="5"/>
      <c r="O7" s="5"/>
    </row>
    <row r="8" ht="16.5" customHeight="1" spans="1:18">
      <c r="A8" s="154"/>
      <c r="B8" s="104" t="s">
        <v>280</v>
      </c>
      <c r="C8" s="203"/>
      <c r="D8" s="204" t="s">
        <v>281</v>
      </c>
      <c r="E8" s="203"/>
      <c r="F8" s="203"/>
      <c r="G8" s="203"/>
      <c r="H8" s="205"/>
      <c r="I8" s="205"/>
      <c r="J8" s="205"/>
      <c r="K8" s="205"/>
      <c r="L8" s="205"/>
      <c r="M8" s="203"/>
      <c r="N8" s="154"/>
      <c r="O8" s="154"/>
      <c r="P8" s="154"/>
      <c r="Q8" s="154"/>
      <c r="R8" s="154"/>
    </row>
    <row r="9" ht="16.5" customHeight="1" spans="1:18">
      <c r="D9" s="206" t="s">
        <v>282</v>
      </c>
      <c r="E9" s="16"/>
      <c r="F9" s="16"/>
      <c r="G9" s="16"/>
      <c r="H9" s="199">
        <v>71.98</v>
      </c>
      <c r="I9" s="199">
        <v>0</v>
      </c>
      <c r="J9" s="207">
        <v>0</v>
      </c>
      <c r="K9" s="207">
        <v>0</v>
      </c>
      <c r="L9" s="207">
        <v>0</v>
      </c>
      <c r="M9" s="15" t="s">
        <v>283</v>
      </c>
      <c r="N9" s="16"/>
      <c r="O9" s="16"/>
      <c r="P9" s="16"/>
      <c r="Q9" s="16"/>
    </row>
    <row r="10" ht="16.5" customHeight="1" spans="1:18">
      <c r="D10" s="206" t="s">
        <v>284</v>
      </c>
      <c r="E10" s="16"/>
      <c r="F10" s="16"/>
      <c r="G10" s="16"/>
      <c r="H10" s="18">
        <v>0</v>
      </c>
      <c r="I10" s="199">
        <v>140.86</v>
      </c>
      <c r="J10" s="207">
        <v>0</v>
      </c>
      <c r="K10" s="207">
        <v>0</v>
      </c>
      <c r="L10" s="207">
        <v>0</v>
      </c>
      <c r="M10" s="15" t="s">
        <v>285</v>
      </c>
      <c r="N10" s="16"/>
      <c r="O10" s="16"/>
      <c r="P10" s="16"/>
      <c r="Q10" s="16"/>
    </row>
    <row r="11" ht="16.5" customHeight="1" spans="1:18">
      <c r="D11" s="17" t="s">
        <v>131</v>
      </c>
      <c r="H11" s="18">
        <v>0</v>
      </c>
      <c r="I11" s="18">
        <v>0</v>
      </c>
      <c r="J11" s="18">
        <v>0</v>
      </c>
      <c r="K11" s="18">
        <v>0</v>
      </c>
      <c r="L11" s="18">
        <f>-AVERAGE('Historical Data'!H154:L154)</f>
        <v>63.756</v>
      </c>
      <c r="M11" s="72"/>
      <c r="N11" s="5"/>
      <c r="O11" s="5"/>
    </row>
    <row r="12" ht="16.5" customHeight="1" spans="1:18">
      <c r="A12" s="154"/>
      <c r="B12" s="104" t="s">
        <v>286</v>
      </c>
      <c r="C12" s="203"/>
      <c r="D12" s="204" t="s">
        <v>228</v>
      </c>
      <c r="E12" s="208"/>
      <c r="F12" s="208"/>
      <c r="G12" s="208"/>
      <c r="H12" s="102">
        <f>SUM(H5:H6,H9:H11)</f>
        <v>71.98</v>
      </c>
      <c r="I12" s="102">
        <f>SUM(I5:I6,I9:I11)</f>
        <v>164.86</v>
      </c>
      <c r="J12" s="102">
        <f>SUM(J5:J6,J9:J11)</f>
        <v>48</v>
      </c>
      <c r="K12" s="102">
        <f>SUM(K5:K6,K9:K11)</f>
        <v>48</v>
      </c>
      <c r="L12" s="102">
        <f>SUM(L5:L6,L9:L11)</f>
        <v>63.756</v>
      </c>
      <c r="M12" s="209"/>
      <c r="N12" s="154"/>
      <c r="O12" s="154"/>
      <c r="P12" s="154"/>
      <c r="Q12" s="154"/>
      <c r="R12" s="154"/>
    </row>
    <row r="13" ht="16.5" customHeight="1" spans="1:18">
      <c r="D13" s="51"/>
      <c r="H13" s="18"/>
      <c r="I13" s="18"/>
      <c r="J13" s="18"/>
      <c r="K13" s="18"/>
      <c r="L13" s="18"/>
      <c r="N13" s="5"/>
      <c r="O13" s="5"/>
    </row>
    <row r="14" ht="33.75" customHeight="1" spans="1:18">
      <c r="A14" s="4"/>
      <c r="B14" s="210" t="s">
        <v>287</v>
      </c>
      <c r="C14" s="4"/>
      <c r="D14" s="211" t="s">
        <v>288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ht="28.5" customHeight="1" spans="1:18">
      <c r="D15" s="212" t="s">
        <v>289</v>
      </c>
      <c r="H15" s="213">
        <v>1.97</v>
      </c>
    </row>
    <row r="16" ht="23.25" customHeight="1" spans="1:18">
      <c r="D16" s="212" t="s">
        <v>290</v>
      </c>
      <c r="H16" s="213">
        <v>2100</v>
      </c>
    </row>
    <row r="17" ht="16.5" customHeight="1" spans="4:15">
      <c r="D17" s="212" t="s">
        <v>291</v>
      </c>
      <c r="H17" s="213">
        <v>89.5</v>
      </c>
    </row>
    <row r="18" ht="28.5" customHeight="1" spans="4:15">
      <c r="D18" s="214" t="s">
        <v>292</v>
      </c>
      <c r="E18" s="215"/>
      <c r="F18" s="215"/>
      <c r="G18" s="215"/>
      <c r="H18" s="216">
        <v>23.25</v>
      </c>
    </row>
    <row r="19" ht="16.5" customHeight="1" spans="4:15">
      <c r="D19" s="217" t="s">
        <v>293</v>
      </c>
      <c r="H19" s="56">
        <f>SUM(H15:H18)</f>
        <v>2214.72</v>
      </c>
      <c r="I19" s="56"/>
      <c r="J19" s="56"/>
      <c r="K19" s="56"/>
      <c r="L19" s="56"/>
      <c r="N19" s="5"/>
      <c r="O19" s="5"/>
    </row>
    <row r="20" ht="16.5" customHeight="1" spans="4:15">
      <c r="D20" s="51"/>
      <c r="H20" s="21"/>
      <c r="I20" s="21"/>
      <c r="J20" s="21"/>
      <c r="K20" s="21"/>
      <c r="L20" s="21"/>
      <c r="N20" s="5"/>
      <c r="O20" s="5"/>
    </row>
    <row r="21" ht="16.5" customHeight="1" spans="4:15">
      <c r="D21" s="57"/>
      <c r="H21" s="21"/>
      <c r="I21" s="21"/>
      <c r="J21" s="21"/>
      <c r="K21" s="21"/>
      <c r="L21" s="21"/>
      <c r="N21" s="5"/>
      <c r="O21" s="5"/>
    </row>
    <row r="22" ht="16.5" customHeight="1" spans="4:15">
      <c r="D22" s="51"/>
      <c r="H22" s="21"/>
      <c r="I22" s="21"/>
      <c r="J22" s="21"/>
      <c r="K22" s="21"/>
      <c r="L22" s="21"/>
      <c r="N22" s="5"/>
      <c r="O22" s="5"/>
    </row>
    <row r="23" ht="16.5" customHeight="1" spans="4:15">
      <c r="D23" s="57"/>
      <c r="H23" s="21"/>
      <c r="I23" s="21"/>
      <c r="J23" s="21"/>
      <c r="K23" s="21"/>
      <c r="L23" s="21"/>
      <c r="N23" s="5"/>
      <c r="O23" s="5"/>
    </row>
    <row r="24" ht="16.5" customHeight="1" spans="4:15">
      <c r="D24" s="51"/>
      <c r="H24" s="21"/>
      <c r="I24" s="21"/>
      <c r="J24" s="21"/>
      <c r="K24" s="21"/>
      <c r="L24" s="21"/>
      <c r="N24" s="5"/>
      <c r="O24" s="5"/>
    </row>
    <row r="25" ht="16.5" customHeight="1" spans="4:15">
      <c r="D25" s="51"/>
      <c r="H25" s="21"/>
      <c r="I25" s="21"/>
      <c r="J25" s="21"/>
      <c r="K25" s="21"/>
      <c r="L25" s="21"/>
      <c r="N25" s="5"/>
      <c r="O25" s="5"/>
    </row>
    <row r="26" ht="16.5" customHeight="1" spans="4:15">
      <c r="D26" s="57"/>
      <c r="H26" s="21"/>
      <c r="I26" s="21"/>
      <c r="J26" s="21"/>
      <c r="K26" s="21"/>
      <c r="L26" s="21"/>
      <c r="N26" s="5"/>
      <c r="O26" s="5"/>
    </row>
    <row r="27" ht="16.5" customHeight="1" spans="4:15">
      <c r="N27" s="5"/>
      <c r="O27" s="5"/>
    </row>
    <row r="28" ht="16.5" customHeight="1" spans="4:15">
      <c r="D28" s="57"/>
      <c r="E28" s="56"/>
      <c r="F28" s="56"/>
      <c r="G28" s="56"/>
      <c r="H28" s="56"/>
      <c r="I28" s="56"/>
      <c r="J28" s="56"/>
      <c r="N28" s="5"/>
      <c r="O28" s="5"/>
    </row>
    <row r="29" ht="16.5" customHeight="1" spans="4:15">
      <c r="D29" s="51"/>
      <c r="H29" s="21"/>
      <c r="I29" s="21"/>
      <c r="J29" s="21"/>
      <c r="K29" s="21"/>
      <c r="L29" s="21"/>
      <c r="N29" s="5"/>
      <c r="O29" s="5"/>
    </row>
    <row r="30" ht="16.5" customHeight="1" spans="4:15">
      <c r="D30" s="51"/>
      <c r="H30" s="21"/>
      <c r="I30" s="21"/>
      <c r="J30" s="21"/>
      <c r="K30" s="21"/>
      <c r="L30" s="21"/>
      <c r="N30" s="5"/>
      <c r="O30" s="5"/>
    </row>
    <row r="31" ht="16.5" customHeight="1" spans="4:15">
      <c r="D31" s="51"/>
      <c r="H31" s="21"/>
      <c r="I31" s="21"/>
      <c r="J31" s="21"/>
      <c r="K31" s="21"/>
      <c r="L31" s="21"/>
      <c r="N31" s="5"/>
      <c r="O31" s="5"/>
    </row>
    <row r="32" ht="16.5" customHeight="1" spans="4:15">
      <c r="D32" s="57"/>
      <c r="H32" s="21"/>
      <c r="I32" s="21"/>
      <c r="J32" s="21"/>
      <c r="K32" s="21"/>
      <c r="L32" s="21"/>
    </row>
    <row r="33" ht="16.5" customHeight="1" spans="3:12">
      <c r="D33" s="56"/>
      <c r="H33" s="56"/>
      <c r="I33" s="56"/>
      <c r="J33" s="56"/>
      <c r="K33" s="56"/>
      <c r="L33" s="56"/>
    </row>
    <row r="34" ht="16.5" customHeight="1" spans="3:12">
      <c r="D34" s="57"/>
      <c r="H34" s="21"/>
      <c r="I34" s="21"/>
      <c r="J34" s="21"/>
      <c r="K34" s="21"/>
      <c r="L34" s="21"/>
    </row>
    <row r="36" ht="16.5" customHeight="1" spans="3:12">
      <c r="C36" s="58"/>
    </row>
    <row r="38" ht="16.5" customHeight="1" spans="3:12">
      <c r="C38" s="34"/>
    </row>
    <row r="39" ht="16.5" customHeight="1" spans="3:12">
      <c r="D39" s="53"/>
    </row>
    <row r="40" ht="16.5" customHeight="1" spans="3:12">
      <c r="D40" s="51"/>
      <c r="H40" s="21"/>
      <c r="I40" s="21"/>
      <c r="J40" s="21"/>
      <c r="K40" s="21"/>
      <c r="L40" s="21"/>
    </row>
    <row r="41" ht="16.5" customHeight="1" spans="3:12">
      <c r="D41" s="51"/>
      <c r="H41" s="21"/>
      <c r="I41" s="21"/>
      <c r="J41" s="21"/>
      <c r="K41" s="21"/>
      <c r="L41" s="21"/>
    </row>
    <row r="42" ht="16.5" customHeight="1" spans="3:12">
      <c r="D42" s="51"/>
      <c r="H42" s="21"/>
      <c r="I42" s="21"/>
      <c r="J42" s="21"/>
      <c r="K42" s="21"/>
      <c r="L42" s="21"/>
    </row>
    <row r="43" ht="16.5" customHeight="1" spans="3:12">
      <c r="D43" s="51"/>
      <c r="H43" s="21"/>
      <c r="I43" s="21"/>
      <c r="J43" s="21"/>
      <c r="K43" s="21"/>
      <c r="L43" s="21"/>
    </row>
    <row r="44" ht="16.5" customHeight="1" spans="3:12">
      <c r="D44" s="51"/>
      <c r="H44" s="21"/>
      <c r="I44" s="21"/>
      <c r="J44" s="21"/>
      <c r="K44" s="21"/>
      <c r="L44" s="21"/>
    </row>
    <row r="45" ht="16.5" customHeight="1" spans="3:12">
      <c r="D45" s="51"/>
      <c r="H45" s="21"/>
      <c r="I45" s="21"/>
      <c r="J45" s="21"/>
      <c r="K45" s="21"/>
      <c r="L45" s="21"/>
    </row>
    <row r="46" ht="16.5" customHeight="1" spans="3:12">
      <c r="D46" s="51"/>
      <c r="H46" s="21"/>
      <c r="I46" s="21"/>
      <c r="J46" s="21"/>
      <c r="K46" s="21"/>
      <c r="L46" s="21"/>
    </row>
    <row r="47" ht="16.5" customHeight="1" spans="3:12">
      <c r="D47" s="51"/>
      <c r="H47" s="21"/>
      <c r="I47" s="21"/>
      <c r="J47" s="21"/>
      <c r="K47" s="21"/>
      <c r="L47" s="21"/>
    </row>
    <row r="48" ht="16.5" customHeight="1" spans="3:12">
      <c r="H48" s="21"/>
      <c r="I48" s="21"/>
      <c r="J48" s="21"/>
      <c r="K48" s="21"/>
      <c r="L48" s="21"/>
    </row>
    <row r="49" ht="16.5" customHeight="1" spans="3:12">
      <c r="D49" s="59"/>
      <c r="E49" s="60"/>
      <c r="H49" s="21"/>
      <c r="I49" s="21"/>
      <c r="J49" s="21"/>
      <c r="K49" s="21"/>
      <c r="L49" s="21"/>
    </row>
    <row r="50" ht="16.5" customHeight="1" spans="3:12">
      <c r="D50" s="59"/>
      <c r="E50" s="60"/>
      <c r="H50" s="21"/>
      <c r="I50" s="21"/>
      <c r="J50" s="21"/>
      <c r="K50" s="21"/>
      <c r="L50" s="21"/>
    </row>
    <row r="51" ht="16.5" customHeight="1" spans="3:12">
      <c r="D51" s="59"/>
      <c r="E51" s="60"/>
      <c r="H51" s="21"/>
      <c r="I51" s="21"/>
      <c r="J51" s="21"/>
      <c r="K51" s="21"/>
      <c r="L51" s="21"/>
    </row>
    <row r="52" ht="16.5" customHeight="1" spans="3:12">
      <c r="D52" s="51"/>
      <c r="H52" s="21"/>
      <c r="I52" s="21"/>
      <c r="J52" s="21"/>
      <c r="K52" s="21"/>
      <c r="L52" s="21"/>
    </row>
    <row r="53" ht="16.5" customHeight="1" spans="3:12">
      <c r="D53" s="51"/>
      <c r="H53" s="21"/>
      <c r="I53" s="21"/>
      <c r="J53" s="21"/>
      <c r="K53" s="21"/>
      <c r="L53" s="21"/>
    </row>
    <row r="54" ht="16.5" customHeight="1" spans="3:12">
      <c r="D54" s="51"/>
      <c r="H54" s="21"/>
      <c r="I54" s="21"/>
      <c r="J54" s="21"/>
      <c r="K54" s="21"/>
      <c r="L54" s="21"/>
    </row>
    <row r="55" ht="16.5" customHeight="1" spans="3:12">
      <c r="D55" s="53"/>
      <c r="E55" s="54"/>
      <c r="F55" s="54"/>
      <c r="G55" s="54"/>
      <c r="H55" s="55"/>
      <c r="I55" s="55"/>
      <c r="J55" s="55"/>
      <c r="K55" s="55"/>
      <c r="L55" s="55"/>
    </row>
    <row r="56" ht="16.5" customHeight="1" spans="3:12">
      <c r="D56" s="56"/>
      <c r="H56" s="56"/>
      <c r="I56" s="56"/>
      <c r="J56" s="56"/>
      <c r="K56" s="56"/>
      <c r="L56" s="56"/>
    </row>
    <row r="57" ht="16.5" customHeight="1" spans="3:12">
      <c r="C57" s="34"/>
      <c r="H57" s="56"/>
      <c r="I57" s="56"/>
      <c r="J57" s="56"/>
      <c r="K57" s="56"/>
      <c r="L57" s="56"/>
    </row>
    <row r="58" ht="16.5" customHeight="1" spans="3:12">
      <c r="D58" s="51"/>
      <c r="H58" s="21"/>
      <c r="I58" s="21"/>
      <c r="J58" s="21"/>
      <c r="K58" s="21"/>
      <c r="L58" s="21"/>
    </row>
    <row r="59" ht="16.5" customHeight="1" spans="3:12">
      <c r="D59" s="51"/>
      <c r="H59" s="21"/>
      <c r="I59" s="21"/>
      <c r="J59" s="21"/>
      <c r="K59" s="21"/>
      <c r="L59" s="21"/>
    </row>
    <row r="61" ht="16.5" customHeight="1" spans="3:12">
      <c r="D61" s="61"/>
      <c r="H61" s="21"/>
      <c r="I61" s="21"/>
      <c r="J61" s="21"/>
      <c r="K61" s="21"/>
      <c r="L61" s="21"/>
    </row>
    <row r="62" ht="16.5" customHeight="1" spans="3:12">
      <c r="D62" s="61"/>
      <c r="H62" s="21"/>
      <c r="I62" s="21"/>
      <c r="J62" s="21"/>
      <c r="K62" s="21"/>
      <c r="L62" s="21"/>
    </row>
    <row r="63" ht="16.5" customHeight="1" spans="3:12">
      <c r="D63" s="61"/>
      <c r="H63" s="21"/>
      <c r="I63" s="21"/>
      <c r="J63" s="21"/>
      <c r="K63" s="21"/>
      <c r="L63" s="21"/>
    </row>
    <row r="64" ht="16.5" customHeight="1" spans="3:12">
      <c r="D64" s="61"/>
      <c r="H64" s="21"/>
      <c r="I64" s="21"/>
      <c r="J64" s="21"/>
      <c r="K64" s="21"/>
      <c r="L64" s="21"/>
    </row>
    <row r="65" ht="16.5" customHeight="1" spans="3:12">
      <c r="D65" s="61"/>
      <c r="H65" s="21"/>
      <c r="I65" s="21"/>
      <c r="J65" s="21"/>
      <c r="K65" s="21"/>
      <c r="L65" s="21"/>
    </row>
    <row r="66" ht="16.5" customHeight="1" spans="3:12">
      <c r="D66" s="61"/>
      <c r="H66" s="21"/>
      <c r="I66" s="21"/>
      <c r="J66" s="21"/>
      <c r="K66" s="21"/>
      <c r="L66" s="21"/>
    </row>
    <row r="67" ht="16.5" customHeight="1" spans="3:12">
      <c r="D67" s="51"/>
      <c r="H67" s="21"/>
      <c r="I67" s="21"/>
      <c r="J67" s="21"/>
      <c r="K67" s="21"/>
      <c r="L67" s="21"/>
    </row>
    <row r="68" ht="16.5" customHeight="1" spans="3:12">
      <c r="D68" s="53"/>
      <c r="E68" s="54"/>
      <c r="F68" s="54"/>
      <c r="G68" s="54"/>
      <c r="H68" s="55"/>
      <c r="I68" s="55"/>
      <c r="J68" s="55"/>
      <c r="K68" s="55"/>
      <c r="L68" s="55"/>
    </row>
    <row r="69" ht="16.5" customHeight="1" spans="3:12">
      <c r="D69" s="56"/>
      <c r="H69" s="56"/>
      <c r="I69" s="56"/>
      <c r="J69" s="56"/>
      <c r="K69" s="56"/>
      <c r="L69" s="56"/>
    </row>
    <row r="70" ht="16.5" customHeight="1" spans="3:12">
      <c r="D70" s="57"/>
      <c r="H70" s="21"/>
      <c r="I70" s="21"/>
      <c r="J70" s="21"/>
      <c r="K70" s="21"/>
      <c r="L70" s="21"/>
    </row>
    <row r="71" ht="16.5" customHeight="1" spans="3:12">
      <c r="D71" s="56"/>
      <c r="H71" s="56"/>
      <c r="I71" s="56"/>
      <c r="J71" s="56"/>
      <c r="K71" s="56"/>
      <c r="L71" s="56"/>
    </row>
    <row r="72" ht="16.5" customHeight="1" spans="3:12">
      <c r="C72" s="34"/>
      <c r="H72" s="56"/>
      <c r="I72" s="56"/>
      <c r="J72" s="56"/>
      <c r="K72" s="56"/>
      <c r="L72" s="56"/>
    </row>
    <row r="73" ht="16.5" customHeight="1" spans="3:12">
      <c r="C73" s="34"/>
      <c r="H73" s="56"/>
      <c r="I73" s="56"/>
      <c r="J73" s="56"/>
      <c r="K73" s="56"/>
      <c r="L73" s="56"/>
    </row>
    <row r="74" ht="16.5" customHeight="1" spans="3:12">
      <c r="D74" s="53"/>
      <c r="H74" s="56"/>
      <c r="I74" s="56"/>
      <c r="J74" s="56"/>
      <c r="K74" s="56"/>
      <c r="L74" s="56"/>
    </row>
    <row r="75" ht="16.5" customHeight="1" spans="3:12">
      <c r="D75" s="51"/>
      <c r="H75" s="21"/>
      <c r="I75" s="21"/>
      <c r="J75" s="21"/>
      <c r="K75" s="21"/>
      <c r="L75" s="21"/>
    </row>
    <row r="76" ht="16.5" customHeight="1" spans="3:12">
      <c r="D76" s="51"/>
      <c r="H76" s="21"/>
      <c r="I76" s="21"/>
      <c r="J76" s="21"/>
      <c r="K76" s="21"/>
      <c r="L76" s="21"/>
    </row>
    <row r="77" ht="16.5" customHeight="1" spans="3:12">
      <c r="D77" s="57"/>
      <c r="H77" s="21"/>
      <c r="I77" s="21"/>
      <c r="J77" s="21"/>
      <c r="K77" s="21"/>
      <c r="L77" s="21"/>
    </row>
    <row r="78" ht="16.5" customHeight="1" spans="3:12">
      <c r="D78" s="51"/>
      <c r="H78" s="21"/>
      <c r="I78" s="21"/>
      <c r="J78" s="21"/>
      <c r="K78" s="21"/>
      <c r="L78" s="21"/>
    </row>
    <row r="79" ht="16.5" customHeight="1" spans="3:12">
      <c r="D79" s="53"/>
      <c r="E79" s="54"/>
      <c r="F79" s="54"/>
      <c r="G79" s="54"/>
      <c r="H79" s="55"/>
      <c r="I79" s="55"/>
      <c r="J79" s="55"/>
      <c r="K79" s="55"/>
      <c r="L79" s="55"/>
    </row>
    <row r="80" ht="16.5" customHeight="1" spans="3:12">
      <c r="D80" s="56"/>
      <c r="H80" s="56"/>
      <c r="I80" s="56"/>
      <c r="J80" s="56"/>
      <c r="K80" s="56"/>
      <c r="L80" s="56"/>
    </row>
    <row r="81" ht="16.5" customHeight="1" spans="3:12">
      <c r="C81" s="34"/>
      <c r="H81" s="56"/>
      <c r="I81" s="56"/>
      <c r="J81" s="56"/>
      <c r="K81" s="56"/>
      <c r="L81" s="56"/>
    </row>
    <row r="82" ht="16.5" customHeight="1" spans="3:12">
      <c r="C82" s="34"/>
      <c r="H82" s="56"/>
      <c r="I82" s="56"/>
      <c r="J82" s="56"/>
      <c r="K82" s="56"/>
      <c r="L82" s="56"/>
    </row>
    <row r="83" ht="16.5" customHeight="1" spans="3:12">
      <c r="D83" s="61"/>
      <c r="H83" s="21"/>
      <c r="I83" s="21"/>
      <c r="J83" s="21"/>
      <c r="K83" s="21"/>
      <c r="L83" s="21"/>
    </row>
    <row r="84" ht="16.5" customHeight="1" spans="3:12">
      <c r="D84" s="61"/>
      <c r="H84" s="21"/>
      <c r="I84" s="21"/>
      <c r="J84" s="21"/>
      <c r="K84" s="21"/>
      <c r="L84" s="21"/>
    </row>
    <row r="85" ht="16.5" customHeight="1" spans="3:12">
      <c r="D85" s="61"/>
      <c r="H85" s="21"/>
      <c r="I85" s="21"/>
      <c r="J85" s="21"/>
      <c r="K85" s="21"/>
      <c r="L85" s="21"/>
    </row>
    <row r="86" ht="16.5" customHeight="1" spans="3:12">
      <c r="D86" s="51"/>
      <c r="H86" s="21"/>
      <c r="I86" s="21"/>
      <c r="J86" s="21"/>
      <c r="K86" s="21"/>
      <c r="L86" s="21"/>
    </row>
    <row r="87" ht="16.5" customHeight="1" spans="3:12">
      <c r="D87" s="51"/>
      <c r="H87" s="21"/>
      <c r="I87" s="21"/>
      <c r="J87" s="21"/>
      <c r="K87" s="21"/>
      <c r="L87" s="21"/>
    </row>
    <row r="88" ht="16.5" customHeight="1" spans="3:12">
      <c r="D88" s="51"/>
      <c r="H88" s="21"/>
      <c r="I88" s="21"/>
      <c r="J88" s="21"/>
      <c r="K88" s="21"/>
      <c r="L88" s="21"/>
    </row>
    <row r="89" ht="16.5" customHeight="1" spans="3:12">
      <c r="D89" s="53"/>
      <c r="E89" s="54"/>
      <c r="F89" s="54"/>
      <c r="G89" s="54"/>
      <c r="H89" s="55"/>
      <c r="I89" s="55"/>
      <c r="J89" s="55"/>
      <c r="K89" s="55"/>
      <c r="L89" s="55"/>
    </row>
    <row r="90" ht="16.5" customHeight="1" spans="3:12">
      <c r="D90" s="56"/>
      <c r="H90" s="56"/>
      <c r="I90" s="56"/>
      <c r="J90" s="56"/>
      <c r="K90" s="56"/>
      <c r="L90" s="56"/>
    </row>
    <row r="91" ht="16.5" customHeight="1" spans="3:12">
      <c r="C91" s="34"/>
      <c r="H91" s="56"/>
      <c r="I91" s="56"/>
      <c r="J91" s="56"/>
      <c r="K91" s="56"/>
      <c r="L91" s="56"/>
    </row>
    <row r="92" ht="16.5" customHeight="1" spans="3:12">
      <c r="C92" s="34"/>
      <c r="H92" s="56"/>
      <c r="I92" s="56"/>
      <c r="J92" s="56"/>
      <c r="K92" s="56"/>
      <c r="L92" s="56"/>
    </row>
    <row r="93" ht="16.5" customHeight="1" spans="3:12">
      <c r="D93" s="61"/>
      <c r="H93" s="21"/>
      <c r="I93" s="21"/>
      <c r="J93" s="21"/>
      <c r="K93" s="21"/>
      <c r="L93" s="21"/>
    </row>
    <row r="94" ht="16.5" customHeight="1" spans="3:12">
      <c r="D94" s="61"/>
      <c r="H94" s="21"/>
      <c r="I94" s="21"/>
      <c r="J94" s="21"/>
      <c r="K94" s="21"/>
      <c r="L94" s="21"/>
    </row>
    <row r="95" ht="16.5" customHeight="1" spans="3:12">
      <c r="D95" s="61"/>
      <c r="H95" s="21"/>
      <c r="I95" s="21"/>
      <c r="J95" s="21"/>
      <c r="K95" s="21"/>
      <c r="L95" s="21"/>
    </row>
    <row r="96" ht="16.5" customHeight="1" spans="3:12">
      <c r="D96" s="61"/>
      <c r="H96" s="21"/>
      <c r="I96" s="21"/>
      <c r="J96" s="21"/>
      <c r="K96" s="21"/>
      <c r="L96" s="21"/>
    </row>
    <row r="97" ht="16.5" customHeight="1" spans="3:12">
      <c r="D97" s="61"/>
      <c r="H97" s="21"/>
      <c r="I97" s="21"/>
      <c r="J97" s="21"/>
      <c r="K97" s="21"/>
      <c r="L97" s="21"/>
    </row>
    <row r="98" ht="16.5" customHeight="1" spans="3:12">
      <c r="D98" s="51"/>
      <c r="H98" s="21"/>
      <c r="I98" s="21"/>
      <c r="J98" s="21"/>
      <c r="K98" s="21"/>
      <c r="L98" s="21"/>
    </row>
    <row r="99" ht="16.5" customHeight="1" spans="3:12">
      <c r="D99" s="51"/>
      <c r="H99" s="21"/>
      <c r="I99" s="21"/>
      <c r="J99" s="21"/>
      <c r="K99" s="21"/>
      <c r="L99" s="21"/>
    </row>
    <row r="100" ht="16.5" customHeight="1" spans="3:12">
      <c r="D100" s="51"/>
      <c r="H100" s="21"/>
      <c r="I100" s="21"/>
      <c r="J100" s="21"/>
      <c r="K100" s="21"/>
      <c r="L100" s="21"/>
    </row>
    <row r="101" ht="16.5" customHeight="1" spans="3:12">
      <c r="D101" s="53"/>
      <c r="E101" s="54"/>
      <c r="F101" s="54"/>
      <c r="G101" s="54"/>
      <c r="H101" s="55"/>
      <c r="I101" s="55"/>
      <c r="J101" s="55"/>
      <c r="K101" s="55"/>
      <c r="L101" s="55"/>
    </row>
    <row r="102" ht="16.5" customHeight="1" spans="3:12">
      <c r="D102" s="56"/>
      <c r="H102" s="56"/>
      <c r="I102" s="56"/>
      <c r="J102" s="56"/>
      <c r="K102" s="56"/>
      <c r="L102" s="56"/>
    </row>
    <row r="103" ht="16.5" customHeight="1" spans="3:12">
      <c r="D103" s="57"/>
      <c r="H103" s="21"/>
      <c r="I103" s="21"/>
      <c r="J103" s="21"/>
      <c r="K103" s="21"/>
      <c r="L103" s="21"/>
    </row>
    <row r="105" ht="16.5" customHeight="1" spans="3:12">
      <c r="C105" s="62"/>
    </row>
    <row r="107" ht="16.5" customHeight="1" spans="3:12">
      <c r="D107" s="53"/>
      <c r="H107" s="21"/>
      <c r="I107" s="21"/>
      <c r="J107" s="21"/>
      <c r="K107" s="21"/>
      <c r="L107" s="21"/>
    </row>
    <row r="108" ht="16.5" customHeight="1" spans="3:12">
      <c r="D108" s="51"/>
      <c r="H108" s="21"/>
      <c r="I108" s="21"/>
      <c r="J108" s="21"/>
      <c r="K108" s="21"/>
      <c r="L108" s="21"/>
    </row>
    <row r="109" ht="16.5" customHeight="1" spans="3:12">
      <c r="D109" s="51"/>
      <c r="H109" s="21"/>
      <c r="I109" s="21"/>
      <c r="J109" s="21"/>
      <c r="K109" s="21"/>
      <c r="L109" s="21"/>
    </row>
    <row r="110" ht="16.5" customHeight="1" spans="3:12">
      <c r="D110" s="51"/>
      <c r="H110" s="21"/>
      <c r="I110" s="21"/>
      <c r="J110" s="21"/>
      <c r="K110" s="21"/>
      <c r="L110" s="21"/>
    </row>
    <row r="111" ht="16.5" customHeight="1" spans="3:12">
      <c r="D111" s="51"/>
      <c r="H111" s="21"/>
      <c r="I111" s="21"/>
      <c r="J111" s="21"/>
      <c r="K111" s="21"/>
      <c r="L111" s="21"/>
    </row>
    <row r="112" ht="16.5" customHeight="1" spans="3:12">
      <c r="D112" s="51"/>
      <c r="H112" s="21"/>
      <c r="I112" s="21"/>
      <c r="J112" s="21"/>
      <c r="K112" s="21"/>
      <c r="L112" s="21"/>
    </row>
    <row r="113" ht="16.5" customHeight="1" spans="4:12">
      <c r="D113" s="51"/>
      <c r="H113" s="21"/>
      <c r="I113" s="21"/>
      <c r="J113" s="21"/>
      <c r="K113" s="21"/>
      <c r="L113" s="21"/>
    </row>
    <row r="114" ht="16.5" customHeight="1" spans="4:12">
      <c r="D114" s="51"/>
      <c r="H114" s="21"/>
      <c r="I114" s="21"/>
      <c r="J114" s="21"/>
      <c r="K114" s="21"/>
      <c r="L114" s="21"/>
    </row>
    <row r="115" ht="16.5" customHeight="1" spans="4:12">
      <c r="D115" s="51"/>
      <c r="H115" s="21"/>
      <c r="I115" s="21"/>
      <c r="J115" s="21"/>
      <c r="K115" s="21"/>
      <c r="L115" s="21"/>
    </row>
    <row r="116" ht="16.5" customHeight="1" spans="4:12">
      <c r="D116" s="53"/>
      <c r="H116" s="55"/>
      <c r="I116" s="55"/>
      <c r="J116" s="55"/>
      <c r="K116" s="55"/>
      <c r="L116" s="55"/>
    </row>
    <row r="117" ht="16.5" customHeight="1" spans="4:12">
      <c r="D117" s="56"/>
      <c r="H117" s="56"/>
      <c r="I117" s="56"/>
      <c r="J117" s="56"/>
      <c r="K117" s="56"/>
      <c r="L117" s="56"/>
    </row>
    <row r="118" ht="16.5" customHeight="1" spans="4:12">
      <c r="D118" s="51"/>
      <c r="H118" s="21"/>
      <c r="I118" s="21"/>
      <c r="J118" s="21"/>
      <c r="K118" s="21"/>
      <c r="L118" s="21"/>
    </row>
    <row r="119" ht="16.5" customHeight="1" spans="4:12">
      <c r="D119" s="51"/>
      <c r="H119" s="21"/>
      <c r="I119" s="21"/>
      <c r="J119" s="21"/>
      <c r="K119" s="21"/>
      <c r="L119" s="21"/>
    </row>
    <row r="120" ht="16.5" customHeight="1" spans="4:12">
      <c r="D120" s="51"/>
      <c r="H120" s="21"/>
      <c r="I120" s="21"/>
      <c r="J120" s="21"/>
      <c r="K120" s="21"/>
      <c r="L120" s="21"/>
    </row>
    <row r="121" ht="16.5" customHeight="1" spans="4:12">
      <c r="D121" s="53"/>
      <c r="H121" s="55"/>
      <c r="I121" s="55"/>
      <c r="J121" s="55"/>
      <c r="K121" s="55"/>
      <c r="L121" s="55"/>
    </row>
    <row r="122" ht="16.5" customHeight="1" spans="4:12">
      <c r="D122" s="51"/>
      <c r="H122" s="21"/>
      <c r="I122" s="21"/>
      <c r="J122" s="21"/>
      <c r="K122" s="21"/>
      <c r="L122" s="21"/>
    </row>
    <row r="123" ht="16.5" customHeight="1" spans="4:12">
      <c r="D123" s="53"/>
      <c r="H123" s="63"/>
      <c r="I123" s="63"/>
      <c r="J123" s="63"/>
      <c r="K123" s="63"/>
      <c r="L123" s="63"/>
    </row>
    <row r="124" ht="16.5" customHeight="1" spans="4:12">
      <c r="D124" s="56"/>
      <c r="H124" s="56"/>
      <c r="I124" s="56"/>
      <c r="J124" s="56"/>
      <c r="K124" s="56"/>
      <c r="L124" s="56"/>
    </row>
    <row r="125" ht="16.5" customHeight="1" spans="4:12">
      <c r="D125" s="53"/>
      <c r="H125" s="56"/>
      <c r="I125" s="56"/>
      <c r="J125" s="56"/>
      <c r="K125" s="56"/>
      <c r="L125" s="56"/>
    </row>
    <row r="126" ht="16.5" customHeight="1" spans="4:12">
      <c r="D126" s="51"/>
      <c r="H126" s="21"/>
      <c r="I126" s="21"/>
      <c r="J126" s="21"/>
      <c r="K126" s="21"/>
      <c r="L126" s="21"/>
    </row>
    <row r="127" ht="16.5" customHeight="1" spans="4:12">
      <c r="D127" s="51"/>
      <c r="H127" s="21"/>
      <c r="I127" s="21"/>
      <c r="J127" s="21"/>
      <c r="K127" s="21"/>
      <c r="L127" s="21"/>
    </row>
    <row r="128" ht="16.5" customHeight="1" spans="4:12">
      <c r="D128" s="51"/>
      <c r="H128" s="21"/>
      <c r="I128" s="21"/>
      <c r="J128" s="21"/>
      <c r="K128" s="21"/>
      <c r="L128" s="21"/>
    </row>
    <row r="129" ht="16.5" customHeight="1" spans="4:12">
      <c r="D129" s="51"/>
      <c r="H129" s="21"/>
      <c r="I129" s="21"/>
      <c r="J129" s="21"/>
      <c r="K129" s="21"/>
      <c r="L129" s="21"/>
    </row>
    <row r="130" ht="16.5" customHeight="1" spans="4:12">
      <c r="D130" s="51"/>
      <c r="H130" s="21"/>
      <c r="I130" s="21"/>
      <c r="J130" s="21"/>
      <c r="K130" s="21"/>
      <c r="L130" s="21"/>
    </row>
    <row r="131" ht="16.5" customHeight="1" spans="4:12">
      <c r="D131" s="51"/>
      <c r="H131" s="21"/>
      <c r="I131" s="21"/>
      <c r="J131" s="21"/>
      <c r="K131" s="21"/>
      <c r="L131" s="21"/>
    </row>
    <row r="132" ht="16.5" customHeight="1" spans="4:12">
      <c r="D132" s="51"/>
      <c r="H132" s="21"/>
      <c r="I132" s="21"/>
      <c r="J132" s="21"/>
      <c r="K132" s="21"/>
      <c r="L132" s="21"/>
    </row>
    <row r="133" ht="16.5" customHeight="1" spans="4:12">
      <c r="D133" s="51"/>
      <c r="H133" s="21"/>
      <c r="I133" s="21"/>
      <c r="J133" s="21"/>
      <c r="K133" s="21"/>
      <c r="L133" s="21"/>
    </row>
    <row r="134" ht="16.5" customHeight="1" spans="4:12">
      <c r="D134" s="51"/>
      <c r="H134" s="21"/>
      <c r="I134" s="21"/>
      <c r="J134" s="21"/>
      <c r="K134" s="21"/>
      <c r="L134" s="21"/>
    </row>
    <row r="135" ht="16.5" customHeight="1" spans="4:12">
      <c r="D135" s="51"/>
      <c r="H135" s="21"/>
      <c r="I135" s="21"/>
      <c r="J135" s="21"/>
      <c r="K135" s="21"/>
      <c r="L135" s="21"/>
    </row>
    <row r="136" ht="16.5" customHeight="1" spans="4:12">
      <c r="D136" s="51"/>
      <c r="H136" s="21"/>
      <c r="I136" s="21"/>
      <c r="J136" s="21"/>
      <c r="K136" s="21"/>
      <c r="L136" s="21"/>
    </row>
    <row r="137" ht="16.5" customHeight="1" spans="4:12">
      <c r="D137" s="51"/>
      <c r="H137" s="21"/>
      <c r="I137" s="21"/>
      <c r="J137" s="21"/>
      <c r="K137" s="21"/>
      <c r="L137" s="21"/>
    </row>
    <row r="138" ht="16.5" customHeight="1" spans="4:12">
      <c r="D138" s="51"/>
      <c r="H138" s="21"/>
      <c r="I138" s="21"/>
      <c r="J138" s="21"/>
      <c r="K138" s="21"/>
      <c r="L138" s="21"/>
    </row>
    <row r="139" ht="16.5" customHeight="1" spans="4:12">
      <c r="D139" s="51"/>
      <c r="H139" s="21"/>
      <c r="I139" s="21"/>
      <c r="J139" s="21"/>
      <c r="K139" s="21"/>
      <c r="L139" s="21"/>
    </row>
    <row r="140" ht="16.5" customHeight="1" spans="4:12">
      <c r="D140" s="51"/>
      <c r="H140" s="21"/>
      <c r="I140" s="21"/>
      <c r="J140" s="21"/>
      <c r="K140" s="21"/>
      <c r="L140" s="21"/>
    </row>
    <row r="141" ht="16.5" customHeight="1" spans="4:12">
      <c r="D141" s="51"/>
      <c r="H141" s="21"/>
      <c r="I141" s="21"/>
      <c r="J141" s="21"/>
      <c r="K141" s="21"/>
      <c r="L141" s="21"/>
    </row>
    <row r="142" ht="16.5" customHeight="1" spans="4:12">
      <c r="D142" s="51"/>
      <c r="H142" s="21"/>
      <c r="I142" s="21"/>
      <c r="J142" s="21"/>
      <c r="K142" s="21"/>
      <c r="L142" s="21"/>
    </row>
    <row r="143" ht="16.5" customHeight="1" spans="4:12">
      <c r="D143" s="51"/>
      <c r="H143" s="21"/>
      <c r="I143" s="21"/>
      <c r="J143" s="21"/>
      <c r="K143" s="21"/>
      <c r="L143" s="21"/>
    </row>
    <row r="144" ht="16.5" customHeight="1" spans="4:12">
      <c r="D144" s="53"/>
      <c r="H144" s="63"/>
      <c r="I144" s="63"/>
      <c r="J144" s="63"/>
      <c r="K144" s="63"/>
      <c r="L144" s="63"/>
    </row>
    <row r="145" ht="16.5" customHeight="1" spans="4:12">
      <c r="D145" s="56"/>
      <c r="H145" s="56"/>
      <c r="I145" s="56"/>
      <c r="J145" s="56"/>
      <c r="K145" s="56"/>
      <c r="L145" s="56"/>
    </row>
    <row r="146" ht="16.5" customHeight="1" spans="4:12">
      <c r="D146" s="53"/>
      <c r="H146" s="56"/>
      <c r="I146" s="56"/>
      <c r="J146" s="56"/>
      <c r="K146" s="56"/>
      <c r="L146" s="56"/>
    </row>
    <row r="147" ht="16.5" customHeight="1" spans="4:12">
      <c r="D147" s="51"/>
      <c r="H147" s="21"/>
      <c r="I147" s="21"/>
      <c r="J147" s="21"/>
      <c r="K147" s="21"/>
      <c r="L147" s="21"/>
    </row>
    <row r="148" ht="16.5" customHeight="1" spans="4:12">
      <c r="D148" s="51"/>
      <c r="H148" s="21"/>
      <c r="I148" s="21"/>
      <c r="J148" s="21"/>
      <c r="K148" s="21"/>
      <c r="L148" s="21"/>
    </row>
    <row r="149" ht="16.5" customHeight="1" spans="4:12">
      <c r="D149" s="51"/>
      <c r="H149" s="21"/>
      <c r="I149" s="21"/>
      <c r="J149" s="21"/>
      <c r="K149" s="21"/>
      <c r="L149" s="21"/>
    </row>
    <row r="150" ht="16.5" customHeight="1" spans="4:12">
      <c r="D150" s="51"/>
      <c r="H150" s="21"/>
      <c r="I150" s="21"/>
      <c r="J150" s="21"/>
      <c r="K150" s="21"/>
      <c r="L150" s="21"/>
    </row>
    <row r="151" ht="16.5" customHeight="1" spans="4:12">
      <c r="D151" s="51"/>
      <c r="H151" s="21"/>
      <c r="I151" s="21"/>
      <c r="J151" s="21"/>
      <c r="K151" s="21"/>
      <c r="L151" s="21"/>
    </row>
    <row r="152" ht="16.5" customHeight="1" spans="4:12">
      <c r="D152" s="51"/>
      <c r="H152" s="21"/>
      <c r="I152" s="21"/>
      <c r="J152" s="21"/>
      <c r="K152" s="21"/>
      <c r="L152" s="21"/>
    </row>
    <row r="153" ht="16.5" customHeight="1" spans="4:12">
      <c r="D153" s="51"/>
      <c r="H153" s="21"/>
      <c r="I153" s="21"/>
      <c r="J153" s="21"/>
      <c r="K153" s="21"/>
      <c r="L153" s="21"/>
    </row>
    <row r="154" ht="16.5" customHeight="1" spans="4:12">
      <c r="D154" s="51"/>
      <c r="H154" s="21"/>
      <c r="I154" s="21"/>
      <c r="J154" s="21"/>
      <c r="K154" s="21"/>
      <c r="L154" s="21"/>
    </row>
    <row r="155" ht="16.5" customHeight="1" spans="4:12">
      <c r="D155" s="51"/>
      <c r="H155" s="21"/>
      <c r="I155" s="21"/>
      <c r="J155" s="21"/>
      <c r="K155" s="21"/>
      <c r="L155" s="21"/>
    </row>
    <row r="156" ht="16.5" customHeight="1" spans="4:12">
      <c r="D156" s="51"/>
      <c r="H156" s="21"/>
      <c r="I156" s="21"/>
      <c r="J156" s="21"/>
      <c r="K156" s="21"/>
      <c r="L156" s="21"/>
    </row>
    <row r="157" ht="16.5" customHeight="1" spans="4:12">
      <c r="D157" s="51"/>
      <c r="H157" s="21"/>
      <c r="I157" s="21"/>
      <c r="J157" s="21"/>
      <c r="K157" s="21"/>
      <c r="L157" s="21"/>
    </row>
    <row r="158" ht="16.5" customHeight="1" spans="4:12">
      <c r="D158" s="51"/>
      <c r="H158" s="21"/>
      <c r="I158" s="21"/>
      <c r="J158" s="21"/>
      <c r="K158" s="21"/>
      <c r="L158" s="21"/>
    </row>
    <row r="159" ht="16.5" customHeight="1" spans="4:12">
      <c r="D159" s="53"/>
      <c r="H159" s="63"/>
      <c r="I159" s="63"/>
      <c r="J159" s="63"/>
      <c r="K159" s="63"/>
      <c r="L159" s="63"/>
    </row>
    <row r="160" ht="16.5" customHeight="1" spans="4:12">
      <c r="D160" s="56"/>
      <c r="H160" s="56"/>
      <c r="I160" s="56"/>
      <c r="J160" s="56"/>
      <c r="K160" s="56"/>
      <c r="L160" s="56"/>
    </row>
    <row r="161" ht="16.5" customHeight="1" spans="4:12">
      <c r="D161" s="53"/>
      <c r="H161" s="55"/>
      <c r="I161" s="55"/>
      <c r="J161" s="55"/>
      <c r="K161" s="55"/>
      <c r="L161" s="55"/>
    </row>
    <row r="162" ht="16.5" customHeight="1" spans="4:12">
      <c r="D162" s="51"/>
      <c r="H162" s="21"/>
      <c r="I162" s="21"/>
      <c r="J162" s="21"/>
      <c r="K162" s="21"/>
      <c r="L162" s="21"/>
    </row>
    <row r="163" ht="16.5" customHeight="1" spans="4:12">
      <c r="D163" s="51"/>
      <c r="H163" s="21"/>
      <c r="I163" s="21"/>
      <c r="J163" s="21"/>
      <c r="K163" s="21"/>
      <c r="L163" s="21"/>
    </row>
    <row r="164" ht="16.5" customHeight="1" spans="4:12">
      <c r="D164" s="51"/>
      <c r="H164" s="21"/>
      <c r="I164" s="21"/>
      <c r="J164" s="21"/>
      <c r="K164" s="21"/>
      <c r="L164" s="21"/>
    </row>
    <row r="165" ht="16.5" customHeight="1" spans="4:12">
      <c r="D165" s="53"/>
      <c r="H165" s="63"/>
      <c r="I165" s="63"/>
      <c r="J165" s="63"/>
      <c r="K165" s="63"/>
      <c r="L165" s="63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65"/>
  <sheetViews>
    <sheetView showGridLines="0" zoomScale="113" zoomScaleNormal="113" workbookViewId="0">
      <selection activeCell="D14" sqref="D14"/>
    </sheetView>
  </sheetViews>
  <sheetFormatPr defaultColWidth="9.16071428571429" defaultRowHeight="16.8"/>
  <cols>
    <col min="1" max="2" width="1.24107142857143" style="1" customWidth="1"/>
    <col min="3" max="3" width="1.24107142857143" style="2" customWidth="1"/>
    <col min="4" max="4" width="40.6428571428571" style="2" customWidth="1"/>
    <col min="5" max="5" width="13.9285714285714" style="2" customWidth="1"/>
    <col min="6" max="6" width="9.14285714285714" style="2"/>
    <col min="7" max="7" width="2.64285714285714" style="2" customWidth="1"/>
    <col min="8" max="12" width="12.6428571428571" style="2" customWidth="1"/>
    <col min="13" max="13" width="9.71428571428571" style="2" customWidth="1"/>
  </cols>
  <sheetData>
    <row r="1" ht="33.75" customHeight="1" spans="1:17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5"/>
      <c r="N1" s="5"/>
      <c r="O1" s="5"/>
      <c r="P1" s="5"/>
      <c r="Q1" s="5"/>
    </row>
    <row r="2" ht="17.25" customHeight="1" spans="1:17">
      <c r="A2" s="175" t="s">
        <v>294</v>
      </c>
      <c r="B2" s="176"/>
      <c r="C2" s="176"/>
      <c r="D2" s="176"/>
      <c r="E2" s="7"/>
      <c r="F2" s="7"/>
      <c r="G2" s="7"/>
      <c r="H2" s="4"/>
      <c r="I2" s="4"/>
      <c r="J2" s="4"/>
      <c r="K2" s="4"/>
      <c r="L2" s="8"/>
      <c r="M2" s="5"/>
      <c r="N2" s="5"/>
      <c r="O2" s="5"/>
      <c r="P2" s="5"/>
      <c r="Q2" s="5"/>
    </row>
    <row r="3" ht="16.5" customHeight="1" spans="1:17"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</row>
    <row r="4" ht="16.5" customHeight="1" spans="1:17">
      <c r="C4" s="184" t="s">
        <v>295</v>
      </c>
      <c r="E4" s="185" t="s">
        <v>296</v>
      </c>
      <c r="F4" s="186"/>
      <c r="G4" s="186"/>
      <c r="H4" s="187">
        <v>2027</v>
      </c>
      <c r="I4" s="187">
        <v>2028</v>
      </c>
      <c r="J4" s="187">
        <v>2029</v>
      </c>
      <c r="K4" s="187">
        <v>2030</v>
      </c>
      <c r="L4" s="187">
        <v>2031</v>
      </c>
      <c r="N4" s="5"/>
      <c r="O4" s="5"/>
    </row>
    <row r="5" ht="16.5" customHeight="1" spans="1:17">
      <c r="D5" s="188" t="s">
        <v>297</v>
      </c>
      <c r="E5" s="189">
        <f>AVERAGE(Models!I7:L7)</f>
        <v>0.0853819149920021</v>
      </c>
      <c r="H5" s="179">
        <f>E5</f>
        <v>0.0853819149920021</v>
      </c>
      <c r="I5" s="179">
        <f>H5*(1-$E$8)</f>
        <v>0.0768437234928019</v>
      </c>
      <c r="J5" s="179">
        <f>I5*(1-$E$8)</f>
        <v>0.0691593511435217</v>
      </c>
      <c r="K5" s="179">
        <f>J5*(1-$E$8)</f>
        <v>0.0622434160291696</v>
      </c>
      <c r="L5" s="179">
        <f>K5*(1-$E$8)</f>
        <v>0.0560190744262526</v>
      </c>
      <c r="N5" s="5"/>
      <c r="O5" s="5"/>
    </row>
    <row r="6" ht="16.5" customHeight="1" spans="1:17">
      <c r="D6" s="190" t="s">
        <v>298</v>
      </c>
      <c r="E6" s="191">
        <f>MAX(Models!I7:L7)</f>
        <v>0.173502905300456</v>
      </c>
      <c r="H6" s="179">
        <f>E6</f>
        <v>0.173502905300456</v>
      </c>
      <c r="I6" s="179">
        <f>H6*(1-$E$8)</f>
        <v>0.15615261477041</v>
      </c>
      <c r="J6" s="179">
        <f>I6*(1-$E$8)</f>
        <v>0.140537353293369</v>
      </c>
      <c r="K6" s="179">
        <f>J6*(1-$E$8)</f>
        <v>0.126483617964032</v>
      </c>
      <c r="L6" s="179">
        <f>K6*(1-$E$8)</f>
        <v>0.113835256167629</v>
      </c>
      <c r="N6" s="5"/>
      <c r="O6" s="5"/>
    </row>
    <row r="7" ht="16.5" customHeight="1" spans="1:17">
      <c r="D7" s="190" t="s">
        <v>149</v>
      </c>
      <c r="E7" s="191">
        <f>MIN(Models!I7:L7)</f>
        <v>0.00421180788207143</v>
      </c>
      <c r="F7" s="54"/>
      <c r="G7" s="54"/>
      <c r="H7" s="179">
        <f>E7</f>
        <v>0.00421180788207143</v>
      </c>
      <c r="I7" s="179">
        <f>H7*(1-$E$8)</f>
        <v>0.00379062709386429</v>
      </c>
      <c r="J7" s="179">
        <f>I7*(1-$E$8)</f>
        <v>0.00341156438447786</v>
      </c>
      <c r="K7" s="179">
        <f>J7*(1-$E$8)</f>
        <v>0.00307040794603007</v>
      </c>
      <c r="L7" s="179">
        <f>K7*(1-$E$8)</f>
        <v>0.00276336715142706</v>
      </c>
      <c r="N7" s="5"/>
      <c r="O7" s="5"/>
    </row>
    <row r="8" ht="16.5" customHeight="1" spans="1:17">
      <c r="D8" s="190" t="s">
        <v>299</v>
      </c>
      <c r="E8" s="192">
        <v>0.1</v>
      </c>
      <c r="H8" s="56"/>
      <c r="I8" s="56"/>
      <c r="J8" s="56"/>
      <c r="K8" s="56"/>
      <c r="L8" s="56"/>
      <c r="N8" s="5"/>
      <c r="O8" s="5"/>
    </row>
    <row r="9" ht="16.5" customHeight="1" spans="1:17">
      <c r="E9" s="16"/>
      <c r="H9" s="56"/>
      <c r="I9" s="56"/>
      <c r="J9" s="56"/>
      <c r="K9" s="56"/>
      <c r="L9" s="56"/>
      <c r="N9" s="5"/>
      <c r="O9" s="5"/>
    </row>
    <row r="10" ht="16.5" customHeight="1" spans="1:17">
      <c r="D10" s="51"/>
      <c r="H10" s="21"/>
      <c r="I10" s="21"/>
      <c r="J10" s="21"/>
      <c r="K10" s="21"/>
      <c r="L10" s="21"/>
      <c r="N10" s="5"/>
      <c r="O10" s="5"/>
    </row>
    <row r="11" ht="16.5" customHeight="1" spans="1:17">
      <c r="D11" s="51"/>
      <c r="H11" s="21"/>
      <c r="I11" s="21"/>
      <c r="J11" s="21"/>
      <c r="K11" s="21"/>
      <c r="L11" s="21"/>
      <c r="N11" s="5"/>
      <c r="O11" s="5"/>
    </row>
    <row r="12" ht="16.5" customHeight="1" spans="1:17">
      <c r="D12" s="51"/>
      <c r="H12" s="21"/>
      <c r="I12" s="21"/>
      <c r="J12" s="21"/>
      <c r="K12" s="21"/>
      <c r="L12" s="21"/>
      <c r="N12" s="5"/>
      <c r="O12" s="5"/>
    </row>
    <row r="13" ht="16.5" customHeight="1" spans="1:17">
      <c r="D13" s="51"/>
      <c r="H13" s="21"/>
      <c r="I13" s="21"/>
      <c r="J13" s="21"/>
      <c r="K13" s="21"/>
      <c r="L13" s="21"/>
      <c r="N13" s="5"/>
      <c r="O13" s="5"/>
    </row>
    <row r="14" ht="16.5" customHeight="1" spans="1:17">
      <c r="D14" s="51"/>
      <c r="H14" s="21"/>
      <c r="I14" s="21"/>
      <c r="J14" s="21"/>
      <c r="K14" s="21"/>
      <c r="L14" s="21"/>
      <c r="N14" s="5"/>
      <c r="O14" s="5"/>
    </row>
    <row r="15" ht="16.5" customHeight="1" spans="1:17">
      <c r="D15" s="51"/>
      <c r="H15" s="21"/>
      <c r="I15" s="21"/>
      <c r="J15" s="21"/>
      <c r="K15" s="21"/>
      <c r="L15" s="21"/>
      <c r="N15" s="5"/>
      <c r="O15" s="5"/>
    </row>
    <row r="16" ht="16.5" customHeight="1" spans="1:17">
      <c r="D16" s="51"/>
      <c r="H16" s="21"/>
      <c r="I16" s="21"/>
      <c r="J16" s="21"/>
      <c r="K16" s="21"/>
      <c r="L16" s="21"/>
      <c r="N16" s="5"/>
      <c r="O16" s="5"/>
    </row>
    <row r="17" ht="16.5" customHeight="1" spans="4:15">
      <c r="D17" s="51"/>
      <c r="H17" s="21"/>
      <c r="I17" s="21"/>
      <c r="J17" s="21"/>
      <c r="K17" s="21"/>
      <c r="L17" s="21"/>
      <c r="N17" s="5"/>
      <c r="O17" s="5"/>
    </row>
    <row r="18" ht="16.5" customHeight="1" spans="4:15">
      <c r="D18" s="53"/>
      <c r="E18" s="54"/>
      <c r="F18" s="54"/>
      <c r="G18" s="54"/>
      <c r="H18" s="55"/>
      <c r="I18" s="55"/>
      <c r="J18" s="55"/>
      <c r="K18" s="55"/>
      <c r="L18" s="55"/>
      <c r="N18" s="5"/>
      <c r="O18" s="5"/>
    </row>
    <row r="19" ht="16.5" customHeight="1" spans="4:15">
      <c r="D19" s="56"/>
      <c r="H19" s="56"/>
      <c r="I19" s="56"/>
      <c r="J19" s="56"/>
      <c r="K19" s="56"/>
      <c r="L19" s="56"/>
      <c r="N19" s="5"/>
      <c r="O19" s="5"/>
    </row>
    <row r="20" ht="16.5" customHeight="1" spans="4:15">
      <c r="D20" s="51"/>
      <c r="H20" s="21"/>
      <c r="I20" s="21"/>
      <c r="J20" s="21"/>
      <c r="K20" s="21"/>
      <c r="L20" s="21"/>
      <c r="N20" s="5"/>
      <c r="O20" s="5"/>
    </row>
    <row r="21" ht="16.5" customHeight="1" spans="4:15">
      <c r="D21" s="57"/>
      <c r="H21" s="21"/>
      <c r="I21" s="21"/>
      <c r="J21" s="21"/>
      <c r="K21" s="21"/>
      <c r="L21" s="21"/>
      <c r="N21" s="5"/>
      <c r="O21" s="5"/>
    </row>
    <row r="22" ht="16.5" customHeight="1" spans="4:15">
      <c r="D22" s="51"/>
      <c r="H22" s="21"/>
      <c r="I22" s="21"/>
      <c r="J22" s="21"/>
      <c r="K22" s="21"/>
      <c r="L22" s="21"/>
      <c r="N22" s="5"/>
      <c r="O22" s="5"/>
    </row>
    <row r="23" ht="16.5" customHeight="1" spans="4:15">
      <c r="D23" s="57"/>
      <c r="H23" s="21"/>
      <c r="I23" s="21"/>
      <c r="J23" s="21"/>
      <c r="K23" s="21"/>
      <c r="L23" s="21"/>
      <c r="N23" s="5"/>
      <c r="O23" s="5"/>
    </row>
    <row r="24" ht="16.5" customHeight="1" spans="4:15">
      <c r="D24" s="51"/>
      <c r="H24" s="21"/>
      <c r="I24" s="21"/>
      <c r="J24" s="21"/>
      <c r="K24" s="21"/>
      <c r="L24" s="21"/>
      <c r="N24" s="5"/>
      <c r="O24" s="5"/>
    </row>
    <row r="25" ht="16.5" customHeight="1" spans="4:15">
      <c r="D25" s="51"/>
      <c r="H25" s="21"/>
      <c r="I25" s="21"/>
      <c r="J25" s="21"/>
      <c r="K25" s="21"/>
      <c r="L25" s="21"/>
      <c r="N25" s="5"/>
      <c r="O25" s="5"/>
    </row>
    <row r="26" ht="16.5" customHeight="1" spans="4:15">
      <c r="D26" s="57"/>
      <c r="H26" s="21"/>
      <c r="I26" s="21"/>
      <c r="J26" s="21"/>
      <c r="K26" s="21"/>
      <c r="L26" s="21"/>
      <c r="N26" s="5"/>
      <c r="O26" s="5"/>
    </row>
    <row r="27" ht="16.5" customHeight="1" spans="4:15">
      <c r="N27" s="5"/>
      <c r="O27" s="5"/>
    </row>
    <row r="28" ht="16.5" customHeight="1" spans="4:15">
      <c r="D28" s="57"/>
      <c r="E28" s="56"/>
      <c r="F28" s="56"/>
      <c r="G28" s="56"/>
      <c r="H28" s="56"/>
      <c r="I28" s="56"/>
      <c r="J28" s="56"/>
      <c r="N28" s="5"/>
      <c r="O28" s="5"/>
    </row>
    <row r="29" ht="16.5" customHeight="1" spans="4:15">
      <c r="D29" s="51"/>
      <c r="H29" s="21"/>
      <c r="I29" s="21"/>
      <c r="J29" s="21"/>
      <c r="K29" s="21"/>
      <c r="L29" s="21"/>
      <c r="N29" s="5"/>
      <c r="O29" s="5"/>
    </row>
    <row r="30" ht="16.5" customHeight="1" spans="4:15">
      <c r="D30" s="51"/>
      <c r="H30" s="21"/>
      <c r="I30" s="21"/>
      <c r="J30" s="21"/>
      <c r="K30" s="21"/>
      <c r="L30" s="21"/>
      <c r="N30" s="5"/>
      <c r="O30" s="5"/>
    </row>
    <row r="31" ht="16.5" customHeight="1" spans="4:15">
      <c r="D31" s="51"/>
      <c r="H31" s="21"/>
      <c r="I31" s="21"/>
      <c r="J31" s="21"/>
      <c r="K31" s="21"/>
      <c r="L31" s="21"/>
      <c r="N31" s="5"/>
      <c r="O31" s="5"/>
    </row>
    <row r="32" ht="16.5" customHeight="1" spans="4:15">
      <c r="D32" s="57"/>
      <c r="H32" s="21"/>
      <c r="I32" s="21"/>
      <c r="J32" s="21"/>
      <c r="K32" s="21"/>
      <c r="L32" s="21"/>
    </row>
    <row r="33" ht="16.5" customHeight="1" spans="3:12">
      <c r="D33" s="56"/>
      <c r="H33" s="56"/>
      <c r="I33" s="56"/>
      <c r="J33" s="56"/>
      <c r="K33" s="56"/>
      <c r="L33" s="56"/>
    </row>
    <row r="34" ht="16.5" customHeight="1" spans="3:12">
      <c r="D34" s="57"/>
      <c r="H34" s="21"/>
      <c r="I34" s="21"/>
      <c r="J34" s="21"/>
      <c r="K34" s="21"/>
      <c r="L34" s="21"/>
    </row>
    <row r="36" ht="16.5" customHeight="1" spans="3:12">
      <c r="C36" s="58"/>
    </row>
    <row r="38" ht="16.5" customHeight="1" spans="3:12">
      <c r="C38" s="34"/>
    </row>
    <row r="39" ht="16.5" customHeight="1" spans="3:12">
      <c r="D39" s="53"/>
    </row>
    <row r="40" ht="16.5" customHeight="1" spans="3:12">
      <c r="D40" s="51"/>
      <c r="H40" s="21"/>
      <c r="I40" s="21"/>
      <c r="J40" s="21"/>
      <c r="K40" s="21"/>
      <c r="L40" s="21"/>
    </row>
    <row r="41" ht="16.5" customHeight="1" spans="3:12">
      <c r="D41" s="51"/>
      <c r="H41" s="21"/>
      <c r="I41" s="21"/>
      <c r="J41" s="21"/>
      <c r="K41" s="21"/>
      <c r="L41" s="21"/>
    </row>
    <row r="42" ht="16.5" customHeight="1" spans="3:12">
      <c r="D42" s="51"/>
      <c r="H42" s="21"/>
      <c r="I42" s="21"/>
      <c r="J42" s="21"/>
      <c r="K42" s="21"/>
      <c r="L42" s="21"/>
    </row>
    <row r="43" ht="16.5" customHeight="1" spans="3:12">
      <c r="D43" s="51"/>
      <c r="H43" s="21"/>
      <c r="I43" s="21"/>
      <c r="J43" s="21"/>
      <c r="K43" s="21"/>
      <c r="L43" s="21"/>
    </row>
    <row r="44" ht="16.5" customHeight="1" spans="3:12">
      <c r="D44" s="51"/>
      <c r="H44" s="21"/>
      <c r="I44" s="21"/>
      <c r="J44" s="21"/>
      <c r="K44" s="21"/>
      <c r="L44" s="21"/>
    </row>
    <row r="45" ht="16.5" customHeight="1" spans="3:12">
      <c r="D45" s="51"/>
      <c r="H45" s="21"/>
      <c r="I45" s="21"/>
      <c r="J45" s="21"/>
      <c r="K45" s="21"/>
      <c r="L45" s="21"/>
    </row>
    <row r="46" ht="16.5" customHeight="1" spans="3:12">
      <c r="D46" s="51"/>
      <c r="H46" s="21"/>
      <c r="I46" s="21"/>
      <c r="J46" s="21"/>
      <c r="K46" s="21"/>
      <c r="L46" s="21"/>
    </row>
    <row r="47" ht="16.5" customHeight="1" spans="3:12">
      <c r="D47" s="51"/>
      <c r="H47" s="21"/>
      <c r="I47" s="21"/>
      <c r="J47" s="21"/>
      <c r="K47" s="21"/>
      <c r="L47" s="21"/>
    </row>
    <row r="48" ht="16.5" customHeight="1" spans="3:12">
      <c r="H48" s="21"/>
      <c r="I48" s="21"/>
      <c r="J48" s="21"/>
      <c r="K48" s="21"/>
      <c r="L48" s="21"/>
    </row>
    <row r="49" ht="16.5" customHeight="1" spans="3:12">
      <c r="D49" s="59"/>
      <c r="E49" s="60"/>
      <c r="H49" s="21"/>
      <c r="I49" s="21"/>
      <c r="J49" s="21"/>
      <c r="K49" s="21"/>
      <c r="L49" s="21"/>
    </row>
    <row r="50" ht="16.5" customHeight="1" spans="3:12">
      <c r="D50" s="59"/>
      <c r="E50" s="60"/>
      <c r="H50" s="21"/>
      <c r="I50" s="21"/>
      <c r="J50" s="21"/>
      <c r="K50" s="21"/>
      <c r="L50" s="21"/>
    </row>
    <row r="51" ht="16.5" customHeight="1" spans="3:12">
      <c r="D51" s="59"/>
      <c r="E51" s="60"/>
      <c r="H51" s="21"/>
      <c r="I51" s="21"/>
      <c r="J51" s="21"/>
      <c r="K51" s="21"/>
      <c r="L51" s="21"/>
    </row>
    <row r="52" ht="16.5" customHeight="1" spans="3:12">
      <c r="D52" s="51"/>
      <c r="H52" s="21"/>
      <c r="I52" s="21"/>
      <c r="J52" s="21"/>
      <c r="K52" s="21"/>
      <c r="L52" s="21"/>
    </row>
    <row r="53" ht="16.5" customHeight="1" spans="3:12">
      <c r="D53" s="51"/>
      <c r="H53" s="21"/>
      <c r="I53" s="21"/>
      <c r="J53" s="21"/>
      <c r="K53" s="21"/>
      <c r="L53" s="21"/>
    </row>
    <row r="54" ht="16.5" customHeight="1" spans="3:12">
      <c r="D54" s="51"/>
      <c r="H54" s="21"/>
      <c r="I54" s="21"/>
      <c r="J54" s="21"/>
      <c r="K54" s="21"/>
      <c r="L54" s="21"/>
    </row>
    <row r="55" ht="16.5" customHeight="1" spans="3:12">
      <c r="D55" s="53"/>
      <c r="E55" s="54"/>
      <c r="F55" s="54"/>
      <c r="G55" s="54"/>
      <c r="H55" s="55"/>
      <c r="I55" s="55"/>
      <c r="J55" s="55"/>
      <c r="K55" s="55"/>
      <c r="L55" s="55"/>
    </row>
    <row r="56" ht="16.5" customHeight="1" spans="3:12">
      <c r="D56" s="56"/>
      <c r="H56" s="56"/>
      <c r="I56" s="56"/>
      <c r="J56" s="56"/>
      <c r="K56" s="56"/>
      <c r="L56" s="56"/>
    </row>
    <row r="57" ht="16.5" customHeight="1" spans="3:12">
      <c r="C57" s="34"/>
      <c r="H57" s="56"/>
      <c r="I57" s="56"/>
      <c r="J57" s="56"/>
      <c r="K57" s="56"/>
      <c r="L57" s="56"/>
    </row>
    <row r="58" ht="16.5" customHeight="1" spans="3:12">
      <c r="D58" s="51"/>
      <c r="H58" s="21"/>
      <c r="I58" s="21"/>
      <c r="J58" s="21"/>
      <c r="K58" s="21"/>
      <c r="L58" s="21"/>
    </row>
    <row r="59" ht="16.5" customHeight="1" spans="3:12">
      <c r="D59" s="51"/>
      <c r="H59" s="21"/>
      <c r="I59" s="21"/>
      <c r="J59" s="21"/>
      <c r="K59" s="21"/>
      <c r="L59" s="21"/>
    </row>
    <row r="61" ht="16.5" customHeight="1" spans="3:12">
      <c r="D61" s="61"/>
      <c r="H61" s="21"/>
      <c r="I61" s="21"/>
      <c r="J61" s="21"/>
      <c r="K61" s="21"/>
      <c r="L61" s="21"/>
    </row>
    <row r="62" ht="16.5" customHeight="1" spans="3:12">
      <c r="D62" s="61"/>
      <c r="H62" s="21"/>
      <c r="I62" s="21"/>
      <c r="J62" s="21"/>
      <c r="K62" s="21"/>
      <c r="L62" s="21"/>
    </row>
    <row r="63" ht="16.5" customHeight="1" spans="3:12">
      <c r="D63" s="61"/>
      <c r="H63" s="21"/>
      <c r="I63" s="21"/>
      <c r="J63" s="21"/>
      <c r="K63" s="21"/>
      <c r="L63" s="21"/>
    </row>
    <row r="64" ht="16.5" customHeight="1" spans="3:12">
      <c r="D64" s="61"/>
      <c r="H64" s="21"/>
      <c r="I64" s="21"/>
      <c r="J64" s="21"/>
      <c r="K64" s="21"/>
      <c r="L64" s="21"/>
    </row>
    <row r="65" ht="16.5" customHeight="1" spans="3:12">
      <c r="D65" s="61"/>
      <c r="H65" s="21"/>
      <c r="I65" s="21"/>
      <c r="J65" s="21"/>
      <c r="K65" s="21"/>
      <c r="L65" s="21"/>
    </row>
    <row r="66" ht="16.5" customHeight="1" spans="3:12">
      <c r="D66" s="61"/>
      <c r="H66" s="21"/>
      <c r="I66" s="21"/>
      <c r="J66" s="21"/>
      <c r="K66" s="21"/>
      <c r="L66" s="21"/>
    </row>
    <row r="67" ht="16.5" customHeight="1" spans="3:12">
      <c r="D67" s="51"/>
      <c r="H67" s="21"/>
      <c r="I67" s="21"/>
      <c r="J67" s="21"/>
      <c r="K67" s="21"/>
      <c r="L67" s="21"/>
    </row>
    <row r="68" ht="16.5" customHeight="1" spans="3:12">
      <c r="D68" s="53"/>
      <c r="E68" s="54"/>
      <c r="F68" s="54"/>
      <c r="G68" s="54"/>
      <c r="H68" s="55"/>
      <c r="I68" s="55"/>
      <c r="J68" s="55"/>
      <c r="K68" s="55"/>
      <c r="L68" s="55"/>
    </row>
    <row r="69" ht="16.5" customHeight="1" spans="3:12">
      <c r="D69" s="56"/>
      <c r="H69" s="56"/>
      <c r="I69" s="56"/>
      <c r="J69" s="56"/>
      <c r="K69" s="56"/>
      <c r="L69" s="56"/>
    </row>
    <row r="70" ht="16.5" customHeight="1" spans="3:12">
      <c r="D70" s="57"/>
      <c r="H70" s="21"/>
      <c r="I70" s="21"/>
      <c r="J70" s="21"/>
      <c r="K70" s="21"/>
      <c r="L70" s="21"/>
    </row>
    <row r="71" ht="16.5" customHeight="1" spans="3:12">
      <c r="D71" s="56"/>
      <c r="H71" s="56"/>
      <c r="I71" s="56"/>
      <c r="J71" s="56"/>
      <c r="K71" s="56"/>
      <c r="L71" s="56"/>
    </row>
    <row r="72" ht="16.5" customHeight="1" spans="3:12">
      <c r="C72" s="34"/>
      <c r="H72" s="56"/>
      <c r="I72" s="56"/>
      <c r="J72" s="56"/>
      <c r="K72" s="56"/>
      <c r="L72" s="56"/>
    </row>
    <row r="73" ht="16.5" customHeight="1" spans="3:12">
      <c r="C73" s="34"/>
      <c r="H73" s="56"/>
      <c r="I73" s="56"/>
      <c r="J73" s="56"/>
      <c r="K73" s="56"/>
      <c r="L73" s="56"/>
    </row>
    <row r="74" ht="16.5" customHeight="1" spans="3:12">
      <c r="D74" s="53"/>
      <c r="H74" s="56"/>
      <c r="I74" s="56"/>
      <c r="J74" s="56"/>
      <c r="K74" s="56"/>
      <c r="L74" s="56"/>
    </row>
    <row r="75" ht="16.5" customHeight="1" spans="3:12">
      <c r="D75" s="51"/>
      <c r="H75" s="21"/>
      <c r="I75" s="21"/>
      <c r="J75" s="21"/>
      <c r="K75" s="21"/>
      <c r="L75" s="21"/>
    </row>
    <row r="76" ht="16.5" customHeight="1" spans="3:12">
      <c r="D76" s="51"/>
      <c r="H76" s="21"/>
      <c r="I76" s="21"/>
      <c r="J76" s="21"/>
      <c r="K76" s="21"/>
      <c r="L76" s="21"/>
    </row>
    <row r="77" ht="16.5" customHeight="1" spans="3:12">
      <c r="D77" s="57"/>
      <c r="H77" s="21"/>
      <c r="I77" s="21"/>
      <c r="J77" s="21"/>
      <c r="K77" s="21"/>
      <c r="L77" s="21"/>
    </row>
    <row r="78" ht="16.5" customHeight="1" spans="3:12">
      <c r="D78" s="51"/>
      <c r="H78" s="21"/>
      <c r="I78" s="21"/>
      <c r="J78" s="21"/>
      <c r="K78" s="21"/>
      <c r="L78" s="21"/>
    </row>
    <row r="79" ht="16.5" customHeight="1" spans="3:12">
      <c r="D79" s="53"/>
      <c r="E79" s="54"/>
      <c r="F79" s="54"/>
      <c r="G79" s="54"/>
      <c r="H79" s="55"/>
      <c r="I79" s="55"/>
      <c r="J79" s="55"/>
      <c r="K79" s="55"/>
      <c r="L79" s="55"/>
    </row>
    <row r="80" ht="16.5" customHeight="1" spans="3:12">
      <c r="D80" s="56"/>
      <c r="H80" s="56"/>
      <c r="I80" s="56"/>
      <c r="J80" s="56"/>
      <c r="K80" s="56"/>
      <c r="L80" s="56"/>
    </row>
    <row r="81" ht="16.5" customHeight="1" spans="3:12">
      <c r="C81" s="34"/>
      <c r="H81" s="56"/>
      <c r="I81" s="56"/>
      <c r="J81" s="56"/>
      <c r="K81" s="56"/>
      <c r="L81" s="56"/>
    </row>
    <row r="82" ht="16.5" customHeight="1" spans="3:12">
      <c r="C82" s="34"/>
      <c r="H82" s="56"/>
      <c r="I82" s="56"/>
      <c r="J82" s="56"/>
      <c r="K82" s="56"/>
      <c r="L82" s="56"/>
    </row>
    <row r="83" ht="16.5" customHeight="1" spans="3:12">
      <c r="D83" s="61"/>
      <c r="H83" s="21"/>
      <c r="I83" s="21"/>
      <c r="J83" s="21"/>
      <c r="K83" s="21"/>
      <c r="L83" s="21"/>
    </row>
    <row r="84" ht="16.5" customHeight="1" spans="3:12">
      <c r="D84" s="61"/>
      <c r="H84" s="21"/>
      <c r="I84" s="21"/>
      <c r="J84" s="21"/>
      <c r="K84" s="21"/>
      <c r="L84" s="21"/>
    </row>
    <row r="85" ht="16.5" customHeight="1" spans="3:12">
      <c r="D85" s="61"/>
      <c r="H85" s="21"/>
      <c r="I85" s="21"/>
      <c r="J85" s="21"/>
      <c r="K85" s="21"/>
      <c r="L85" s="21"/>
    </row>
    <row r="86" ht="16.5" customHeight="1" spans="3:12">
      <c r="D86" s="51"/>
      <c r="H86" s="21"/>
      <c r="I86" s="21"/>
      <c r="J86" s="21"/>
      <c r="K86" s="21"/>
      <c r="L86" s="21"/>
    </row>
    <row r="87" ht="16.5" customHeight="1" spans="3:12">
      <c r="D87" s="51"/>
      <c r="H87" s="21"/>
      <c r="I87" s="21"/>
      <c r="J87" s="21"/>
      <c r="K87" s="21"/>
      <c r="L87" s="21"/>
    </row>
    <row r="88" ht="16.5" customHeight="1" spans="3:12">
      <c r="D88" s="51"/>
      <c r="H88" s="21"/>
      <c r="I88" s="21"/>
      <c r="J88" s="21"/>
      <c r="K88" s="21"/>
      <c r="L88" s="21"/>
    </row>
    <row r="89" ht="16.5" customHeight="1" spans="3:12">
      <c r="D89" s="53"/>
      <c r="E89" s="54"/>
      <c r="F89" s="54"/>
      <c r="G89" s="54"/>
      <c r="H89" s="55"/>
      <c r="I89" s="55"/>
      <c r="J89" s="55"/>
      <c r="K89" s="55"/>
      <c r="L89" s="55"/>
    </row>
    <row r="90" ht="16.5" customHeight="1" spans="3:12">
      <c r="D90" s="56"/>
      <c r="H90" s="56"/>
      <c r="I90" s="56"/>
      <c r="J90" s="56"/>
      <c r="K90" s="56"/>
      <c r="L90" s="56"/>
    </row>
    <row r="91" ht="16.5" customHeight="1" spans="3:12">
      <c r="C91" s="34"/>
      <c r="H91" s="56"/>
      <c r="I91" s="56"/>
      <c r="J91" s="56"/>
      <c r="K91" s="56"/>
      <c r="L91" s="56"/>
    </row>
    <row r="92" ht="16.5" customHeight="1" spans="3:12">
      <c r="C92" s="34"/>
      <c r="H92" s="56"/>
      <c r="I92" s="56"/>
      <c r="J92" s="56"/>
      <c r="K92" s="56"/>
      <c r="L92" s="56"/>
    </row>
    <row r="93" ht="16.5" customHeight="1" spans="3:12">
      <c r="D93" s="61"/>
      <c r="H93" s="21"/>
      <c r="I93" s="21"/>
      <c r="J93" s="21"/>
      <c r="K93" s="21"/>
      <c r="L93" s="21"/>
    </row>
    <row r="94" ht="16.5" customHeight="1" spans="3:12">
      <c r="D94" s="61"/>
      <c r="H94" s="21"/>
      <c r="I94" s="21"/>
      <c r="J94" s="21"/>
      <c r="K94" s="21"/>
      <c r="L94" s="21"/>
    </row>
    <row r="95" ht="16.5" customHeight="1" spans="3:12">
      <c r="D95" s="61"/>
      <c r="H95" s="21"/>
      <c r="I95" s="21"/>
      <c r="J95" s="21"/>
      <c r="K95" s="21"/>
      <c r="L95" s="21"/>
    </row>
    <row r="96" ht="16.5" customHeight="1" spans="3:12">
      <c r="D96" s="61"/>
      <c r="H96" s="21"/>
      <c r="I96" s="21"/>
      <c r="J96" s="21"/>
      <c r="K96" s="21"/>
      <c r="L96" s="21"/>
    </row>
    <row r="97" ht="16.5" customHeight="1" spans="3:12">
      <c r="D97" s="61"/>
      <c r="H97" s="21"/>
      <c r="I97" s="21"/>
      <c r="J97" s="21"/>
      <c r="K97" s="21"/>
      <c r="L97" s="21"/>
    </row>
    <row r="98" ht="16.5" customHeight="1" spans="3:12">
      <c r="D98" s="51"/>
      <c r="H98" s="21"/>
      <c r="I98" s="21"/>
      <c r="J98" s="21"/>
      <c r="K98" s="21"/>
      <c r="L98" s="21"/>
    </row>
    <row r="99" ht="16.5" customHeight="1" spans="3:12">
      <c r="D99" s="51"/>
      <c r="H99" s="21"/>
      <c r="I99" s="21"/>
      <c r="J99" s="21"/>
      <c r="K99" s="21"/>
      <c r="L99" s="21"/>
    </row>
    <row r="100" ht="16.5" customHeight="1" spans="3:12">
      <c r="D100" s="51"/>
      <c r="H100" s="21"/>
      <c r="I100" s="21"/>
      <c r="J100" s="21"/>
      <c r="K100" s="21"/>
      <c r="L100" s="21"/>
    </row>
    <row r="101" ht="16.5" customHeight="1" spans="3:12">
      <c r="D101" s="53"/>
      <c r="E101" s="54"/>
      <c r="F101" s="54"/>
      <c r="G101" s="54"/>
      <c r="H101" s="55"/>
      <c r="I101" s="55"/>
      <c r="J101" s="55"/>
      <c r="K101" s="55"/>
      <c r="L101" s="55"/>
    </row>
    <row r="102" ht="16.5" customHeight="1" spans="3:12">
      <c r="D102" s="56"/>
      <c r="H102" s="56"/>
      <c r="I102" s="56"/>
      <c r="J102" s="56"/>
      <c r="K102" s="56"/>
      <c r="L102" s="56"/>
    </row>
    <row r="103" ht="16.5" customHeight="1" spans="3:12">
      <c r="D103" s="57"/>
      <c r="H103" s="21"/>
      <c r="I103" s="21"/>
      <c r="J103" s="21"/>
      <c r="K103" s="21"/>
      <c r="L103" s="21"/>
    </row>
    <row r="105" ht="16.5" customHeight="1" spans="3:12">
      <c r="C105" s="62"/>
    </row>
    <row r="107" ht="16.5" customHeight="1" spans="3:12">
      <c r="D107" s="53"/>
      <c r="H107" s="21"/>
      <c r="I107" s="21"/>
      <c r="J107" s="21"/>
      <c r="K107" s="21"/>
      <c r="L107" s="21"/>
    </row>
    <row r="108" ht="16.5" customHeight="1" spans="3:12">
      <c r="D108" s="51"/>
      <c r="H108" s="21"/>
      <c r="I108" s="21"/>
      <c r="J108" s="21"/>
      <c r="K108" s="21"/>
      <c r="L108" s="21"/>
    </row>
    <row r="109" ht="16.5" customHeight="1" spans="3:12">
      <c r="D109" s="51"/>
      <c r="H109" s="21"/>
      <c r="I109" s="21"/>
      <c r="J109" s="21"/>
      <c r="K109" s="21"/>
      <c r="L109" s="21"/>
    </row>
    <row r="110" ht="16.5" customHeight="1" spans="3:12">
      <c r="D110" s="51"/>
      <c r="H110" s="21"/>
      <c r="I110" s="21"/>
      <c r="J110" s="21"/>
      <c r="K110" s="21"/>
      <c r="L110" s="21"/>
    </row>
    <row r="111" ht="16.5" customHeight="1" spans="3:12">
      <c r="D111" s="51"/>
      <c r="H111" s="21"/>
      <c r="I111" s="21"/>
      <c r="J111" s="21"/>
      <c r="K111" s="21"/>
      <c r="L111" s="21"/>
    </row>
    <row r="112" ht="16.5" customHeight="1" spans="3:12">
      <c r="D112" s="51"/>
      <c r="H112" s="21"/>
      <c r="I112" s="21"/>
      <c r="J112" s="21"/>
      <c r="K112" s="21"/>
      <c r="L112" s="21"/>
    </row>
    <row r="113" ht="16.5" customHeight="1" spans="4:12">
      <c r="D113" s="51"/>
      <c r="H113" s="21"/>
      <c r="I113" s="21"/>
      <c r="J113" s="21"/>
      <c r="K113" s="21"/>
      <c r="L113" s="21"/>
    </row>
    <row r="114" ht="16.5" customHeight="1" spans="4:12">
      <c r="D114" s="51"/>
      <c r="H114" s="21"/>
      <c r="I114" s="21"/>
      <c r="J114" s="21"/>
      <c r="K114" s="21"/>
      <c r="L114" s="21"/>
    </row>
    <row r="115" ht="16.5" customHeight="1" spans="4:12">
      <c r="D115" s="51"/>
      <c r="H115" s="21"/>
      <c r="I115" s="21"/>
      <c r="J115" s="21"/>
      <c r="K115" s="21"/>
      <c r="L115" s="21"/>
    </row>
    <row r="116" ht="16.5" customHeight="1" spans="4:12">
      <c r="D116" s="53"/>
      <c r="H116" s="55"/>
      <c r="I116" s="55"/>
      <c r="J116" s="55"/>
      <c r="K116" s="55"/>
      <c r="L116" s="55"/>
    </row>
    <row r="117" ht="16.5" customHeight="1" spans="4:12">
      <c r="D117" s="56"/>
      <c r="H117" s="56"/>
      <c r="I117" s="56"/>
      <c r="J117" s="56"/>
      <c r="K117" s="56"/>
      <c r="L117" s="56"/>
    </row>
    <row r="118" ht="16.5" customHeight="1" spans="4:12">
      <c r="D118" s="51"/>
      <c r="H118" s="21"/>
      <c r="I118" s="21"/>
      <c r="J118" s="21"/>
      <c r="K118" s="21"/>
      <c r="L118" s="21"/>
    </row>
    <row r="119" ht="16.5" customHeight="1" spans="4:12">
      <c r="D119" s="51"/>
      <c r="H119" s="21"/>
      <c r="I119" s="21"/>
      <c r="J119" s="21"/>
      <c r="K119" s="21"/>
      <c r="L119" s="21"/>
    </row>
    <row r="120" ht="16.5" customHeight="1" spans="4:12">
      <c r="D120" s="51"/>
      <c r="H120" s="21"/>
      <c r="I120" s="21"/>
      <c r="J120" s="21"/>
      <c r="K120" s="21"/>
      <c r="L120" s="21"/>
    </row>
    <row r="121" ht="16.5" customHeight="1" spans="4:12">
      <c r="D121" s="53"/>
      <c r="H121" s="55"/>
      <c r="I121" s="55"/>
      <c r="J121" s="55"/>
      <c r="K121" s="55"/>
      <c r="L121" s="55"/>
    </row>
    <row r="122" ht="16.5" customHeight="1" spans="4:12">
      <c r="D122" s="51"/>
      <c r="H122" s="21"/>
      <c r="I122" s="21"/>
      <c r="J122" s="21"/>
      <c r="K122" s="21"/>
      <c r="L122" s="21"/>
    </row>
    <row r="123" ht="16.5" customHeight="1" spans="4:12">
      <c r="D123" s="53"/>
      <c r="H123" s="63"/>
      <c r="I123" s="63"/>
      <c r="J123" s="63"/>
      <c r="K123" s="63"/>
      <c r="L123" s="63"/>
    </row>
    <row r="124" ht="16.5" customHeight="1" spans="4:12">
      <c r="D124" s="56"/>
      <c r="H124" s="56"/>
      <c r="I124" s="56"/>
      <c r="J124" s="56"/>
      <c r="K124" s="56"/>
      <c r="L124" s="56"/>
    </row>
    <row r="125" ht="16.5" customHeight="1" spans="4:12">
      <c r="D125" s="53"/>
      <c r="H125" s="56"/>
      <c r="I125" s="56"/>
      <c r="J125" s="56"/>
      <c r="K125" s="56"/>
      <c r="L125" s="56"/>
    </row>
    <row r="126" ht="16.5" customHeight="1" spans="4:12">
      <c r="D126" s="51"/>
      <c r="H126" s="21"/>
      <c r="I126" s="21"/>
      <c r="J126" s="21"/>
      <c r="K126" s="21"/>
      <c r="L126" s="21"/>
    </row>
    <row r="127" ht="16.5" customHeight="1" spans="4:12">
      <c r="D127" s="51"/>
      <c r="H127" s="21"/>
      <c r="I127" s="21"/>
      <c r="J127" s="21"/>
      <c r="K127" s="21"/>
      <c r="L127" s="21"/>
    </row>
    <row r="128" ht="16.5" customHeight="1" spans="4:12">
      <c r="D128" s="51"/>
      <c r="H128" s="21"/>
      <c r="I128" s="21"/>
      <c r="J128" s="21"/>
      <c r="K128" s="21"/>
      <c r="L128" s="21"/>
    </row>
    <row r="129" ht="16.5" customHeight="1" spans="4:12">
      <c r="D129" s="51"/>
      <c r="H129" s="21"/>
      <c r="I129" s="21"/>
      <c r="J129" s="21"/>
      <c r="K129" s="21"/>
      <c r="L129" s="21"/>
    </row>
    <row r="130" ht="16.5" customHeight="1" spans="4:12">
      <c r="D130" s="51"/>
      <c r="H130" s="21"/>
      <c r="I130" s="21"/>
      <c r="J130" s="21"/>
      <c r="K130" s="21"/>
      <c r="L130" s="21"/>
    </row>
    <row r="131" ht="16.5" customHeight="1" spans="4:12">
      <c r="D131" s="51"/>
      <c r="H131" s="21"/>
      <c r="I131" s="21"/>
      <c r="J131" s="21"/>
      <c r="K131" s="21"/>
      <c r="L131" s="21"/>
    </row>
    <row r="132" ht="16.5" customHeight="1" spans="4:12">
      <c r="D132" s="51"/>
      <c r="H132" s="21"/>
      <c r="I132" s="21"/>
      <c r="J132" s="21"/>
      <c r="K132" s="21"/>
      <c r="L132" s="21"/>
    </row>
    <row r="133" ht="16.5" customHeight="1" spans="4:12">
      <c r="D133" s="51"/>
      <c r="H133" s="21"/>
      <c r="I133" s="21"/>
      <c r="J133" s="21"/>
      <c r="K133" s="21"/>
      <c r="L133" s="21"/>
    </row>
    <row r="134" ht="16.5" customHeight="1" spans="4:12">
      <c r="D134" s="51"/>
      <c r="H134" s="21"/>
      <c r="I134" s="21"/>
      <c r="J134" s="21"/>
      <c r="K134" s="21"/>
      <c r="L134" s="21"/>
    </row>
    <row r="135" ht="16.5" customHeight="1" spans="4:12">
      <c r="D135" s="51"/>
      <c r="H135" s="21"/>
      <c r="I135" s="21"/>
      <c r="J135" s="21"/>
      <c r="K135" s="21"/>
      <c r="L135" s="21"/>
    </row>
    <row r="136" ht="16.5" customHeight="1" spans="4:12">
      <c r="D136" s="51"/>
      <c r="H136" s="21"/>
      <c r="I136" s="21"/>
      <c r="J136" s="21"/>
      <c r="K136" s="21"/>
      <c r="L136" s="21"/>
    </row>
    <row r="137" ht="16.5" customHeight="1" spans="4:12">
      <c r="D137" s="51"/>
      <c r="H137" s="21"/>
      <c r="I137" s="21"/>
      <c r="J137" s="21"/>
      <c r="K137" s="21"/>
      <c r="L137" s="21"/>
    </row>
    <row r="138" ht="16.5" customHeight="1" spans="4:12">
      <c r="D138" s="51"/>
      <c r="H138" s="21"/>
      <c r="I138" s="21"/>
      <c r="J138" s="21"/>
      <c r="K138" s="21"/>
      <c r="L138" s="21"/>
    </row>
    <row r="139" ht="16.5" customHeight="1" spans="4:12">
      <c r="D139" s="51"/>
      <c r="H139" s="21"/>
      <c r="I139" s="21"/>
      <c r="J139" s="21"/>
      <c r="K139" s="21"/>
      <c r="L139" s="21"/>
    </row>
    <row r="140" ht="16.5" customHeight="1" spans="4:12">
      <c r="D140" s="51"/>
      <c r="H140" s="21"/>
      <c r="I140" s="21"/>
      <c r="J140" s="21"/>
      <c r="K140" s="21"/>
      <c r="L140" s="21"/>
    </row>
    <row r="141" ht="16.5" customHeight="1" spans="4:12">
      <c r="D141" s="51"/>
      <c r="H141" s="21"/>
      <c r="I141" s="21"/>
      <c r="J141" s="21"/>
      <c r="K141" s="21"/>
      <c r="L141" s="21"/>
    </row>
    <row r="142" ht="16.5" customHeight="1" spans="4:12">
      <c r="D142" s="51"/>
      <c r="H142" s="21"/>
      <c r="I142" s="21"/>
      <c r="J142" s="21"/>
      <c r="K142" s="21"/>
      <c r="L142" s="21"/>
    </row>
    <row r="143" ht="16.5" customHeight="1" spans="4:12">
      <c r="D143" s="51"/>
      <c r="H143" s="21"/>
      <c r="I143" s="21"/>
      <c r="J143" s="21"/>
      <c r="K143" s="21"/>
      <c r="L143" s="21"/>
    </row>
    <row r="144" ht="16.5" customHeight="1" spans="4:12">
      <c r="D144" s="53"/>
      <c r="H144" s="63"/>
      <c r="I144" s="63"/>
      <c r="J144" s="63"/>
      <c r="K144" s="63"/>
      <c r="L144" s="63"/>
    </row>
    <row r="145" ht="16.5" customHeight="1" spans="4:12">
      <c r="D145" s="56"/>
      <c r="H145" s="56"/>
      <c r="I145" s="56"/>
      <c r="J145" s="56"/>
      <c r="K145" s="56"/>
      <c r="L145" s="56"/>
    </row>
    <row r="146" ht="16.5" customHeight="1" spans="4:12">
      <c r="D146" s="53"/>
      <c r="H146" s="56"/>
      <c r="I146" s="56"/>
      <c r="J146" s="56"/>
      <c r="K146" s="56"/>
      <c r="L146" s="56"/>
    </row>
    <row r="147" ht="16.5" customHeight="1" spans="4:12">
      <c r="D147" s="51"/>
      <c r="H147" s="21"/>
      <c r="I147" s="21"/>
      <c r="J147" s="21"/>
      <c r="K147" s="21"/>
      <c r="L147" s="21"/>
    </row>
    <row r="148" ht="16.5" customHeight="1" spans="4:12">
      <c r="D148" s="51"/>
      <c r="H148" s="21"/>
      <c r="I148" s="21"/>
      <c r="J148" s="21"/>
      <c r="K148" s="21"/>
      <c r="L148" s="21"/>
    </row>
    <row r="149" ht="16.5" customHeight="1" spans="4:12">
      <c r="D149" s="51"/>
      <c r="H149" s="21"/>
      <c r="I149" s="21"/>
      <c r="J149" s="21"/>
      <c r="K149" s="21"/>
      <c r="L149" s="21"/>
    </row>
    <row r="150" ht="16.5" customHeight="1" spans="4:12">
      <c r="D150" s="51"/>
      <c r="H150" s="21"/>
      <c r="I150" s="21"/>
      <c r="J150" s="21"/>
      <c r="K150" s="21"/>
      <c r="L150" s="21"/>
    </row>
    <row r="151" ht="16.5" customHeight="1" spans="4:12">
      <c r="D151" s="51"/>
      <c r="H151" s="21"/>
      <c r="I151" s="21"/>
      <c r="J151" s="21"/>
      <c r="K151" s="21"/>
      <c r="L151" s="21"/>
    </row>
    <row r="152" ht="16.5" customHeight="1" spans="4:12">
      <c r="D152" s="51"/>
      <c r="H152" s="21"/>
      <c r="I152" s="21"/>
      <c r="J152" s="21"/>
      <c r="K152" s="21"/>
      <c r="L152" s="21"/>
    </row>
    <row r="153" ht="16.5" customHeight="1" spans="4:12">
      <c r="D153" s="51"/>
      <c r="H153" s="21"/>
      <c r="I153" s="21"/>
      <c r="J153" s="21"/>
      <c r="K153" s="21"/>
      <c r="L153" s="21"/>
    </row>
    <row r="154" ht="16.5" customHeight="1" spans="4:12">
      <c r="D154" s="51"/>
      <c r="H154" s="21"/>
      <c r="I154" s="21"/>
      <c r="J154" s="21"/>
      <c r="K154" s="21"/>
      <c r="L154" s="21"/>
    </row>
    <row r="155" ht="16.5" customHeight="1" spans="4:12">
      <c r="D155" s="51"/>
      <c r="H155" s="21"/>
      <c r="I155" s="21"/>
      <c r="J155" s="21"/>
      <c r="K155" s="21"/>
      <c r="L155" s="21"/>
    </row>
    <row r="156" ht="16.5" customHeight="1" spans="4:12">
      <c r="D156" s="51"/>
      <c r="H156" s="21"/>
      <c r="I156" s="21"/>
      <c r="J156" s="21"/>
      <c r="K156" s="21"/>
      <c r="L156" s="21"/>
    </row>
    <row r="157" ht="16.5" customHeight="1" spans="4:12">
      <c r="D157" s="51"/>
      <c r="H157" s="21"/>
      <c r="I157" s="21"/>
      <c r="J157" s="21"/>
      <c r="K157" s="21"/>
      <c r="L157" s="21"/>
    </row>
    <row r="158" ht="16.5" customHeight="1" spans="4:12">
      <c r="D158" s="51"/>
      <c r="H158" s="21"/>
      <c r="I158" s="21"/>
      <c r="J158" s="21"/>
      <c r="K158" s="21"/>
      <c r="L158" s="21"/>
    </row>
    <row r="159" ht="16.5" customHeight="1" spans="4:12">
      <c r="D159" s="53"/>
      <c r="H159" s="63"/>
      <c r="I159" s="63"/>
      <c r="J159" s="63"/>
      <c r="K159" s="63"/>
      <c r="L159" s="63"/>
    </row>
    <row r="160" ht="16.5" customHeight="1" spans="4:12">
      <c r="D160" s="56"/>
      <c r="H160" s="56"/>
      <c r="I160" s="56"/>
      <c r="J160" s="56"/>
      <c r="K160" s="56"/>
      <c r="L160" s="56"/>
    </row>
    <row r="161" ht="16.5" customHeight="1" spans="4:12">
      <c r="D161" s="53"/>
      <c r="H161" s="55"/>
      <c r="I161" s="55"/>
      <c r="J161" s="55"/>
      <c r="K161" s="55"/>
      <c r="L161" s="55"/>
    </row>
    <row r="162" ht="16.5" customHeight="1" spans="4:12">
      <c r="D162" s="51"/>
      <c r="H162" s="21"/>
      <c r="I162" s="21"/>
      <c r="J162" s="21"/>
      <c r="K162" s="21"/>
      <c r="L162" s="21"/>
    </row>
    <row r="163" ht="16.5" customHeight="1" spans="4:12">
      <c r="D163" s="51"/>
      <c r="H163" s="21"/>
      <c r="I163" s="21"/>
      <c r="J163" s="21"/>
      <c r="K163" s="21"/>
      <c r="L163" s="21"/>
    </row>
    <row r="164" ht="16.5" customHeight="1" spans="4:12">
      <c r="D164" s="51"/>
      <c r="H164" s="21"/>
      <c r="I164" s="21"/>
      <c r="J164" s="21"/>
      <c r="K164" s="21"/>
      <c r="L164" s="21"/>
    </row>
    <row r="165" ht="16.5" customHeight="1" spans="4:12">
      <c r="D165" s="53"/>
      <c r="H165" s="63"/>
      <c r="I165" s="63"/>
      <c r="J165" s="63"/>
      <c r="K165" s="63"/>
      <c r="L165" s="63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23"/>
  <sheetViews>
    <sheetView showGridLines="0" zoomScale="90" zoomScaleNormal="90" workbookViewId="0">
      <selection activeCell="J10" sqref="J10"/>
    </sheetView>
  </sheetViews>
  <sheetFormatPr defaultColWidth="9.16071428571429" defaultRowHeight="16.8"/>
  <cols>
    <col min="1" max="2" width="1.24107142857143" style="1" customWidth="1"/>
    <col min="3" max="3" width="1.24107142857143" style="2" customWidth="1"/>
    <col min="4" max="4" width="40.6428571428571" style="2" customWidth="1"/>
    <col min="5" max="5" width="13.9285714285714" style="2" customWidth="1"/>
    <col min="6" max="6" width="9.14285714285714" style="2"/>
    <col min="7" max="7" width="2.64285714285714" style="2" customWidth="1"/>
    <col min="8" max="12" width="12.6428571428571" style="2" customWidth="1"/>
    <col min="13" max="13" width="9.71428571428571" style="2" customWidth="1"/>
  </cols>
  <sheetData>
    <row r="1" ht="33.75" customHeight="1" spans="1:17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5"/>
      <c r="N1" s="5"/>
      <c r="O1" s="5"/>
      <c r="P1" s="5"/>
      <c r="Q1" s="5"/>
    </row>
    <row r="2" ht="17.25" customHeight="1" spans="1:17">
      <c r="A2" s="175" t="s">
        <v>300</v>
      </c>
      <c r="B2" s="176"/>
      <c r="C2" s="176"/>
      <c r="D2" s="176"/>
      <c r="E2" s="7"/>
      <c r="F2" s="7"/>
      <c r="G2" s="7"/>
      <c r="H2" s="4"/>
      <c r="I2" s="4"/>
      <c r="J2" s="4"/>
      <c r="K2" s="4"/>
      <c r="L2" s="8"/>
      <c r="M2" s="5"/>
      <c r="N2" s="5"/>
      <c r="O2" s="5"/>
      <c r="P2" s="5"/>
      <c r="Q2" s="5"/>
    </row>
    <row r="3" ht="16.5" customHeight="1" spans="1:17"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</row>
    <row r="4" ht="16.5" customHeight="1" spans="1:17">
      <c r="C4" s="64"/>
      <c r="D4" s="5"/>
      <c r="E4" s="5"/>
      <c r="F4" s="5"/>
      <c r="G4" s="5"/>
      <c r="H4" s="5"/>
      <c r="I4" s="5"/>
      <c r="J4" s="5"/>
      <c r="K4" s="5"/>
      <c r="L4" s="177"/>
      <c r="N4" s="5"/>
      <c r="O4" s="5"/>
    </row>
    <row r="5" ht="16.5" customHeight="1" spans="1:17">
      <c r="D5" s="178"/>
      <c r="E5" s="178" t="s">
        <v>301</v>
      </c>
      <c r="F5" s="5"/>
      <c r="J5" s="5"/>
      <c r="K5" s="5"/>
      <c r="L5" s="179"/>
      <c r="N5" s="5"/>
      <c r="O5" s="5"/>
    </row>
    <row r="6" ht="16.5" customHeight="1" spans="1:17">
      <c r="D6" s="178" t="s">
        <v>242</v>
      </c>
      <c r="E6" s="178" t="s">
        <v>302</v>
      </c>
      <c r="F6" s="5"/>
      <c r="J6" s="5"/>
      <c r="K6" s="5"/>
      <c r="L6" s="179"/>
      <c r="N6" s="5"/>
      <c r="O6" s="5"/>
    </row>
    <row r="7" ht="16.5" customHeight="1" spans="1:17">
      <c r="D7" s="180">
        <v>46230</v>
      </c>
      <c r="E7" s="181">
        <v>23995.95</v>
      </c>
      <c r="F7" s="5"/>
      <c r="H7" s="54" t="s">
        <v>303</v>
      </c>
      <c r="J7" s="182">
        <v>9</v>
      </c>
      <c r="K7" s="5"/>
      <c r="L7" s="179"/>
      <c r="N7" s="5"/>
      <c r="O7" s="5"/>
    </row>
    <row r="8" ht="16.5" customHeight="1" spans="1:17">
      <c r="D8" s="180">
        <v>46227</v>
      </c>
      <c r="E8" s="181">
        <v>23767.45</v>
      </c>
      <c r="F8" s="5"/>
      <c r="H8" s="54"/>
      <c r="K8" s="5"/>
      <c r="L8" s="56"/>
      <c r="N8" s="5"/>
      <c r="O8" s="5"/>
    </row>
    <row r="9" ht="16.5" customHeight="1" spans="1:17">
      <c r="D9" s="180">
        <v>46226</v>
      </c>
      <c r="E9" s="181">
        <v>23869.6</v>
      </c>
      <c r="F9" s="5"/>
      <c r="H9" s="54" t="s">
        <v>304</v>
      </c>
      <c r="J9" s="183">
        <f>_xlfn.RRI(J7,E2623,E7)</f>
        <v>0.130388716842143</v>
      </c>
      <c r="K9" s="5"/>
      <c r="L9" s="56"/>
      <c r="N9" s="5"/>
      <c r="O9" s="5"/>
    </row>
    <row r="10" ht="16.5" customHeight="1" spans="1:17">
      <c r="D10" s="180">
        <v>46225</v>
      </c>
      <c r="E10" s="181">
        <v>23996.25</v>
      </c>
      <c r="F10" s="5"/>
      <c r="J10" s="5"/>
      <c r="K10" s="5"/>
      <c r="L10" s="21"/>
      <c r="N10" s="5"/>
      <c r="O10" s="5"/>
    </row>
    <row r="11" ht="16.5" customHeight="1" spans="1:17">
      <c r="D11" s="180">
        <v>46224</v>
      </c>
      <c r="E11" s="181">
        <v>24187.7</v>
      </c>
      <c r="F11" s="5"/>
      <c r="J11" s="5"/>
      <c r="K11" s="5"/>
      <c r="L11" s="21"/>
      <c r="N11" s="5"/>
      <c r="O11" s="5"/>
    </row>
    <row r="12" ht="16.5" customHeight="1" spans="1:17">
      <c r="D12" s="180">
        <v>46223</v>
      </c>
      <c r="E12" s="181">
        <v>24238.5</v>
      </c>
      <c r="F12" s="5"/>
      <c r="J12" s="5"/>
      <c r="K12" s="5"/>
      <c r="L12" s="21"/>
      <c r="N12" s="5"/>
      <c r="O12" s="5"/>
    </row>
    <row r="13" ht="16.5" customHeight="1" spans="1:17">
      <c r="D13" s="180">
        <v>46220</v>
      </c>
      <c r="E13" s="181">
        <v>24334.3</v>
      </c>
      <c r="F13" s="5"/>
      <c r="J13" s="5"/>
      <c r="K13" s="5"/>
      <c r="L13" s="21"/>
      <c r="N13" s="5"/>
      <c r="O13" s="5"/>
    </row>
    <row r="14" ht="16.5" customHeight="1" spans="1:17">
      <c r="D14" s="180">
        <v>46219</v>
      </c>
      <c r="E14" s="181">
        <v>24072.75</v>
      </c>
      <c r="F14" s="5"/>
      <c r="J14" s="5"/>
      <c r="K14" s="5"/>
      <c r="L14" s="21"/>
      <c r="N14" s="5"/>
      <c r="O14" s="5"/>
    </row>
    <row r="15" ht="16.5" customHeight="1" spans="1:17">
      <c r="D15" s="180">
        <v>46218</v>
      </c>
      <c r="E15" s="181">
        <v>24078.5</v>
      </c>
      <c r="F15" s="5"/>
      <c r="J15" s="5"/>
      <c r="K15" s="5"/>
      <c r="L15" s="21"/>
      <c r="N15" s="5"/>
      <c r="O15" s="5"/>
    </row>
    <row r="16" ht="16.5" customHeight="1" spans="1:17">
      <c r="D16" s="180">
        <v>46217</v>
      </c>
      <c r="E16" s="181">
        <v>24052.05</v>
      </c>
      <c r="F16" s="5"/>
      <c r="J16" s="5"/>
      <c r="K16" s="5"/>
      <c r="L16" s="21"/>
      <c r="N16" s="5"/>
      <c r="O16" s="5"/>
    </row>
    <row r="17" ht="16.5" customHeight="1" spans="4:15">
      <c r="D17" s="180">
        <v>46216</v>
      </c>
      <c r="E17" s="181">
        <v>24211</v>
      </c>
      <c r="F17" s="5"/>
      <c r="J17" s="5"/>
      <c r="K17" s="5"/>
      <c r="L17" s="21"/>
      <c r="N17" s="5"/>
      <c r="O17" s="5"/>
    </row>
    <row r="18" ht="16.5" customHeight="1" spans="4:15">
      <c r="D18" s="180">
        <v>46213</v>
      </c>
      <c r="E18" s="181">
        <v>24206.9</v>
      </c>
      <c r="F18" s="5"/>
      <c r="J18" s="5"/>
      <c r="K18" s="5"/>
      <c r="L18" s="55"/>
      <c r="N18" s="5"/>
      <c r="O18" s="5"/>
    </row>
    <row r="19" ht="16.5" customHeight="1" spans="4:15">
      <c r="D19" s="180">
        <v>46212</v>
      </c>
      <c r="E19" s="181">
        <v>23962.8</v>
      </c>
      <c r="F19" s="5"/>
      <c r="J19" s="5"/>
      <c r="K19" s="5"/>
      <c r="L19" s="56"/>
      <c r="N19" s="5"/>
      <c r="O19" s="5"/>
    </row>
    <row r="20" ht="16.5" customHeight="1" spans="4:15">
      <c r="D20" s="180">
        <v>46211</v>
      </c>
      <c r="E20" s="181">
        <v>23882.05</v>
      </c>
      <c r="F20" s="5"/>
      <c r="J20" s="5"/>
      <c r="K20" s="5"/>
      <c r="L20" s="21"/>
      <c r="N20" s="5"/>
      <c r="O20" s="5"/>
    </row>
    <row r="21" ht="16.5" customHeight="1" spans="4:15">
      <c r="D21" s="180">
        <v>46210</v>
      </c>
      <c r="E21" s="181">
        <v>24398.7</v>
      </c>
      <c r="F21" s="5"/>
      <c r="J21" s="5"/>
      <c r="K21" s="5"/>
      <c r="L21" s="21"/>
      <c r="N21" s="5"/>
      <c r="O21" s="5"/>
    </row>
    <row r="22" ht="16.5" customHeight="1" spans="4:15">
      <c r="D22" s="180">
        <v>46209</v>
      </c>
      <c r="E22" s="181">
        <v>24430.35</v>
      </c>
      <c r="F22" s="5"/>
      <c r="J22" s="5"/>
      <c r="K22" s="5"/>
      <c r="L22" s="21"/>
      <c r="N22" s="5"/>
      <c r="O22" s="5"/>
    </row>
    <row r="23" ht="16.5" customHeight="1" spans="4:15">
      <c r="D23" s="180">
        <v>46206</v>
      </c>
      <c r="E23" s="181">
        <v>24270.85</v>
      </c>
      <c r="F23" s="5"/>
      <c r="J23" s="5"/>
      <c r="K23" s="5"/>
      <c r="L23" s="21"/>
      <c r="N23" s="5"/>
      <c r="O23" s="5"/>
    </row>
    <row r="24" ht="16.5" customHeight="1" spans="4:15">
      <c r="D24" s="180">
        <v>46205</v>
      </c>
      <c r="E24" s="181">
        <v>24175.7</v>
      </c>
      <c r="F24" s="5"/>
      <c r="J24" s="5"/>
      <c r="K24" s="5"/>
      <c r="L24" s="21"/>
      <c r="N24" s="5"/>
      <c r="O24" s="5"/>
    </row>
    <row r="25" ht="16.5" customHeight="1" spans="4:15">
      <c r="D25" s="180">
        <v>46204</v>
      </c>
      <c r="E25" s="181">
        <v>24005.85</v>
      </c>
      <c r="F25" s="5"/>
      <c r="J25" s="5"/>
      <c r="K25" s="5"/>
      <c r="L25" s="21"/>
      <c r="N25" s="5"/>
      <c r="O25" s="5"/>
    </row>
    <row r="26" ht="16.5" customHeight="1" spans="4:15">
      <c r="D26" s="180">
        <v>46203</v>
      </c>
      <c r="E26" s="181">
        <v>23865.75</v>
      </c>
      <c r="F26" s="5"/>
      <c r="J26" s="5"/>
      <c r="K26" s="5"/>
      <c r="L26" s="21"/>
      <c r="N26" s="5"/>
      <c r="O26" s="5"/>
    </row>
    <row r="27" ht="16.5" customHeight="1" spans="4:15">
      <c r="D27" s="180">
        <v>46202</v>
      </c>
      <c r="E27" s="181">
        <v>23946.25</v>
      </c>
      <c r="F27" s="5"/>
      <c r="J27" s="5"/>
      <c r="K27" s="5"/>
      <c r="N27" s="5"/>
      <c r="O27" s="5"/>
    </row>
    <row r="28" ht="16.5" customHeight="1" spans="4:15">
      <c r="D28" s="180">
        <v>46198</v>
      </c>
      <c r="E28" s="181">
        <v>24056</v>
      </c>
      <c r="F28" s="5"/>
      <c r="J28" s="5"/>
      <c r="K28" s="5"/>
      <c r="N28" s="5"/>
      <c r="O28" s="5"/>
    </row>
    <row r="29" ht="16.5" customHeight="1" spans="4:15">
      <c r="D29" s="180">
        <v>46197</v>
      </c>
      <c r="E29" s="181">
        <v>24021.65</v>
      </c>
      <c r="F29" s="5"/>
      <c r="J29" s="5"/>
      <c r="K29" s="5"/>
      <c r="L29" s="21"/>
      <c r="N29" s="5"/>
      <c r="O29" s="5"/>
    </row>
    <row r="30" ht="16.5" customHeight="1" spans="4:15">
      <c r="D30" s="180">
        <v>46196</v>
      </c>
      <c r="E30" s="181">
        <v>23824.1</v>
      </c>
      <c r="F30" s="5"/>
      <c r="J30" s="5"/>
      <c r="K30" s="5"/>
      <c r="L30" s="21"/>
      <c r="N30" s="5"/>
      <c r="O30" s="5"/>
    </row>
    <row r="31" ht="16.5" customHeight="1" spans="4:15">
      <c r="D31" s="180">
        <v>46195</v>
      </c>
      <c r="E31" s="181">
        <v>24102.9</v>
      </c>
      <c r="F31" s="5"/>
      <c r="J31" s="5"/>
      <c r="K31" s="5"/>
      <c r="L31" s="21"/>
      <c r="N31" s="5"/>
      <c r="O31" s="5"/>
    </row>
    <row r="32" ht="16.5" customHeight="1" spans="4:15">
      <c r="D32" s="180">
        <v>46192</v>
      </c>
      <c r="E32" s="181">
        <v>24013.1</v>
      </c>
      <c r="F32" s="5"/>
      <c r="J32" s="5"/>
      <c r="K32" s="5"/>
      <c r="L32" s="21"/>
    </row>
    <row r="33" ht="16.5" customHeight="1" spans="3:12">
      <c r="D33" s="180">
        <v>46191</v>
      </c>
      <c r="E33" s="181">
        <v>24168</v>
      </c>
      <c r="F33" s="5"/>
      <c r="J33" s="5"/>
      <c r="K33" s="5"/>
      <c r="L33" s="56"/>
    </row>
    <row r="34" ht="16.5" customHeight="1" spans="3:12">
      <c r="D34" s="180">
        <v>46190</v>
      </c>
      <c r="E34" s="181">
        <v>24085.7</v>
      </c>
      <c r="F34" s="5"/>
      <c r="J34" s="5"/>
      <c r="K34" s="5"/>
      <c r="L34" s="21"/>
    </row>
    <row r="35" ht="16.5" customHeight="1" spans="3:12">
      <c r="D35" s="180">
        <v>46189</v>
      </c>
      <c r="E35" s="181">
        <v>23989.15</v>
      </c>
      <c r="F35" s="5"/>
      <c r="J35" s="5"/>
      <c r="K35" s="5"/>
    </row>
    <row r="36" ht="16.5" customHeight="1" spans="3:12">
      <c r="C36" s="58"/>
      <c r="D36" s="180">
        <v>46188</v>
      </c>
      <c r="E36" s="181">
        <v>23853.9</v>
      </c>
      <c r="F36" s="5"/>
      <c r="J36" s="5"/>
      <c r="K36" s="5"/>
    </row>
    <row r="37" ht="16.5" customHeight="1" spans="3:12">
      <c r="D37" s="180">
        <v>46185</v>
      </c>
      <c r="E37" s="181">
        <v>23622.9</v>
      </c>
      <c r="F37" s="5"/>
      <c r="J37" s="5"/>
      <c r="K37" s="5"/>
    </row>
    <row r="38" ht="16.5" customHeight="1" spans="3:12">
      <c r="C38" s="34"/>
      <c r="D38" s="180">
        <v>46184</v>
      </c>
      <c r="E38" s="181">
        <v>23161.6</v>
      </c>
      <c r="F38" s="5"/>
      <c r="J38" s="5"/>
      <c r="K38" s="5"/>
    </row>
    <row r="39" ht="16.5" customHeight="1" spans="3:12">
      <c r="D39" s="180">
        <v>46183</v>
      </c>
      <c r="E39" s="181">
        <v>23214.95</v>
      </c>
      <c r="F39" s="5"/>
      <c r="J39" s="5"/>
      <c r="K39" s="5"/>
    </row>
    <row r="40" ht="16.5" customHeight="1" spans="3:12">
      <c r="D40" s="180">
        <v>46182</v>
      </c>
      <c r="E40" s="181">
        <v>23242.1</v>
      </c>
      <c r="F40" s="5"/>
      <c r="J40" s="5"/>
      <c r="K40" s="5"/>
      <c r="L40" s="21"/>
    </row>
    <row r="41" ht="16.5" customHeight="1" spans="3:12">
      <c r="D41" s="180">
        <v>46181</v>
      </c>
      <c r="E41" s="181">
        <v>23123</v>
      </c>
      <c r="F41" s="5"/>
      <c r="J41" s="5"/>
      <c r="K41" s="5"/>
      <c r="L41" s="21"/>
    </row>
    <row r="42" ht="16.5" customHeight="1" spans="3:12">
      <c r="D42" s="180">
        <v>46178</v>
      </c>
      <c r="E42" s="181">
        <v>23366.7</v>
      </c>
      <c r="F42" s="5"/>
      <c r="J42" s="5"/>
      <c r="K42" s="5"/>
      <c r="L42" s="21"/>
    </row>
    <row r="43" ht="16.5" customHeight="1" spans="3:12">
      <c r="D43" s="180">
        <v>46177</v>
      </c>
      <c r="E43" s="181">
        <v>23416.55</v>
      </c>
      <c r="F43" s="5"/>
      <c r="J43" s="5"/>
      <c r="K43" s="5"/>
      <c r="L43" s="21"/>
    </row>
    <row r="44" ht="16.5" customHeight="1" spans="3:12">
      <c r="D44" s="180">
        <v>46176</v>
      </c>
      <c r="E44" s="181">
        <v>23405.6</v>
      </c>
      <c r="F44" s="5"/>
      <c r="J44" s="5"/>
      <c r="K44" s="5"/>
      <c r="L44" s="21"/>
    </row>
    <row r="45" ht="16.5" customHeight="1" spans="3:12">
      <c r="D45" s="180">
        <v>46175</v>
      </c>
      <c r="E45" s="181">
        <v>23483.55</v>
      </c>
      <c r="F45" s="5"/>
      <c r="J45" s="5"/>
      <c r="K45" s="5"/>
      <c r="L45" s="21"/>
    </row>
    <row r="46" ht="16.5" customHeight="1" spans="3:12">
      <c r="D46" s="180">
        <v>46174</v>
      </c>
      <c r="E46" s="181">
        <v>23382.6</v>
      </c>
      <c r="F46" s="5"/>
      <c r="J46" s="5"/>
      <c r="K46" s="5"/>
      <c r="L46" s="21"/>
    </row>
    <row r="47" ht="16.5" customHeight="1" spans="3:12">
      <c r="D47" s="180">
        <v>46171</v>
      </c>
      <c r="E47" s="181">
        <v>23547.75</v>
      </c>
      <c r="F47" s="5"/>
      <c r="J47" s="5"/>
      <c r="K47" s="5"/>
      <c r="L47" s="21"/>
    </row>
    <row r="48" ht="16.5" customHeight="1" spans="3:12">
      <c r="D48" s="180">
        <v>46169</v>
      </c>
      <c r="E48" s="181">
        <v>23907.15</v>
      </c>
      <c r="F48" s="5"/>
      <c r="J48" s="5"/>
      <c r="K48" s="5"/>
      <c r="L48" s="21"/>
    </row>
    <row r="49" ht="16.5" customHeight="1" spans="3:12">
      <c r="D49" s="180">
        <v>46168</v>
      </c>
      <c r="E49" s="181">
        <v>23913.7</v>
      </c>
      <c r="F49" s="5"/>
      <c r="J49" s="5"/>
      <c r="K49" s="5"/>
      <c r="L49" s="21"/>
    </row>
    <row r="50" ht="16.5" customHeight="1" spans="3:12">
      <c r="D50" s="180">
        <v>46167</v>
      </c>
      <c r="E50" s="181">
        <v>24031.7</v>
      </c>
      <c r="F50" s="5"/>
      <c r="J50" s="5"/>
      <c r="K50" s="5"/>
      <c r="L50" s="21"/>
    </row>
    <row r="51" ht="16.5" customHeight="1" spans="3:12">
      <c r="D51" s="180">
        <v>46164</v>
      </c>
      <c r="E51" s="181">
        <v>23719.3</v>
      </c>
      <c r="F51" s="5"/>
      <c r="J51" s="5"/>
      <c r="K51" s="5"/>
      <c r="L51" s="21"/>
    </row>
    <row r="52" ht="16.5" customHeight="1" spans="3:12">
      <c r="D52" s="180">
        <v>46163</v>
      </c>
      <c r="E52" s="181">
        <v>23654.7</v>
      </c>
      <c r="F52" s="5"/>
      <c r="J52" s="5"/>
      <c r="K52" s="5"/>
      <c r="L52" s="21"/>
    </row>
    <row r="53" ht="16.5" customHeight="1" spans="3:12">
      <c r="D53" s="180">
        <v>46162</v>
      </c>
      <c r="E53" s="181">
        <v>23659</v>
      </c>
      <c r="F53" s="5"/>
      <c r="J53" s="5"/>
      <c r="K53" s="5"/>
      <c r="L53" s="21"/>
    </row>
    <row r="54" ht="16.5" customHeight="1" spans="3:12">
      <c r="D54" s="180">
        <v>46161</v>
      </c>
      <c r="E54" s="181">
        <v>23618</v>
      </c>
      <c r="F54" s="5"/>
      <c r="J54" s="5"/>
      <c r="K54" s="5"/>
      <c r="L54" s="21"/>
    </row>
    <row r="55" ht="16.5" customHeight="1" spans="3:12">
      <c r="D55" s="180">
        <v>46160</v>
      </c>
      <c r="E55" s="181">
        <v>23649.95</v>
      </c>
      <c r="F55" s="5"/>
      <c r="J55" s="5"/>
      <c r="K55" s="5"/>
      <c r="L55" s="55"/>
    </row>
    <row r="56" ht="16.5" customHeight="1" spans="3:12">
      <c r="D56" s="180">
        <v>46157</v>
      </c>
      <c r="E56" s="181">
        <v>23643.5</v>
      </c>
      <c r="F56" s="5"/>
      <c r="J56" s="5"/>
      <c r="K56" s="5"/>
      <c r="L56" s="56"/>
    </row>
    <row r="57" ht="16.5" customHeight="1" spans="3:12">
      <c r="C57" s="34"/>
      <c r="D57" s="180">
        <v>46156</v>
      </c>
      <c r="E57" s="181">
        <v>23689.6</v>
      </c>
      <c r="F57" s="5"/>
      <c r="J57" s="5"/>
      <c r="K57" s="5"/>
      <c r="L57" s="56"/>
    </row>
    <row r="58" ht="16.5" customHeight="1" spans="3:12">
      <c r="D58" s="180">
        <v>46155</v>
      </c>
      <c r="E58" s="181">
        <v>23412.6</v>
      </c>
      <c r="F58" s="5"/>
      <c r="J58" s="5"/>
      <c r="K58" s="5"/>
      <c r="L58" s="21"/>
    </row>
    <row r="59" ht="16.5" customHeight="1" spans="3:12">
      <c r="D59" s="180">
        <v>46154</v>
      </c>
      <c r="E59" s="181">
        <v>23379.55</v>
      </c>
      <c r="F59" s="5"/>
      <c r="J59" s="5"/>
      <c r="K59" s="5"/>
      <c r="L59" s="21"/>
    </row>
    <row r="60" ht="16.5" customHeight="1" spans="3:12">
      <c r="D60" s="180">
        <v>46153</v>
      </c>
      <c r="E60" s="181">
        <v>23815.85</v>
      </c>
      <c r="F60" s="5"/>
      <c r="J60" s="5"/>
      <c r="K60" s="5"/>
    </row>
    <row r="61" ht="16.5" customHeight="1" spans="3:12">
      <c r="D61" s="180">
        <v>46150</v>
      </c>
      <c r="E61" s="181">
        <v>24176.15</v>
      </c>
      <c r="F61" s="5"/>
      <c r="J61" s="5"/>
      <c r="K61" s="5"/>
      <c r="L61" s="21"/>
    </row>
    <row r="62" ht="16.5" customHeight="1" spans="3:12">
      <c r="D62" s="180">
        <v>46149</v>
      </c>
      <c r="E62" s="181">
        <v>24326.65</v>
      </c>
      <c r="F62" s="5"/>
      <c r="J62" s="5"/>
      <c r="K62" s="5"/>
      <c r="L62" s="21"/>
    </row>
    <row r="63" ht="16.5" customHeight="1" spans="3:12">
      <c r="D63" s="180">
        <v>46148</v>
      </c>
      <c r="E63" s="181">
        <v>24330.95</v>
      </c>
      <c r="F63" s="5"/>
      <c r="J63" s="5"/>
      <c r="K63" s="5"/>
      <c r="L63" s="21"/>
    </row>
    <row r="64" ht="16.5" customHeight="1" spans="3:12">
      <c r="D64" s="180">
        <v>46147</v>
      </c>
      <c r="E64" s="181">
        <v>24032.8</v>
      </c>
      <c r="F64" s="5"/>
      <c r="J64" s="5"/>
      <c r="K64" s="5"/>
      <c r="L64" s="21"/>
    </row>
    <row r="65" ht="16.5" customHeight="1" spans="3:12">
      <c r="D65" s="180">
        <v>46146</v>
      </c>
      <c r="E65" s="181">
        <v>24119.3</v>
      </c>
      <c r="F65" s="5"/>
      <c r="J65" s="5"/>
      <c r="K65" s="5"/>
      <c r="L65" s="21"/>
    </row>
    <row r="66" ht="16.5" customHeight="1" spans="3:12">
      <c r="D66" s="180">
        <v>46142</v>
      </c>
      <c r="E66" s="181">
        <v>23997.55</v>
      </c>
      <c r="F66" s="5"/>
      <c r="J66" s="5"/>
      <c r="K66" s="5"/>
      <c r="L66" s="21"/>
    </row>
    <row r="67" ht="16.5" customHeight="1" spans="3:12">
      <c r="D67" s="180">
        <v>46141</v>
      </c>
      <c r="E67" s="181">
        <v>24177.65</v>
      </c>
      <c r="F67" s="5"/>
      <c r="J67" s="5"/>
      <c r="K67" s="5"/>
      <c r="L67" s="21"/>
    </row>
    <row r="68" ht="16.5" customHeight="1" spans="3:12">
      <c r="D68" s="180">
        <v>46140</v>
      </c>
      <c r="E68" s="181">
        <v>23995.7</v>
      </c>
      <c r="F68" s="5"/>
      <c r="J68" s="5"/>
      <c r="K68" s="5"/>
      <c r="L68" s="55"/>
    </row>
    <row r="69" ht="16.5" customHeight="1" spans="3:12">
      <c r="D69" s="180">
        <v>46139</v>
      </c>
      <c r="E69" s="181">
        <v>24092.7</v>
      </c>
      <c r="F69" s="5"/>
      <c r="J69" s="5"/>
      <c r="K69" s="5"/>
      <c r="L69" s="56"/>
    </row>
    <row r="70" ht="16.5" customHeight="1" spans="3:12">
      <c r="D70" s="180">
        <v>46136</v>
      </c>
      <c r="E70" s="181">
        <v>23897.95</v>
      </c>
      <c r="F70" s="5"/>
      <c r="J70" s="5"/>
      <c r="K70" s="5"/>
      <c r="L70" s="21"/>
    </row>
    <row r="71" ht="16.5" customHeight="1" spans="3:12">
      <c r="D71" s="180">
        <v>46135</v>
      </c>
      <c r="E71" s="181">
        <v>24173.05</v>
      </c>
      <c r="F71" s="5"/>
      <c r="J71" s="5"/>
      <c r="K71" s="5"/>
      <c r="L71" s="56"/>
    </row>
    <row r="72" ht="16.5" customHeight="1" spans="3:12">
      <c r="C72" s="34"/>
      <c r="D72" s="180">
        <v>46134</v>
      </c>
      <c r="E72" s="181">
        <v>24378.1</v>
      </c>
      <c r="F72" s="5"/>
      <c r="J72" s="5"/>
      <c r="K72" s="5"/>
      <c r="L72" s="56"/>
    </row>
    <row r="73" ht="16.5" customHeight="1" spans="3:12">
      <c r="C73" s="34"/>
      <c r="D73" s="180">
        <v>46133</v>
      </c>
      <c r="E73" s="181">
        <v>24576.6</v>
      </c>
      <c r="F73" s="5"/>
      <c r="J73" s="5"/>
      <c r="K73" s="5"/>
      <c r="L73" s="56"/>
    </row>
    <row r="74" ht="16.5" customHeight="1" spans="3:12">
      <c r="D74" s="180">
        <v>46132</v>
      </c>
      <c r="E74" s="181">
        <v>24364.85</v>
      </c>
      <c r="F74" s="5"/>
      <c r="J74" s="5"/>
      <c r="K74" s="5"/>
      <c r="L74" s="56"/>
    </row>
    <row r="75" ht="16.5" customHeight="1" spans="3:12">
      <c r="D75" s="180">
        <v>46129</v>
      </c>
      <c r="E75" s="181">
        <v>24353.55</v>
      </c>
      <c r="F75" s="5"/>
      <c r="J75" s="5"/>
      <c r="K75" s="5"/>
      <c r="L75" s="21"/>
    </row>
    <row r="76" ht="16.5" customHeight="1" spans="3:12">
      <c r="D76" s="180">
        <v>46128</v>
      </c>
      <c r="E76" s="181">
        <v>24196.75</v>
      </c>
      <c r="F76" s="5"/>
      <c r="J76" s="5"/>
      <c r="K76" s="5"/>
      <c r="L76" s="21"/>
    </row>
    <row r="77" ht="16.5" customHeight="1" spans="3:12">
      <c r="D77" s="180">
        <v>46127</v>
      </c>
      <c r="E77" s="181">
        <v>24231.3</v>
      </c>
      <c r="F77" s="5"/>
      <c r="J77" s="5"/>
      <c r="K77" s="5"/>
      <c r="L77" s="21"/>
    </row>
    <row r="78" ht="16.5" customHeight="1" spans="3:12">
      <c r="D78" s="180">
        <v>46125</v>
      </c>
      <c r="E78" s="181">
        <v>23842.65</v>
      </c>
      <c r="F78" s="5"/>
      <c r="J78" s="5"/>
      <c r="K78" s="5"/>
      <c r="L78" s="21"/>
    </row>
    <row r="79" ht="16.5" customHeight="1" spans="3:12">
      <c r="D79" s="180">
        <v>46122</v>
      </c>
      <c r="E79" s="181">
        <v>24050.6</v>
      </c>
      <c r="F79" s="5"/>
      <c r="J79" s="5"/>
      <c r="K79" s="5"/>
      <c r="L79" s="55"/>
    </row>
    <row r="80" ht="16.5" customHeight="1" spans="3:12">
      <c r="D80" s="180">
        <v>46121</v>
      </c>
      <c r="E80" s="181">
        <v>23775.1</v>
      </c>
      <c r="F80" s="5"/>
      <c r="J80" s="5"/>
      <c r="K80" s="5"/>
      <c r="L80" s="56"/>
    </row>
    <row r="81" ht="16.5" customHeight="1" spans="3:12">
      <c r="C81" s="34"/>
      <c r="D81" s="180">
        <v>46120</v>
      </c>
      <c r="E81" s="181">
        <v>23997.35</v>
      </c>
      <c r="F81" s="5"/>
      <c r="J81" s="5"/>
      <c r="K81" s="5"/>
      <c r="L81" s="56"/>
    </row>
    <row r="82" ht="16.5" customHeight="1" spans="3:12">
      <c r="C82" s="34"/>
      <c r="D82" s="180">
        <v>46119</v>
      </c>
      <c r="E82" s="181">
        <v>23123.65</v>
      </c>
      <c r="F82" s="5"/>
      <c r="J82" s="5"/>
      <c r="K82" s="5"/>
      <c r="L82" s="56"/>
    </row>
    <row r="83" ht="16.5" customHeight="1" spans="3:12">
      <c r="D83" s="180">
        <v>46118</v>
      </c>
      <c r="E83" s="181">
        <v>22968.25</v>
      </c>
      <c r="F83" s="5"/>
      <c r="J83" s="5"/>
      <c r="K83" s="5"/>
      <c r="L83" s="21"/>
    </row>
    <row r="84" ht="16.5" customHeight="1" spans="3:12">
      <c r="D84" s="180">
        <v>46114</v>
      </c>
      <c r="E84" s="181">
        <v>22713.1</v>
      </c>
      <c r="F84" s="5"/>
      <c r="J84" s="5"/>
      <c r="K84" s="5"/>
      <c r="L84" s="21"/>
    </row>
    <row r="85" ht="16.5" customHeight="1" spans="3:12">
      <c r="D85" s="180">
        <v>46113</v>
      </c>
      <c r="E85" s="181">
        <v>22679.4</v>
      </c>
      <c r="F85" s="5"/>
      <c r="J85" s="5"/>
      <c r="K85" s="5"/>
      <c r="L85" s="21"/>
    </row>
    <row r="86" ht="16.5" customHeight="1" spans="3:12">
      <c r="D86" s="180">
        <v>46111</v>
      </c>
      <c r="E86" s="181">
        <v>22331.4</v>
      </c>
      <c r="F86" s="5"/>
      <c r="J86" s="5"/>
      <c r="K86" s="5"/>
      <c r="L86" s="21"/>
    </row>
    <row r="87" ht="16.5" customHeight="1" spans="3:12">
      <c r="D87" s="180">
        <v>46108</v>
      </c>
      <c r="E87" s="181">
        <v>22819.6</v>
      </c>
      <c r="F87" s="5"/>
      <c r="J87" s="5"/>
      <c r="K87" s="5"/>
      <c r="L87" s="21"/>
    </row>
    <row r="88" ht="16.5" customHeight="1" spans="3:12">
      <c r="D88" s="180">
        <v>46106</v>
      </c>
      <c r="E88" s="181">
        <v>23306.45</v>
      </c>
      <c r="F88" s="5"/>
      <c r="J88" s="5"/>
      <c r="K88" s="5"/>
      <c r="L88" s="21"/>
    </row>
    <row r="89" ht="16.5" customHeight="1" spans="3:12">
      <c r="D89" s="180">
        <v>46105</v>
      </c>
      <c r="E89" s="181">
        <v>22912.4</v>
      </c>
      <c r="F89" s="5"/>
      <c r="J89" s="5"/>
      <c r="K89" s="5"/>
      <c r="L89" s="55"/>
    </row>
    <row r="90" ht="16.5" customHeight="1" spans="3:12">
      <c r="D90" s="180">
        <v>46104</v>
      </c>
      <c r="E90" s="181">
        <v>22512.65</v>
      </c>
      <c r="F90" s="5"/>
      <c r="J90" s="5"/>
      <c r="K90" s="5"/>
      <c r="L90" s="56"/>
    </row>
    <row r="91" ht="16.5" customHeight="1" spans="3:12">
      <c r="C91" s="34"/>
      <c r="D91" s="180">
        <v>46101</v>
      </c>
      <c r="E91" s="181">
        <v>23114.5</v>
      </c>
      <c r="F91" s="5"/>
      <c r="J91" s="5"/>
      <c r="K91" s="5"/>
      <c r="L91" s="56"/>
    </row>
    <row r="92" ht="16.5" customHeight="1" spans="3:12">
      <c r="C92" s="34"/>
      <c r="D92" s="180">
        <v>46100</v>
      </c>
      <c r="E92" s="181">
        <v>23002.15</v>
      </c>
      <c r="F92" s="5"/>
      <c r="J92" s="5"/>
      <c r="K92" s="5"/>
      <c r="L92" s="56"/>
    </row>
    <row r="93" ht="16.5" customHeight="1" spans="3:12">
      <c r="D93" s="180">
        <v>46099</v>
      </c>
      <c r="E93" s="181">
        <v>23777.8</v>
      </c>
      <c r="F93" s="5"/>
      <c r="J93" s="5"/>
      <c r="K93" s="5"/>
      <c r="L93" s="21"/>
    </row>
    <row r="94" ht="16.5" customHeight="1" spans="3:12">
      <c r="D94" s="180">
        <v>46098</v>
      </c>
      <c r="E94" s="181">
        <v>23581.15</v>
      </c>
      <c r="F94" s="5"/>
      <c r="J94" s="5"/>
      <c r="K94" s="5"/>
      <c r="L94" s="21"/>
    </row>
    <row r="95" ht="16.5" customHeight="1" spans="3:12">
      <c r="D95" s="180">
        <v>46097</v>
      </c>
      <c r="E95" s="181">
        <v>23408.8</v>
      </c>
      <c r="F95" s="5"/>
      <c r="J95" s="5"/>
      <c r="K95" s="5"/>
      <c r="L95" s="21"/>
    </row>
    <row r="96" ht="16.5" customHeight="1" spans="3:12">
      <c r="D96" s="180">
        <v>46094</v>
      </c>
      <c r="E96" s="181">
        <v>23151.1</v>
      </c>
      <c r="F96" s="5"/>
      <c r="J96" s="5"/>
      <c r="K96" s="5"/>
      <c r="L96" s="21"/>
    </row>
    <row r="97" ht="16.5" customHeight="1" spans="3:12">
      <c r="D97" s="180">
        <v>46093</v>
      </c>
      <c r="E97" s="181">
        <v>23639.15</v>
      </c>
      <c r="F97" s="5"/>
      <c r="J97" s="5"/>
      <c r="K97" s="5"/>
      <c r="L97" s="21"/>
    </row>
    <row r="98" ht="16.5" customHeight="1" spans="3:12">
      <c r="D98" s="180">
        <v>46092</v>
      </c>
      <c r="E98" s="181">
        <v>23866.85</v>
      </c>
      <c r="F98" s="5"/>
      <c r="J98" s="5"/>
      <c r="K98" s="5"/>
      <c r="L98" s="21"/>
    </row>
    <row r="99" ht="16.5" customHeight="1" spans="3:12">
      <c r="D99" s="180">
        <v>46091</v>
      </c>
      <c r="E99" s="181">
        <v>24261.6</v>
      </c>
      <c r="F99" s="5"/>
      <c r="J99" s="5"/>
      <c r="K99" s="5"/>
      <c r="L99" s="21"/>
    </row>
    <row r="100" ht="16.5" customHeight="1" spans="3:12">
      <c r="D100" s="180">
        <v>46090</v>
      </c>
      <c r="E100" s="181">
        <v>24028.05</v>
      </c>
      <c r="F100" s="5"/>
      <c r="J100" s="5"/>
      <c r="K100" s="5"/>
      <c r="L100" s="21"/>
    </row>
    <row r="101" ht="16.5" customHeight="1" spans="3:12">
      <c r="D101" s="180">
        <v>46087</v>
      </c>
      <c r="E101" s="181">
        <v>24450.45</v>
      </c>
      <c r="F101" s="5"/>
      <c r="J101" s="5"/>
      <c r="K101" s="5"/>
      <c r="L101" s="55"/>
    </row>
    <row r="102" ht="16.5" customHeight="1" spans="3:12">
      <c r="D102" s="180">
        <v>46086</v>
      </c>
      <c r="E102" s="181">
        <v>24765.9</v>
      </c>
      <c r="F102" s="5"/>
      <c r="J102" s="5"/>
      <c r="K102" s="5"/>
      <c r="L102" s="56"/>
    </row>
    <row r="103" ht="16.5" customHeight="1" spans="3:12">
      <c r="D103" s="180">
        <v>46085</v>
      </c>
      <c r="E103" s="181">
        <v>24480.5</v>
      </c>
      <c r="F103" s="5"/>
      <c r="J103" s="5"/>
      <c r="K103" s="5"/>
      <c r="L103" s="21"/>
    </row>
    <row r="104" ht="16.5" customHeight="1" spans="3:12">
      <c r="D104" s="180">
        <v>46083</v>
      </c>
      <c r="E104" s="181">
        <v>24865.7</v>
      </c>
      <c r="F104" s="5"/>
      <c r="J104" s="5"/>
      <c r="K104" s="5"/>
    </row>
    <row r="105" ht="16.5" customHeight="1" spans="3:12">
      <c r="C105" s="62"/>
      <c r="D105" s="180">
        <v>46080</v>
      </c>
      <c r="E105" s="181">
        <v>25178.65</v>
      </c>
      <c r="F105" s="5"/>
      <c r="J105" s="5"/>
      <c r="K105" s="5"/>
    </row>
    <row r="106" ht="16.5" customHeight="1" spans="3:12">
      <c r="D106" s="180">
        <v>46079</v>
      </c>
      <c r="E106" s="181">
        <v>25496.55</v>
      </c>
      <c r="F106" s="5"/>
      <c r="J106" s="5"/>
      <c r="K106" s="5"/>
    </row>
    <row r="107" ht="16.5" customHeight="1" spans="3:12">
      <c r="D107" s="180">
        <v>46078</v>
      </c>
      <c r="E107" s="181">
        <v>25482.5</v>
      </c>
      <c r="F107" s="5"/>
      <c r="J107" s="5"/>
      <c r="K107" s="5"/>
      <c r="L107" s="21"/>
    </row>
    <row r="108" ht="16.5" customHeight="1" spans="3:12">
      <c r="D108" s="180">
        <v>46077</v>
      </c>
      <c r="E108" s="181">
        <v>25424.65</v>
      </c>
      <c r="F108" s="5"/>
      <c r="J108" s="5"/>
      <c r="K108" s="5"/>
      <c r="L108" s="21"/>
    </row>
    <row r="109" ht="16.5" customHeight="1" spans="3:12">
      <c r="D109" s="180">
        <v>46076</v>
      </c>
      <c r="E109" s="181">
        <v>25713</v>
      </c>
      <c r="F109" s="5"/>
      <c r="J109" s="5"/>
      <c r="K109" s="5"/>
      <c r="L109" s="21"/>
    </row>
    <row r="110" ht="16.5" customHeight="1" spans="3:12">
      <c r="D110" s="180">
        <v>46073</v>
      </c>
      <c r="E110" s="181">
        <v>25571.25</v>
      </c>
      <c r="F110" s="5"/>
      <c r="J110" s="5"/>
      <c r="K110" s="5"/>
      <c r="L110" s="21"/>
    </row>
    <row r="111" ht="16.5" customHeight="1" spans="3:12">
      <c r="D111" s="180">
        <v>46072</v>
      </c>
      <c r="E111" s="181">
        <v>25454.35</v>
      </c>
      <c r="F111" s="5"/>
      <c r="J111" s="5"/>
      <c r="K111" s="5"/>
      <c r="L111" s="21"/>
    </row>
    <row r="112" ht="16.5" customHeight="1" spans="3:12">
      <c r="D112" s="180">
        <v>46071</v>
      </c>
      <c r="E112" s="181">
        <v>25819.35</v>
      </c>
      <c r="F112" s="5"/>
      <c r="J112" s="5"/>
      <c r="K112" s="5"/>
      <c r="L112" s="21"/>
    </row>
    <row r="113" ht="16.5" customHeight="1" spans="4:12">
      <c r="D113" s="180">
        <v>46070</v>
      </c>
      <c r="E113" s="181">
        <v>25725.4</v>
      </c>
      <c r="F113" s="5"/>
      <c r="J113" s="5"/>
      <c r="K113" s="5"/>
      <c r="L113" s="21"/>
    </row>
    <row r="114" ht="16.5" customHeight="1" spans="4:12">
      <c r="D114" s="180">
        <v>46069</v>
      </c>
      <c r="E114" s="181">
        <v>25682.75</v>
      </c>
      <c r="F114" s="5"/>
      <c r="J114" s="5"/>
      <c r="K114" s="5"/>
      <c r="L114" s="21"/>
    </row>
    <row r="115" ht="16.5" customHeight="1" spans="4:12">
      <c r="D115" s="180">
        <v>46066</v>
      </c>
      <c r="E115" s="181">
        <v>25471.1</v>
      </c>
      <c r="F115" s="5"/>
      <c r="J115" s="5"/>
      <c r="K115" s="5"/>
      <c r="L115" s="21"/>
    </row>
    <row r="116" ht="16.5" customHeight="1" spans="4:12">
      <c r="D116" s="180">
        <v>46065</v>
      </c>
      <c r="E116" s="181">
        <v>25807.2</v>
      </c>
      <c r="F116" s="5"/>
      <c r="J116" s="5"/>
      <c r="K116" s="5"/>
      <c r="L116" s="55"/>
    </row>
    <row r="117" ht="16.5" customHeight="1" spans="4:12">
      <c r="D117" s="180">
        <v>46064</v>
      </c>
      <c r="E117" s="181">
        <v>25953.85</v>
      </c>
      <c r="F117" s="5"/>
      <c r="J117" s="5"/>
      <c r="K117" s="5"/>
      <c r="L117" s="56"/>
    </row>
    <row r="118" ht="16.5" customHeight="1" spans="4:12">
      <c r="D118" s="180">
        <v>46063</v>
      </c>
      <c r="E118" s="181">
        <v>25935.15</v>
      </c>
      <c r="F118" s="5"/>
      <c r="J118" s="5"/>
      <c r="K118" s="5"/>
      <c r="L118" s="21"/>
    </row>
    <row r="119" ht="16.5" customHeight="1" spans="4:12">
      <c r="D119" s="180">
        <v>46062</v>
      </c>
      <c r="E119" s="181">
        <v>25867.3</v>
      </c>
      <c r="F119" s="5"/>
      <c r="J119" s="5"/>
      <c r="K119" s="5"/>
      <c r="L119" s="21"/>
    </row>
    <row r="120" ht="16.5" customHeight="1" spans="4:12">
      <c r="D120" s="180">
        <v>46059</v>
      </c>
      <c r="E120" s="181">
        <v>25693.7</v>
      </c>
      <c r="F120" s="5"/>
      <c r="J120" s="5"/>
      <c r="K120" s="5"/>
      <c r="L120" s="21"/>
    </row>
    <row r="121" ht="16.5" customHeight="1" spans="4:12">
      <c r="D121" s="180">
        <v>46058</v>
      </c>
      <c r="E121" s="181">
        <v>25642.8</v>
      </c>
      <c r="F121" s="5"/>
      <c r="J121" s="5"/>
      <c r="K121" s="5"/>
      <c r="L121" s="55"/>
    </row>
    <row r="122" ht="16.5" customHeight="1" spans="4:12">
      <c r="D122" s="180">
        <v>46057</v>
      </c>
      <c r="E122" s="181">
        <v>25776</v>
      </c>
      <c r="F122" s="5"/>
      <c r="J122" s="5"/>
      <c r="K122" s="5"/>
      <c r="L122" s="21"/>
    </row>
    <row r="123" ht="16.5" customHeight="1" spans="4:12">
      <c r="D123" s="180">
        <v>46056</v>
      </c>
      <c r="E123" s="181">
        <v>25727.55</v>
      </c>
      <c r="F123" s="5"/>
      <c r="J123" s="5"/>
      <c r="K123" s="5"/>
      <c r="L123" s="63"/>
    </row>
    <row r="124" ht="16.5" customHeight="1" spans="4:12">
      <c r="D124" s="180">
        <v>46055</v>
      </c>
      <c r="E124" s="181">
        <v>25088.4</v>
      </c>
      <c r="F124" s="5"/>
      <c r="J124" s="5"/>
      <c r="K124" s="5"/>
      <c r="L124" s="56"/>
    </row>
    <row r="125" ht="16.5" customHeight="1" spans="4:12">
      <c r="D125" s="180">
        <v>46054</v>
      </c>
      <c r="E125" s="181">
        <v>24825.45</v>
      </c>
      <c r="F125" s="5"/>
      <c r="J125" s="5"/>
      <c r="K125" s="5"/>
      <c r="L125" s="56"/>
    </row>
    <row r="126" ht="16.5" customHeight="1" spans="4:12">
      <c r="D126" s="180">
        <v>46052</v>
      </c>
      <c r="E126" s="181">
        <v>25320.65</v>
      </c>
      <c r="F126" s="5"/>
      <c r="J126" s="5"/>
      <c r="K126" s="5"/>
      <c r="L126" s="21"/>
    </row>
    <row r="127" ht="16.5" customHeight="1" spans="4:12">
      <c r="D127" s="180">
        <v>46051</v>
      </c>
      <c r="E127" s="181">
        <v>25418.9</v>
      </c>
      <c r="F127" s="5"/>
      <c r="J127" s="5"/>
      <c r="K127" s="5"/>
      <c r="L127" s="21"/>
    </row>
    <row r="128" ht="16.5" customHeight="1" spans="4:12">
      <c r="D128" s="180">
        <v>46050</v>
      </c>
      <c r="E128" s="181">
        <v>25342.75</v>
      </c>
      <c r="F128" s="5"/>
      <c r="J128" s="5"/>
      <c r="K128" s="5"/>
      <c r="L128" s="21"/>
    </row>
    <row r="129" ht="16.5" customHeight="1" spans="4:12">
      <c r="D129" s="180">
        <v>46049</v>
      </c>
      <c r="E129" s="181">
        <v>25175.4</v>
      </c>
      <c r="F129" s="5"/>
      <c r="J129" s="5"/>
      <c r="K129" s="5"/>
      <c r="L129" s="21"/>
    </row>
    <row r="130" ht="16.5" customHeight="1" spans="4:12">
      <c r="D130" s="180">
        <v>46045</v>
      </c>
      <c r="E130" s="181">
        <v>25048.65</v>
      </c>
      <c r="F130" s="5"/>
      <c r="J130" s="5"/>
      <c r="K130" s="5"/>
      <c r="L130" s="21"/>
    </row>
    <row r="131" ht="16.5" customHeight="1" spans="4:12">
      <c r="D131" s="180">
        <v>46044</v>
      </c>
      <c r="E131" s="181">
        <v>25289.9</v>
      </c>
      <c r="F131" s="5"/>
      <c r="J131" s="5"/>
      <c r="K131" s="5"/>
      <c r="L131" s="21"/>
    </row>
    <row r="132" ht="16.5" customHeight="1" spans="4:12">
      <c r="D132" s="180">
        <v>46043</v>
      </c>
      <c r="E132" s="181">
        <v>25157.5</v>
      </c>
      <c r="F132" s="5"/>
      <c r="J132" s="5"/>
      <c r="K132" s="5"/>
      <c r="L132" s="21"/>
    </row>
    <row r="133" ht="16.5" customHeight="1" spans="4:12">
      <c r="D133" s="180">
        <v>46042</v>
      </c>
      <c r="E133" s="181">
        <v>25232.5</v>
      </c>
      <c r="F133" s="5"/>
      <c r="J133" s="5"/>
      <c r="K133" s="5"/>
      <c r="L133" s="21"/>
    </row>
    <row r="134" ht="16.5" customHeight="1" spans="4:12">
      <c r="D134" s="180">
        <v>46041</v>
      </c>
      <c r="E134" s="181">
        <v>25585.5</v>
      </c>
      <c r="F134" s="5"/>
      <c r="J134" s="5"/>
      <c r="K134" s="5"/>
      <c r="L134" s="21"/>
    </row>
    <row r="135" ht="16.5" customHeight="1" spans="4:12">
      <c r="D135" s="180">
        <v>46038</v>
      </c>
      <c r="E135" s="181">
        <v>25694.35</v>
      </c>
      <c r="F135" s="5"/>
      <c r="J135" s="5"/>
      <c r="K135" s="5"/>
      <c r="L135" s="21"/>
    </row>
    <row r="136" ht="16.5" customHeight="1" spans="4:12">
      <c r="D136" s="180">
        <v>46036</v>
      </c>
      <c r="E136" s="181">
        <v>25665.6</v>
      </c>
      <c r="F136" s="5"/>
      <c r="J136" s="5"/>
      <c r="K136" s="5"/>
      <c r="L136" s="21"/>
    </row>
    <row r="137" ht="16.5" customHeight="1" spans="4:12">
      <c r="D137" s="180">
        <v>46035</v>
      </c>
      <c r="E137" s="181">
        <v>25732.3</v>
      </c>
      <c r="F137" s="5"/>
      <c r="J137" s="5"/>
      <c r="K137" s="5"/>
      <c r="L137" s="21"/>
    </row>
    <row r="138" ht="16.5" customHeight="1" spans="4:12">
      <c r="D138" s="180">
        <v>46034</v>
      </c>
      <c r="E138" s="181">
        <v>25790.25</v>
      </c>
      <c r="F138" s="5"/>
      <c r="J138" s="5"/>
      <c r="K138" s="5"/>
      <c r="L138" s="21"/>
    </row>
    <row r="139" ht="16.5" customHeight="1" spans="4:12">
      <c r="D139" s="180">
        <v>46031</v>
      </c>
      <c r="E139" s="181">
        <v>25683.3</v>
      </c>
      <c r="F139" s="5"/>
      <c r="J139" s="5"/>
      <c r="K139" s="5"/>
      <c r="L139" s="21"/>
    </row>
    <row r="140" ht="16.5" customHeight="1" spans="4:12">
      <c r="D140" s="180">
        <v>46030</v>
      </c>
      <c r="E140" s="181">
        <v>25876.85</v>
      </c>
      <c r="F140" s="5"/>
      <c r="J140" s="5"/>
      <c r="K140" s="5"/>
      <c r="L140" s="21"/>
    </row>
    <row r="141" ht="16.5" customHeight="1" spans="4:12">
      <c r="D141" s="180">
        <v>46029</v>
      </c>
      <c r="E141" s="181">
        <v>26140.75</v>
      </c>
      <c r="F141" s="5"/>
      <c r="J141" s="5"/>
      <c r="K141" s="5"/>
      <c r="L141" s="21"/>
    </row>
    <row r="142" ht="16.5" customHeight="1" spans="4:12">
      <c r="D142" s="180">
        <v>46028</v>
      </c>
      <c r="E142" s="181">
        <v>26178.7</v>
      </c>
      <c r="F142" s="5"/>
      <c r="J142" s="5"/>
      <c r="K142" s="5"/>
      <c r="L142" s="21"/>
    </row>
    <row r="143" ht="16.5" customHeight="1" spans="4:12">
      <c r="D143" s="180">
        <v>46027</v>
      </c>
      <c r="E143" s="181">
        <v>26250.3</v>
      </c>
      <c r="F143" s="5"/>
      <c r="J143" s="5"/>
      <c r="K143" s="5"/>
      <c r="L143" s="21"/>
    </row>
    <row r="144" ht="16.5" customHeight="1" spans="4:12">
      <c r="D144" s="180">
        <v>46024</v>
      </c>
      <c r="E144" s="181">
        <v>26328.55</v>
      </c>
      <c r="F144" s="5"/>
      <c r="J144" s="5"/>
      <c r="K144" s="5"/>
      <c r="L144" s="63"/>
    </row>
    <row r="145" ht="16.5" customHeight="1" spans="4:12">
      <c r="D145" s="180">
        <v>46023</v>
      </c>
      <c r="E145" s="181">
        <v>26146.55</v>
      </c>
      <c r="F145" s="5"/>
      <c r="J145" s="5"/>
      <c r="K145" s="5"/>
      <c r="L145" s="56"/>
    </row>
    <row r="146" ht="16.5" customHeight="1" spans="4:12">
      <c r="D146" s="180">
        <v>46022</v>
      </c>
      <c r="E146" s="181">
        <v>26129.6</v>
      </c>
      <c r="F146" s="5"/>
      <c r="J146" s="5"/>
      <c r="K146" s="5"/>
      <c r="L146" s="56"/>
    </row>
    <row r="147" ht="16.5" customHeight="1" spans="4:12">
      <c r="D147" s="180">
        <v>46021</v>
      </c>
      <c r="E147" s="181">
        <v>25938.85</v>
      </c>
      <c r="F147" s="5"/>
      <c r="J147" s="5"/>
      <c r="K147" s="5"/>
      <c r="L147" s="21"/>
    </row>
    <row r="148" ht="16.5" customHeight="1" spans="4:12">
      <c r="D148" s="180">
        <v>46020</v>
      </c>
      <c r="E148" s="181">
        <v>25942.1</v>
      </c>
      <c r="F148" s="5"/>
      <c r="J148" s="5"/>
      <c r="K148" s="5"/>
      <c r="L148" s="21"/>
    </row>
    <row r="149" ht="16.5" customHeight="1" spans="4:12">
      <c r="D149" s="180">
        <v>46017</v>
      </c>
      <c r="E149" s="181">
        <v>26042.3</v>
      </c>
      <c r="F149" s="5"/>
      <c r="J149" s="5"/>
      <c r="K149" s="5"/>
      <c r="L149" s="21"/>
    </row>
    <row r="150" ht="16.5" customHeight="1" spans="4:12">
      <c r="D150" s="180">
        <v>46015</v>
      </c>
      <c r="E150" s="181">
        <v>26142.1</v>
      </c>
      <c r="F150" s="5"/>
      <c r="J150" s="5"/>
      <c r="K150" s="5"/>
      <c r="L150" s="21"/>
    </row>
    <row r="151" ht="16.5" customHeight="1" spans="4:12">
      <c r="D151" s="180">
        <v>46014</v>
      </c>
      <c r="E151" s="181">
        <v>26177.15</v>
      </c>
      <c r="F151" s="5"/>
      <c r="J151" s="5"/>
      <c r="K151" s="5"/>
      <c r="L151" s="21"/>
    </row>
    <row r="152" ht="16.5" customHeight="1" spans="4:12">
      <c r="D152" s="180">
        <v>46013</v>
      </c>
      <c r="E152" s="181">
        <v>26172.4</v>
      </c>
      <c r="F152" s="5"/>
      <c r="J152" s="5"/>
      <c r="K152" s="5"/>
      <c r="L152" s="21"/>
    </row>
    <row r="153" ht="16.5" customHeight="1" spans="4:12">
      <c r="D153" s="180">
        <v>46010</v>
      </c>
      <c r="E153" s="181">
        <v>25966.4</v>
      </c>
      <c r="F153" s="5"/>
      <c r="J153" s="5"/>
      <c r="K153" s="5"/>
      <c r="L153" s="21"/>
    </row>
    <row r="154" ht="16.5" customHeight="1" spans="4:12">
      <c r="D154" s="180">
        <v>46009</v>
      </c>
      <c r="E154" s="181">
        <v>25815.55</v>
      </c>
      <c r="F154" s="5"/>
      <c r="J154" s="5"/>
      <c r="K154" s="5"/>
      <c r="L154" s="21"/>
    </row>
    <row r="155" ht="16.5" customHeight="1" spans="4:12">
      <c r="D155" s="180">
        <v>46008</v>
      </c>
      <c r="E155" s="181">
        <v>25818.55</v>
      </c>
      <c r="F155" s="5"/>
      <c r="J155" s="5"/>
      <c r="K155" s="5"/>
      <c r="L155" s="21"/>
    </row>
    <row r="156" ht="16.5" customHeight="1" spans="4:12">
      <c r="D156" s="180">
        <v>46007</v>
      </c>
      <c r="E156" s="181">
        <v>25860.1</v>
      </c>
      <c r="F156" s="5"/>
      <c r="J156" s="5"/>
      <c r="K156" s="5"/>
      <c r="L156" s="21"/>
    </row>
    <row r="157" ht="16.5" customHeight="1" spans="4:12">
      <c r="D157" s="180">
        <v>46006</v>
      </c>
      <c r="E157" s="181">
        <v>26027.3</v>
      </c>
      <c r="F157" s="5"/>
      <c r="J157" s="5"/>
      <c r="K157" s="5"/>
      <c r="L157" s="21"/>
    </row>
    <row r="158" ht="16.5" customHeight="1" spans="4:12">
      <c r="D158" s="180">
        <v>46003</v>
      </c>
      <c r="E158" s="181">
        <v>26046.95</v>
      </c>
      <c r="F158" s="5"/>
      <c r="J158" s="5"/>
      <c r="K158" s="5"/>
      <c r="L158" s="21"/>
    </row>
    <row r="159" ht="16.5" customHeight="1" spans="4:12">
      <c r="D159" s="180">
        <v>46002</v>
      </c>
      <c r="E159" s="181">
        <v>25898.55</v>
      </c>
      <c r="F159" s="5"/>
      <c r="J159" s="5"/>
      <c r="K159" s="5"/>
      <c r="L159" s="63"/>
    </row>
    <row r="160" ht="16.5" customHeight="1" spans="4:12">
      <c r="D160" s="180">
        <v>46001</v>
      </c>
      <c r="E160" s="181">
        <v>25758</v>
      </c>
      <c r="F160" s="5"/>
      <c r="J160" s="5"/>
      <c r="K160" s="5"/>
      <c r="L160" s="56"/>
    </row>
    <row r="161" ht="16.5" customHeight="1" spans="4:12">
      <c r="D161" s="180">
        <v>46000</v>
      </c>
      <c r="E161" s="181">
        <v>25839.65</v>
      </c>
      <c r="F161" s="5"/>
      <c r="J161" s="5"/>
      <c r="K161" s="5"/>
      <c r="L161" s="55"/>
    </row>
    <row r="162" ht="16.5" customHeight="1" spans="4:12">
      <c r="D162" s="180">
        <v>45999</v>
      </c>
      <c r="E162" s="181">
        <v>25960.55</v>
      </c>
      <c r="F162" s="5"/>
      <c r="J162" s="5"/>
      <c r="K162" s="5"/>
      <c r="L162" s="21"/>
    </row>
    <row r="163" ht="16.5" customHeight="1" spans="4:12">
      <c r="D163" s="180">
        <v>45996</v>
      </c>
      <c r="E163" s="181">
        <v>26186.45</v>
      </c>
      <c r="F163" s="5"/>
      <c r="J163" s="5"/>
      <c r="K163" s="5"/>
      <c r="L163" s="21"/>
    </row>
    <row r="164" ht="16.5" customHeight="1" spans="4:12">
      <c r="D164" s="180">
        <v>45995</v>
      </c>
      <c r="E164" s="181">
        <v>26033.75</v>
      </c>
      <c r="F164" s="5"/>
      <c r="J164" s="5"/>
      <c r="K164" s="5"/>
      <c r="L164" s="21"/>
    </row>
    <row r="165" ht="16.5" customHeight="1" spans="4:12">
      <c r="D165" s="180">
        <v>45994</v>
      </c>
      <c r="E165" s="181">
        <v>25986</v>
      </c>
      <c r="F165" s="5"/>
      <c r="J165" s="5"/>
      <c r="K165" s="5"/>
      <c r="L165" s="63"/>
    </row>
    <row r="166" ht="16.5" customHeight="1" spans="4:12">
      <c r="D166" s="180">
        <v>45993</v>
      </c>
      <c r="E166" s="181">
        <v>26032.2</v>
      </c>
      <c r="F166" s="5"/>
      <c r="J166" s="5"/>
      <c r="K166" s="5"/>
    </row>
    <row r="167" ht="16.5" customHeight="1" spans="4:12">
      <c r="D167" s="180">
        <v>45992</v>
      </c>
      <c r="E167" s="181">
        <v>26175.75</v>
      </c>
      <c r="F167" s="5"/>
      <c r="J167" s="5"/>
      <c r="K167" s="5"/>
    </row>
    <row r="168" ht="16.5" customHeight="1" spans="4:12">
      <c r="D168" s="180">
        <v>45989</v>
      </c>
      <c r="E168" s="181">
        <v>26202.95</v>
      </c>
      <c r="F168" s="5"/>
      <c r="J168" s="5"/>
      <c r="K168" s="5"/>
    </row>
    <row r="169" ht="16.5" customHeight="1" spans="4:12">
      <c r="D169" s="180">
        <v>45988</v>
      </c>
      <c r="E169" s="181">
        <v>26215.55</v>
      </c>
      <c r="F169" s="5"/>
      <c r="J169" s="5"/>
      <c r="K169" s="5"/>
    </row>
    <row r="170" ht="16.5" customHeight="1" spans="4:12">
      <c r="D170" s="180">
        <v>45987</v>
      </c>
      <c r="E170" s="181">
        <v>26205.3</v>
      </c>
      <c r="F170" s="5"/>
      <c r="J170" s="5"/>
      <c r="K170" s="5"/>
    </row>
    <row r="171" ht="16.5" customHeight="1" spans="4:12">
      <c r="D171" s="180">
        <v>45986</v>
      </c>
      <c r="E171" s="181">
        <v>25884.8</v>
      </c>
      <c r="F171" s="5"/>
      <c r="J171" s="5"/>
      <c r="K171" s="5"/>
    </row>
    <row r="172" ht="16.5" customHeight="1" spans="4:12">
      <c r="D172" s="180">
        <v>45985</v>
      </c>
      <c r="E172" s="181">
        <v>25959.5</v>
      </c>
      <c r="F172" s="5"/>
      <c r="J172" s="5"/>
      <c r="K172" s="5"/>
    </row>
    <row r="173" ht="16.5" customHeight="1" spans="4:12">
      <c r="D173" s="180">
        <v>45982</v>
      </c>
      <c r="E173" s="181">
        <v>26068.15</v>
      </c>
      <c r="F173" s="5"/>
      <c r="J173" s="5"/>
      <c r="K173" s="5"/>
    </row>
    <row r="174" ht="16.5" customHeight="1" spans="4:12">
      <c r="D174" s="180">
        <v>45981</v>
      </c>
      <c r="E174" s="181">
        <v>26192.15</v>
      </c>
      <c r="F174" s="5"/>
      <c r="J174" s="5"/>
      <c r="K174" s="5"/>
    </row>
    <row r="175" ht="16.5" customHeight="1" spans="4:12">
      <c r="D175" s="180">
        <v>45980</v>
      </c>
      <c r="E175" s="181">
        <v>26052.65</v>
      </c>
      <c r="F175" s="5"/>
      <c r="J175" s="5"/>
      <c r="K175" s="5"/>
    </row>
    <row r="176" ht="16.5" customHeight="1" spans="4:12">
      <c r="D176" s="180">
        <v>45979</v>
      </c>
      <c r="E176" s="181">
        <v>25910.05</v>
      </c>
      <c r="F176" s="5"/>
      <c r="J176" s="5"/>
      <c r="K176" s="5"/>
    </row>
    <row r="177" ht="16.5" customHeight="1" spans="4:11">
      <c r="D177" s="180">
        <v>45978</v>
      </c>
      <c r="E177" s="181">
        <v>26013.45</v>
      </c>
      <c r="F177" s="5"/>
      <c r="J177" s="5"/>
      <c r="K177" s="5"/>
    </row>
    <row r="178" ht="16.5" customHeight="1" spans="4:11">
      <c r="D178" s="180">
        <v>45975</v>
      </c>
      <c r="E178" s="181">
        <v>25910.05</v>
      </c>
      <c r="F178" s="5"/>
      <c r="J178" s="5"/>
      <c r="K178" s="5"/>
    </row>
    <row r="179" ht="16.5" customHeight="1" spans="4:11">
      <c r="D179" s="180">
        <v>45974</v>
      </c>
      <c r="E179" s="181">
        <v>25879.15</v>
      </c>
      <c r="F179" s="5"/>
      <c r="J179" s="5"/>
      <c r="K179" s="5"/>
    </row>
    <row r="180" ht="16.5" customHeight="1" spans="4:11">
      <c r="D180" s="180">
        <v>45973</v>
      </c>
      <c r="E180" s="181">
        <v>25875.8</v>
      </c>
      <c r="F180" s="5"/>
      <c r="J180" s="5"/>
      <c r="K180" s="5"/>
    </row>
    <row r="181" ht="16.5" customHeight="1" spans="4:11">
      <c r="D181" s="180">
        <v>45972</v>
      </c>
      <c r="E181" s="181">
        <v>25694.95</v>
      </c>
      <c r="F181" s="5"/>
      <c r="J181" s="5"/>
      <c r="K181" s="5"/>
    </row>
    <row r="182" ht="16.5" customHeight="1" spans="4:11">
      <c r="D182" s="180">
        <v>45971</v>
      </c>
      <c r="E182" s="181">
        <v>25574.35</v>
      </c>
      <c r="F182" s="5"/>
      <c r="J182" s="5"/>
      <c r="K182" s="5"/>
    </row>
    <row r="183" ht="16.5" customHeight="1" spans="4:11">
      <c r="D183" s="180">
        <v>45968</v>
      </c>
      <c r="E183" s="181">
        <v>25492.3</v>
      </c>
      <c r="F183" s="5"/>
      <c r="J183" s="5"/>
      <c r="K183" s="5"/>
    </row>
    <row r="184" ht="16.5" customHeight="1" spans="4:11">
      <c r="D184" s="180">
        <v>45967</v>
      </c>
      <c r="E184" s="181">
        <v>25509.7</v>
      </c>
      <c r="F184" s="5"/>
      <c r="J184" s="5"/>
      <c r="K184" s="5"/>
    </row>
    <row r="185" ht="16.5" customHeight="1" spans="4:11">
      <c r="D185" s="180">
        <v>45965</v>
      </c>
      <c r="E185" s="181">
        <v>25597.65</v>
      </c>
      <c r="F185" s="5"/>
      <c r="J185" s="5"/>
      <c r="K185" s="5"/>
    </row>
    <row r="186" ht="16.5" customHeight="1" spans="4:11">
      <c r="D186" s="180">
        <v>45964</v>
      </c>
      <c r="E186" s="181">
        <v>25763.35</v>
      </c>
      <c r="F186" s="5"/>
      <c r="J186" s="5"/>
      <c r="K186" s="5"/>
    </row>
    <row r="187" ht="16.5" customHeight="1" spans="4:11">
      <c r="D187" s="180">
        <v>45961</v>
      </c>
      <c r="E187" s="181">
        <v>25722.1</v>
      </c>
      <c r="F187" s="5"/>
      <c r="J187" s="5"/>
      <c r="K187" s="5"/>
    </row>
    <row r="188" ht="16.5" customHeight="1" spans="4:11">
      <c r="D188" s="180">
        <v>45960</v>
      </c>
      <c r="E188" s="181">
        <v>25877.85</v>
      </c>
      <c r="F188" s="5"/>
      <c r="J188" s="5"/>
      <c r="K188" s="5"/>
    </row>
    <row r="189" ht="16.5" customHeight="1" spans="4:11">
      <c r="D189" s="180">
        <v>45959</v>
      </c>
      <c r="E189" s="181">
        <v>26053.9</v>
      </c>
      <c r="F189" s="5"/>
      <c r="J189" s="5"/>
      <c r="K189" s="5"/>
    </row>
    <row r="190" ht="16.5" customHeight="1" spans="4:11">
      <c r="D190" s="180">
        <v>45958</v>
      </c>
      <c r="E190" s="181">
        <v>25936.2</v>
      </c>
      <c r="F190" s="5"/>
      <c r="J190" s="5"/>
      <c r="K190" s="5"/>
    </row>
    <row r="191" ht="16.5" customHeight="1" spans="4:11">
      <c r="D191" s="180">
        <v>45957</v>
      </c>
      <c r="E191" s="181">
        <v>25966.05</v>
      </c>
      <c r="F191" s="5"/>
      <c r="J191" s="5"/>
      <c r="K191" s="5"/>
    </row>
    <row r="192" ht="16.5" customHeight="1" spans="4:11">
      <c r="D192" s="180">
        <v>45954</v>
      </c>
      <c r="E192" s="181">
        <v>25795.15</v>
      </c>
      <c r="F192" s="5"/>
      <c r="J192" s="5"/>
      <c r="K192" s="5"/>
    </row>
    <row r="193" ht="16.5" customHeight="1" spans="4:11">
      <c r="D193" s="180">
        <v>45953</v>
      </c>
      <c r="E193" s="181">
        <v>25891.4</v>
      </c>
      <c r="F193" s="5"/>
      <c r="J193" s="5"/>
      <c r="K193" s="5"/>
    </row>
    <row r="194" ht="16.5" customHeight="1" spans="4:11">
      <c r="D194" s="180">
        <v>45951</v>
      </c>
      <c r="E194" s="181">
        <v>25868.6</v>
      </c>
      <c r="F194" s="5"/>
      <c r="J194" s="5"/>
      <c r="K194" s="5"/>
    </row>
    <row r="195" ht="16.5" customHeight="1" spans="4:11">
      <c r="D195" s="180">
        <v>45950</v>
      </c>
      <c r="E195" s="181">
        <v>25843.15</v>
      </c>
      <c r="F195" s="5"/>
      <c r="J195" s="5"/>
      <c r="K195" s="5"/>
    </row>
    <row r="196" ht="16.5" customHeight="1" spans="4:11">
      <c r="D196" s="180">
        <v>45947</v>
      </c>
      <c r="E196" s="181">
        <v>25709.85</v>
      </c>
      <c r="F196" s="5"/>
      <c r="J196" s="5"/>
      <c r="K196" s="5"/>
    </row>
    <row r="197" ht="16.5" customHeight="1" spans="4:11">
      <c r="D197" s="180">
        <v>45946</v>
      </c>
      <c r="E197" s="181">
        <v>25585.3</v>
      </c>
      <c r="F197" s="5"/>
      <c r="J197" s="5"/>
      <c r="K197" s="5"/>
    </row>
    <row r="198" ht="16.5" customHeight="1" spans="4:11">
      <c r="D198" s="180">
        <v>45945</v>
      </c>
      <c r="E198" s="181">
        <v>25323.55</v>
      </c>
      <c r="F198" s="5"/>
      <c r="J198" s="5"/>
      <c r="K198" s="5"/>
    </row>
    <row r="199" ht="16.5" customHeight="1" spans="4:11">
      <c r="D199" s="180">
        <v>45944</v>
      </c>
      <c r="E199" s="181">
        <v>25145.5</v>
      </c>
      <c r="F199" s="5"/>
      <c r="J199" s="5"/>
      <c r="K199" s="5"/>
    </row>
    <row r="200" ht="16.5" customHeight="1" spans="4:11">
      <c r="D200" s="180">
        <v>45943</v>
      </c>
      <c r="E200" s="181">
        <v>25227.35</v>
      </c>
      <c r="F200" s="5"/>
      <c r="J200" s="5"/>
      <c r="K200" s="5"/>
    </row>
    <row r="201" ht="16.5" customHeight="1" spans="4:11">
      <c r="D201" s="180">
        <v>45940</v>
      </c>
      <c r="E201" s="181">
        <v>25285.35</v>
      </c>
      <c r="F201" s="5"/>
      <c r="J201" s="5"/>
      <c r="K201" s="5"/>
    </row>
    <row r="202" ht="16.5" customHeight="1" spans="4:11">
      <c r="D202" s="180">
        <v>45939</v>
      </c>
      <c r="E202" s="181">
        <v>25181.8</v>
      </c>
      <c r="F202" s="5"/>
      <c r="J202" s="5"/>
      <c r="K202" s="5"/>
    </row>
    <row r="203" ht="16.5" customHeight="1" spans="4:11">
      <c r="D203" s="180">
        <v>45938</v>
      </c>
      <c r="E203" s="181">
        <v>25046.15</v>
      </c>
      <c r="F203" s="5"/>
      <c r="J203" s="5"/>
      <c r="K203" s="5"/>
    </row>
    <row r="204" ht="16.5" customHeight="1" spans="4:11">
      <c r="D204" s="180">
        <v>45937</v>
      </c>
      <c r="E204" s="181">
        <v>25108.3</v>
      </c>
      <c r="F204" s="5"/>
      <c r="J204" s="5"/>
      <c r="K204" s="5"/>
    </row>
    <row r="205" ht="16.5" customHeight="1" spans="4:11">
      <c r="D205" s="180">
        <v>45936</v>
      </c>
      <c r="E205" s="181">
        <v>25077.65</v>
      </c>
      <c r="F205" s="5"/>
      <c r="J205" s="5"/>
      <c r="K205" s="5"/>
    </row>
    <row r="206" ht="16.5" customHeight="1" spans="4:11">
      <c r="D206" s="180">
        <v>45933</v>
      </c>
      <c r="E206" s="181">
        <v>24894.25</v>
      </c>
      <c r="F206" s="5"/>
      <c r="J206" s="5"/>
      <c r="K206" s="5"/>
    </row>
    <row r="207" ht="16.5" customHeight="1" spans="4:11">
      <c r="D207" s="180">
        <v>45931</v>
      </c>
      <c r="E207" s="181">
        <v>24836.3</v>
      </c>
      <c r="F207" s="5"/>
      <c r="J207" s="5"/>
      <c r="K207" s="5"/>
    </row>
    <row r="208" ht="16.5" customHeight="1" spans="4:11">
      <c r="D208" s="180">
        <v>45930</v>
      </c>
      <c r="E208" s="181">
        <v>24611.1</v>
      </c>
      <c r="F208" s="5"/>
      <c r="J208" s="5"/>
      <c r="K208" s="5"/>
    </row>
    <row r="209" ht="16.5" customHeight="1" spans="4:11">
      <c r="D209" s="180">
        <v>45929</v>
      </c>
      <c r="E209" s="181">
        <v>24634.9</v>
      </c>
      <c r="F209" s="5"/>
      <c r="J209" s="5"/>
      <c r="K209" s="5"/>
    </row>
    <row r="210" ht="16.5" customHeight="1" spans="4:11">
      <c r="D210" s="180">
        <v>45926</v>
      </c>
      <c r="E210" s="181">
        <v>24654.7</v>
      </c>
      <c r="F210" s="5"/>
      <c r="J210" s="5"/>
      <c r="K210" s="5"/>
    </row>
    <row r="211" ht="16.5" customHeight="1" spans="4:11">
      <c r="D211" s="180">
        <v>45925</v>
      </c>
      <c r="E211" s="181">
        <v>24890.85</v>
      </c>
      <c r="F211" s="5"/>
      <c r="J211" s="5"/>
      <c r="K211" s="5"/>
    </row>
    <row r="212" ht="16.5" customHeight="1" spans="4:11">
      <c r="D212" s="180">
        <v>45924</v>
      </c>
      <c r="E212" s="181">
        <v>25056.9</v>
      </c>
      <c r="F212" s="5"/>
      <c r="J212" s="5"/>
      <c r="K212" s="5"/>
    </row>
    <row r="213" ht="16.5" customHeight="1" spans="4:11">
      <c r="D213" s="180">
        <v>45923</v>
      </c>
      <c r="E213" s="181">
        <v>25169.5</v>
      </c>
      <c r="F213" s="5"/>
      <c r="J213" s="5"/>
      <c r="K213" s="5"/>
    </row>
    <row r="214" ht="16.5" customHeight="1" spans="4:11">
      <c r="D214" s="180">
        <v>45922</v>
      </c>
      <c r="E214" s="181">
        <v>25202.35</v>
      </c>
      <c r="F214" s="5"/>
      <c r="J214" s="5"/>
      <c r="K214" s="5"/>
    </row>
    <row r="215" ht="16.5" customHeight="1" spans="4:11">
      <c r="D215" s="180">
        <v>45919</v>
      </c>
      <c r="E215" s="181">
        <v>25327.05</v>
      </c>
      <c r="F215" s="5"/>
      <c r="J215" s="5"/>
      <c r="K215" s="5"/>
    </row>
    <row r="216" ht="16.5" customHeight="1" spans="4:11">
      <c r="D216" s="180">
        <v>45918</v>
      </c>
      <c r="E216" s="181">
        <v>25423.6</v>
      </c>
      <c r="F216" s="5"/>
      <c r="J216" s="5"/>
      <c r="K216" s="5"/>
    </row>
    <row r="217" ht="16.5" customHeight="1" spans="4:11">
      <c r="D217" s="180">
        <v>45917</v>
      </c>
      <c r="E217" s="181">
        <v>25330.25</v>
      </c>
      <c r="F217" s="5"/>
      <c r="J217" s="5"/>
      <c r="K217" s="5"/>
    </row>
    <row r="218" ht="16.5" customHeight="1" spans="4:11">
      <c r="D218" s="180">
        <v>45916</v>
      </c>
      <c r="E218" s="181">
        <v>25239.1</v>
      </c>
      <c r="F218" s="5"/>
      <c r="J218" s="5"/>
      <c r="K218" s="5"/>
    </row>
    <row r="219" ht="16.5" customHeight="1" spans="4:11">
      <c r="D219" s="180">
        <v>45915</v>
      </c>
      <c r="E219" s="181">
        <v>25069.2</v>
      </c>
      <c r="F219" s="5"/>
      <c r="J219" s="5"/>
      <c r="K219" s="5"/>
    </row>
    <row r="220" ht="16.5" customHeight="1" spans="4:11">
      <c r="D220" s="180">
        <v>45912</v>
      </c>
      <c r="E220" s="181">
        <v>25114</v>
      </c>
      <c r="F220" s="5"/>
      <c r="J220" s="5"/>
      <c r="K220" s="5"/>
    </row>
    <row r="221" ht="16.5" customHeight="1" spans="4:11">
      <c r="D221" s="180">
        <v>45911</v>
      </c>
      <c r="E221" s="181">
        <v>25005.5</v>
      </c>
      <c r="F221" s="5"/>
      <c r="J221" s="5"/>
      <c r="K221" s="5"/>
    </row>
    <row r="222" ht="16.5" customHeight="1" spans="4:11">
      <c r="D222" s="180">
        <v>45910</v>
      </c>
      <c r="E222" s="181">
        <v>24973.1</v>
      </c>
      <c r="F222" s="5"/>
      <c r="J222" s="5"/>
      <c r="K222" s="5"/>
    </row>
    <row r="223" ht="16.5" customHeight="1" spans="4:11">
      <c r="D223" s="180">
        <v>45909</v>
      </c>
      <c r="E223" s="181">
        <v>24868.6</v>
      </c>
      <c r="F223" s="5"/>
      <c r="J223" s="5"/>
      <c r="K223" s="5"/>
    </row>
    <row r="224" ht="16.5" customHeight="1" spans="4:11">
      <c r="D224" s="180">
        <v>45908</v>
      </c>
      <c r="E224" s="181">
        <v>24773.15</v>
      </c>
      <c r="F224" s="5"/>
      <c r="J224" s="5"/>
      <c r="K224" s="5"/>
    </row>
    <row r="225" ht="16.5" customHeight="1" spans="4:11">
      <c r="D225" s="180">
        <v>45905</v>
      </c>
      <c r="E225" s="181">
        <v>24741</v>
      </c>
      <c r="F225" s="5"/>
      <c r="J225" s="5"/>
      <c r="K225" s="5"/>
    </row>
    <row r="226" ht="16.5" customHeight="1" spans="4:11">
      <c r="D226" s="180">
        <v>45904</v>
      </c>
      <c r="E226" s="181">
        <v>24734.3</v>
      </c>
      <c r="F226" s="5"/>
      <c r="J226" s="5"/>
      <c r="K226" s="5"/>
    </row>
    <row r="227" ht="16.5" customHeight="1" spans="4:11">
      <c r="D227" s="180">
        <v>45903</v>
      </c>
      <c r="E227" s="181">
        <v>24715.05</v>
      </c>
      <c r="F227" s="5"/>
      <c r="J227" s="5"/>
      <c r="K227" s="5"/>
    </row>
    <row r="228" ht="16.5" customHeight="1" spans="4:11">
      <c r="D228" s="180">
        <v>45902</v>
      </c>
      <c r="E228" s="181">
        <v>24579.6</v>
      </c>
      <c r="F228" s="5"/>
      <c r="J228" s="5"/>
      <c r="K228" s="5"/>
    </row>
    <row r="229" ht="16.5" customHeight="1" spans="4:11">
      <c r="D229" s="180">
        <v>45901</v>
      </c>
      <c r="E229" s="181">
        <v>24625.05</v>
      </c>
      <c r="F229" s="5"/>
      <c r="J229" s="5"/>
      <c r="K229" s="5"/>
    </row>
    <row r="230" ht="16.5" customHeight="1" spans="4:11">
      <c r="D230" s="180">
        <v>45898</v>
      </c>
      <c r="E230" s="181">
        <v>24426.85</v>
      </c>
      <c r="F230" s="5"/>
      <c r="J230" s="5"/>
      <c r="K230" s="5"/>
    </row>
    <row r="231" ht="16.5" customHeight="1" spans="4:11">
      <c r="D231" s="180">
        <v>45897</v>
      </c>
      <c r="E231" s="181">
        <v>24500.9</v>
      </c>
      <c r="F231" s="5"/>
      <c r="J231" s="5"/>
      <c r="K231" s="5"/>
    </row>
    <row r="232" ht="16.5" customHeight="1" spans="4:11">
      <c r="D232" s="180">
        <v>45895</v>
      </c>
      <c r="E232" s="181">
        <v>24712.05</v>
      </c>
      <c r="F232" s="5"/>
      <c r="J232" s="5"/>
      <c r="K232" s="5"/>
    </row>
    <row r="233" ht="16.5" customHeight="1" spans="4:11">
      <c r="D233" s="180">
        <v>45894</v>
      </c>
      <c r="E233" s="181">
        <v>24967.75</v>
      </c>
      <c r="F233" s="5"/>
      <c r="J233" s="5"/>
      <c r="K233" s="5"/>
    </row>
    <row r="234" ht="16.5" customHeight="1" spans="4:11">
      <c r="D234" s="180">
        <v>45891</v>
      </c>
      <c r="E234" s="181">
        <v>24870.1</v>
      </c>
      <c r="F234" s="5"/>
      <c r="J234" s="5"/>
      <c r="K234" s="5"/>
    </row>
    <row r="235" ht="16.5" customHeight="1" spans="4:11">
      <c r="D235" s="180">
        <v>45890</v>
      </c>
      <c r="E235" s="181">
        <v>25083.75</v>
      </c>
      <c r="F235" s="5"/>
      <c r="J235" s="5"/>
      <c r="K235" s="5"/>
    </row>
    <row r="236" ht="16.5" customHeight="1" spans="4:11">
      <c r="D236" s="180">
        <v>45889</v>
      </c>
      <c r="E236" s="181">
        <v>25050.55</v>
      </c>
      <c r="F236" s="5"/>
      <c r="J236" s="5"/>
      <c r="K236" s="5"/>
    </row>
    <row r="237" ht="16.5" customHeight="1" spans="4:11">
      <c r="D237" s="180">
        <v>45888</v>
      </c>
      <c r="E237" s="181">
        <v>24980.65</v>
      </c>
      <c r="F237" s="5"/>
      <c r="J237" s="5"/>
      <c r="K237" s="5"/>
    </row>
    <row r="238" ht="16.5" customHeight="1" spans="4:11">
      <c r="D238" s="180">
        <v>45887</v>
      </c>
      <c r="E238" s="181">
        <v>24876.95</v>
      </c>
      <c r="F238" s="5"/>
      <c r="J238" s="5"/>
      <c r="K238" s="5"/>
    </row>
    <row r="239" ht="16.5" customHeight="1" spans="4:11">
      <c r="D239" s="180">
        <v>45883</v>
      </c>
      <c r="E239" s="181">
        <v>24631.3</v>
      </c>
      <c r="F239" s="5"/>
      <c r="J239" s="5"/>
      <c r="K239" s="5"/>
    </row>
    <row r="240" ht="16.5" customHeight="1" spans="4:11">
      <c r="D240" s="180">
        <v>45882</v>
      </c>
      <c r="E240" s="181">
        <v>24619.35</v>
      </c>
      <c r="F240" s="5"/>
      <c r="J240" s="5"/>
      <c r="K240" s="5"/>
    </row>
    <row r="241" ht="16.5" customHeight="1" spans="4:11">
      <c r="D241" s="180">
        <v>45881</v>
      </c>
      <c r="E241" s="181">
        <v>24487.4</v>
      </c>
      <c r="F241" s="5"/>
      <c r="J241" s="5"/>
      <c r="K241" s="5"/>
    </row>
    <row r="242" ht="16.5" customHeight="1" spans="4:11">
      <c r="D242" s="180">
        <v>45880</v>
      </c>
      <c r="E242" s="181">
        <v>24585.05</v>
      </c>
      <c r="F242" s="5"/>
      <c r="J242" s="5"/>
      <c r="K242" s="5"/>
    </row>
    <row r="243" ht="16.5" customHeight="1" spans="4:11">
      <c r="D243" s="180">
        <v>45877</v>
      </c>
      <c r="E243" s="181">
        <v>24363.3</v>
      </c>
      <c r="F243" s="5"/>
      <c r="J243" s="5"/>
      <c r="K243" s="5"/>
    </row>
    <row r="244" ht="16.5" customHeight="1" spans="4:11">
      <c r="D244" s="180">
        <v>45876</v>
      </c>
      <c r="E244" s="181">
        <v>24596.15</v>
      </c>
      <c r="F244" s="5"/>
      <c r="J244" s="5"/>
      <c r="K244" s="5"/>
    </row>
    <row r="245" ht="16.5" customHeight="1" spans="4:11">
      <c r="D245" s="180">
        <v>45875</v>
      </c>
      <c r="E245" s="181">
        <v>24574.2</v>
      </c>
      <c r="F245" s="5"/>
      <c r="J245" s="5"/>
      <c r="K245" s="5"/>
    </row>
    <row r="246" ht="16.5" customHeight="1" spans="4:11">
      <c r="D246" s="180">
        <v>45874</v>
      </c>
      <c r="E246" s="181">
        <v>24649.55</v>
      </c>
      <c r="F246" s="5"/>
      <c r="J246" s="5"/>
      <c r="K246" s="5"/>
    </row>
    <row r="247" ht="16.5" customHeight="1" spans="4:11">
      <c r="D247" s="180">
        <v>45873</v>
      </c>
      <c r="E247" s="181">
        <v>24722.75</v>
      </c>
      <c r="F247" s="5"/>
      <c r="J247" s="5"/>
      <c r="K247" s="5"/>
    </row>
    <row r="248" ht="16.5" customHeight="1" spans="4:11">
      <c r="D248" s="180">
        <v>45870</v>
      </c>
      <c r="E248" s="181">
        <v>24565.35</v>
      </c>
      <c r="F248" s="5"/>
      <c r="J248" s="5"/>
      <c r="K248" s="5"/>
    </row>
    <row r="249" ht="16.5" customHeight="1" spans="4:11">
      <c r="D249" s="180">
        <v>45869</v>
      </c>
      <c r="E249" s="181">
        <v>24768.35</v>
      </c>
      <c r="F249" s="5"/>
      <c r="J249" s="5"/>
      <c r="K249" s="5"/>
    </row>
    <row r="250" ht="16.5" customHeight="1" spans="4:11">
      <c r="D250" s="180">
        <v>45868</v>
      </c>
      <c r="E250" s="181">
        <v>24855.05</v>
      </c>
      <c r="F250" s="5"/>
      <c r="J250" s="5"/>
      <c r="K250" s="5"/>
    </row>
    <row r="251" ht="16.5" customHeight="1" spans="4:11">
      <c r="D251" s="180">
        <v>45867</v>
      </c>
      <c r="E251" s="181">
        <v>24821.1</v>
      </c>
      <c r="F251" s="5"/>
      <c r="J251" s="5"/>
      <c r="K251" s="5"/>
    </row>
    <row r="252" ht="16.5" customHeight="1" spans="4:11">
      <c r="D252" s="180">
        <v>45866</v>
      </c>
      <c r="E252" s="181">
        <v>24680.9</v>
      </c>
      <c r="F252" s="5"/>
      <c r="J252" s="5"/>
      <c r="K252" s="5"/>
    </row>
    <row r="253" ht="16.5" customHeight="1" spans="4:11">
      <c r="D253" s="180">
        <v>45863</v>
      </c>
      <c r="E253" s="181">
        <v>24837</v>
      </c>
      <c r="F253" s="5"/>
      <c r="J253" s="5"/>
      <c r="K253" s="5"/>
    </row>
    <row r="254" ht="16.5" customHeight="1" spans="4:11">
      <c r="D254" s="180">
        <v>45862</v>
      </c>
      <c r="E254" s="181">
        <v>25062.1</v>
      </c>
      <c r="F254" s="5"/>
      <c r="J254" s="5"/>
      <c r="K254" s="5"/>
    </row>
    <row r="255" ht="16.5" customHeight="1" spans="4:11">
      <c r="D255" s="180">
        <v>45861</v>
      </c>
      <c r="E255" s="181">
        <v>25219.9</v>
      </c>
      <c r="F255" s="5"/>
      <c r="J255" s="5"/>
      <c r="K255" s="5"/>
    </row>
    <row r="256" ht="16.5" customHeight="1" spans="4:11">
      <c r="D256" s="180">
        <v>45860</v>
      </c>
      <c r="E256" s="181">
        <v>25060.9</v>
      </c>
      <c r="F256" s="5"/>
      <c r="J256" s="5"/>
      <c r="K256" s="5"/>
    </row>
    <row r="257" ht="16.5" customHeight="1" spans="4:11">
      <c r="D257" s="180">
        <v>45859</v>
      </c>
      <c r="E257" s="181">
        <v>25090.7</v>
      </c>
      <c r="F257" s="5"/>
      <c r="J257" s="5"/>
      <c r="K257" s="5"/>
    </row>
    <row r="258" ht="16.5" customHeight="1" spans="4:11">
      <c r="D258" s="180">
        <v>45856</v>
      </c>
      <c r="E258" s="181">
        <v>24968.4</v>
      </c>
      <c r="F258" s="5"/>
      <c r="J258" s="5"/>
      <c r="K258" s="5"/>
    </row>
    <row r="259" ht="16.5" customHeight="1" spans="4:11">
      <c r="D259" s="180">
        <v>45855</v>
      </c>
      <c r="E259" s="181">
        <v>25111.45</v>
      </c>
      <c r="F259" s="5"/>
      <c r="J259" s="5"/>
      <c r="K259" s="5"/>
    </row>
    <row r="260" ht="16.5" customHeight="1" spans="4:11">
      <c r="D260" s="180">
        <v>45854</v>
      </c>
      <c r="E260" s="181">
        <v>25212.05</v>
      </c>
      <c r="F260" s="5"/>
      <c r="J260" s="5"/>
      <c r="K260" s="5"/>
    </row>
    <row r="261" ht="16.5" customHeight="1" spans="4:11">
      <c r="D261" s="180">
        <v>45853</v>
      </c>
      <c r="E261" s="181">
        <v>25195.8</v>
      </c>
      <c r="F261" s="5"/>
      <c r="J261" s="5"/>
      <c r="K261" s="5"/>
    </row>
    <row r="262" ht="16.5" customHeight="1" spans="4:11">
      <c r="D262" s="180">
        <v>45852</v>
      </c>
      <c r="E262" s="181">
        <v>25082.3</v>
      </c>
      <c r="F262" s="5"/>
      <c r="J262" s="5"/>
      <c r="K262" s="5"/>
    </row>
    <row r="263" ht="16.5" customHeight="1" spans="4:11">
      <c r="D263" s="180">
        <v>45849</v>
      </c>
      <c r="E263" s="181">
        <v>25149.85</v>
      </c>
      <c r="F263" s="5"/>
      <c r="J263" s="5"/>
      <c r="K263" s="5"/>
    </row>
    <row r="264" ht="16.5" customHeight="1" spans="4:11">
      <c r="D264" s="180">
        <v>45848</v>
      </c>
      <c r="E264" s="181">
        <v>25355.25</v>
      </c>
      <c r="F264" s="5"/>
      <c r="J264" s="5"/>
      <c r="K264" s="5"/>
    </row>
    <row r="265" ht="16.5" customHeight="1" spans="4:11">
      <c r="D265" s="180">
        <v>45847</v>
      </c>
      <c r="E265" s="181">
        <v>25476.1</v>
      </c>
      <c r="F265" s="5"/>
      <c r="J265" s="5"/>
      <c r="K265" s="5"/>
    </row>
    <row r="266" ht="16.5" customHeight="1" spans="4:11">
      <c r="D266" s="180">
        <v>45846</v>
      </c>
      <c r="E266" s="181">
        <v>25522.5</v>
      </c>
      <c r="F266" s="5"/>
      <c r="J266" s="5"/>
      <c r="K266" s="5"/>
    </row>
    <row r="267" ht="16.5" customHeight="1" spans="4:11">
      <c r="D267" s="180">
        <v>45845</v>
      </c>
      <c r="E267" s="181">
        <v>25461.3</v>
      </c>
      <c r="F267" s="5"/>
      <c r="J267" s="5"/>
      <c r="K267" s="5"/>
    </row>
    <row r="268" ht="16.5" customHeight="1" spans="4:11">
      <c r="D268" s="180">
        <v>45842</v>
      </c>
      <c r="E268" s="181">
        <v>25461</v>
      </c>
      <c r="F268" s="5"/>
      <c r="J268" s="5"/>
      <c r="K268" s="5"/>
    </row>
    <row r="269" ht="16.5" customHeight="1" spans="4:11">
      <c r="D269" s="180">
        <v>45841</v>
      </c>
      <c r="E269" s="181">
        <v>25405.3</v>
      </c>
      <c r="F269" s="5"/>
      <c r="J269" s="5"/>
      <c r="K269" s="5"/>
    </row>
    <row r="270" ht="16.5" customHeight="1" spans="4:11">
      <c r="D270" s="180">
        <v>45840</v>
      </c>
      <c r="E270" s="181">
        <v>25453.4</v>
      </c>
      <c r="F270" s="5"/>
      <c r="J270" s="5"/>
      <c r="K270" s="5"/>
    </row>
    <row r="271" ht="16.5" customHeight="1" spans="4:11">
      <c r="D271" s="180">
        <v>45839</v>
      </c>
      <c r="E271" s="181">
        <v>25541.8</v>
      </c>
      <c r="F271" s="5"/>
      <c r="J271" s="5"/>
      <c r="K271" s="5"/>
    </row>
    <row r="272" ht="16.5" customHeight="1" spans="4:11">
      <c r="D272" s="180">
        <v>45838</v>
      </c>
      <c r="E272" s="181">
        <v>25517.05</v>
      </c>
      <c r="F272" s="5"/>
      <c r="J272" s="5"/>
      <c r="K272" s="5"/>
    </row>
    <row r="273" ht="16.5" customHeight="1" spans="4:11">
      <c r="D273" s="180">
        <v>45835</v>
      </c>
      <c r="E273" s="181">
        <v>25637.8</v>
      </c>
      <c r="F273" s="5"/>
      <c r="J273" s="5"/>
      <c r="K273" s="5"/>
    </row>
    <row r="274" ht="16.5" customHeight="1" spans="4:11">
      <c r="D274" s="180">
        <v>45834</v>
      </c>
      <c r="E274" s="181">
        <v>25549</v>
      </c>
      <c r="F274" s="5"/>
      <c r="J274" s="5"/>
      <c r="K274" s="5"/>
    </row>
    <row r="275" ht="16.5" customHeight="1" spans="4:11">
      <c r="D275" s="180">
        <v>45833</v>
      </c>
      <c r="E275" s="181">
        <v>25244.75</v>
      </c>
      <c r="F275" s="5"/>
      <c r="J275" s="5"/>
      <c r="K275" s="5"/>
    </row>
    <row r="276" ht="16.5" customHeight="1" spans="4:11">
      <c r="D276" s="180">
        <v>45832</v>
      </c>
      <c r="E276" s="181">
        <v>25044.35</v>
      </c>
      <c r="F276" s="5"/>
      <c r="J276" s="5"/>
      <c r="K276" s="5"/>
    </row>
    <row r="277" ht="16.5" customHeight="1" spans="4:11">
      <c r="D277" s="180">
        <v>45831</v>
      </c>
      <c r="E277" s="181">
        <v>24971.9</v>
      </c>
      <c r="F277" s="5"/>
      <c r="J277" s="5"/>
      <c r="K277" s="5"/>
    </row>
    <row r="278" ht="16.5" customHeight="1" spans="4:11">
      <c r="D278" s="180">
        <v>45828</v>
      </c>
      <c r="E278" s="181">
        <v>25112.4</v>
      </c>
      <c r="F278" s="5"/>
      <c r="J278" s="5"/>
      <c r="K278" s="5"/>
    </row>
    <row r="279" ht="16.5" customHeight="1" spans="4:11">
      <c r="D279" s="180">
        <v>45827</v>
      </c>
      <c r="E279" s="181">
        <v>24793.25</v>
      </c>
      <c r="F279" s="5"/>
      <c r="J279" s="5"/>
      <c r="K279" s="5"/>
    </row>
    <row r="280" ht="16.5" customHeight="1" spans="4:11">
      <c r="D280" s="180">
        <v>45826</v>
      </c>
      <c r="E280" s="181">
        <v>24812.05</v>
      </c>
      <c r="F280" s="5"/>
      <c r="J280" s="5"/>
      <c r="K280" s="5"/>
    </row>
    <row r="281" ht="16.5" customHeight="1" spans="4:11">
      <c r="D281" s="180">
        <v>45825</v>
      </c>
      <c r="E281" s="181">
        <v>24853.4</v>
      </c>
      <c r="F281" s="5"/>
      <c r="J281" s="5"/>
      <c r="K281" s="5"/>
    </row>
    <row r="282" ht="16.5" customHeight="1" spans="4:11">
      <c r="D282" s="180">
        <v>45824</v>
      </c>
      <c r="E282" s="181">
        <v>24946.5</v>
      </c>
      <c r="F282" s="5"/>
      <c r="J282" s="5"/>
      <c r="K282" s="5"/>
    </row>
    <row r="283" ht="16.5" customHeight="1" spans="4:11">
      <c r="D283" s="180">
        <v>45821</v>
      </c>
      <c r="E283" s="181">
        <v>24718.6</v>
      </c>
      <c r="F283" s="5"/>
      <c r="J283" s="5"/>
      <c r="K283" s="5"/>
    </row>
    <row r="284" ht="16.5" customHeight="1" spans="4:11">
      <c r="D284" s="180">
        <v>45820</v>
      </c>
      <c r="E284" s="181">
        <v>24888.2</v>
      </c>
      <c r="F284" s="5"/>
      <c r="J284" s="5"/>
      <c r="K284" s="5"/>
    </row>
    <row r="285" ht="16.5" customHeight="1" spans="4:11">
      <c r="D285" s="180">
        <v>45819</v>
      </c>
      <c r="E285" s="181">
        <v>25141.4</v>
      </c>
      <c r="F285" s="5"/>
      <c r="J285" s="5"/>
      <c r="K285" s="5"/>
    </row>
    <row r="286" ht="16.5" customHeight="1" spans="4:11">
      <c r="D286" s="180">
        <v>45818</v>
      </c>
      <c r="E286" s="181">
        <v>25104.25</v>
      </c>
      <c r="F286" s="5"/>
      <c r="J286" s="5"/>
      <c r="K286" s="5"/>
    </row>
    <row r="287" ht="16.5" customHeight="1" spans="4:11">
      <c r="D287" s="180">
        <v>45817</v>
      </c>
      <c r="E287" s="181">
        <v>25103.2</v>
      </c>
      <c r="F287" s="5"/>
      <c r="J287" s="5"/>
      <c r="K287" s="5"/>
    </row>
    <row r="288" ht="16.5" customHeight="1" spans="4:11">
      <c r="D288" s="180">
        <v>45814</v>
      </c>
      <c r="E288" s="181">
        <v>25003.05</v>
      </c>
      <c r="F288" s="5"/>
      <c r="J288" s="5"/>
      <c r="K288" s="5"/>
    </row>
    <row r="289" ht="16.5" customHeight="1" spans="4:11">
      <c r="D289" s="180">
        <v>45813</v>
      </c>
      <c r="E289" s="181">
        <v>24750.9</v>
      </c>
      <c r="F289" s="5"/>
      <c r="J289" s="5"/>
      <c r="K289" s="5"/>
    </row>
    <row r="290" ht="16.5" customHeight="1" spans="4:11">
      <c r="D290" s="180">
        <v>45812</v>
      </c>
      <c r="E290" s="181">
        <v>24620.2</v>
      </c>
      <c r="F290" s="5"/>
      <c r="J290" s="5"/>
      <c r="K290" s="5"/>
    </row>
    <row r="291" ht="16.5" customHeight="1" spans="4:11">
      <c r="D291" s="180">
        <v>45811</v>
      </c>
      <c r="E291" s="181">
        <v>24542.5</v>
      </c>
      <c r="F291" s="5"/>
      <c r="J291" s="5"/>
      <c r="K291" s="5"/>
    </row>
    <row r="292" ht="16.5" customHeight="1" spans="4:11">
      <c r="D292" s="180">
        <v>45810</v>
      </c>
      <c r="E292" s="181">
        <v>24716.6</v>
      </c>
      <c r="F292" s="5"/>
      <c r="J292" s="5"/>
      <c r="K292" s="5"/>
    </row>
    <row r="293" ht="16.5" customHeight="1" spans="4:11">
      <c r="D293" s="180">
        <v>45807</v>
      </c>
      <c r="E293" s="181">
        <v>24750.7</v>
      </c>
      <c r="F293" s="5"/>
      <c r="J293" s="5"/>
      <c r="K293" s="5"/>
    </row>
    <row r="294" ht="16.5" customHeight="1" spans="4:11">
      <c r="D294" s="180">
        <v>45806</v>
      </c>
      <c r="E294" s="181">
        <v>24833.6</v>
      </c>
      <c r="F294" s="5"/>
      <c r="J294" s="5"/>
      <c r="K294" s="5"/>
    </row>
    <row r="295" ht="16.5" customHeight="1" spans="4:11">
      <c r="D295" s="180">
        <v>45805</v>
      </c>
      <c r="E295" s="181">
        <v>24752.45</v>
      </c>
      <c r="F295" s="5"/>
      <c r="J295" s="5"/>
      <c r="K295" s="5"/>
    </row>
    <row r="296" ht="16.5" customHeight="1" spans="4:11">
      <c r="D296" s="180">
        <v>45804</v>
      </c>
      <c r="E296" s="181">
        <v>24826.2</v>
      </c>
      <c r="F296" s="5"/>
      <c r="J296" s="5"/>
      <c r="K296" s="5"/>
    </row>
    <row r="297" ht="16.5" customHeight="1" spans="4:11">
      <c r="D297" s="180">
        <v>45803</v>
      </c>
      <c r="E297" s="181">
        <v>25001.15</v>
      </c>
      <c r="F297" s="5"/>
      <c r="J297" s="5"/>
      <c r="K297" s="5"/>
    </row>
    <row r="298" ht="16.5" customHeight="1" spans="4:11">
      <c r="D298" s="180">
        <v>45800</v>
      </c>
      <c r="E298" s="181">
        <v>24853.15</v>
      </c>
      <c r="F298" s="5"/>
      <c r="J298" s="5"/>
      <c r="K298" s="5"/>
    </row>
    <row r="299" ht="16.5" customHeight="1" spans="4:11">
      <c r="D299" s="180">
        <v>45799</v>
      </c>
      <c r="E299" s="181">
        <v>24609.7</v>
      </c>
      <c r="F299" s="5"/>
      <c r="J299" s="5"/>
      <c r="K299" s="5"/>
    </row>
    <row r="300" ht="16.5" customHeight="1" spans="4:11">
      <c r="D300" s="180">
        <v>45798</v>
      </c>
      <c r="E300" s="181">
        <v>24813.45</v>
      </c>
      <c r="F300" s="5"/>
      <c r="J300" s="5"/>
      <c r="K300" s="5"/>
    </row>
    <row r="301" ht="16.5" customHeight="1" spans="4:11">
      <c r="D301" s="180">
        <v>45797</v>
      </c>
      <c r="E301" s="181">
        <v>24683.9</v>
      </c>
      <c r="F301" s="5"/>
      <c r="J301" s="5"/>
      <c r="K301" s="5"/>
    </row>
    <row r="302" ht="16.5" customHeight="1" spans="4:11">
      <c r="D302" s="180">
        <v>45796</v>
      </c>
      <c r="E302" s="181">
        <v>24945.45</v>
      </c>
      <c r="F302" s="5"/>
      <c r="J302" s="5"/>
      <c r="K302" s="5"/>
    </row>
    <row r="303" ht="16.5" customHeight="1" spans="4:11">
      <c r="D303" s="180">
        <v>45793</v>
      </c>
      <c r="E303" s="181">
        <v>25019.8</v>
      </c>
      <c r="F303" s="5"/>
      <c r="J303" s="5"/>
      <c r="K303" s="5"/>
    </row>
    <row r="304" ht="16.5" customHeight="1" spans="4:11">
      <c r="D304" s="180">
        <v>45792</v>
      </c>
      <c r="E304" s="181">
        <v>25062.1</v>
      </c>
      <c r="F304" s="5"/>
      <c r="J304" s="5"/>
      <c r="K304" s="5"/>
    </row>
    <row r="305" ht="16.5" customHeight="1" spans="4:11">
      <c r="D305" s="180">
        <v>45791</v>
      </c>
      <c r="E305" s="181">
        <v>24666.9</v>
      </c>
      <c r="F305" s="5"/>
      <c r="J305" s="5"/>
      <c r="K305" s="5"/>
    </row>
    <row r="306" ht="16.5" customHeight="1" spans="4:11">
      <c r="D306" s="180">
        <v>45790</v>
      </c>
      <c r="E306" s="181">
        <v>24578.35</v>
      </c>
      <c r="F306" s="5"/>
      <c r="J306" s="5"/>
      <c r="K306" s="5"/>
    </row>
    <row r="307" ht="16.5" customHeight="1" spans="4:11">
      <c r="D307" s="180">
        <v>45789</v>
      </c>
      <c r="E307" s="181">
        <v>24924.7</v>
      </c>
      <c r="F307" s="5"/>
      <c r="J307" s="5"/>
      <c r="K307" s="5"/>
    </row>
    <row r="308" ht="16.5" customHeight="1" spans="4:11">
      <c r="D308" s="180">
        <v>45786</v>
      </c>
      <c r="E308" s="181">
        <v>24008</v>
      </c>
      <c r="F308" s="5"/>
      <c r="J308" s="5"/>
      <c r="K308" s="5"/>
    </row>
    <row r="309" ht="16.5" customHeight="1" spans="4:11">
      <c r="D309" s="180">
        <v>45785</v>
      </c>
      <c r="E309" s="181">
        <v>24273.8</v>
      </c>
      <c r="F309" s="5"/>
      <c r="J309" s="5"/>
      <c r="K309" s="5"/>
    </row>
    <row r="310" ht="16.5" customHeight="1" spans="4:11">
      <c r="D310" s="180">
        <v>45784</v>
      </c>
      <c r="E310" s="181">
        <v>24414.4</v>
      </c>
      <c r="F310" s="5"/>
      <c r="J310" s="5"/>
      <c r="K310" s="5"/>
    </row>
    <row r="311" ht="16.5" customHeight="1" spans="4:11">
      <c r="D311" s="180">
        <v>45783</v>
      </c>
      <c r="E311" s="181">
        <v>24379.6</v>
      </c>
      <c r="F311" s="5"/>
      <c r="J311" s="5"/>
      <c r="K311" s="5"/>
    </row>
    <row r="312" ht="16.5" customHeight="1" spans="4:11">
      <c r="D312" s="180">
        <v>45782</v>
      </c>
      <c r="E312" s="181">
        <v>24461.15</v>
      </c>
      <c r="F312" s="5"/>
      <c r="J312" s="5"/>
      <c r="K312" s="5"/>
    </row>
    <row r="313" ht="16.5" customHeight="1" spans="4:11">
      <c r="D313" s="180">
        <v>45779</v>
      </c>
      <c r="E313" s="181">
        <v>24346.7</v>
      </c>
      <c r="F313" s="5"/>
      <c r="J313" s="5"/>
      <c r="K313" s="5"/>
    </row>
    <row r="314" ht="16.5" customHeight="1" spans="4:11">
      <c r="D314" s="180">
        <v>45777</v>
      </c>
      <c r="E314" s="181">
        <v>24334.2</v>
      </c>
      <c r="F314" s="5"/>
      <c r="J314" s="5"/>
      <c r="K314" s="5"/>
    </row>
    <row r="315" ht="16.5" customHeight="1" spans="4:11">
      <c r="D315" s="180">
        <v>45776</v>
      </c>
      <c r="E315" s="181">
        <v>24335.95</v>
      </c>
      <c r="F315" s="5"/>
      <c r="J315" s="5"/>
      <c r="K315" s="5"/>
    </row>
    <row r="316" ht="16.5" customHeight="1" spans="4:11">
      <c r="D316" s="180">
        <v>45775</v>
      </c>
      <c r="E316" s="181">
        <v>24328.5</v>
      </c>
      <c r="F316" s="5"/>
      <c r="J316" s="5"/>
      <c r="K316" s="5"/>
    </row>
    <row r="317" ht="16.5" customHeight="1" spans="4:11">
      <c r="D317" s="180">
        <v>45772</v>
      </c>
      <c r="E317" s="181">
        <v>24039.35</v>
      </c>
      <c r="F317" s="5"/>
      <c r="J317" s="5"/>
      <c r="K317" s="5"/>
    </row>
    <row r="318" ht="16.5" customHeight="1" spans="4:11">
      <c r="D318" s="180">
        <v>45771</v>
      </c>
      <c r="E318" s="181">
        <v>24246.7</v>
      </c>
      <c r="F318" s="5"/>
      <c r="J318" s="5"/>
      <c r="K318" s="5"/>
    </row>
    <row r="319" ht="16.5" customHeight="1" spans="4:11">
      <c r="D319" s="180">
        <v>45770</v>
      </c>
      <c r="E319" s="181">
        <v>24328.95</v>
      </c>
      <c r="F319" s="5"/>
      <c r="J319" s="5"/>
      <c r="K319" s="5"/>
    </row>
    <row r="320" ht="16.5" customHeight="1" spans="4:11">
      <c r="D320" s="180">
        <v>45769</v>
      </c>
      <c r="E320" s="181">
        <v>24167.25</v>
      </c>
      <c r="F320" s="5"/>
      <c r="J320" s="5"/>
      <c r="K320" s="5"/>
    </row>
    <row r="321" ht="16.5" customHeight="1" spans="4:11">
      <c r="D321" s="180">
        <v>45768</v>
      </c>
      <c r="E321" s="181">
        <v>24125.55</v>
      </c>
      <c r="F321" s="5"/>
      <c r="J321" s="5"/>
      <c r="K321" s="5"/>
    </row>
    <row r="322" ht="16.5" customHeight="1" spans="4:11">
      <c r="D322" s="180">
        <v>45764</v>
      </c>
      <c r="E322" s="181">
        <v>23851.65</v>
      </c>
      <c r="F322" s="5"/>
      <c r="J322" s="5"/>
      <c r="K322" s="5"/>
    </row>
    <row r="323" ht="16.5" customHeight="1" spans="4:11">
      <c r="D323" s="180">
        <v>45763</v>
      </c>
      <c r="E323" s="181">
        <v>23437.2</v>
      </c>
      <c r="F323" s="5"/>
      <c r="J323" s="5"/>
      <c r="K323" s="5"/>
    </row>
    <row r="324" ht="16.5" customHeight="1" spans="4:11">
      <c r="D324" s="180">
        <v>45762</v>
      </c>
      <c r="E324" s="181">
        <v>23328.55</v>
      </c>
      <c r="F324" s="5"/>
      <c r="J324" s="5"/>
      <c r="K324" s="5"/>
    </row>
    <row r="325" ht="16.5" customHeight="1" spans="4:11">
      <c r="D325" s="180">
        <v>45758</v>
      </c>
      <c r="E325" s="181">
        <v>22828.55</v>
      </c>
      <c r="F325" s="5"/>
      <c r="J325" s="5"/>
      <c r="K325" s="5"/>
    </row>
    <row r="326" ht="16.5" customHeight="1" spans="4:11">
      <c r="D326" s="180">
        <v>45756</v>
      </c>
      <c r="E326" s="181">
        <v>22399.15</v>
      </c>
      <c r="F326" s="5"/>
      <c r="J326" s="5"/>
      <c r="K326" s="5"/>
    </row>
    <row r="327" ht="16.5" customHeight="1" spans="4:11">
      <c r="D327" s="180">
        <v>45755</v>
      </c>
      <c r="E327" s="181">
        <v>22535.85</v>
      </c>
      <c r="F327" s="5"/>
      <c r="J327" s="5"/>
      <c r="K327" s="5"/>
    </row>
    <row r="328" ht="16.5" customHeight="1" spans="4:11">
      <c r="D328" s="180">
        <v>45754</v>
      </c>
      <c r="E328" s="181">
        <v>22161.6</v>
      </c>
      <c r="F328" s="5"/>
      <c r="J328" s="5"/>
      <c r="K328" s="5"/>
    </row>
    <row r="329" ht="16.5" customHeight="1" spans="4:11">
      <c r="D329" s="180">
        <v>45751</v>
      </c>
      <c r="E329" s="181">
        <v>22904.45</v>
      </c>
      <c r="F329" s="5"/>
      <c r="J329" s="5"/>
      <c r="K329" s="5"/>
    </row>
    <row r="330" ht="16.5" customHeight="1" spans="4:11">
      <c r="D330" s="180">
        <v>45750</v>
      </c>
      <c r="E330" s="181">
        <v>23250.1</v>
      </c>
      <c r="F330" s="5"/>
      <c r="J330" s="5"/>
      <c r="K330" s="5"/>
    </row>
    <row r="331" ht="16.5" customHeight="1" spans="4:11">
      <c r="D331" s="180">
        <v>45749</v>
      </c>
      <c r="E331" s="181">
        <v>23332.35</v>
      </c>
      <c r="F331" s="5"/>
      <c r="J331" s="5"/>
      <c r="K331" s="5"/>
    </row>
    <row r="332" ht="16.5" customHeight="1" spans="4:11">
      <c r="D332" s="180">
        <v>45748</v>
      </c>
      <c r="E332" s="181">
        <v>23165.7</v>
      </c>
      <c r="F332" s="5"/>
      <c r="J332" s="5"/>
      <c r="K332" s="5"/>
    </row>
    <row r="333" ht="16.5" customHeight="1" spans="4:11">
      <c r="D333" s="180">
        <v>45744</v>
      </c>
      <c r="E333" s="181">
        <v>23519.35</v>
      </c>
      <c r="F333" s="5"/>
      <c r="J333" s="5"/>
      <c r="K333" s="5"/>
    </row>
    <row r="334" ht="16.5" customHeight="1" spans="4:11">
      <c r="D334" s="180">
        <v>45743</v>
      </c>
      <c r="E334" s="181">
        <v>23591.95</v>
      </c>
      <c r="F334" s="5"/>
      <c r="J334" s="5"/>
      <c r="K334" s="5"/>
    </row>
    <row r="335" ht="16.5" customHeight="1" spans="4:11">
      <c r="D335" s="180">
        <v>45742</v>
      </c>
      <c r="E335" s="181">
        <v>23486.85</v>
      </c>
      <c r="F335" s="5"/>
      <c r="J335" s="5"/>
      <c r="K335" s="5"/>
    </row>
    <row r="336" ht="16.5" customHeight="1" spans="4:11">
      <c r="D336" s="180">
        <v>45741</v>
      </c>
      <c r="E336" s="181">
        <v>23668.65</v>
      </c>
      <c r="F336" s="5"/>
      <c r="J336" s="5"/>
      <c r="K336" s="5"/>
    </row>
    <row r="337" ht="16.5" customHeight="1" spans="4:11">
      <c r="D337" s="180">
        <v>45740</v>
      </c>
      <c r="E337" s="181">
        <v>23658.35</v>
      </c>
      <c r="F337" s="5"/>
      <c r="J337" s="5"/>
      <c r="K337" s="5"/>
    </row>
    <row r="338" ht="16.5" customHeight="1" spans="4:11">
      <c r="D338" s="180">
        <v>45737</v>
      </c>
      <c r="E338" s="181">
        <v>23350.4</v>
      </c>
      <c r="F338" s="5"/>
      <c r="J338" s="5"/>
      <c r="K338" s="5"/>
    </row>
    <row r="339" ht="16.5" customHeight="1" spans="4:11">
      <c r="D339" s="180">
        <v>45736</v>
      </c>
      <c r="E339" s="181">
        <v>23190.65</v>
      </c>
      <c r="F339" s="5"/>
      <c r="J339" s="5"/>
      <c r="K339" s="5"/>
    </row>
    <row r="340" ht="16.5" customHeight="1" spans="4:11">
      <c r="D340" s="180">
        <v>45735</v>
      </c>
      <c r="E340" s="181">
        <v>22907.6</v>
      </c>
      <c r="F340" s="5"/>
      <c r="J340" s="5"/>
      <c r="K340" s="5"/>
    </row>
    <row r="341" ht="16.5" customHeight="1" spans="4:11">
      <c r="D341" s="180">
        <v>45734</v>
      </c>
      <c r="E341" s="181">
        <v>22834.3</v>
      </c>
      <c r="F341" s="5"/>
      <c r="J341" s="5"/>
      <c r="K341" s="5"/>
    </row>
    <row r="342" ht="16.5" customHeight="1" spans="4:11">
      <c r="D342" s="180">
        <v>45733</v>
      </c>
      <c r="E342" s="181">
        <v>22508.75</v>
      </c>
      <c r="F342" s="5"/>
      <c r="J342" s="5"/>
      <c r="K342" s="5"/>
    </row>
    <row r="343" ht="16.5" customHeight="1" spans="4:11">
      <c r="D343" s="180">
        <v>45729</v>
      </c>
      <c r="E343" s="181">
        <v>22397.2</v>
      </c>
      <c r="F343" s="5"/>
      <c r="J343" s="5"/>
      <c r="K343" s="5"/>
    </row>
    <row r="344" ht="16.5" customHeight="1" spans="4:11">
      <c r="D344" s="180">
        <v>45728</v>
      </c>
      <c r="E344" s="181">
        <v>22470.5</v>
      </c>
      <c r="F344" s="5"/>
      <c r="J344" s="5"/>
      <c r="K344" s="5"/>
    </row>
    <row r="345" ht="16.5" customHeight="1" spans="4:11">
      <c r="D345" s="180">
        <v>45727</v>
      </c>
      <c r="E345" s="181">
        <v>22497.9</v>
      </c>
      <c r="F345" s="5"/>
      <c r="J345" s="5"/>
      <c r="K345" s="5"/>
    </row>
    <row r="346" ht="16.5" customHeight="1" spans="4:11">
      <c r="D346" s="180">
        <v>45726</v>
      </c>
      <c r="E346" s="181">
        <v>22460.3</v>
      </c>
      <c r="F346" s="5"/>
      <c r="J346" s="5"/>
      <c r="K346" s="5"/>
    </row>
    <row r="347" ht="16.5" customHeight="1" spans="4:11">
      <c r="D347" s="180">
        <v>45723</v>
      </c>
      <c r="E347" s="181">
        <v>22552.5</v>
      </c>
      <c r="F347" s="5"/>
      <c r="J347" s="5"/>
      <c r="K347" s="5"/>
    </row>
    <row r="348" ht="16.5" customHeight="1" spans="4:11">
      <c r="D348" s="180">
        <v>45722</v>
      </c>
      <c r="E348" s="181">
        <v>22544.7</v>
      </c>
      <c r="F348" s="5"/>
      <c r="J348" s="5"/>
      <c r="K348" s="5"/>
    </row>
    <row r="349" ht="16.5" customHeight="1" spans="4:11">
      <c r="D349" s="180">
        <v>45721</v>
      </c>
      <c r="E349" s="181">
        <v>22337.3</v>
      </c>
      <c r="F349" s="5"/>
      <c r="J349" s="5"/>
      <c r="K349" s="5"/>
    </row>
    <row r="350" ht="16.5" customHeight="1" spans="4:11">
      <c r="D350" s="180">
        <v>45720</v>
      </c>
      <c r="E350" s="181">
        <v>22082.65</v>
      </c>
      <c r="F350" s="5"/>
      <c r="J350" s="5"/>
      <c r="K350" s="5"/>
    </row>
    <row r="351" ht="16.5" customHeight="1" spans="4:11">
      <c r="D351" s="180">
        <v>45719</v>
      </c>
      <c r="E351" s="181">
        <v>22119.3</v>
      </c>
      <c r="F351" s="5"/>
      <c r="J351" s="5"/>
      <c r="K351" s="5"/>
    </row>
    <row r="352" ht="16.5" customHeight="1" spans="4:11">
      <c r="D352" s="180">
        <v>45716</v>
      </c>
      <c r="E352" s="181">
        <v>22124.7</v>
      </c>
      <c r="F352" s="5"/>
      <c r="J352" s="5"/>
      <c r="K352" s="5"/>
    </row>
    <row r="353" ht="16.5" customHeight="1" spans="4:11">
      <c r="D353" s="180">
        <v>45715</v>
      </c>
      <c r="E353" s="181">
        <v>22545.05</v>
      </c>
      <c r="F353" s="5"/>
      <c r="J353" s="5"/>
      <c r="K353" s="5"/>
    </row>
    <row r="354" ht="16.5" customHeight="1" spans="4:11">
      <c r="D354" s="180">
        <v>45713</v>
      </c>
      <c r="E354" s="181">
        <v>22547.55</v>
      </c>
      <c r="F354" s="5"/>
      <c r="J354" s="5"/>
      <c r="K354" s="5"/>
    </row>
    <row r="355" ht="16.5" customHeight="1" spans="4:11">
      <c r="D355" s="180">
        <v>45712</v>
      </c>
      <c r="E355" s="181">
        <v>22553.35</v>
      </c>
      <c r="F355" s="5"/>
      <c r="J355" s="5"/>
      <c r="K355" s="5"/>
    </row>
    <row r="356" ht="16.5" customHeight="1" spans="4:11">
      <c r="D356" s="180">
        <v>45709</v>
      </c>
      <c r="E356" s="181">
        <v>22795.9</v>
      </c>
      <c r="F356" s="5"/>
      <c r="J356" s="5"/>
      <c r="K356" s="5"/>
    </row>
    <row r="357" ht="16.5" customHeight="1" spans="4:11">
      <c r="D357" s="180">
        <v>45708</v>
      </c>
      <c r="E357" s="181">
        <v>22913.15</v>
      </c>
      <c r="F357" s="5"/>
      <c r="J357" s="5"/>
      <c r="K357" s="5"/>
    </row>
    <row r="358" ht="16.5" customHeight="1" spans="4:11">
      <c r="D358" s="180">
        <v>45707</v>
      </c>
      <c r="E358" s="181">
        <v>22932.9</v>
      </c>
      <c r="F358" s="5"/>
      <c r="J358" s="5"/>
      <c r="K358" s="5"/>
    </row>
    <row r="359" ht="16.5" customHeight="1" spans="4:11">
      <c r="D359" s="180">
        <v>45706</v>
      </c>
      <c r="E359" s="181">
        <v>22945.3</v>
      </c>
      <c r="F359" s="5"/>
      <c r="J359" s="5"/>
      <c r="K359" s="5"/>
    </row>
    <row r="360" ht="16.5" customHeight="1" spans="4:11">
      <c r="D360" s="180">
        <v>45705</v>
      </c>
      <c r="E360" s="181">
        <v>22959.5</v>
      </c>
      <c r="F360" s="5"/>
      <c r="J360" s="5"/>
      <c r="K360" s="5"/>
    </row>
    <row r="361" ht="16.5" customHeight="1" spans="4:11">
      <c r="D361" s="180">
        <v>45702</v>
      </c>
      <c r="E361" s="181">
        <v>22929.25</v>
      </c>
      <c r="F361" s="5"/>
      <c r="J361" s="5"/>
      <c r="K361" s="5"/>
    </row>
    <row r="362" ht="16.5" customHeight="1" spans="4:11">
      <c r="D362" s="180">
        <v>45701</v>
      </c>
      <c r="E362" s="181">
        <v>23031.4</v>
      </c>
      <c r="F362" s="5"/>
      <c r="J362" s="5"/>
      <c r="K362" s="5"/>
    </row>
    <row r="363" ht="16.5" customHeight="1" spans="4:11">
      <c r="D363" s="180">
        <v>45700</v>
      </c>
      <c r="E363" s="181">
        <v>23045.25</v>
      </c>
      <c r="F363" s="5"/>
      <c r="J363" s="5"/>
      <c r="K363" s="5"/>
    </row>
    <row r="364" ht="16.5" customHeight="1" spans="4:11">
      <c r="D364" s="180">
        <v>45699</v>
      </c>
      <c r="E364" s="181">
        <v>23071.8</v>
      </c>
      <c r="F364" s="5"/>
      <c r="J364" s="5"/>
      <c r="K364" s="5"/>
    </row>
    <row r="365" ht="16.5" customHeight="1" spans="4:11">
      <c r="D365" s="180">
        <v>45698</v>
      </c>
      <c r="E365" s="181">
        <v>23381.6</v>
      </c>
      <c r="F365" s="5"/>
      <c r="J365" s="5"/>
      <c r="K365" s="5"/>
    </row>
    <row r="366" ht="16.5" customHeight="1" spans="4:11">
      <c r="D366" s="180">
        <v>45695</v>
      </c>
      <c r="E366" s="181">
        <v>23559.95</v>
      </c>
      <c r="F366" s="5"/>
      <c r="J366" s="5"/>
      <c r="K366" s="5"/>
    </row>
    <row r="367" ht="16.5" customHeight="1" spans="4:11">
      <c r="D367" s="180">
        <v>45694</v>
      </c>
      <c r="E367" s="181">
        <v>23603.35</v>
      </c>
      <c r="F367" s="5"/>
      <c r="J367" s="5"/>
      <c r="K367" s="5"/>
    </row>
    <row r="368" ht="16.5" customHeight="1" spans="4:11">
      <c r="D368" s="180">
        <v>45693</v>
      </c>
      <c r="E368" s="181">
        <v>23696.3</v>
      </c>
      <c r="F368" s="5"/>
      <c r="J368" s="5"/>
      <c r="K368" s="5"/>
    </row>
    <row r="369" ht="16.5" customHeight="1" spans="4:11">
      <c r="D369" s="180">
        <v>45692</v>
      </c>
      <c r="E369" s="181">
        <v>23739.25</v>
      </c>
      <c r="F369" s="5"/>
      <c r="J369" s="5"/>
      <c r="K369" s="5"/>
    </row>
    <row r="370" ht="16.5" customHeight="1" spans="4:11">
      <c r="D370" s="180">
        <v>45691</v>
      </c>
      <c r="E370" s="181">
        <v>23361.05</v>
      </c>
      <c r="F370" s="5"/>
      <c r="J370" s="5"/>
      <c r="K370" s="5"/>
    </row>
    <row r="371" ht="16.5" customHeight="1" spans="4:11">
      <c r="D371" s="180">
        <v>45689</v>
      </c>
      <c r="E371" s="181">
        <v>23482.15</v>
      </c>
      <c r="F371" s="5"/>
      <c r="J371" s="5"/>
      <c r="K371" s="5"/>
    </row>
    <row r="372" ht="16.5" customHeight="1" spans="4:11">
      <c r="D372" s="180">
        <v>45688</v>
      </c>
      <c r="E372" s="181">
        <v>23508.4</v>
      </c>
      <c r="F372" s="5"/>
      <c r="J372" s="5"/>
      <c r="K372" s="5"/>
    </row>
    <row r="373" ht="16.5" customHeight="1" spans="4:11">
      <c r="D373" s="180">
        <v>45687</v>
      </c>
      <c r="E373" s="181">
        <v>23249.5</v>
      </c>
      <c r="F373" s="5"/>
      <c r="J373" s="5"/>
      <c r="K373" s="5"/>
    </row>
    <row r="374" ht="16.5" customHeight="1" spans="4:11">
      <c r="D374" s="180">
        <v>45686</v>
      </c>
      <c r="E374" s="181">
        <v>23163.1</v>
      </c>
      <c r="F374" s="5"/>
      <c r="J374" s="5"/>
      <c r="K374" s="5"/>
    </row>
    <row r="375" ht="16.5" customHeight="1" spans="4:11">
      <c r="D375" s="180">
        <v>45685</v>
      </c>
      <c r="E375" s="181">
        <v>22957.25</v>
      </c>
      <c r="F375" s="5"/>
      <c r="J375" s="5"/>
      <c r="K375" s="5"/>
    </row>
    <row r="376" ht="16.5" customHeight="1" spans="4:11">
      <c r="D376" s="180">
        <v>45684</v>
      </c>
      <c r="E376" s="181">
        <v>22829.15</v>
      </c>
      <c r="F376" s="5"/>
      <c r="J376" s="5"/>
      <c r="K376" s="5"/>
    </row>
    <row r="377" ht="16.5" customHeight="1" spans="4:11">
      <c r="D377" s="180">
        <v>45681</v>
      </c>
      <c r="E377" s="181">
        <v>23092.2</v>
      </c>
      <c r="F377" s="5"/>
      <c r="J377" s="5"/>
      <c r="K377" s="5"/>
    </row>
    <row r="378" ht="16.5" customHeight="1" spans="4:11">
      <c r="D378" s="180">
        <v>45680</v>
      </c>
      <c r="E378" s="181">
        <v>23205.35</v>
      </c>
      <c r="F378" s="5"/>
      <c r="J378" s="5"/>
      <c r="K378" s="5"/>
    </row>
    <row r="379" ht="16.5" customHeight="1" spans="4:11">
      <c r="D379" s="180">
        <v>45679</v>
      </c>
      <c r="E379" s="181">
        <v>23155.35</v>
      </c>
      <c r="F379" s="5"/>
      <c r="J379" s="5"/>
      <c r="K379" s="5"/>
    </row>
    <row r="380" ht="16.5" customHeight="1" spans="4:11">
      <c r="D380" s="180">
        <v>45678</v>
      </c>
      <c r="E380" s="181">
        <v>23024.65</v>
      </c>
      <c r="F380" s="5"/>
      <c r="J380" s="5"/>
      <c r="K380" s="5"/>
    </row>
    <row r="381" ht="16.5" customHeight="1" spans="4:11">
      <c r="D381" s="180">
        <v>45677</v>
      </c>
      <c r="E381" s="181">
        <v>23344.75</v>
      </c>
      <c r="F381" s="5"/>
      <c r="J381" s="5"/>
      <c r="K381" s="5"/>
    </row>
    <row r="382" ht="16.5" customHeight="1" spans="4:11">
      <c r="D382" s="180">
        <v>45674</v>
      </c>
      <c r="E382" s="181">
        <v>23203.2</v>
      </c>
      <c r="F382" s="5"/>
      <c r="J382" s="5"/>
      <c r="K382" s="5"/>
    </row>
    <row r="383" ht="16.5" customHeight="1" spans="4:11">
      <c r="D383" s="180">
        <v>45673</v>
      </c>
      <c r="E383" s="181">
        <v>23311.8</v>
      </c>
      <c r="F383" s="5"/>
      <c r="J383" s="5"/>
      <c r="K383" s="5"/>
    </row>
    <row r="384" ht="16.5" customHeight="1" spans="4:11">
      <c r="D384" s="180">
        <v>45672</v>
      </c>
      <c r="E384" s="181">
        <v>23213.2</v>
      </c>
      <c r="F384" s="5"/>
      <c r="J384" s="5"/>
      <c r="K384" s="5"/>
    </row>
    <row r="385" ht="16.5" customHeight="1" spans="4:11">
      <c r="D385" s="180">
        <v>45671</v>
      </c>
      <c r="E385" s="181">
        <v>23176.05</v>
      </c>
      <c r="F385" s="5"/>
      <c r="J385" s="5"/>
      <c r="K385" s="5"/>
    </row>
    <row r="386" ht="16.5" customHeight="1" spans="4:11">
      <c r="D386" s="180">
        <v>45670</v>
      </c>
      <c r="E386" s="181">
        <v>23085.95</v>
      </c>
      <c r="F386" s="5"/>
      <c r="J386" s="5"/>
      <c r="K386" s="5"/>
    </row>
    <row r="387" ht="16.5" customHeight="1" spans="4:11">
      <c r="D387" s="180">
        <v>45667</v>
      </c>
      <c r="E387" s="181">
        <v>23431.5</v>
      </c>
      <c r="F387" s="5"/>
      <c r="J387" s="5"/>
      <c r="K387" s="5"/>
    </row>
    <row r="388" ht="16.5" customHeight="1" spans="4:11">
      <c r="D388" s="180">
        <v>45666</v>
      </c>
      <c r="E388" s="181">
        <v>23526.5</v>
      </c>
      <c r="F388" s="5"/>
      <c r="J388" s="5"/>
      <c r="K388" s="5"/>
    </row>
    <row r="389" ht="16.5" customHeight="1" spans="4:11">
      <c r="D389" s="180">
        <v>45665</v>
      </c>
      <c r="E389" s="181">
        <v>23688.95</v>
      </c>
      <c r="F389" s="5"/>
      <c r="J389" s="5"/>
      <c r="K389" s="5"/>
    </row>
    <row r="390" ht="16.5" customHeight="1" spans="4:11">
      <c r="D390" s="180">
        <v>45664</v>
      </c>
      <c r="E390" s="181">
        <v>23707.9</v>
      </c>
      <c r="F390" s="5"/>
      <c r="J390" s="5"/>
      <c r="K390" s="5"/>
    </row>
    <row r="391" ht="16.5" customHeight="1" spans="4:11">
      <c r="D391" s="180">
        <v>45663</v>
      </c>
      <c r="E391" s="181">
        <v>23616.05</v>
      </c>
      <c r="F391" s="5"/>
      <c r="J391" s="5"/>
      <c r="K391" s="5"/>
    </row>
    <row r="392" ht="16.5" customHeight="1" spans="4:11">
      <c r="D392" s="180">
        <v>45660</v>
      </c>
      <c r="E392" s="181">
        <v>24004.75</v>
      </c>
      <c r="F392" s="5"/>
      <c r="J392" s="5"/>
      <c r="K392" s="5"/>
    </row>
    <row r="393" ht="16.5" customHeight="1" spans="4:11">
      <c r="D393" s="180">
        <v>45659</v>
      </c>
      <c r="E393" s="181">
        <v>24188.65</v>
      </c>
      <c r="F393" s="5"/>
      <c r="J393" s="5"/>
      <c r="K393" s="5"/>
    </row>
    <row r="394" ht="16.5" customHeight="1" spans="4:11">
      <c r="D394" s="180">
        <v>45658</v>
      </c>
      <c r="E394" s="181">
        <v>23742.9</v>
      </c>
      <c r="F394" s="5"/>
      <c r="J394" s="5"/>
      <c r="K394" s="5"/>
    </row>
    <row r="395" ht="16.5" customHeight="1" spans="4:11">
      <c r="D395" s="180">
        <v>45657</v>
      </c>
      <c r="E395" s="181">
        <v>23644.8</v>
      </c>
      <c r="F395" s="5"/>
      <c r="J395" s="5"/>
      <c r="K395" s="5"/>
    </row>
    <row r="396" ht="16.5" customHeight="1" spans="4:11">
      <c r="D396" s="180">
        <v>45656</v>
      </c>
      <c r="E396" s="181">
        <v>23644.9</v>
      </c>
      <c r="F396" s="5"/>
      <c r="J396" s="5"/>
      <c r="K396" s="5"/>
    </row>
    <row r="397" ht="16.5" customHeight="1" spans="4:11">
      <c r="D397" s="180">
        <v>45653</v>
      </c>
      <c r="E397" s="181">
        <v>23813.4</v>
      </c>
      <c r="F397" s="5"/>
      <c r="J397" s="5"/>
      <c r="K397" s="5"/>
    </row>
    <row r="398" ht="16.5" customHeight="1" spans="4:11">
      <c r="D398" s="180">
        <v>45652</v>
      </c>
      <c r="E398" s="181">
        <v>23750.2</v>
      </c>
      <c r="F398" s="5"/>
      <c r="J398" s="5"/>
      <c r="K398" s="5"/>
    </row>
    <row r="399" ht="16.5" customHeight="1" spans="4:11">
      <c r="D399" s="180">
        <v>45650</v>
      </c>
      <c r="E399" s="181">
        <v>23727.65</v>
      </c>
      <c r="F399" s="5"/>
      <c r="J399" s="5"/>
      <c r="K399" s="5"/>
    </row>
    <row r="400" ht="16.5" customHeight="1" spans="4:11">
      <c r="D400" s="180">
        <v>45649</v>
      </c>
      <c r="E400" s="181">
        <v>23753.45</v>
      </c>
      <c r="F400" s="5"/>
      <c r="J400" s="5"/>
      <c r="K400" s="5"/>
    </row>
    <row r="401" ht="16.5" customHeight="1" spans="4:11">
      <c r="D401" s="180">
        <v>45646</v>
      </c>
      <c r="E401" s="181">
        <v>23587.5</v>
      </c>
      <c r="F401" s="5"/>
      <c r="J401" s="5"/>
      <c r="K401" s="5"/>
    </row>
    <row r="402" ht="16.5" customHeight="1" spans="4:11">
      <c r="D402" s="180">
        <v>45645</v>
      </c>
      <c r="E402" s="181">
        <v>23951.7</v>
      </c>
      <c r="F402" s="5"/>
      <c r="J402" s="5"/>
      <c r="K402" s="5"/>
    </row>
    <row r="403" ht="16.5" customHeight="1" spans="4:11">
      <c r="D403" s="180">
        <v>45644</v>
      </c>
      <c r="E403" s="181">
        <v>24198.85</v>
      </c>
      <c r="F403" s="5"/>
      <c r="J403" s="5"/>
      <c r="K403" s="5"/>
    </row>
    <row r="404" ht="16.5" customHeight="1" spans="4:11">
      <c r="D404" s="180">
        <v>45643</v>
      </c>
      <c r="E404" s="181">
        <v>24336</v>
      </c>
      <c r="F404" s="5"/>
      <c r="J404" s="5"/>
      <c r="K404" s="5"/>
    </row>
    <row r="405" ht="16.5" customHeight="1" spans="4:11">
      <c r="D405" s="180">
        <v>45642</v>
      </c>
      <c r="E405" s="181">
        <v>24668.25</v>
      </c>
      <c r="F405" s="5"/>
      <c r="J405" s="5"/>
      <c r="K405" s="5"/>
    </row>
    <row r="406" ht="16.5" customHeight="1" spans="4:11">
      <c r="D406" s="180">
        <v>45639</v>
      </c>
      <c r="E406" s="181">
        <v>24768.3</v>
      </c>
      <c r="F406" s="5"/>
      <c r="J406" s="5"/>
      <c r="K406" s="5"/>
    </row>
    <row r="407" ht="16.5" customHeight="1" spans="4:11">
      <c r="D407" s="180">
        <v>45638</v>
      </c>
      <c r="E407" s="181">
        <v>24548.7</v>
      </c>
      <c r="F407" s="5"/>
      <c r="J407" s="5"/>
      <c r="K407" s="5"/>
    </row>
    <row r="408" ht="16.5" customHeight="1" spans="4:11">
      <c r="D408" s="180">
        <v>45637</v>
      </c>
      <c r="E408" s="181">
        <v>24641.8</v>
      </c>
      <c r="F408" s="5"/>
      <c r="J408" s="5"/>
      <c r="K408" s="5"/>
    </row>
    <row r="409" ht="16.5" customHeight="1" spans="4:11">
      <c r="D409" s="180">
        <v>45636</v>
      </c>
      <c r="E409" s="181">
        <v>24610.05</v>
      </c>
      <c r="F409" s="5"/>
      <c r="J409" s="5"/>
      <c r="K409" s="5"/>
    </row>
    <row r="410" ht="16.5" customHeight="1" spans="4:11">
      <c r="D410" s="180">
        <v>45635</v>
      </c>
      <c r="E410" s="181">
        <v>24619</v>
      </c>
      <c r="F410" s="5"/>
      <c r="J410" s="5"/>
      <c r="K410" s="5"/>
    </row>
    <row r="411" ht="16.5" customHeight="1" spans="4:11">
      <c r="D411" s="180">
        <v>45632</v>
      </c>
      <c r="E411" s="181">
        <v>24677.8</v>
      </c>
      <c r="F411" s="5"/>
      <c r="J411" s="5"/>
      <c r="K411" s="5"/>
    </row>
    <row r="412" ht="16.5" customHeight="1" spans="4:11">
      <c r="D412" s="180">
        <v>45631</v>
      </c>
      <c r="E412" s="181">
        <v>24708.4</v>
      </c>
      <c r="F412" s="5"/>
      <c r="J412" s="5"/>
      <c r="K412" s="5"/>
    </row>
    <row r="413" ht="16.5" customHeight="1" spans="4:11">
      <c r="D413" s="180">
        <v>45630</v>
      </c>
      <c r="E413" s="181">
        <v>24467.45</v>
      </c>
      <c r="F413" s="5"/>
      <c r="J413" s="5"/>
      <c r="K413" s="5"/>
    </row>
    <row r="414" ht="16.5" customHeight="1" spans="4:11">
      <c r="D414" s="180">
        <v>45629</v>
      </c>
      <c r="E414" s="181">
        <v>24457.15</v>
      </c>
      <c r="F414" s="5"/>
      <c r="J414" s="5"/>
      <c r="K414" s="5"/>
    </row>
    <row r="415" ht="16.5" customHeight="1" spans="4:11">
      <c r="D415" s="180">
        <v>45628</v>
      </c>
      <c r="E415" s="181">
        <v>24276.05</v>
      </c>
      <c r="F415" s="5"/>
      <c r="J415" s="5"/>
      <c r="K415" s="5"/>
    </row>
    <row r="416" ht="16.5" customHeight="1" spans="4:11">
      <c r="D416" s="180">
        <v>45625</v>
      </c>
      <c r="E416" s="181">
        <v>24131.1</v>
      </c>
      <c r="F416" s="5"/>
      <c r="J416" s="5"/>
      <c r="K416" s="5"/>
    </row>
    <row r="417" ht="16.5" customHeight="1" spans="4:11">
      <c r="D417" s="180">
        <v>45624</v>
      </c>
      <c r="E417" s="181">
        <v>23914.15</v>
      </c>
      <c r="F417" s="5"/>
      <c r="J417" s="5"/>
      <c r="K417" s="5"/>
    </row>
    <row r="418" ht="16.5" customHeight="1" spans="4:11">
      <c r="D418" s="180">
        <v>45623</v>
      </c>
      <c r="E418" s="181">
        <v>24274.9</v>
      </c>
      <c r="F418" s="5"/>
      <c r="J418" s="5"/>
      <c r="K418" s="5"/>
    </row>
    <row r="419" ht="16.5" customHeight="1" spans="4:11">
      <c r="D419" s="180">
        <v>45622</v>
      </c>
      <c r="E419" s="181">
        <v>24194.5</v>
      </c>
      <c r="F419" s="5"/>
      <c r="J419" s="5"/>
      <c r="K419" s="5"/>
    </row>
    <row r="420" ht="16.5" customHeight="1" spans="4:11">
      <c r="D420" s="180">
        <v>45621</v>
      </c>
      <c r="E420" s="181">
        <v>24221.9</v>
      </c>
      <c r="F420" s="5"/>
      <c r="J420" s="5"/>
      <c r="K420" s="5"/>
    </row>
    <row r="421" ht="16.5" customHeight="1" spans="4:11">
      <c r="D421" s="180">
        <v>45618</v>
      </c>
      <c r="E421" s="181">
        <v>23907.25</v>
      </c>
      <c r="F421" s="5"/>
      <c r="J421" s="5"/>
      <c r="K421" s="5"/>
    </row>
    <row r="422" ht="16.5" customHeight="1" spans="4:11">
      <c r="D422" s="180">
        <v>45617</v>
      </c>
      <c r="E422" s="181">
        <v>23349.9</v>
      </c>
      <c r="F422" s="5"/>
      <c r="J422" s="5"/>
      <c r="K422" s="5"/>
    </row>
    <row r="423" ht="16.5" customHeight="1" spans="4:11">
      <c r="D423" s="180">
        <v>45615</v>
      </c>
      <c r="E423" s="181">
        <v>23518.5</v>
      </c>
      <c r="F423" s="5"/>
      <c r="J423" s="5"/>
      <c r="K423" s="5"/>
    </row>
    <row r="424" ht="16.5" customHeight="1" spans="4:11">
      <c r="D424" s="180">
        <v>45614</v>
      </c>
      <c r="E424" s="181">
        <v>23453.8</v>
      </c>
      <c r="F424" s="5"/>
      <c r="J424" s="5"/>
      <c r="K424" s="5"/>
    </row>
    <row r="425" ht="16.5" customHeight="1" spans="4:11">
      <c r="D425" s="180">
        <v>45610</v>
      </c>
      <c r="E425" s="181">
        <v>23532.7</v>
      </c>
      <c r="F425" s="5"/>
      <c r="J425" s="5"/>
      <c r="K425" s="5"/>
    </row>
    <row r="426" ht="16.5" customHeight="1" spans="4:11">
      <c r="D426" s="180">
        <v>45609</v>
      </c>
      <c r="E426" s="181">
        <v>23559.05</v>
      </c>
      <c r="F426" s="5"/>
      <c r="J426" s="5"/>
      <c r="K426" s="5"/>
    </row>
    <row r="427" ht="16.5" customHeight="1" spans="4:11">
      <c r="D427" s="180">
        <v>45608</v>
      </c>
      <c r="E427" s="181">
        <v>23883.45</v>
      </c>
      <c r="F427" s="5"/>
      <c r="J427" s="5"/>
      <c r="K427" s="5"/>
    </row>
    <row r="428" ht="16.5" customHeight="1" spans="4:11">
      <c r="D428" s="180">
        <v>45607</v>
      </c>
      <c r="E428" s="181">
        <v>24141.3</v>
      </c>
      <c r="F428" s="5"/>
      <c r="J428" s="5"/>
      <c r="K428" s="5"/>
    </row>
    <row r="429" ht="16.5" customHeight="1" spans="4:11">
      <c r="D429" s="180">
        <v>45604</v>
      </c>
      <c r="E429" s="181">
        <v>24148.2</v>
      </c>
      <c r="F429" s="5"/>
      <c r="J429" s="5"/>
      <c r="K429" s="5"/>
    </row>
    <row r="430" ht="16.5" customHeight="1" spans="4:11">
      <c r="D430" s="180">
        <v>45603</v>
      </c>
      <c r="E430" s="181">
        <v>24199.35</v>
      </c>
      <c r="F430" s="5"/>
      <c r="J430" s="5"/>
      <c r="K430" s="5"/>
    </row>
    <row r="431" ht="16.5" customHeight="1" spans="4:11">
      <c r="D431" s="180">
        <v>45602</v>
      </c>
      <c r="E431" s="181">
        <v>24484.05</v>
      </c>
      <c r="F431" s="5"/>
      <c r="J431" s="5"/>
      <c r="K431" s="5"/>
    </row>
    <row r="432" ht="16.5" customHeight="1" spans="4:11">
      <c r="D432" s="180">
        <v>45601</v>
      </c>
      <c r="E432" s="181">
        <v>24213.3</v>
      </c>
      <c r="F432" s="5"/>
      <c r="J432" s="5"/>
      <c r="K432" s="5"/>
    </row>
    <row r="433" ht="16.5" customHeight="1" spans="4:11">
      <c r="D433" s="180">
        <v>45600</v>
      </c>
      <c r="E433" s="181">
        <v>23995.35</v>
      </c>
      <c r="F433" s="5"/>
      <c r="J433" s="5"/>
      <c r="K433" s="5"/>
    </row>
    <row r="434" ht="16.5" customHeight="1" spans="4:11">
      <c r="D434" s="180">
        <v>45597</v>
      </c>
      <c r="E434" s="181">
        <v>24304.35</v>
      </c>
      <c r="F434" s="5"/>
      <c r="J434" s="5"/>
      <c r="K434" s="5"/>
    </row>
    <row r="435" ht="16.5" customHeight="1" spans="4:11">
      <c r="D435" s="180">
        <v>45596</v>
      </c>
      <c r="E435" s="181">
        <v>24205.35</v>
      </c>
      <c r="F435" s="5"/>
      <c r="J435" s="5"/>
      <c r="K435" s="5"/>
    </row>
    <row r="436" ht="16.5" customHeight="1" spans="4:11">
      <c r="D436" s="180">
        <v>45595</v>
      </c>
      <c r="E436" s="181">
        <v>24340.85</v>
      </c>
      <c r="F436" s="5"/>
      <c r="J436" s="5"/>
      <c r="K436" s="5"/>
    </row>
    <row r="437" ht="16.5" customHeight="1" spans="4:11">
      <c r="D437" s="180">
        <v>45594</v>
      </c>
      <c r="E437" s="181">
        <v>24466.85</v>
      </c>
      <c r="F437" s="5"/>
      <c r="J437" s="5"/>
      <c r="K437" s="5"/>
    </row>
    <row r="438" ht="16.5" customHeight="1" spans="4:11">
      <c r="D438" s="180">
        <v>45593</v>
      </c>
      <c r="E438" s="181">
        <v>24339.15</v>
      </c>
      <c r="F438" s="5"/>
      <c r="J438" s="5"/>
      <c r="K438" s="5"/>
    </row>
    <row r="439" ht="16.5" customHeight="1" spans="4:11">
      <c r="D439" s="180">
        <v>45590</v>
      </c>
      <c r="E439" s="181">
        <v>24180.8</v>
      </c>
      <c r="F439" s="5"/>
      <c r="J439" s="5"/>
      <c r="K439" s="5"/>
    </row>
    <row r="440" ht="16.5" customHeight="1" spans="4:11">
      <c r="D440" s="180">
        <v>45589</v>
      </c>
      <c r="E440" s="181">
        <v>24399.4</v>
      </c>
      <c r="F440" s="5"/>
      <c r="J440" s="5"/>
      <c r="K440" s="5"/>
    </row>
    <row r="441" ht="16.5" customHeight="1" spans="4:11">
      <c r="D441" s="180">
        <v>45588</v>
      </c>
      <c r="E441" s="181">
        <v>24435.5</v>
      </c>
      <c r="F441" s="5"/>
      <c r="J441" s="5"/>
      <c r="K441" s="5"/>
    </row>
    <row r="442" ht="16.5" customHeight="1" spans="4:11">
      <c r="D442" s="180">
        <v>45587</v>
      </c>
      <c r="E442" s="181">
        <v>24472.1</v>
      </c>
      <c r="F442" s="5"/>
      <c r="J442" s="5"/>
      <c r="K442" s="5"/>
    </row>
    <row r="443" ht="16.5" customHeight="1" spans="4:11">
      <c r="D443" s="180">
        <v>45586</v>
      </c>
      <c r="E443" s="181">
        <v>24781.1</v>
      </c>
      <c r="F443" s="5"/>
      <c r="J443" s="5"/>
      <c r="K443" s="5"/>
    </row>
    <row r="444" ht="16.5" customHeight="1" spans="4:11">
      <c r="D444" s="180">
        <v>45583</v>
      </c>
      <c r="E444" s="181">
        <v>24854.05</v>
      </c>
      <c r="F444" s="5"/>
      <c r="J444" s="5"/>
      <c r="K444" s="5"/>
    </row>
    <row r="445" ht="16.5" customHeight="1" spans="4:11">
      <c r="D445" s="180">
        <v>45582</v>
      </c>
      <c r="E445" s="181">
        <v>24749.85</v>
      </c>
      <c r="F445" s="5"/>
      <c r="J445" s="5"/>
      <c r="K445" s="5"/>
    </row>
    <row r="446" ht="16.5" customHeight="1" spans="4:11">
      <c r="D446" s="180">
        <v>45581</v>
      </c>
      <c r="E446" s="181">
        <v>24971.3</v>
      </c>
      <c r="F446" s="5"/>
      <c r="J446" s="5"/>
      <c r="K446" s="5"/>
    </row>
    <row r="447" ht="16.5" customHeight="1" spans="4:11">
      <c r="D447" s="180">
        <v>45580</v>
      </c>
      <c r="E447" s="181">
        <v>25057.35</v>
      </c>
      <c r="F447" s="5"/>
      <c r="J447" s="5"/>
      <c r="K447" s="5"/>
    </row>
    <row r="448" ht="16.5" customHeight="1" spans="4:11">
      <c r="D448" s="180">
        <v>45579</v>
      </c>
      <c r="E448" s="181">
        <v>25127.95</v>
      </c>
      <c r="F448" s="5"/>
      <c r="J448" s="5"/>
      <c r="K448" s="5"/>
    </row>
    <row r="449" ht="16.5" customHeight="1" spans="4:11">
      <c r="D449" s="180">
        <v>45576</v>
      </c>
      <c r="E449" s="181">
        <v>24964.25</v>
      </c>
      <c r="F449" s="5"/>
      <c r="J449" s="5"/>
      <c r="K449" s="5"/>
    </row>
    <row r="450" ht="16.5" customHeight="1" spans="4:11">
      <c r="D450" s="180">
        <v>45575</v>
      </c>
      <c r="E450" s="181">
        <v>24998.45</v>
      </c>
      <c r="F450" s="5"/>
      <c r="J450" s="5"/>
      <c r="K450" s="5"/>
    </row>
    <row r="451" ht="16.5" customHeight="1" spans="4:11">
      <c r="D451" s="180">
        <v>45574</v>
      </c>
      <c r="E451" s="181">
        <v>24981.95</v>
      </c>
      <c r="F451" s="5"/>
      <c r="J451" s="5"/>
      <c r="K451" s="5"/>
    </row>
    <row r="452" ht="16.5" customHeight="1" spans="4:11">
      <c r="D452" s="180">
        <v>45573</v>
      </c>
      <c r="E452" s="181">
        <v>25013.15</v>
      </c>
      <c r="F452" s="5"/>
      <c r="J452" s="5"/>
      <c r="K452" s="5"/>
    </row>
    <row r="453" ht="16.5" customHeight="1" spans="4:11">
      <c r="D453" s="180">
        <v>45572</v>
      </c>
      <c r="E453" s="181">
        <v>24795.75</v>
      </c>
      <c r="F453" s="5"/>
      <c r="J453" s="5"/>
      <c r="K453" s="5"/>
    </row>
    <row r="454" ht="16.5" customHeight="1" spans="4:11">
      <c r="D454" s="180">
        <v>45569</v>
      </c>
      <c r="E454" s="181">
        <v>25014.6</v>
      </c>
      <c r="F454" s="5"/>
      <c r="J454" s="5"/>
      <c r="K454" s="5"/>
    </row>
    <row r="455" ht="16.5" customHeight="1" spans="4:11">
      <c r="D455" s="180">
        <v>45568</v>
      </c>
      <c r="E455" s="181">
        <v>25250.1</v>
      </c>
      <c r="F455" s="5"/>
      <c r="J455" s="5"/>
      <c r="K455" s="5"/>
    </row>
    <row r="456" ht="16.5" customHeight="1" spans="4:11">
      <c r="D456" s="180">
        <v>45566</v>
      </c>
      <c r="E456" s="181">
        <v>25796.9</v>
      </c>
      <c r="F456" s="5"/>
      <c r="J456" s="5"/>
      <c r="K456" s="5"/>
    </row>
    <row r="457" ht="16.5" customHeight="1" spans="4:11">
      <c r="D457" s="180">
        <v>45565</v>
      </c>
      <c r="E457" s="181">
        <v>25810.85</v>
      </c>
      <c r="F457" s="5"/>
      <c r="J457" s="5"/>
      <c r="K457" s="5"/>
    </row>
    <row r="458" ht="16.5" customHeight="1" spans="4:11">
      <c r="D458" s="180">
        <v>45562</v>
      </c>
      <c r="E458" s="181">
        <v>26178.95</v>
      </c>
      <c r="F458" s="5"/>
      <c r="J458" s="5"/>
      <c r="K458" s="5"/>
    </row>
    <row r="459" ht="16.5" customHeight="1" spans="4:11">
      <c r="D459" s="180">
        <v>45561</v>
      </c>
      <c r="E459" s="181">
        <v>26216.05</v>
      </c>
      <c r="F459" s="5"/>
      <c r="J459" s="5"/>
      <c r="K459" s="5"/>
    </row>
    <row r="460" ht="16.5" customHeight="1" spans="4:11">
      <c r="D460" s="180">
        <v>45560</v>
      </c>
      <c r="E460" s="181">
        <v>26004.15</v>
      </c>
      <c r="F460" s="5"/>
      <c r="J460" s="5"/>
      <c r="K460" s="5"/>
    </row>
    <row r="461" ht="16.5" customHeight="1" spans="4:11">
      <c r="D461" s="180">
        <v>45559</v>
      </c>
      <c r="E461" s="181">
        <v>25940.4</v>
      </c>
      <c r="F461" s="5"/>
      <c r="J461" s="5"/>
      <c r="K461" s="5"/>
    </row>
    <row r="462" ht="16.5" customHeight="1" spans="4:11">
      <c r="D462" s="180">
        <v>45558</v>
      </c>
      <c r="E462" s="181">
        <v>25939.05</v>
      </c>
      <c r="F462" s="5"/>
      <c r="J462" s="5"/>
      <c r="K462" s="5"/>
    </row>
    <row r="463" ht="16.5" customHeight="1" spans="4:11">
      <c r="D463" s="180">
        <v>45555</v>
      </c>
      <c r="E463" s="181">
        <v>25790.95</v>
      </c>
      <c r="F463" s="5"/>
      <c r="J463" s="5"/>
      <c r="K463" s="5"/>
    </row>
    <row r="464" ht="16.5" customHeight="1" spans="4:11">
      <c r="D464" s="180">
        <v>45554</v>
      </c>
      <c r="E464" s="181">
        <v>25415.8</v>
      </c>
      <c r="F464" s="5"/>
      <c r="J464" s="5"/>
      <c r="K464" s="5"/>
    </row>
    <row r="465" ht="16.5" customHeight="1" spans="4:11">
      <c r="D465" s="180">
        <v>45553</v>
      </c>
      <c r="E465" s="181">
        <v>25377.55</v>
      </c>
      <c r="F465" s="5"/>
      <c r="J465" s="5"/>
      <c r="K465" s="5"/>
    </row>
    <row r="466" ht="16.5" customHeight="1" spans="4:11">
      <c r="D466" s="180">
        <v>45552</v>
      </c>
      <c r="E466" s="181">
        <v>25418.55</v>
      </c>
      <c r="F466" s="5"/>
      <c r="J466" s="5"/>
      <c r="K466" s="5"/>
    </row>
    <row r="467" ht="16.5" customHeight="1" spans="4:11">
      <c r="D467" s="180">
        <v>45551</v>
      </c>
      <c r="E467" s="181">
        <v>25383.75</v>
      </c>
      <c r="F467" s="5"/>
      <c r="J467" s="5"/>
      <c r="K467" s="5"/>
    </row>
    <row r="468" ht="16.5" customHeight="1" spans="4:11">
      <c r="D468" s="180">
        <v>45548</v>
      </c>
      <c r="E468" s="181">
        <v>25356.5</v>
      </c>
      <c r="F468" s="5"/>
      <c r="J468" s="5"/>
      <c r="K468" s="5"/>
    </row>
    <row r="469" ht="16.5" customHeight="1" spans="4:11">
      <c r="D469" s="180">
        <v>45547</v>
      </c>
      <c r="E469" s="181">
        <v>25388.9</v>
      </c>
      <c r="F469" s="5"/>
      <c r="J469" s="5"/>
      <c r="K469" s="5"/>
    </row>
    <row r="470" ht="16.5" customHeight="1" spans="4:11">
      <c r="D470" s="180">
        <v>45546</v>
      </c>
      <c r="E470" s="181">
        <v>24918.45</v>
      </c>
      <c r="F470" s="5"/>
      <c r="J470" s="5"/>
      <c r="K470" s="5"/>
    </row>
    <row r="471" ht="16.5" customHeight="1" spans="4:11">
      <c r="D471" s="180">
        <v>45545</v>
      </c>
      <c r="E471" s="181">
        <v>25041.1</v>
      </c>
      <c r="F471" s="5"/>
      <c r="J471" s="5"/>
      <c r="K471" s="5"/>
    </row>
    <row r="472" ht="16.5" customHeight="1" spans="4:11">
      <c r="D472" s="180">
        <v>45544</v>
      </c>
      <c r="E472" s="181">
        <v>24936.4</v>
      </c>
      <c r="F472" s="5"/>
      <c r="J472" s="5"/>
      <c r="K472" s="5"/>
    </row>
    <row r="473" ht="16.5" customHeight="1" spans="4:11">
      <c r="D473" s="180">
        <v>45541</v>
      </c>
      <c r="E473" s="181">
        <v>24852.15</v>
      </c>
      <c r="F473" s="5"/>
      <c r="J473" s="5"/>
      <c r="K473" s="5"/>
    </row>
    <row r="474" ht="16.5" customHeight="1" spans="4:11">
      <c r="D474" s="180">
        <v>45540</v>
      </c>
      <c r="E474" s="181">
        <v>25145.1</v>
      </c>
      <c r="F474" s="5"/>
      <c r="J474" s="5"/>
      <c r="K474" s="5"/>
    </row>
    <row r="475" ht="16.5" customHeight="1" spans="4:11">
      <c r="D475" s="180">
        <v>45539</v>
      </c>
      <c r="E475" s="181">
        <v>25198.7</v>
      </c>
      <c r="F475" s="5"/>
      <c r="J475" s="5"/>
      <c r="K475" s="5"/>
    </row>
    <row r="476" ht="16.5" customHeight="1" spans="4:11">
      <c r="D476" s="180">
        <v>45538</v>
      </c>
      <c r="E476" s="181">
        <v>25279.85</v>
      </c>
      <c r="F476" s="5"/>
      <c r="J476" s="5"/>
      <c r="K476" s="5"/>
    </row>
    <row r="477" ht="16.5" customHeight="1" spans="4:11">
      <c r="D477" s="180">
        <v>45537</v>
      </c>
      <c r="E477" s="181">
        <v>25278.7</v>
      </c>
      <c r="F477" s="5"/>
      <c r="J477" s="5"/>
      <c r="K477" s="5"/>
    </row>
    <row r="478" ht="16.5" customHeight="1" spans="4:11">
      <c r="D478" s="180">
        <v>45534</v>
      </c>
      <c r="E478" s="181">
        <v>25235.9</v>
      </c>
      <c r="F478" s="5"/>
      <c r="J478" s="5"/>
      <c r="K478" s="5"/>
    </row>
    <row r="479" ht="16.5" customHeight="1" spans="4:11">
      <c r="D479" s="180">
        <v>45533</v>
      </c>
      <c r="E479" s="181">
        <v>25151.95</v>
      </c>
      <c r="F479" s="5"/>
      <c r="J479" s="5"/>
      <c r="K479" s="5"/>
    </row>
    <row r="480" ht="16.5" customHeight="1" spans="4:11">
      <c r="D480" s="180">
        <v>45532</v>
      </c>
      <c r="E480" s="181">
        <v>25052.35</v>
      </c>
      <c r="F480" s="5"/>
      <c r="J480" s="5"/>
      <c r="K480" s="5"/>
    </row>
    <row r="481" ht="16.5" customHeight="1" spans="4:11">
      <c r="D481" s="180">
        <v>45531</v>
      </c>
      <c r="E481" s="181">
        <v>25017.75</v>
      </c>
      <c r="F481" s="5"/>
      <c r="J481" s="5"/>
      <c r="K481" s="5"/>
    </row>
    <row r="482" ht="16.5" customHeight="1" spans="4:11">
      <c r="D482" s="180">
        <v>45530</v>
      </c>
      <c r="E482" s="181">
        <v>25010.6</v>
      </c>
      <c r="F482" s="5"/>
      <c r="J482" s="5"/>
      <c r="K482" s="5"/>
    </row>
    <row r="483" ht="16.5" customHeight="1" spans="4:11">
      <c r="D483" s="180">
        <v>45527</v>
      </c>
      <c r="E483" s="181">
        <v>24823.15</v>
      </c>
      <c r="F483" s="5"/>
      <c r="J483" s="5"/>
      <c r="K483" s="5"/>
    </row>
    <row r="484" ht="16.5" customHeight="1" spans="4:11">
      <c r="D484" s="180">
        <v>45526</v>
      </c>
      <c r="E484" s="181">
        <v>24811.5</v>
      </c>
      <c r="F484" s="5"/>
      <c r="J484" s="5"/>
      <c r="K484" s="5"/>
    </row>
    <row r="485" ht="16.5" customHeight="1" spans="4:11">
      <c r="D485" s="180">
        <v>45525</v>
      </c>
      <c r="E485" s="181">
        <v>24770.2</v>
      </c>
      <c r="F485" s="5"/>
      <c r="J485" s="5"/>
      <c r="K485" s="5"/>
    </row>
    <row r="486" ht="16.5" customHeight="1" spans="4:11">
      <c r="D486" s="180">
        <v>45524</v>
      </c>
      <c r="E486" s="181">
        <v>24698.85</v>
      </c>
      <c r="F486" s="5"/>
      <c r="J486" s="5"/>
      <c r="K486" s="5"/>
    </row>
    <row r="487" ht="16.5" customHeight="1" spans="4:11">
      <c r="D487" s="180">
        <v>45523</v>
      </c>
      <c r="E487" s="181">
        <v>24572.65</v>
      </c>
      <c r="F487" s="5"/>
      <c r="J487" s="5"/>
      <c r="K487" s="5"/>
    </row>
    <row r="488" ht="16.5" customHeight="1" spans="4:11">
      <c r="D488" s="180">
        <v>45520</v>
      </c>
      <c r="E488" s="181">
        <v>24541.15</v>
      </c>
      <c r="F488" s="5"/>
      <c r="J488" s="5"/>
      <c r="K488" s="5"/>
    </row>
    <row r="489" ht="16.5" customHeight="1" spans="4:11">
      <c r="D489" s="180">
        <v>45518</v>
      </c>
      <c r="E489" s="181">
        <v>24143.75</v>
      </c>
      <c r="F489" s="5"/>
      <c r="J489" s="5"/>
      <c r="K489" s="5"/>
    </row>
    <row r="490" ht="16.5" customHeight="1" spans="4:11">
      <c r="D490" s="180">
        <v>45517</v>
      </c>
      <c r="E490" s="181">
        <v>24139</v>
      </c>
      <c r="F490" s="5"/>
      <c r="J490" s="5"/>
      <c r="K490" s="5"/>
    </row>
    <row r="491" ht="16.5" customHeight="1" spans="4:11">
      <c r="D491" s="180">
        <v>45516</v>
      </c>
      <c r="E491" s="181">
        <v>24347</v>
      </c>
      <c r="F491" s="5"/>
      <c r="J491" s="5"/>
      <c r="K491" s="5"/>
    </row>
    <row r="492" ht="16.5" customHeight="1" spans="4:11">
      <c r="D492" s="180">
        <v>45513</v>
      </c>
      <c r="E492" s="181">
        <v>24367.5</v>
      </c>
      <c r="F492" s="5"/>
      <c r="J492" s="5"/>
      <c r="K492" s="5"/>
    </row>
    <row r="493" ht="16.5" customHeight="1" spans="4:11">
      <c r="D493" s="180">
        <v>45512</v>
      </c>
      <c r="E493" s="181">
        <v>24117</v>
      </c>
      <c r="F493" s="5"/>
      <c r="J493" s="5"/>
      <c r="K493" s="5"/>
    </row>
    <row r="494" ht="16.5" customHeight="1" spans="4:11">
      <c r="D494" s="180">
        <v>45511</v>
      </c>
      <c r="E494" s="181">
        <v>24297.5</v>
      </c>
      <c r="F494" s="5"/>
      <c r="J494" s="5"/>
      <c r="K494" s="5"/>
    </row>
    <row r="495" ht="16.5" customHeight="1" spans="4:11">
      <c r="D495" s="180">
        <v>45510</v>
      </c>
      <c r="E495" s="181">
        <v>23992.55</v>
      </c>
      <c r="F495" s="5"/>
      <c r="J495" s="5"/>
      <c r="K495" s="5"/>
    </row>
    <row r="496" ht="16.5" customHeight="1" spans="4:11">
      <c r="D496" s="180">
        <v>45509</v>
      </c>
      <c r="E496" s="181">
        <v>24055.6</v>
      </c>
      <c r="F496" s="5"/>
      <c r="J496" s="5"/>
      <c r="K496" s="5"/>
    </row>
    <row r="497" ht="16.5" customHeight="1" spans="4:11">
      <c r="D497" s="180">
        <v>45506</v>
      </c>
      <c r="E497" s="181">
        <v>24717.7</v>
      </c>
      <c r="F497" s="5"/>
      <c r="J497" s="5"/>
      <c r="K497" s="5"/>
    </row>
    <row r="498" ht="16.5" customHeight="1" spans="4:11">
      <c r="D498" s="180">
        <v>45505</v>
      </c>
      <c r="E498" s="181">
        <v>25010.9</v>
      </c>
      <c r="F498" s="5"/>
      <c r="J498" s="5"/>
      <c r="K498" s="5"/>
    </row>
    <row r="499" ht="16.5" customHeight="1" spans="4:11">
      <c r="D499" s="180">
        <v>45504</v>
      </c>
      <c r="E499" s="181">
        <v>24951.15</v>
      </c>
      <c r="F499" s="5"/>
      <c r="J499" s="5"/>
      <c r="K499" s="5"/>
    </row>
    <row r="500" ht="16.5" customHeight="1" spans="4:11">
      <c r="D500" s="180">
        <v>45503</v>
      </c>
      <c r="E500" s="181">
        <v>24857.3</v>
      </c>
      <c r="F500" s="5"/>
      <c r="J500" s="5"/>
      <c r="K500" s="5"/>
    </row>
    <row r="501" ht="16.5" customHeight="1" spans="4:11">
      <c r="D501" s="180">
        <v>45502</v>
      </c>
      <c r="E501" s="181">
        <v>24836.1</v>
      </c>
      <c r="F501" s="5"/>
      <c r="J501" s="5"/>
      <c r="K501" s="5"/>
    </row>
    <row r="502" ht="16.5" customHeight="1" spans="4:11">
      <c r="D502" s="180">
        <v>45499</v>
      </c>
      <c r="E502" s="181">
        <v>24834.85</v>
      </c>
      <c r="F502" s="5"/>
      <c r="J502" s="5"/>
      <c r="K502" s="5"/>
    </row>
    <row r="503" ht="16.5" customHeight="1" spans="4:11">
      <c r="D503" s="180">
        <v>45498</v>
      </c>
      <c r="E503" s="181">
        <v>24406.1</v>
      </c>
      <c r="F503" s="5"/>
      <c r="J503" s="5"/>
      <c r="K503" s="5"/>
    </row>
    <row r="504" ht="16.5" customHeight="1" spans="4:11">
      <c r="D504" s="180">
        <v>45497</v>
      </c>
      <c r="E504" s="181">
        <v>24413.5</v>
      </c>
      <c r="F504" s="5"/>
      <c r="J504" s="5"/>
      <c r="K504" s="5"/>
    </row>
    <row r="505" ht="16.5" customHeight="1" spans="4:11">
      <c r="D505" s="180">
        <v>45496</v>
      </c>
      <c r="E505" s="181">
        <v>24479.05</v>
      </c>
      <c r="F505" s="5"/>
      <c r="J505" s="5"/>
      <c r="K505" s="5"/>
    </row>
    <row r="506" ht="16.5" customHeight="1" spans="4:11">
      <c r="D506" s="180">
        <v>45495</v>
      </c>
      <c r="E506" s="181">
        <v>24509.25</v>
      </c>
      <c r="F506" s="5"/>
      <c r="J506" s="5"/>
      <c r="K506" s="5"/>
    </row>
    <row r="507" ht="16.5" customHeight="1" spans="4:11">
      <c r="D507" s="180">
        <v>45492</v>
      </c>
      <c r="E507" s="181">
        <v>24530.9</v>
      </c>
      <c r="F507" s="5"/>
      <c r="J507" s="5"/>
      <c r="K507" s="5"/>
    </row>
    <row r="508" ht="16.5" customHeight="1" spans="4:11">
      <c r="D508" s="180">
        <v>45491</v>
      </c>
      <c r="E508" s="181">
        <v>24800.85</v>
      </c>
      <c r="F508" s="5"/>
      <c r="J508" s="5"/>
      <c r="K508" s="5"/>
    </row>
    <row r="509" ht="16.5" customHeight="1" spans="4:11">
      <c r="D509" s="180">
        <v>45489</v>
      </c>
      <c r="E509" s="181">
        <v>24613</v>
      </c>
      <c r="F509" s="5"/>
      <c r="J509" s="5"/>
      <c r="K509" s="5"/>
    </row>
    <row r="510" ht="16.5" customHeight="1" spans="4:11">
      <c r="D510" s="180">
        <v>45488</v>
      </c>
      <c r="E510" s="181">
        <v>24586.7</v>
      </c>
      <c r="F510" s="5"/>
      <c r="J510" s="5"/>
      <c r="K510" s="5"/>
    </row>
    <row r="511" ht="16.5" customHeight="1" spans="4:11">
      <c r="D511" s="180">
        <v>45485</v>
      </c>
      <c r="E511" s="181">
        <v>24502.15</v>
      </c>
      <c r="F511" s="5"/>
      <c r="J511" s="5"/>
      <c r="K511" s="5"/>
    </row>
    <row r="512" ht="16.5" customHeight="1" spans="4:11">
      <c r="D512" s="180">
        <v>45484</v>
      </c>
      <c r="E512" s="181">
        <v>24315.95</v>
      </c>
      <c r="F512" s="5"/>
      <c r="J512" s="5"/>
      <c r="K512" s="5"/>
    </row>
    <row r="513" ht="16.5" customHeight="1" spans="4:11">
      <c r="D513" s="180">
        <v>45483</v>
      </c>
      <c r="E513" s="181">
        <v>24324.45</v>
      </c>
      <c r="F513" s="5"/>
      <c r="J513" s="5"/>
      <c r="K513" s="5"/>
    </row>
    <row r="514" ht="16.5" customHeight="1" spans="4:11">
      <c r="D514" s="180">
        <v>45482</v>
      </c>
      <c r="E514" s="181">
        <v>24433.2</v>
      </c>
      <c r="F514" s="5"/>
      <c r="J514" s="5"/>
      <c r="K514" s="5"/>
    </row>
    <row r="515" ht="16.5" customHeight="1" spans="4:11">
      <c r="D515" s="180">
        <v>45481</v>
      </c>
      <c r="E515" s="181">
        <v>24320.55</v>
      </c>
      <c r="F515" s="5"/>
      <c r="J515" s="5"/>
      <c r="K515" s="5"/>
    </row>
    <row r="516" ht="16.5" customHeight="1" spans="4:11">
      <c r="D516" s="180">
        <v>45478</v>
      </c>
      <c r="E516" s="181">
        <v>24323.85</v>
      </c>
      <c r="F516" s="5"/>
      <c r="J516" s="5"/>
      <c r="K516" s="5"/>
    </row>
    <row r="517" ht="16.5" customHeight="1" spans="4:11">
      <c r="D517" s="180">
        <v>45477</v>
      </c>
      <c r="E517" s="181">
        <v>24302.15</v>
      </c>
      <c r="F517" s="5"/>
      <c r="J517" s="5"/>
      <c r="K517" s="5"/>
    </row>
    <row r="518" ht="16.5" customHeight="1" spans="4:11">
      <c r="D518" s="180">
        <v>45476</v>
      </c>
      <c r="E518" s="181">
        <v>24286.5</v>
      </c>
      <c r="F518" s="5"/>
      <c r="J518" s="5"/>
      <c r="K518" s="5"/>
    </row>
    <row r="519" ht="16.5" customHeight="1" spans="4:11">
      <c r="D519" s="180">
        <v>45475</v>
      </c>
      <c r="E519" s="181">
        <v>24123.85</v>
      </c>
      <c r="F519" s="5"/>
      <c r="J519" s="5"/>
      <c r="K519" s="5"/>
    </row>
    <row r="520" ht="16.5" customHeight="1" spans="4:11">
      <c r="D520" s="180">
        <v>45474</v>
      </c>
      <c r="E520" s="181">
        <v>24141.95</v>
      </c>
      <c r="F520" s="5"/>
      <c r="J520" s="5"/>
      <c r="K520" s="5"/>
    </row>
    <row r="521" ht="16.5" customHeight="1" spans="4:11">
      <c r="D521" s="180">
        <v>45471</v>
      </c>
      <c r="E521" s="181">
        <v>24010.6</v>
      </c>
      <c r="F521" s="5"/>
      <c r="J521" s="5"/>
      <c r="K521" s="5"/>
    </row>
    <row r="522" ht="16.5" customHeight="1" spans="4:11">
      <c r="D522" s="180">
        <v>45470</v>
      </c>
      <c r="E522" s="181">
        <v>24044.5</v>
      </c>
      <c r="F522" s="5"/>
      <c r="J522" s="5"/>
      <c r="K522" s="5"/>
    </row>
    <row r="523" ht="16.5" customHeight="1" spans="4:11">
      <c r="D523" s="180">
        <v>45469</v>
      </c>
      <c r="E523" s="181">
        <v>23868.8</v>
      </c>
      <c r="F523" s="5"/>
      <c r="J523" s="5"/>
      <c r="K523" s="5"/>
    </row>
    <row r="524" ht="16.5" customHeight="1" spans="4:11">
      <c r="D524" s="180">
        <v>45468</v>
      </c>
      <c r="E524" s="181">
        <v>23721.3</v>
      </c>
      <c r="F524" s="5"/>
      <c r="J524" s="5"/>
      <c r="K524" s="5"/>
    </row>
    <row r="525" ht="16.5" customHeight="1" spans="4:11">
      <c r="D525" s="180">
        <v>45467</v>
      </c>
      <c r="E525" s="181">
        <v>23537.85</v>
      </c>
      <c r="F525" s="5"/>
      <c r="J525" s="5"/>
      <c r="K525" s="5"/>
    </row>
    <row r="526" ht="16.5" customHeight="1" spans="4:11">
      <c r="D526" s="180">
        <v>45464</v>
      </c>
      <c r="E526" s="181">
        <v>23501.1</v>
      </c>
      <c r="F526" s="5"/>
      <c r="J526" s="5"/>
      <c r="K526" s="5"/>
    </row>
    <row r="527" ht="16.5" customHeight="1" spans="4:11">
      <c r="D527" s="180">
        <v>45463</v>
      </c>
      <c r="E527" s="181">
        <v>23567</v>
      </c>
      <c r="F527" s="5"/>
      <c r="J527" s="5"/>
      <c r="K527" s="5"/>
    </row>
    <row r="528" ht="16.5" customHeight="1" spans="4:11">
      <c r="D528" s="180">
        <v>45462</v>
      </c>
      <c r="E528" s="181">
        <v>23516</v>
      </c>
      <c r="F528" s="5"/>
      <c r="J528" s="5"/>
      <c r="K528" s="5"/>
    </row>
    <row r="529" ht="16.5" customHeight="1" spans="4:11">
      <c r="D529" s="180">
        <v>45461</v>
      </c>
      <c r="E529" s="181">
        <v>23557.9</v>
      </c>
      <c r="F529" s="5"/>
      <c r="J529" s="5"/>
      <c r="K529" s="5"/>
    </row>
    <row r="530" ht="16.5" customHeight="1" spans="4:11">
      <c r="D530" s="180">
        <v>45457</v>
      </c>
      <c r="E530" s="181">
        <v>23465.6</v>
      </c>
      <c r="F530" s="5"/>
      <c r="J530" s="5"/>
      <c r="K530" s="5"/>
    </row>
    <row r="531" ht="16.5" customHeight="1" spans="4:11">
      <c r="D531" s="180">
        <v>45456</v>
      </c>
      <c r="E531" s="181">
        <v>23398.9</v>
      </c>
      <c r="F531" s="5"/>
      <c r="J531" s="5"/>
      <c r="K531" s="5"/>
    </row>
    <row r="532" ht="16.5" customHeight="1" spans="4:11">
      <c r="D532" s="180">
        <v>45455</v>
      </c>
      <c r="E532" s="181">
        <v>23322.95</v>
      </c>
      <c r="F532" s="5"/>
      <c r="J532" s="5"/>
      <c r="K532" s="5"/>
    </row>
    <row r="533" ht="16.5" customHeight="1" spans="4:11">
      <c r="D533" s="180">
        <v>45454</v>
      </c>
      <c r="E533" s="181">
        <v>23264.85</v>
      </c>
      <c r="F533" s="5"/>
      <c r="J533" s="5"/>
      <c r="K533" s="5"/>
    </row>
    <row r="534" ht="16.5" customHeight="1" spans="4:11">
      <c r="D534" s="180">
        <v>45453</v>
      </c>
      <c r="E534" s="181">
        <v>23259.2</v>
      </c>
      <c r="F534" s="5"/>
      <c r="J534" s="5"/>
      <c r="K534" s="5"/>
    </row>
    <row r="535" ht="16.5" customHeight="1" spans="4:11">
      <c r="D535" s="180">
        <v>45450</v>
      </c>
      <c r="E535" s="181">
        <v>23290.15</v>
      </c>
      <c r="F535" s="5"/>
      <c r="J535" s="5"/>
      <c r="K535" s="5"/>
    </row>
    <row r="536" ht="16.5" customHeight="1" spans="4:11">
      <c r="D536" s="180">
        <v>45449</v>
      </c>
      <c r="E536" s="181">
        <v>22821.4</v>
      </c>
      <c r="F536" s="5"/>
      <c r="J536" s="5"/>
      <c r="K536" s="5"/>
    </row>
    <row r="537" ht="16.5" customHeight="1" spans="4:11">
      <c r="D537" s="180">
        <v>45448</v>
      </c>
      <c r="E537" s="181">
        <v>22620.35</v>
      </c>
      <c r="F537" s="5"/>
      <c r="J537" s="5"/>
      <c r="K537" s="5"/>
    </row>
    <row r="538" ht="16.5" customHeight="1" spans="4:11">
      <c r="D538" s="180">
        <v>45447</v>
      </c>
      <c r="E538" s="181">
        <v>21884.5</v>
      </c>
      <c r="F538" s="5"/>
      <c r="J538" s="5"/>
      <c r="K538" s="5"/>
    </row>
    <row r="539" ht="16.5" customHeight="1" spans="4:11">
      <c r="D539" s="180">
        <v>45446</v>
      </c>
      <c r="E539" s="181">
        <v>23263.9</v>
      </c>
      <c r="F539" s="5"/>
      <c r="J539" s="5"/>
      <c r="K539" s="5"/>
    </row>
    <row r="540" ht="16.5" customHeight="1" spans="4:11">
      <c r="D540" s="180">
        <v>45443</v>
      </c>
      <c r="E540" s="181">
        <v>22530.7</v>
      </c>
      <c r="F540" s="5"/>
      <c r="J540" s="5"/>
      <c r="K540" s="5"/>
    </row>
    <row r="541" ht="16.5" customHeight="1" spans="4:11">
      <c r="D541" s="180">
        <v>45442</v>
      </c>
      <c r="E541" s="181">
        <v>22488.65</v>
      </c>
      <c r="F541" s="5"/>
      <c r="J541" s="5"/>
      <c r="K541" s="5"/>
    </row>
    <row r="542" ht="16.5" customHeight="1" spans="4:11">
      <c r="D542" s="180">
        <v>45441</v>
      </c>
      <c r="E542" s="181">
        <v>22704.7</v>
      </c>
      <c r="F542" s="5"/>
      <c r="J542" s="5"/>
      <c r="K542" s="5"/>
    </row>
    <row r="543" ht="16.5" customHeight="1" spans="4:11">
      <c r="D543" s="180">
        <v>45440</v>
      </c>
      <c r="E543" s="181">
        <v>22888.15</v>
      </c>
      <c r="F543" s="5"/>
      <c r="J543" s="5"/>
      <c r="K543" s="5"/>
    </row>
    <row r="544" ht="16.5" customHeight="1" spans="4:11">
      <c r="D544" s="180">
        <v>45439</v>
      </c>
      <c r="E544" s="181">
        <v>22932.45</v>
      </c>
      <c r="F544" s="5"/>
      <c r="J544" s="5"/>
      <c r="K544" s="5"/>
    </row>
    <row r="545" ht="16.5" customHeight="1" spans="4:11">
      <c r="D545" s="180">
        <v>45436</v>
      </c>
      <c r="E545" s="181">
        <v>22957.1</v>
      </c>
      <c r="F545" s="5"/>
      <c r="J545" s="5"/>
      <c r="K545" s="5"/>
    </row>
    <row r="546" ht="16.5" customHeight="1" spans="4:11">
      <c r="D546" s="180">
        <v>45435</v>
      </c>
      <c r="E546" s="181">
        <v>22967.65</v>
      </c>
      <c r="F546" s="5"/>
      <c r="J546" s="5"/>
      <c r="K546" s="5"/>
    </row>
    <row r="547" ht="16.5" customHeight="1" spans="4:11">
      <c r="D547" s="180">
        <v>45434</v>
      </c>
      <c r="E547" s="181">
        <v>22597.8</v>
      </c>
      <c r="F547" s="5"/>
      <c r="J547" s="5"/>
      <c r="K547" s="5"/>
    </row>
    <row r="548" ht="16.5" customHeight="1" spans="4:11">
      <c r="D548" s="180">
        <v>45433</v>
      </c>
      <c r="E548" s="181">
        <v>22529.05</v>
      </c>
      <c r="F548" s="5"/>
      <c r="J548" s="5"/>
      <c r="K548" s="5"/>
    </row>
    <row r="549" ht="16.5" customHeight="1" spans="4:11">
      <c r="D549" s="180">
        <v>45430</v>
      </c>
      <c r="E549" s="181">
        <v>22502</v>
      </c>
      <c r="F549" s="5"/>
      <c r="J549" s="5"/>
      <c r="K549" s="5"/>
    </row>
    <row r="550" ht="16.5" customHeight="1" spans="4:11">
      <c r="D550" s="180">
        <v>45429</v>
      </c>
      <c r="E550" s="181">
        <v>22466.1</v>
      </c>
      <c r="F550" s="5"/>
      <c r="J550" s="5"/>
      <c r="K550" s="5"/>
    </row>
    <row r="551" ht="16.5" customHeight="1" spans="4:11">
      <c r="D551" s="180">
        <v>45428</v>
      </c>
      <c r="E551" s="181">
        <v>22403.85</v>
      </c>
      <c r="F551" s="5"/>
      <c r="J551" s="5"/>
      <c r="K551" s="5"/>
    </row>
    <row r="552" ht="16.5" customHeight="1" spans="4:11">
      <c r="D552" s="180">
        <v>45427</v>
      </c>
      <c r="E552" s="181">
        <v>22200.55</v>
      </c>
      <c r="F552" s="5"/>
      <c r="J552" s="5"/>
      <c r="K552" s="5"/>
    </row>
    <row r="553" ht="16.5" customHeight="1" spans="4:11">
      <c r="D553" s="180">
        <v>45426</v>
      </c>
      <c r="E553" s="181">
        <v>22217.85</v>
      </c>
      <c r="F553" s="5"/>
      <c r="J553" s="5"/>
      <c r="K553" s="5"/>
    </row>
    <row r="554" ht="16.5" customHeight="1" spans="4:11">
      <c r="D554" s="180">
        <v>45425</v>
      </c>
      <c r="E554" s="181">
        <v>22104.05</v>
      </c>
      <c r="F554" s="5"/>
      <c r="J554" s="5"/>
      <c r="K554" s="5"/>
    </row>
    <row r="555" ht="16.5" customHeight="1" spans="4:11">
      <c r="D555" s="180">
        <v>45422</v>
      </c>
      <c r="E555" s="181">
        <v>22055.2</v>
      </c>
      <c r="F555" s="5"/>
      <c r="J555" s="5"/>
      <c r="K555" s="5"/>
    </row>
    <row r="556" ht="16.5" customHeight="1" spans="4:11">
      <c r="D556" s="180">
        <v>45421</v>
      </c>
      <c r="E556" s="181">
        <v>21957.5</v>
      </c>
      <c r="F556" s="5"/>
      <c r="J556" s="5"/>
      <c r="K556" s="5"/>
    </row>
    <row r="557" ht="16.5" customHeight="1" spans="4:11">
      <c r="D557" s="180">
        <v>45420</v>
      </c>
      <c r="E557" s="181">
        <v>22302.5</v>
      </c>
      <c r="F557" s="5"/>
      <c r="J557" s="5"/>
      <c r="K557" s="5"/>
    </row>
    <row r="558" ht="16.5" customHeight="1" spans="4:11">
      <c r="D558" s="180">
        <v>45419</v>
      </c>
      <c r="E558" s="181">
        <v>22302.5</v>
      </c>
      <c r="F558" s="5"/>
      <c r="J558" s="5"/>
      <c r="K558" s="5"/>
    </row>
    <row r="559" ht="16.5" customHeight="1" spans="4:11">
      <c r="D559" s="180">
        <v>45418</v>
      </c>
      <c r="E559" s="181">
        <v>22442.7</v>
      </c>
      <c r="F559" s="5"/>
      <c r="J559" s="5"/>
      <c r="K559" s="5"/>
    </row>
    <row r="560" ht="16.5" customHeight="1" spans="4:11">
      <c r="D560" s="180">
        <v>45415</v>
      </c>
      <c r="E560" s="181">
        <v>22475.85</v>
      </c>
      <c r="F560" s="5"/>
      <c r="J560" s="5"/>
      <c r="K560" s="5"/>
    </row>
    <row r="561" ht="16.5" customHeight="1" spans="4:11">
      <c r="D561" s="180">
        <v>45414</v>
      </c>
      <c r="E561" s="181">
        <v>22648.2</v>
      </c>
      <c r="F561" s="5"/>
      <c r="J561" s="5"/>
      <c r="K561" s="5"/>
    </row>
    <row r="562" ht="16.5" customHeight="1" spans="4:11">
      <c r="D562" s="180">
        <v>45412</v>
      </c>
      <c r="E562" s="181">
        <v>22604.85</v>
      </c>
      <c r="F562" s="5"/>
      <c r="J562" s="5"/>
      <c r="K562" s="5"/>
    </row>
    <row r="563" ht="16.5" customHeight="1" spans="4:11">
      <c r="D563" s="180">
        <v>45411</v>
      </c>
      <c r="E563" s="181">
        <v>22643.4</v>
      </c>
      <c r="F563" s="5"/>
      <c r="J563" s="5"/>
      <c r="K563" s="5"/>
    </row>
    <row r="564" ht="16.5" customHeight="1" spans="4:11">
      <c r="D564" s="180">
        <v>45408</v>
      </c>
      <c r="E564" s="181">
        <v>22419.95</v>
      </c>
      <c r="F564" s="5"/>
      <c r="J564" s="5"/>
      <c r="K564" s="5"/>
    </row>
    <row r="565" ht="16.5" customHeight="1" spans="4:11">
      <c r="D565" s="180">
        <v>45407</v>
      </c>
      <c r="E565" s="181">
        <v>22570.35</v>
      </c>
      <c r="F565" s="5"/>
      <c r="J565" s="5"/>
      <c r="K565" s="5"/>
    </row>
    <row r="566" ht="16.5" customHeight="1" spans="4:11">
      <c r="D566" s="180">
        <v>45406</v>
      </c>
      <c r="E566" s="181">
        <v>22402.4</v>
      </c>
      <c r="F566" s="5"/>
      <c r="J566" s="5"/>
      <c r="K566" s="5"/>
    </row>
    <row r="567" ht="16.5" customHeight="1" spans="4:11">
      <c r="D567" s="180">
        <v>45405</v>
      </c>
      <c r="E567" s="181">
        <v>22368</v>
      </c>
      <c r="F567" s="5"/>
      <c r="J567" s="5"/>
      <c r="K567" s="5"/>
    </row>
    <row r="568" ht="16.5" customHeight="1" spans="4:11">
      <c r="D568" s="180">
        <v>45404</v>
      </c>
      <c r="E568" s="181">
        <v>22336.4</v>
      </c>
      <c r="F568" s="5"/>
      <c r="J568" s="5"/>
      <c r="K568" s="5"/>
    </row>
    <row r="569" ht="16.5" customHeight="1" spans="4:11">
      <c r="D569" s="180">
        <v>45401</v>
      </c>
      <c r="E569" s="181">
        <v>22147</v>
      </c>
      <c r="F569" s="5"/>
      <c r="J569" s="5"/>
      <c r="K569" s="5"/>
    </row>
    <row r="570" ht="16.5" customHeight="1" spans="4:11">
      <c r="D570" s="180">
        <v>45400</v>
      </c>
      <c r="E570" s="181">
        <v>21995.85</v>
      </c>
      <c r="F570" s="5"/>
      <c r="J570" s="5"/>
      <c r="K570" s="5"/>
    </row>
    <row r="571" ht="16.5" customHeight="1" spans="4:11">
      <c r="D571" s="180">
        <v>45398</v>
      </c>
      <c r="E571" s="181">
        <v>22147.9</v>
      </c>
      <c r="F571" s="5"/>
      <c r="J571" s="5"/>
      <c r="K571" s="5"/>
    </row>
    <row r="572" ht="16.5" customHeight="1" spans="4:11">
      <c r="D572" s="180">
        <v>45397</v>
      </c>
      <c r="E572" s="181">
        <v>22272.5</v>
      </c>
      <c r="F572" s="5"/>
      <c r="J572" s="5"/>
      <c r="K572" s="5"/>
    </row>
    <row r="573" ht="16.5" customHeight="1" spans="4:11">
      <c r="D573" s="180">
        <v>45394</v>
      </c>
      <c r="E573" s="181">
        <v>22519.4</v>
      </c>
      <c r="F573" s="5"/>
      <c r="J573" s="5"/>
      <c r="K573" s="5"/>
    </row>
    <row r="574" ht="16.5" customHeight="1" spans="4:11">
      <c r="D574" s="180">
        <v>45392</v>
      </c>
      <c r="E574" s="181">
        <v>22753.8</v>
      </c>
      <c r="F574" s="5"/>
      <c r="J574" s="5"/>
      <c r="K574" s="5"/>
    </row>
    <row r="575" ht="16.5" customHeight="1" spans="4:11">
      <c r="D575" s="180">
        <v>45391</v>
      </c>
      <c r="E575" s="181">
        <v>22642.75</v>
      </c>
      <c r="F575" s="5"/>
      <c r="J575" s="5"/>
      <c r="K575" s="5"/>
    </row>
    <row r="576" ht="16.5" customHeight="1" spans="4:11">
      <c r="D576" s="180">
        <v>45390</v>
      </c>
      <c r="E576" s="181">
        <v>22666.3</v>
      </c>
      <c r="F576" s="5"/>
      <c r="J576" s="5"/>
      <c r="K576" s="5"/>
    </row>
    <row r="577" ht="16.5" customHeight="1" spans="4:11">
      <c r="D577" s="180">
        <v>45387</v>
      </c>
      <c r="E577" s="181">
        <v>22513.7</v>
      </c>
      <c r="F577" s="5"/>
      <c r="J577" s="5"/>
      <c r="K577" s="5"/>
    </row>
    <row r="578" ht="16.5" customHeight="1" spans="4:11">
      <c r="D578" s="180">
        <v>45386</v>
      </c>
      <c r="E578" s="181">
        <v>22514.65</v>
      </c>
      <c r="F578" s="5"/>
      <c r="J578" s="5"/>
      <c r="K578" s="5"/>
    </row>
    <row r="579" ht="16.5" customHeight="1" spans="4:11">
      <c r="D579" s="180">
        <v>45385</v>
      </c>
      <c r="E579" s="181">
        <v>22434.65</v>
      </c>
      <c r="F579" s="5"/>
      <c r="J579" s="5"/>
      <c r="K579" s="5"/>
    </row>
    <row r="580" ht="16.5" customHeight="1" spans="4:11">
      <c r="D580" s="180">
        <v>45384</v>
      </c>
      <c r="E580" s="181">
        <v>22453.3</v>
      </c>
      <c r="F580" s="5"/>
      <c r="J580" s="5"/>
      <c r="K580" s="5"/>
    </row>
    <row r="581" ht="16.5" customHeight="1" spans="4:11">
      <c r="D581" s="180">
        <v>45383</v>
      </c>
      <c r="E581" s="181">
        <v>22462</v>
      </c>
      <c r="F581" s="5"/>
      <c r="J581" s="5"/>
      <c r="K581" s="5"/>
    </row>
    <row r="582" ht="16.5" customHeight="1" spans="4:11">
      <c r="D582" s="180">
        <v>45379</v>
      </c>
      <c r="E582" s="181">
        <v>22326.9</v>
      </c>
      <c r="F582" s="5"/>
      <c r="J582" s="5"/>
      <c r="K582" s="5"/>
    </row>
    <row r="583" ht="16.5" customHeight="1" spans="4:11">
      <c r="D583" s="180">
        <v>45378</v>
      </c>
      <c r="E583" s="181">
        <v>22123.65</v>
      </c>
      <c r="F583" s="5"/>
      <c r="J583" s="5"/>
      <c r="K583" s="5"/>
    </row>
    <row r="584" ht="16.5" customHeight="1" spans="4:11">
      <c r="D584" s="180">
        <v>45377</v>
      </c>
      <c r="E584" s="181">
        <v>22004.7</v>
      </c>
      <c r="F584" s="5"/>
      <c r="J584" s="5"/>
      <c r="K584" s="5"/>
    </row>
    <row r="585" ht="16.5" customHeight="1" spans="4:11">
      <c r="D585" s="180">
        <v>45373</v>
      </c>
      <c r="E585" s="181">
        <v>22096.75</v>
      </c>
      <c r="F585" s="5"/>
      <c r="J585" s="5"/>
      <c r="K585" s="5"/>
    </row>
    <row r="586" ht="16.5" customHeight="1" spans="4:11">
      <c r="D586" s="180">
        <v>45372</v>
      </c>
      <c r="E586" s="181">
        <v>22011.95</v>
      </c>
      <c r="F586" s="5"/>
      <c r="J586" s="5"/>
      <c r="K586" s="5"/>
    </row>
    <row r="587" ht="16.5" customHeight="1" spans="4:11">
      <c r="D587" s="180">
        <v>45371</v>
      </c>
      <c r="E587" s="181">
        <v>21839.1</v>
      </c>
      <c r="F587" s="5"/>
      <c r="J587" s="5"/>
      <c r="K587" s="5"/>
    </row>
    <row r="588" ht="16.5" customHeight="1" spans="4:11">
      <c r="D588" s="180">
        <v>45370</v>
      </c>
      <c r="E588" s="181">
        <v>21817.45</v>
      </c>
      <c r="F588" s="5"/>
      <c r="J588" s="5"/>
      <c r="K588" s="5"/>
    </row>
    <row r="589" ht="16.5" customHeight="1" spans="4:11">
      <c r="D589" s="180">
        <v>45369</v>
      </c>
      <c r="E589" s="181">
        <v>22055.7</v>
      </c>
      <c r="F589" s="5"/>
      <c r="J589" s="5"/>
      <c r="K589" s="5"/>
    </row>
    <row r="590" ht="16.5" customHeight="1" spans="4:11">
      <c r="D590" s="180">
        <v>45366</v>
      </c>
      <c r="E590" s="181">
        <v>22023.35</v>
      </c>
      <c r="F590" s="5"/>
      <c r="J590" s="5"/>
      <c r="K590" s="5"/>
    </row>
    <row r="591" ht="16.5" customHeight="1" spans="4:11">
      <c r="D591" s="180">
        <v>45365</v>
      </c>
      <c r="E591" s="181">
        <v>22146.65</v>
      </c>
      <c r="F591" s="5"/>
      <c r="J591" s="5"/>
      <c r="K591" s="5"/>
    </row>
    <row r="592" ht="16.5" customHeight="1" spans="4:11">
      <c r="D592" s="180">
        <v>45364</v>
      </c>
      <c r="E592" s="181">
        <v>21997.7</v>
      </c>
      <c r="F592" s="5"/>
      <c r="J592" s="5"/>
      <c r="K592" s="5"/>
    </row>
    <row r="593" ht="16.5" customHeight="1" spans="4:11">
      <c r="D593" s="180">
        <v>45363</v>
      </c>
      <c r="E593" s="181">
        <v>22335.7</v>
      </c>
      <c r="F593" s="5"/>
      <c r="J593" s="5"/>
      <c r="K593" s="5"/>
    </row>
    <row r="594" ht="16.5" customHeight="1" spans="4:11">
      <c r="D594" s="180">
        <v>45362</v>
      </c>
      <c r="E594" s="181">
        <v>22332.65</v>
      </c>
      <c r="F594" s="5"/>
      <c r="J594" s="5"/>
      <c r="K594" s="5"/>
    </row>
    <row r="595" ht="16.5" customHeight="1" spans="4:11">
      <c r="D595" s="180">
        <v>45358</v>
      </c>
      <c r="E595" s="181">
        <v>22493.55</v>
      </c>
      <c r="F595" s="5"/>
      <c r="J595" s="5"/>
      <c r="K595" s="5"/>
    </row>
    <row r="596" ht="16.5" customHeight="1" spans="4:11">
      <c r="D596" s="180">
        <v>45357</v>
      </c>
      <c r="E596" s="181">
        <v>22474.05</v>
      </c>
      <c r="F596" s="5"/>
      <c r="J596" s="5"/>
      <c r="K596" s="5"/>
    </row>
    <row r="597" ht="16.5" customHeight="1" spans="4:11">
      <c r="D597" s="180">
        <v>45356</v>
      </c>
      <c r="E597" s="181">
        <v>22356.3</v>
      </c>
      <c r="F597" s="5"/>
      <c r="J597" s="5"/>
      <c r="K597" s="5"/>
    </row>
    <row r="598" ht="16.5" customHeight="1" spans="4:11">
      <c r="D598" s="180">
        <v>45355</v>
      </c>
      <c r="E598" s="181">
        <v>22405.6</v>
      </c>
      <c r="F598" s="5"/>
      <c r="J598" s="5"/>
      <c r="K598" s="5"/>
    </row>
    <row r="599" ht="16.5" customHeight="1" spans="4:11">
      <c r="D599" s="180">
        <v>45353</v>
      </c>
      <c r="E599" s="181">
        <v>22378.4</v>
      </c>
      <c r="F599" s="5"/>
      <c r="J599" s="5"/>
      <c r="K599" s="5"/>
    </row>
    <row r="600" ht="16.5" customHeight="1" spans="4:11">
      <c r="D600" s="180">
        <v>45352</v>
      </c>
      <c r="E600" s="181">
        <v>22338.75</v>
      </c>
      <c r="F600" s="5"/>
      <c r="J600" s="5"/>
      <c r="K600" s="5"/>
    </row>
    <row r="601" ht="16.5" customHeight="1" spans="4:11">
      <c r="D601" s="180">
        <v>45351</v>
      </c>
      <c r="E601" s="181">
        <v>21982.8</v>
      </c>
      <c r="F601" s="5"/>
      <c r="J601" s="5"/>
      <c r="K601" s="5"/>
    </row>
    <row r="602" ht="16.5" customHeight="1" spans="4:11">
      <c r="D602" s="180">
        <v>45350</v>
      </c>
      <c r="E602" s="181">
        <v>21951.15</v>
      </c>
      <c r="F602" s="5"/>
      <c r="J602" s="5"/>
      <c r="K602" s="5"/>
    </row>
    <row r="603" ht="16.5" customHeight="1" spans="4:11">
      <c r="D603" s="180">
        <v>45349</v>
      </c>
      <c r="E603" s="181">
        <v>22198.35</v>
      </c>
      <c r="F603" s="5"/>
      <c r="J603" s="5"/>
      <c r="K603" s="5"/>
    </row>
    <row r="604" ht="16.5" customHeight="1" spans="4:11">
      <c r="D604" s="180">
        <v>45348</v>
      </c>
      <c r="E604" s="181">
        <v>22122.05</v>
      </c>
      <c r="F604" s="5"/>
      <c r="J604" s="5"/>
      <c r="K604" s="5"/>
    </row>
    <row r="605" ht="16.5" customHeight="1" spans="4:11">
      <c r="D605" s="180">
        <v>45345</v>
      </c>
      <c r="E605" s="181">
        <v>22212.7</v>
      </c>
      <c r="F605" s="5"/>
      <c r="J605" s="5"/>
      <c r="K605" s="5"/>
    </row>
    <row r="606" ht="16.5" customHeight="1" spans="4:11">
      <c r="D606" s="180">
        <v>45344</v>
      </c>
      <c r="E606" s="181">
        <v>22217.45</v>
      </c>
      <c r="F606" s="5"/>
      <c r="J606" s="5"/>
      <c r="K606" s="5"/>
    </row>
    <row r="607" ht="16.5" customHeight="1" spans="4:11">
      <c r="D607" s="180">
        <v>45343</v>
      </c>
      <c r="E607" s="181">
        <v>22055.05</v>
      </c>
      <c r="F607" s="5"/>
      <c r="J607" s="5"/>
      <c r="K607" s="5"/>
    </row>
    <row r="608" ht="16.5" customHeight="1" spans="4:11">
      <c r="D608" s="180">
        <v>45342</v>
      </c>
      <c r="E608" s="181">
        <v>22196.95</v>
      </c>
      <c r="F608" s="5"/>
      <c r="J608" s="5"/>
      <c r="K608" s="5"/>
    </row>
    <row r="609" ht="16.5" customHeight="1" spans="4:11">
      <c r="D609" s="180">
        <v>45341</v>
      </c>
      <c r="E609" s="181">
        <v>22122.25</v>
      </c>
      <c r="F609" s="5"/>
      <c r="J609" s="5"/>
      <c r="K609" s="5"/>
    </row>
    <row r="610" ht="16.5" customHeight="1" spans="4:11">
      <c r="D610" s="180">
        <v>45338</v>
      </c>
      <c r="E610" s="181">
        <v>22040.7</v>
      </c>
      <c r="F610" s="5"/>
      <c r="J610" s="5"/>
      <c r="K610" s="5"/>
    </row>
    <row r="611" ht="16.5" customHeight="1" spans="4:11">
      <c r="D611" s="180">
        <v>45337</v>
      </c>
      <c r="E611" s="181">
        <v>21910.75</v>
      </c>
      <c r="F611" s="5"/>
      <c r="J611" s="5"/>
      <c r="K611" s="5"/>
    </row>
    <row r="612" ht="16.5" customHeight="1" spans="4:11">
      <c r="D612" s="180">
        <v>45336</v>
      </c>
      <c r="E612" s="181">
        <v>21840.05</v>
      </c>
      <c r="F612" s="5"/>
      <c r="J612" s="5"/>
      <c r="K612" s="5"/>
    </row>
    <row r="613" ht="16.5" customHeight="1" spans="4:11">
      <c r="D613" s="180">
        <v>45335</v>
      </c>
      <c r="E613" s="181">
        <v>21743.25</v>
      </c>
      <c r="F613" s="5"/>
      <c r="J613" s="5"/>
      <c r="K613" s="5"/>
    </row>
    <row r="614" ht="16.5" customHeight="1" spans="4:11">
      <c r="D614" s="180">
        <v>45334</v>
      </c>
      <c r="E614" s="181">
        <v>21616.05</v>
      </c>
      <c r="F614" s="5"/>
      <c r="J614" s="5"/>
      <c r="K614" s="5"/>
    </row>
    <row r="615" ht="16.5" customHeight="1" spans="4:11">
      <c r="D615" s="180">
        <v>45331</v>
      </c>
      <c r="E615" s="181">
        <v>21782.5</v>
      </c>
      <c r="F615" s="5"/>
      <c r="J615" s="5"/>
      <c r="K615" s="5"/>
    </row>
    <row r="616" ht="16.5" customHeight="1" spans="4:11">
      <c r="D616" s="180">
        <v>45330</v>
      </c>
      <c r="E616" s="181">
        <v>21717.95</v>
      </c>
      <c r="F616" s="5"/>
      <c r="J616" s="5"/>
      <c r="K616" s="5"/>
    </row>
    <row r="617" ht="16.5" customHeight="1" spans="4:11">
      <c r="D617" s="180">
        <v>45329</v>
      </c>
      <c r="E617" s="181">
        <v>21930.5</v>
      </c>
      <c r="F617" s="5"/>
      <c r="J617" s="5"/>
      <c r="K617" s="5"/>
    </row>
    <row r="618" ht="16.5" customHeight="1" spans="4:11">
      <c r="D618" s="180">
        <v>45328</v>
      </c>
      <c r="E618" s="181">
        <v>21929.4</v>
      </c>
      <c r="F618" s="5"/>
      <c r="J618" s="5"/>
      <c r="K618" s="5"/>
    </row>
    <row r="619" ht="16.5" customHeight="1" spans="4:11">
      <c r="D619" s="180">
        <v>45327</v>
      </c>
      <c r="E619" s="181">
        <v>21771.7</v>
      </c>
      <c r="F619" s="5"/>
      <c r="J619" s="5"/>
      <c r="K619" s="5"/>
    </row>
    <row r="620" ht="16.5" customHeight="1" spans="4:11">
      <c r="D620" s="180">
        <v>45324</v>
      </c>
      <c r="E620" s="181">
        <v>21853.8</v>
      </c>
      <c r="F620" s="5"/>
      <c r="J620" s="5"/>
      <c r="K620" s="5"/>
    </row>
    <row r="621" ht="16.5" customHeight="1" spans="4:11">
      <c r="D621" s="180">
        <v>45323</v>
      </c>
      <c r="E621" s="181">
        <v>21697.45</v>
      </c>
      <c r="F621" s="5"/>
      <c r="J621" s="5"/>
      <c r="K621" s="5"/>
    </row>
    <row r="622" ht="16.5" customHeight="1" spans="4:11">
      <c r="D622" s="180">
        <v>45322</v>
      </c>
      <c r="E622" s="181">
        <v>21725.7</v>
      </c>
      <c r="F622" s="5"/>
      <c r="J622" s="5"/>
      <c r="K622" s="5"/>
    </row>
    <row r="623" ht="16.5" customHeight="1" spans="4:11">
      <c r="D623" s="180">
        <v>45321</v>
      </c>
      <c r="E623" s="181">
        <v>21522.1</v>
      </c>
      <c r="F623" s="5"/>
      <c r="J623" s="5"/>
      <c r="K623" s="5"/>
    </row>
    <row r="624" ht="16.5" customHeight="1" spans="4:11">
      <c r="D624" s="180">
        <v>45320</v>
      </c>
      <c r="E624" s="181">
        <v>21737.6</v>
      </c>
      <c r="F624" s="5"/>
      <c r="J624" s="5"/>
      <c r="K624" s="5"/>
    </row>
    <row r="625" ht="16.5" customHeight="1" spans="4:11">
      <c r="D625" s="180">
        <v>45316</v>
      </c>
      <c r="E625" s="181">
        <v>21352.6</v>
      </c>
      <c r="F625" s="5"/>
      <c r="J625" s="5"/>
      <c r="K625" s="5"/>
    </row>
    <row r="626" ht="16.5" customHeight="1" spans="4:11">
      <c r="D626" s="180">
        <v>45315</v>
      </c>
      <c r="E626" s="181">
        <v>21453.95</v>
      </c>
      <c r="F626" s="5"/>
      <c r="J626" s="5"/>
      <c r="K626" s="5"/>
    </row>
    <row r="627" ht="16.5" customHeight="1" spans="4:11">
      <c r="D627" s="180">
        <v>45314</v>
      </c>
      <c r="E627" s="181">
        <v>21238.8</v>
      </c>
      <c r="F627" s="5"/>
      <c r="J627" s="5"/>
      <c r="K627" s="5"/>
    </row>
    <row r="628" ht="16.5" customHeight="1" spans="4:11">
      <c r="D628" s="180">
        <v>45311</v>
      </c>
      <c r="E628" s="181">
        <v>21571.8</v>
      </c>
      <c r="F628" s="5"/>
      <c r="J628" s="5"/>
      <c r="K628" s="5"/>
    </row>
    <row r="629" ht="16.5" customHeight="1" spans="4:11">
      <c r="D629" s="180">
        <v>45310</v>
      </c>
      <c r="E629" s="181">
        <v>21622.4</v>
      </c>
      <c r="F629" s="5"/>
      <c r="J629" s="5"/>
      <c r="K629" s="5"/>
    </row>
    <row r="630" ht="16.5" customHeight="1" spans="4:11">
      <c r="D630" s="180">
        <v>45309</v>
      </c>
      <c r="E630" s="181">
        <v>21462.25</v>
      </c>
      <c r="F630" s="5"/>
      <c r="J630" s="5"/>
      <c r="K630" s="5"/>
    </row>
    <row r="631" ht="16.5" customHeight="1" spans="4:11">
      <c r="D631" s="180">
        <v>45308</v>
      </c>
      <c r="E631" s="181">
        <v>21571.95</v>
      </c>
      <c r="F631" s="5"/>
      <c r="J631" s="5"/>
      <c r="K631" s="5"/>
    </row>
    <row r="632" ht="16.5" customHeight="1" spans="4:11">
      <c r="D632" s="180">
        <v>45307</v>
      </c>
      <c r="E632" s="181">
        <v>22032.3</v>
      </c>
      <c r="F632" s="5"/>
      <c r="J632" s="5"/>
      <c r="K632" s="5"/>
    </row>
    <row r="633" ht="16.5" customHeight="1" spans="4:11">
      <c r="D633" s="180">
        <v>45306</v>
      </c>
      <c r="E633" s="181">
        <v>22097.45</v>
      </c>
      <c r="F633" s="5"/>
      <c r="J633" s="5"/>
      <c r="K633" s="5"/>
    </row>
    <row r="634" ht="16.5" customHeight="1" spans="4:11">
      <c r="D634" s="180">
        <v>45303</v>
      </c>
      <c r="E634" s="181">
        <v>21894.55</v>
      </c>
      <c r="F634" s="5"/>
      <c r="J634" s="5"/>
      <c r="K634" s="5"/>
    </row>
    <row r="635" ht="16.5" customHeight="1" spans="4:11">
      <c r="D635" s="180">
        <v>45302</v>
      </c>
      <c r="E635" s="181">
        <v>21647.2</v>
      </c>
      <c r="F635" s="5"/>
      <c r="J635" s="5"/>
      <c r="K635" s="5"/>
    </row>
    <row r="636" ht="16.5" customHeight="1" spans="4:11">
      <c r="D636" s="180">
        <v>45301</v>
      </c>
      <c r="E636" s="181">
        <v>21618.7</v>
      </c>
      <c r="F636" s="5"/>
      <c r="J636" s="5"/>
      <c r="K636" s="5"/>
    </row>
    <row r="637" ht="16.5" customHeight="1" spans="4:11">
      <c r="D637" s="180">
        <v>45300</v>
      </c>
      <c r="E637" s="181">
        <v>21544.85</v>
      </c>
      <c r="F637" s="5"/>
      <c r="J637" s="5"/>
      <c r="K637" s="5"/>
    </row>
    <row r="638" ht="16.5" customHeight="1" spans="4:11">
      <c r="D638" s="180">
        <v>45299</v>
      </c>
      <c r="E638" s="181">
        <v>21513</v>
      </c>
      <c r="F638" s="5"/>
      <c r="J638" s="5"/>
      <c r="K638" s="5"/>
    </row>
    <row r="639" ht="16.5" customHeight="1" spans="4:11">
      <c r="D639" s="180">
        <v>45296</v>
      </c>
      <c r="E639" s="181">
        <v>21710.8</v>
      </c>
      <c r="F639" s="5"/>
      <c r="J639" s="5"/>
      <c r="K639" s="5"/>
    </row>
    <row r="640" ht="16.5" customHeight="1" spans="4:11">
      <c r="D640" s="180">
        <v>45295</v>
      </c>
      <c r="E640" s="181">
        <v>21658.6</v>
      </c>
      <c r="F640" s="5"/>
      <c r="J640" s="5"/>
      <c r="K640" s="5"/>
    </row>
    <row r="641" ht="16.5" customHeight="1" spans="4:11">
      <c r="D641" s="180">
        <v>45294</v>
      </c>
      <c r="E641" s="181">
        <v>21517.35</v>
      </c>
      <c r="F641" s="5"/>
      <c r="J641" s="5"/>
      <c r="K641" s="5"/>
    </row>
    <row r="642" ht="16.5" customHeight="1" spans="4:11">
      <c r="D642" s="180">
        <v>45293</v>
      </c>
      <c r="E642" s="181">
        <v>21665.8</v>
      </c>
      <c r="F642" s="5"/>
      <c r="J642" s="5"/>
      <c r="K642" s="5"/>
    </row>
    <row r="643" ht="16.5" customHeight="1" spans="4:11">
      <c r="D643" s="180">
        <v>45292</v>
      </c>
      <c r="E643" s="181">
        <v>21741.9</v>
      </c>
      <c r="F643" s="5"/>
      <c r="J643" s="5"/>
      <c r="K643" s="5"/>
    </row>
    <row r="644" ht="16.5" customHeight="1" spans="4:11">
      <c r="D644" s="180">
        <v>45289</v>
      </c>
      <c r="E644" s="181">
        <v>21731.4</v>
      </c>
      <c r="F644" s="5"/>
      <c r="J644" s="5"/>
      <c r="K644" s="5"/>
    </row>
    <row r="645" ht="16.5" customHeight="1" spans="4:11">
      <c r="D645" s="180">
        <v>45288</v>
      </c>
      <c r="E645" s="181">
        <v>21778.7</v>
      </c>
      <c r="F645" s="5"/>
      <c r="J645" s="5"/>
      <c r="K645" s="5"/>
    </row>
    <row r="646" ht="16.5" customHeight="1" spans="4:11">
      <c r="D646" s="180">
        <v>45287</v>
      </c>
      <c r="E646" s="181">
        <v>21654.75</v>
      </c>
      <c r="F646" s="5"/>
      <c r="J646" s="5"/>
      <c r="K646" s="5"/>
    </row>
    <row r="647" ht="16.5" customHeight="1" spans="4:11">
      <c r="D647" s="180">
        <v>45286</v>
      </c>
      <c r="E647" s="181">
        <v>21441.35</v>
      </c>
      <c r="F647" s="5"/>
      <c r="J647" s="5"/>
      <c r="K647" s="5"/>
    </row>
    <row r="648" ht="16.5" customHeight="1" spans="4:11">
      <c r="D648" s="180">
        <v>45282</v>
      </c>
      <c r="E648" s="181">
        <v>21349.4</v>
      </c>
      <c r="F648" s="5"/>
      <c r="J648" s="5"/>
      <c r="K648" s="5"/>
    </row>
    <row r="649" ht="16.5" customHeight="1" spans="4:11">
      <c r="D649" s="180">
        <v>45281</v>
      </c>
      <c r="E649" s="181">
        <v>21255.05</v>
      </c>
      <c r="F649" s="5"/>
      <c r="J649" s="5"/>
      <c r="K649" s="5"/>
    </row>
    <row r="650" ht="16.5" customHeight="1" spans="4:11">
      <c r="D650" s="180">
        <v>45280</v>
      </c>
      <c r="E650" s="181">
        <v>21150.15</v>
      </c>
      <c r="F650" s="5"/>
      <c r="J650" s="5"/>
      <c r="K650" s="5"/>
    </row>
    <row r="651" ht="16.5" customHeight="1" spans="4:11">
      <c r="D651" s="180">
        <v>45279</v>
      </c>
      <c r="E651" s="181">
        <v>21453.1</v>
      </c>
      <c r="F651" s="5"/>
      <c r="J651" s="5"/>
      <c r="K651" s="5"/>
    </row>
    <row r="652" ht="16.5" customHeight="1" spans="4:11">
      <c r="D652" s="180">
        <v>45278</v>
      </c>
      <c r="E652" s="181">
        <v>21418.65</v>
      </c>
      <c r="F652" s="5"/>
      <c r="J652" s="5"/>
      <c r="K652" s="5"/>
    </row>
    <row r="653" ht="16.5" customHeight="1" spans="4:11">
      <c r="D653" s="180">
        <v>45275</v>
      </c>
      <c r="E653" s="181">
        <v>21456.65</v>
      </c>
      <c r="F653" s="5"/>
      <c r="J653" s="5"/>
      <c r="K653" s="5"/>
    </row>
    <row r="654" ht="16.5" customHeight="1" spans="4:11">
      <c r="D654" s="180">
        <v>45274</v>
      </c>
      <c r="E654" s="181">
        <v>21182.7</v>
      </c>
      <c r="F654" s="5"/>
      <c r="J654" s="5"/>
      <c r="K654" s="5"/>
    </row>
    <row r="655" ht="16.5" customHeight="1" spans="4:11">
      <c r="D655" s="180">
        <v>45273</v>
      </c>
      <c r="E655" s="181">
        <v>20926.35</v>
      </c>
      <c r="F655" s="5"/>
      <c r="J655" s="5"/>
      <c r="K655" s="5"/>
    </row>
    <row r="656" ht="16.5" customHeight="1" spans="4:11">
      <c r="D656" s="180">
        <v>45272</v>
      </c>
      <c r="E656" s="181">
        <v>20906.4</v>
      </c>
      <c r="F656" s="5"/>
      <c r="J656" s="5"/>
      <c r="K656" s="5"/>
    </row>
    <row r="657" ht="16.5" customHeight="1" spans="4:11">
      <c r="D657" s="180">
        <v>45271</v>
      </c>
      <c r="E657" s="181">
        <v>20997.1</v>
      </c>
      <c r="F657" s="5"/>
      <c r="J657" s="5"/>
      <c r="K657" s="5"/>
    </row>
    <row r="658" ht="16.5" customHeight="1" spans="4:11">
      <c r="D658" s="180">
        <v>45268</v>
      </c>
      <c r="E658" s="181">
        <v>20969.4</v>
      </c>
      <c r="F658" s="5"/>
      <c r="J658" s="5"/>
      <c r="K658" s="5"/>
    </row>
    <row r="659" ht="16.5" customHeight="1" spans="4:11">
      <c r="D659" s="180">
        <v>45267</v>
      </c>
      <c r="E659" s="181">
        <v>20901.15</v>
      </c>
      <c r="F659" s="5"/>
      <c r="J659" s="5"/>
      <c r="K659" s="5"/>
    </row>
    <row r="660" ht="16.5" customHeight="1" spans="4:11">
      <c r="D660" s="180">
        <v>45266</v>
      </c>
      <c r="E660" s="181">
        <v>20937.7</v>
      </c>
      <c r="F660" s="5"/>
      <c r="J660" s="5"/>
      <c r="K660" s="5"/>
    </row>
    <row r="661" ht="16.5" customHeight="1" spans="4:11">
      <c r="D661" s="180">
        <v>45265</v>
      </c>
      <c r="E661" s="181">
        <v>20855.1</v>
      </c>
      <c r="F661" s="5"/>
      <c r="J661" s="5"/>
      <c r="K661" s="5"/>
    </row>
    <row r="662" ht="16.5" customHeight="1" spans="4:11">
      <c r="D662" s="180">
        <v>45264</v>
      </c>
      <c r="E662" s="181">
        <v>20686.8</v>
      </c>
      <c r="F662" s="5"/>
      <c r="J662" s="5"/>
      <c r="K662" s="5"/>
    </row>
    <row r="663" ht="16.5" customHeight="1" spans="4:11">
      <c r="D663" s="180">
        <v>45261</v>
      </c>
      <c r="E663" s="181">
        <v>20267.9</v>
      </c>
      <c r="F663" s="5"/>
      <c r="J663" s="5"/>
      <c r="K663" s="5"/>
    </row>
    <row r="664" ht="16.5" customHeight="1" spans="4:11">
      <c r="D664" s="180">
        <v>45260</v>
      </c>
      <c r="E664" s="181">
        <v>20133.15</v>
      </c>
      <c r="F664" s="5"/>
      <c r="J664" s="5"/>
      <c r="K664" s="5"/>
    </row>
    <row r="665" ht="16.5" customHeight="1" spans="4:11">
      <c r="D665" s="180">
        <v>45259</v>
      </c>
      <c r="E665" s="181">
        <v>20096.6</v>
      </c>
      <c r="F665" s="5"/>
      <c r="J665" s="5"/>
      <c r="K665" s="5"/>
    </row>
    <row r="666" ht="16.5" customHeight="1" spans="4:11">
      <c r="D666" s="180">
        <v>45258</v>
      </c>
      <c r="E666" s="181">
        <v>19889.7</v>
      </c>
      <c r="F666" s="5"/>
      <c r="J666" s="5"/>
      <c r="K666" s="5"/>
    </row>
    <row r="667" ht="16.5" customHeight="1" spans="4:11">
      <c r="D667" s="180">
        <v>45254</v>
      </c>
      <c r="E667" s="181">
        <v>19794.7</v>
      </c>
      <c r="F667" s="5"/>
      <c r="J667" s="5"/>
      <c r="K667" s="5"/>
    </row>
    <row r="668" ht="16.5" customHeight="1" spans="4:11">
      <c r="D668" s="180">
        <v>45253</v>
      </c>
      <c r="E668" s="181">
        <v>19802</v>
      </c>
      <c r="F668" s="5"/>
      <c r="J668" s="5"/>
      <c r="K668" s="5"/>
    </row>
    <row r="669" ht="16.5" customHeight="1" spans="4:11">
      <c r="D669" s="180">
        <v>45252</v>
      </c>
      <c r="E669" s="181">
        <v>19811.85</v>
      </c>
      <c r="F669" s="5"/>
      <c r="J669" s="5"/>
      <c r="K669" s="5"/>
    </row>
    <row r="670" ht="16.5" customHeight="1" spans="4:11">
      <c r="D670" s="180">
        <v>45251</v>
      </c>
      <c r="E670" s="181">
        <v>19783.4</v>
      </c>
      <c r="F670" s="5"/>
      <c r="J670" s="5"/>
      <c r="K670" s="5"/>
    </row>
    <row r="671" ht="16.5" customHeight="1" spans="4:11">
      <c r="D671" s="180">
        <v>45250</v>
      </c>
      <c r="E671" s="181">
        <v>19694</v>
      </c>
      <c r="F671" s="5"/>
      <c r="J671" s="5"/>
      <c r="K671" s="5"/>
    </row>
    <row r="672" ht="16.5" customHeight="1" spans="4:11">
      <c r="D672" s="180">
        <v>45247</v>
      </c>
      <c r="E672" s="181">
        <v>19731.8</v>
      </c>
      <c r="F672" s="5"/>
      <c r="J672" s="5"/>
      <c r="K672" s="5"/>
    </row>
    <row r="673" ht="16.5" customHeight="1" spans="4:11">
      <c r="D673" s="180">
        <v>45246</v>
      </c>
      <c r="E673" s="181">
        <v>19765.2</v>
      </c>
      <c r="F673" s="5"/>
      <c r="J673" s="5"/>
      <c r="K673" s="5"/>
    </row>
    <row r="674" ht="16.5" customHeight="1" spans="4:11">
      <c r="D674" s="180">
        <v>45245</v>
      </c>
      <c r="E674" s="181">
        <v>19675.45</v>
      </c>
      <c r="F674" s="5"/>
      <c r="J674" s="5"/>
      <c r="K674" s="5"/>
    </row>
    <row r="675" ht="16.5" customHeight="1" spans="4:11">
      <c r="D675" s="180">
        <v>45243</v>
      </c>
      <c r="E675" s="181">
        <v>19443.55</v>
      </c>
      <c r="F675" s="5"/>
      <c r="J675" s="5"/>
      <c r="K675" s="5"/>
    </row>
    <row r="676" ht="16.5" customHeight="1" spans="4:11">
      <c r="D676" s="180">
        <v>45242</v>
      </c>
      <c r="E676" s="181">
        <v>19525.55</v>
      </c>
      <c r="F676" s="5"/>
      <c r="J676" s="5"/>
      <c r="K676" s="5"/>
    </row>
    <row r="677" ht="16.5" customHeight="1" spans="4:11">
      <c r="D677" s="180">
        <v>45240</v>
      </c>
      <c r="E677" s="181">
        <v>19425.35</v>
      </c>
      <c r="F677" s="5"/>
      <c r="J677" s="5"/>
      <c r="K677" s="5"/>
    </row>
    <row r="678" ht="16.5" customHeight="1" spans="4:11">
      <c r="D678" s="180">
        <v>45239</v>
      </c>
      <c r="E678" s="181">
        <v>19395.3</v>
      </c>
      <c r="F678" s="5"/>
      <c r="J678" s="5"/>
      <c r="K678" s="5"/>
    </row>
    <row r="679" ht="16.5" customHeight="1" spans="4:11">
      <c r="D679" s="180">
        <v>45238</v>
      </c>
      <c r="E679" s="181">
        <v>19443.5</v>
      </c>
      <c r="F679" s="5"/>
      <c r="J679" s="5"/>
      <c r="K679" s="5"/>
    </row>
    <row r="680" ht="16.5" customHeight="1" spans="4:11">
      <c r="D680" s="180">
        <v>45237</v>
      </c>
      <c r="E680" s="181">
        <v>19406.7</v>
      </c>
      <c r="F680" s="5"/>
      <c r="J680" s="5"/>
      <c r="K680" s="5"/>
    </row>
    <row r="681" ht="16.5" customHeight="1" spans="4:11">
      <c r="D681" s="180">
        <v>45236</v>
      </c>
      <c r="E681" s="181">
        <v>19411.75</v>
      </c>
      <c r="F681" s="5"/>
      <c r="J681" s="5"/>
      <c r="K681" s="5"/>
    </row>
    <row r="682" ht="16.5" customHeight="1" spans="4:11">
      <c r="D682" s="180">
        <v>45233</v>
      </c>
      <c r="E682" s="181">
        <v>19230.6</v>
      </c>
      <c r="F682" s="5"/>
      <c r="J682" s="5"/>
      <c r="K682" s="5"/>
    </row>
    <row r="683" ht="16.5" customHeight="1" spans="4:11">
      <c r="D683" s="180">
        <v>45232</v>
      </c>
      <c r="E683" s="181">
        <v>19133.25</v>
      </c>
      <c r="F683" s="5"/>
      <c r="J683" s="5"/>
      <c r="K683" s="5"/>
    </row>
    <row r="684" ht="16.5" customHeight="1" spans="4:11">
      <c r="D684" s="180">
        <v>45231</v>
      </c>
      <c r="E684" s="181">
        <v>18989.15</v>
      </c>
      <c r="F684" s="5"/>
      <c r="J684" s="5"/>
      <c r="K684" s="5"/>
    </row>
    <row r="685" ht="16.5" customHeight="1" spans="4:11">
      <c r="D685" s="180">
        <v>45230</v>
      </c>
      <c r="E685" s="181">
        <v>19079.6</v>
      </c>
      <c r="F685" s="5"/>
      <c r="J685" s="5"/>
      <c r="K685" s="5"/>
    </row>
    <row r="686" ht="16.5" customHeight="1" spans="4:11">
      <c r="D686" s="180">
        <v>45229</v>
      </c>
      <c r="E686" s="181">
        <v>19140.9</v>
      </c>
      <c r="F686" s="5"/>
      <c r="J686" s="5"/>
      <c r="K686" s="5"/>
    </row>
    <row r="687" ht="16.5" customHeight="1" spans="4:11">
      <c r="D687" s="180">
        <v>45226</v>
      </c>
      <c r="E687" s="181">
        <v>19047.25</v>
      </c>
      <c r="F687" s="5"/>
      <c r="J687" s="5"/>
      <c r="K687" s="5"/>
    </row>
    <row r="688" ht="16.5" customHeight="1" spans="4:11">
      <c r="D688" s="180">
        <v>45225</v>
      </c>
      <c r="E688" s="181">
        <v>18857.25</v>
      </c>
      <c r="F688" s="5"/>
      <c r="J688" s="5"/>
      <c r="K688" s="5"/>
    </row>
    <row r="689" ht="16.5" customHeight="1" spans="4:11">
      <c r="D689" s="180">
        <v>45224</v>
      </c>
      <c r="E689" s="181">
        <v>19122.15</v>
      </c>
      <c r="F689" s="5"/>
      <c r="J689" s="5"/>
      <c r="K689" s="5"/>
    </row>
    <row r="690" ht="16.5" customHeight="1" spans="4:11">
      <c r="D690" s="180">
        <v>45222</v>
      </c>
      <c r="E690" s="181">
        <v>19281.75</v>
      </c>
      <c r="F690" s="5"/>
      <c r="J690" s="5"/>
      <c r="K690" s="5"/>
    </row>
    <row r="691" ht="16.5" customHeight="1" spans="4:11">
      <c r="D691" s="180">
        <v>45219</v>
      </c>
      <c r="E691" s="181">
        <v>19542.65</v>
      </c>
      <c r="F691" s="5"/>
      <c r="J691" s="5"/>
      <c r="K691" s="5"/>
    </row>
    <row r="692" ht="16.5" customHeight="1" spans="4:11">
      <c r="D692" s="180">
        <v>45218</v>
      </c>
      <c r="E692" s="181">
        <v>19624.7</v>
      </c>
      <c r="F692" s="5"/>
      <c r="J692" s="5"/>
      <c r="K692" s="5"/>
    </row>
    <row r="693" ht="16.5" customHeight="1" spans="4:11">
      <c r="D693" s="180">
        <v>45217</v>
      </c>
      <c r="E693" s="181">
        <v>19671.1</v>
      </c>
      <c r="F693" s="5"/>
      <c r="J693" s="5"/>
      <c r="K693" s="5"/>
    </row>
    <row r="694" ht="16.5" customHeight="1" spans="4:11">
      <c r="D694" s="180">
        <v>45216</v>
      </c>
      <c r="E694" s="181">
        <v>19811.5</v>
      </c>
      <c r="F694" s="5"/>
      <c r="J694" s="5"/>
      <c r="K694" s="5"/>
    </row>
    <row r="695" ht="16.5" customHeight="1" spans="4:11">
      <c r="D695" s="180">
        <v>45215</v>
      </c>
      <c r="E695" s="181">
        <v>19731.75</v>
      </c>
      <c r="F695" s="5"/>
      <c r="J695" s="5"/>
      <c r="K695" s="5"/>
    </row>
    <row r="696" ht="16.5" customHeight="1" spans="4:11">
      <c r="D696" s="180">
        <v>45212</v>
      </c>
      <c r="E696" s="181">
        <v>19751.05</v>
      </c>
      <c r="F696" s="5"/>
      <c r="J696" s="5"/>
      <c r="K696" s="5"/>
    </row>
    <row r="697" ht="16.5" customHeight="1" spans="4:11">
      <c r="D697" s="180">
        <v>45211</v>
      </c>
      <c r="E697" s="181">
        <v>19794</v>
      </c>
      <c r="F697" s="5"/>
      <c r="J697" s="5"/>
      <c r="K697" s="5"/>
    </row>
    <row r="698" ht="16.5" customHeight="1" spans="4:11">
      <c r="D698" s="180">
        <v>45210</v>
      </c>
      <c r="E698" s="181">
        <v>19811.35</v>
      </c>
      <c r="F698" s="5"/>
      <c r="J698" s="5"/>
      <c r="K698" s="5"/>
    </row>
    <row r="699" ht="16.5" customHeight="1" spans="4:11">
      <c r="D699" s="180">
        <v>45209</v>
      </c>
      <c r="E699" s="181">
        <v>19689.85</v>
      </c>
      <c r="F699" s="5"/>
      <c r="J699" s="5"/>
      <c r="K699" s="5"/>
    </row>
    <row r="700" ht="16.5" customHeight="1" spans="4:11">
      <c r="D700" s="180">
        <v>45208</v>
      </c>
      <c r="E700" s="181">
        <v>19512.35</v>
      </c>
      <c r="F700" s="5"/>
      <c r="J700" s="5"/>
      <c r="K700" s="5"/>
    </row>
    <row r="701" ht="16.5" customHeight="1" spans="4:11">
      <c r="D701" s="180">
        <v>45205</v>
      </c>
      <c r="E701" s="181">
        <v>19653.5</v>
      </c>
      <c r="F701" s="5"/>
      <c r="J701" s="5"/>
      <c r="K701" s="5"/>
    </row>
    <row r="702" ht="16.5" customHeight="1" spans="4:11">
      <c r="D702" s="180">
        <v>45204</v>
      </c>
      <c r="E702" s="181">
        <v>19545.75</v>
      </c>
      <c r="F702" s="5"/>
      <c r="J702" s="5"/>
      <c r="K702" s="5"/>
    </row>
    <row r="703" ht="16.5" customHeight="1" spans="4:11">
      <c r="D703" s="180">
        <v>45203</v>
      </c>
      <c r="E703" s="181">
        <v>19436.1</v>
      </c>
      <c r="F703" s="5"/>
      <c r="J703" s="5"/>
      <c r="K703" s="5"/>
    </row>
    <row r="704" ht="16.5" customHeight="1" spans="4:11">
      <c r="D704" s="180">
        <v>45202</v>
      </c>
      <c r="E704" s="181">
        <v>19528.75</v>
      </c>
      <c r="F704" s="5"/>
      <c r="J704" s="5"/>
      <c r="K704" s="5"/>
    </row>
    <row r="705" ht="16.5" customHeight="1" spans="4:11">
      <c r="D705" s="180">
        <v>45198</v>
      </c>
      <c r="E705" s="181">
        <v>19638.3</v>
      </c>
      <c r="F705" s="5"/>
      <c r="J705" s="5"/>
      <c r="K705" s="5"/>
    </row>
    <row r="706" ht="16.5" customHeight="1" spans="4:11">
      <c r="D706" s="180">
        <v>45197</v>
      </c>
      <c r="E706" s="181">
        <v>19523.55</v>
      </c>
      <c r="F706" s="5"/>
      <c r="J706" s="5"/>
      <c r="K706" s="5"/>
    </row>
    <row r="707" ht="16.5" customHeight="1" spans="4:11">
      <c r="D707" s="180">
        <v>45196</v>
      </c>
      <c r="E707" s="181">
        <v>19716.45</v>
      </c>
      <c r="F707" s="5"/>
      <c r="J707" s="5"/>
      <c r="K707" s="5"/>
    </row>
    <row r="708" ht="16.5" customHeight="1" spans="4:11">
      <c r="D708" s="180">
        <v>45195</v>
      </c>
      <c r="E708" s="181">
        <v>19664.7</v>
      </c>
      <c r="F708" s="5"/>
      <c r="J708" s="5"/>
      <c r="K708" s="5"/>
    </row>
    <row r="709" ht="16.5" customHeight="1" spans="4:11">
      <c r="D709" s="180">
        <v>45194</v>
      </c>
      <c r="E709" s="181">
        <v>19674.55</v>
      </c>
      <c r="F709" s="5"/>
      <c r="J709" s="5"/>
      <c r="K709" s="5"/>
    </row>
    <row r="710" ht="16.5" customHeight="1" spans="4:11">
      <c r="D710" s="180">
        <v>45191</v>
      </c>
      <c r="E710" s="181">
        <v>19674.25</v>
      </c>
      <c r="F710" s="5"/>
      <c r="J710" s="5"/>
      <c r="K710" s="5"/>
    </row>
    <row r="711" ht="16.5" customHeight="1" spans="4:11">
      <c r="D711" s="180">
        <v>45190</v>
      </c>
      <c r="E711" s="181">
        <v>19742.35</v>
      </c>
      <c r="F711" s="5"/>
      <c r="J711" s="5"/>
      <c r="K711" s="5"/>
    </row>
    <row r="712" ht="16.5" customHeight="1" spans="4:11">
      <c r="D712" s="180">
        <v>45189</v>
      </c>
      <c r="E712" s="181">
        <v>19901.4</v>
      </c>
      <c r="F712" s="5"/>
      <c r="J712" s="5"/>
      <c r="K712" s="5"/>
    </row>
    <row r="713" ht="16.5" customHeight="1" spans="4:11">
      <c r="D713" s="180">
        <v>45187</v>
      </c>
      <c r="E713" s="181">
        <v>20133.3</v>
      </c>
      <c r="F713" s="5"/>
      <c r="J713" s="5"/>
      <c r="K713" s="5"/>
    </row>
    <row r="714" ht="16.5" customHeight="1" spans="4:11">
      <c r="D714" s="180">
        <v>45184</v>
      </c>
      <c r="E714" s="181">
        <v>20192.35</v>
      </c>
      <c r="F714" s="5"/>
      <c r="J714" s="5"/>
      <c r="K714" s="5"/>
    </row>
    <row r="715" ht="16.5" customHeight="1" spans="4:11">
      <c r="D715" s="180">
        <v>45183</v>
      </c>
      <c r="E715" s="181">
        <v>20103.1</v>
      </c>
      <c r="F715" s="5"/>
      <c r="J715" s="5"/>
      <c r="K715" s="5"/>
    </row>
    <row r="716" ht="16.5" customHeight="1" spans="4:11">
      <c r="D716" s="180">
        <v>45182</v>
      </c>
      <c r="E716" s="181">
        <v>20070</v>
      </c>
      <c r="F716" s="5"/>
      <c r="J716" s="5"/>
      <c r="K716" s="5"/>
    </row>
    <row r="717" ht="16.5" customHeight="1" spans="4:11">
      <c r="D717" s="180">
        <v>45181</v>
      </c>
      <c r="E717" s="181">
        <v>19993.2</v>
      </c>
      <c r="F717" s="5"/>
      <c r="J717" s="5"/>
      <c r="K717" s="5"/>
    </row>
    <row r="718" ht="16.5" customHeight="1" spans="4:11">
      <c r="D718" s="180">
        <v>45180</v>
      </c>
      <c r="E718" s="181">
        <v>19996.35</v>
      </c>
      <c r="F718" s="5"/>
      <c r="J718" s="5"/>
      <c r="K718" s="5"/>
    </row>
    <row r="719" ht="16.5" customHeight="1" spans="4:11">
      <c r="D719" s="180">
        <v>45177</v>
      </c>
      <c r="E719" s="181">
        <v>19819.95</v>
      </c>
      <c r="F719" s="5"/>
      <c r="J719" s="5"/>
      <c r="K719" s="5"/>
    </row>
    <row r="720" ht="16.5" customHeight="1" spans="4:11">
      <c r="D720" s="180">
        <v>45176</v>
      </c>
      <c r="E720" s="181">
        <v>19727.05</v>
      </c>
      <c r="F720" s="5"/>
      <c r="J720" s="5"/>
      <c r="K720" s="5"/>
    </row>
    <row r="721" ht="16.5" customHeight="1" spans="4:11">
      <c r="D721" s="180">
        <v>45175</v>
      </c>
      <c r="E721" s="181">
        <v>19611.05</v>
      </c>
      <c r="F721" s="5"/>
      <c r="J721" s="5"/>
      <c r="K721" s="5"/>
    </row>
    <row r="722" ht="16.5" customHeight="1" spans="4:11">
      <c r="D722" s="180">
        <v>45174</v>
      </c>
      <c r="E722" s="181">
        <v>19574.9</v>
      </c>
      <c r="F722" s="5"/>
      <c r="J722" s="5"/>
      <c r="K722" s="5"/>
    </row>
    <row r="723" ht="16.5" customHeight="1" spans="4:11">
      <c r="D723" s="180">
        <v>45173</v>
      </c>
      <c r="E723" s="181">
        <v>19528.8</v>
      </c>
      <c r="F723" s="5"/>
      <c r="J723" s="5"/>
      <c r="K723" s="5"/>
    </row>
    <row r="724" ht="16.5" customHeight="1" spans="4:11">
      <c r="D724" s="180">
        <v>45170</v>
      </c>
      <c r="E724" s="181">
        <v>19435.3</v>
      </c>
      <c r="F724" s="5"/>
      <c r="J724" s="5"/>
      <c r="K724" s="5"/>
    </row>
    <row r="725" ht="16.5" customHeight="1" spans="4:11">
      <c r="D725" s="180">
        <v>45169</v>
      </c>
      <c r="E725" s="181">
        <v>19253.8</v>
      </c>
      <c r="F725" s="5"/>
      <c r="J725" s="5"/>
      <c r="K725" s="5"/>
    </row>
    <row r="726" ht="16.5" customHeight="1" spans="4:11">
      <c r="D726" s="180">
        <v>45168</v>
      </c>
      <c r="E726" s="181">
        <v>19347.45</v>
      </c>
      <c r="F726" s="5"/>
      <c r="J726" s="5"/>
      <c r="K726" s="5"/>
    </row>
    <row r="727" ht="16.5" customHeight="1" spans="4:11">
      <c r="D727" s="180">
        <v>45167</v>
      </c>
      <c r="E727" s="181">
        <v>19342.65</v>
      </c>
      <c r="F727" s="5"/>
      <c r="J727" s="5"/>
      <c r="K727" s="5"/>
    </row>
    <row r="728" ht="16.5" customHeight="1" spans="4:11">
      <c r="D728" s="180">
        <v>45166</v>
      </c>
      <c r="E728" s="181">
        <v>19306.05</v>
      </c>
      <c r="F728" s="5"/>
      <c r="J728" s="5"/>
      <c r="K728" s="5"/>
    </row>
    <row r="729" ht="16.5" customHeight="1" spans="4:11">
      <c r="D729" s="180">
        <v>45163</v>
      </c>
      <c r="E729" s="181">
        <v>19265.8</v>
      </c>
      <c r="F729" s="5"/>
      <c r="J729" s="5"/>
      <c r="K729" s="5"/>
    </row>
    <row r="730" ht="16.5" customHeight="1" spans="4:11">
      <c r="D730" s="180">
        <v>45162</v>
      </c>
      <c r="E730" s="181">
        <v>19386.7</v>
      </c>
      <c r="F730" s="5"/>
      <c r="J730" s="5"/>
      <c r="K730" s="5"/>
    </row>
    <row r="731" ht="16.5" customHeight="1" spans="4:11">
      <c r="D731" s="180">
        <v>45161</v>
      </c>
      <c r="E731" s="181">
        <v>19444</v>
      </c>
      <c r="F731" s="5"/>
      <c r="J731" s="5"/>
      <c r="K731" s="5"/>
    </row>
    <row r="732" ht="16.5" customHeight="1" spans="4:11">
      <c r="D732" s="180">
        <v>45160</v>
      </c>
      <c r="E732" s="181">
        <v>19396.45</v>
      </c>
      <c r="F732" s="5"/>
      <c r="J732" s="5"/>
      <c r="K732" s="5"/>
    </row>
    <row r="733" ht="16.5" customHeight="1" spans="4:11">
      <c r="D733" s="180">
        <v>45159</v>
      </c>
      <c r="E733" s="181">
        <v>19393.6</v>
      </c>
      <c r="F733" s="5"/>
      <c r="J733" s="5"/>
      <c r="K733" s="5"/>
    </row>
    <row r="734" ht="16.5" customHeight="1" spans="4:11">
      <c r="D734" s="180">
        <v>45156</v>
      </c>
      <c r="E734" s="181">
        <v>19310.15</v>
      </c>
      <c r="F734" s="5"/>
      <c r="J734" s="5"/>
      <c r="K734" s="5"/>
    </row>
    <row r="735" ht="16.5" customHeight="1" spans="4:11">
      <c r="D735" s="180">
        <v>45155</v>
      </c>
      <c r="E735" s="181">
        <v>19365.25</v>
      </c>
      <c r="F735" s="5"/>
      <c r="J735" s="5"/>
      <c r="K735" s="5"/>
    </row>
    <row r="736" ht="16.5" customHeight="1" spans="4:11">
      <c r="D736" s="180">
        <v>45154</v>
      </c>
      <c r="E736" s="181">
        <v>19465</v>
      </c>
      <c r="F736" s="5"/>
      <c r="J736" s="5"/>
      <c r="K736" s="5"/>
    </row>
    <row r="737" ht="16.5" customHeight="1" spans="4:11">
      <c r="D737" s="180">
        <v>45152</v>
      </c>
      <c r="E737" s="181">
        <v>19434.55</v>
      </c>
      <c r="F737" s="5"/>
      <c r="J737" s="5"/>
      <c r="K737" s="5"/>
    </row>
    <row r="738" ht="16.5" customHeight="1" spans="4:11">
      <c r="D738" s="180">
        <v>45149</v>
      </c>
      <c r="E738" s="181">
        <v>19428.3</v>
      </c>
      <c r="F738" s="5"/>
      <c r="J738" s="5"/>
      <c r="K738" s="5"/>
    </row>
    <row r="739" ht="16.5" customHeight="1" spans="4:11">
      <c r="D739" s="180">
        <v>45148</v>
      </c>
      <c r="E739" s="181">
        <v>19543.1</v>
      </c>
      <c r="F739" s="5"/>
      <c r="J739" s="5"/>
      <c r="K739" s="5"/>
    </row>
    <row r="740" ht="16.5" customHeight="1" spans="4:11">
      <c r="D740" s="180">
        <v>45147</v>
      </c>
      <c r="E740" s="181">
        <v>19632.55</v>
      </c>
      <c r="F740" s="5"/>
      <c r="J740" s="5"/>
      <c r="K740" s="5"/>
    </row>
    <row r="741" ht="16.5" customHeight="1" spans="4:11">
      <c r="D741" s="180">
        <v>45146</v>
      </c>
      <c r="E741" s="181">
        <v>19570.85</v>
      </c>
      <c r="F741" s="5"/>
      <c r="J741" s="5"/>
      <c r="K741" s="5"/>
    </row>
    <row r="742" ht="16.5" customHeight="1" spans="4:11">
      <c r="D742" s="180">
        <v>45145</v>
      </c>
      <c r="E742" s="181">
        <v>19597.3</v>
      </c>
      <c r="F742" s="5"/>
      <c r="J742" s="5"/>
      <c r="K742" s="5"/>
    </row>
    <row r="743" ht="16.5" customHeight="1" spans="4:11">
      <c r="D743" s="180">
        <v>45142</v>
      </c>
      <c r="E743" s="181">
        <v>19517</v>
      </c>
      <c r="F743" s="5"/>
      <c r="J743" s="5"/>
      <c r="K743" s="5"/>
    </row>
    <row r="744" ht="16.5" customHeight="1" spans="4:11">
      <c r="D744" s="180">
        <v>45141</v>
      </c>
      <c r="E744" s="181">
        <v>19381.65</v>
      </c>
      <c r="F744" s="5"/>
      <c r="J744" s="5"/>
      <c r="K744" s="5"/>
    </row>
    <row r="745" ht="16.5" customHeight="1" spans="4:11">
      <c r="D745" s="180">
        <v>45140</v>
      </c>
      <c r="E745" s="181">
        <v>19526.55</v>
      </c>
      <c r="F745" s="5"/>
      <c r="J745" s="5"/>
      <c r="K745" s="5"/>
    </row>
    <row r="746" ht="16.5" customHeight="1" spans="4:11">
      <c r="D746" s="180">
        <v>45139</v>
      </c>
      <c r="E746" s="181">
        <v>19733.55</v>
      </c>
      <c r="F746" s="5"/>
      <c r="J746" s="5"/>
      <c r="K746" s="5"/>
    </row>
    <row r="747" ht="16.5" customHeight="1" spans="4:11">
      <c r="D747" s="180">
        <v>45138</v>
      </c>
      <c r="E747" s="181">
        <v>19753.8</v>
      </c>
      <c r="F747" s="5"/>
      <c r="J747" s="5"/>
      <c r="K747" s="5"/>
    </row>
    <row r="748" ht="16.5" customHeight="1" spans="4:11">
      <c r="D748" s="180">
        <v>45135</v>
      </c>
      <c r="E748" s="181">
        <v>19646.05</v>
      </c>
      <c r="F748" s="5"/>
      <c r="J748" s="5"/>
      <c r="K748" s="5"/>
    </row>
    <row r="749" ht="16.5" customHeight="1" spans="4:11">
      <c r="D749" s="180">
        <v>45134</v>
      </c>
      <c r="E749" s="181">
        <v>19659.9</v>
      </c>
      <c r="F749" s="5"/>
      <c r="J749" s="5"/>
      <c r="K749" s="5"/>
    </row>
    <row r="750" ht="16.5" customHeight="1" spans="4:11">
      <c r="D750" s="180">
        <v>45133</v>
      </c>
      <c r="E750" s="181">
        <v>19778.3</v>
      </c>
      <c r="F750" s="5"/>
      <c r="J750" s="5"/>
      <c r="K750" s="5"/>
    </row>
    <row r="751" ht="16.5" customHeight="1" spans="4:11">
      <c r="D751" s="180">
        <v>45132</v>
      </c>
      <c r="E751" s="181">
        <v>19680.6</v>
      </c>
      <c r="F751" s="5"/>
      <c r="J751" s="5"/>
      <c r="K751" s="5"/>
    </row>
    <row r="752" ht="16.5" customHeight="1" spans="4:11">
      <c r="D752" s="180">
        <v>45131</v>
      </c>
      <c r="E752" s="181">
        <v>19672.35</v>
      </c>
      <c r="F752" s="5"/>
      <c r="J752" s="5"/>
      <c r="K752" s="5"/>
    </row>
    <row r="753" ht="16.5" customHeight="1" spans="4:11">
      <c r="D753" s="180">
        <v>45128</v>
      </c>
      <c r="E753" s="181">
        <v>19745</v>
      </c>
      <c r="F753" s="5"/>
      <c r="J753" s="5"/>
      <c r="K753" s="5"/>
    </row>
    <row r="754" ht="16.5" customHeight="1" spans="4:11">
      <c r="D754" s="180">
        <v>45127</v>
      </c>
      <c r="E754" s="181">
        <v>19979.15</v>
      </c>
      <c r="F754" s="5"/>
      <c r="J754" s="5"/>
      <c r="K754" s="5"/>
    </row>
    <row r="755" ht="16.5" customHeight="1" spans="4:11">
      <c r="D755" s="180">
        <v>45126</v>
      </c>
      <c r="E755" s="181">
        <v>19833.15</v>
      </c>
      <c r="F755" s="5"/>
      <c r="J755" s="5"/>
      <c r="K755" s="5"/>
    </row>
    <row r="756" ht="16.5" customHeight="1" spans="4:11">
      <c r="D756" s="180">
        <v>45125</v>
      </c>
      <c r="E756" s="181">
        <v>19749.25</v>
      </c>
      <c r="F756" s="5"/>
      <c r="J756" s="5"/>
      <c r="K756" s="5"/>
    </row>
    <row r="757" ht="16.5" customHeight="1" spans="4:11">
      <c r="D757" s="180">
        <v>45124</v>
      </c>
      <c r="E757" s="181">
        <v>19711.45</v>
      </c>
      <c r="F757" s="5"/>
      <c r="J757" s="5"/>
      <c r="K757" s="5"/>
    </row>
    <row r="758" ht="16.5" customHeight="1" spans="4:11">
      <c r="D758" s="180">
        <v>45121</v>
      </c>
      <c r="E758" s="181">
        <v>19564.5</v>
      </c>
      <c r="F758" s="5"/>
      <c r="J758" s="5"/>
      <c r="K758" s="5"/>
    </row>
    <row r="759" ht="16.5" customHeight="1" spans="4:11">
      <c r="D759" s="180">
        <v>45120</v>
      </c>
      <c r="E759" s="181">
        <v>19413.75</v>
      </c>
      <c r="F759" s="5"/>
      <c r="J759" s="5"/>
      <c r="K759" s="5"/>
    </row>
    <row r="760" ht="16.5" customHeight="1" spans="4:11">
      <c r="D760" s="180">
        <v>45119</v>
      </c>
      <c r="E760" s="181">
        <v>19384.3</v>
      </c>
      <c r="F760" s="5"/>
      <c r="J760" s="5"/>
      <c r="K760" s="5"/>
    </row>
    <row r="761" ht="16.5" customHeight="1" spans="4:11">
      <c r="D761" s="180">
        <v>45118</v>
      </c>
      <c r="E761" s="181">
        <v>19439.4</v>
      </c>
      <c r="F761" s="5"/>
      <c r="J761" s="5"/>
      <c r="K761" s="5"/>
    </row>
    <row r="762" ht="16.5" customHeight="1" spans="4:11">
      <c r="D762" s="180">
        <v>45117</v>
      </c>
      <c r="E762" s="181">
        <v>19355.9</v>
      </c>
      <c r="F762" s="5"/>
      <c r="J762" s="5"/>
      <c r="K762" s="5"/>
    </row>
    <row r="763" ht="16.5" customHeight="1" spans="4:11">
      <c r="D763" s="180">
        <v>45114</v>
      </c>
      <c r="E763" s="181">
        <v>19331.8</v>
      </c>
      <c r="F763" s="5"/>
      <c r="J763" s="5"/>
      <c r="K763" s="5"/>
    </row>
    <row r="764" ht="16.5" customHeight="1" spans="4:11">
      <c r="D764" s="180">
        <v>45113</v>
      </c>
      <c r="E764" s="181">
        <v>19497.3</v>
      </c>
      <c r="F764" s="5"/>
      <c r="J764" s="5"/>
      <c r="K764" s="5"/>
    </row>
    <row r="765" ht="16.5" customHeight="1" spans="4:11">
      <c r="D765" s="180">
        <v>45112</v>
      </c>
      <c r="E765" s="181">
        <v>19398.5</v>
      </c>
      <c r="F765" s="5"/>
      <c r="J765" s="5"/>
      <c r="K765" s="5"/>
    </row>
    <row r="766" ht="16.5" customHeight="1" spans="4:11">
      <c r="D766" s="180">
        <v>45111</v>
      </c>
      <c r="E766" s="181">
        <v>19389</v>
      </c>
      <c r="F766" s="5"/>
      <c r="J766" s="5"/>
      <c r="K766" s="5"/>
    </row>
    <row r="767" ht="16.5" customHeight="1" spans="4:11">
      <c r="D767" s="180">
        <v>45110</v>
      </c>
      <c r="E767" s="181">
        <v>19322.55</v>
      </c>
      <c r="F767" s="5"/>
      <c r="J767" s="5"/>
      <c r="K767" s="5"/>
    </row>
    <row r="768" ht="16.5" customHeight="1" spans="4:11">
      <c r="D768" s="180">
        <v>45107</v>
      </c>
      <c r="E768" s="181">
        <v>19189.05</v>
      </c>
      <c r="F768" s="5"/>
      <c r="J768" s="5"/>
      <c r="K768" s="5"/>
    </row>
    <row r="769" ht="16.5" customHeight="1" spans="4:11">
      <c r="D769" s="180">
        <v>45105</v>
      </c>
      <c r="E769" s="181">
        <v>18972.1</v>
      </c>
      <c r="F769" s="5"/>
      <c r="J769" s="5"/>
      <c r="K769" s="5"/>
    </row>
    <row r="770" ht="16.5" customHeight="1" spans="4:11">
      <c r="D770" s="180">
        <v>45104</v>
      </c>
      <c r="E770" s="181">
        <v>18817.4</v>
      </c>
      <c r="F770" s="5"/>
      <c r="J770" s="5"/>
      <c r="K770" s="5"/>
    </row>
    <row r="771" ht="16.5" customHeight="1" spans="4:11">
      <c r="D771" s="180">
        <v>45103</v>
      </c>
      <c r="E771" s="181">
        <v>18691.2</v>
      </c>
      <c r="F771" s="5"/>
      <c r="J771" s="5"/>
      <c r="K771" s="5"/>
    </row>
    <row r="772" ht="16.5" customHeight="1" spans="4:11">
      <c r="D772" s="180">
        <v>45100</v>
      </c>
      <c r="E772" s="181">
        <v>18665.5</v>
      </c>
      <c r="F772" s="5"/>
      <c r="J772" s="5"/>
      <c r="K772" s="5"/>
    </row>
    <row r="773" ht="16.5" customHeight="1" spans="4:11">
      <c r="D773" s="180">
        <v>45099</v>
      </c>
      <c r="E773" s="181">
        <v>18771.25</v>
      </c>
      <c r="F773" s="5"/>
      <c r="J773" s="5"/>
      <c r="K773" s="5"/>
    </row>
    <row r="774" ht="16.5" customHeight="1" spans="4:11">
      <c r="D774" s="180">
        <v>45098</v>
      </c>
      <c r="E774" s="181">
        <v>18856.85</v>
      </c>
      <c r="F774" s="5"/>
      <c r="J774" s="5"/>
      <c r="K774" s="5"/>
    </row>
    <row r="775" ht="16.5" customHeight="1" spans="4:11">
      <c r="D775" s="180">
        <v>45097</v>
      </c>
      <c r="E775" s="181">
        <v>18816.7</v>
      </c>
      <c r="F775" s="5"/>
      <c r="J775" s="5"/>
      <c r="K775" s="5"/>
    </row>
    <row r="776" ht="16.5" customHeight="1" spans="4:11">
      <c r="D776" s="180">
        <v>45096</v>
      </c>
      <c r="E776" s="181">
        <v>18755.45</v>
      </c>
      <c r="F776" s="5"/>
      <c r="J776" s="5"/>
      <c r="K776" s="5"/>
    </row>
    <row r="777" ht="16.5" customHeight="1" spans="4:11">
      <c r="D777" s="180">
        <v>45093</v>
      </c>
      <c r="E777" s="181">
        <v>18826</v>
      </c>
      <c r="F777" s="5"/>
      <c r="J777" s="5"/>
      <c r="K777" s="5"/>
    </row>
    <row r="778" ht="16.5" customHeight="1" spans="4:11">
      <c r="D778" s="180">
        <v>45092</v>
      </c>
      <c r="E778" s="181">
        <v>18688.1</v>
      </c>
      <c r="F778" s="5"/>
      <c r="J778" s="5"/>
      <c r="K778" s="5"/>
    </row>
    <row r="779" ht="16.5" customHeight="1" spans="4:11">
      <c r="D779" s="180">
        <v>45091</v>
      </c>
      <c r="E779" s="181">
        <v>18755.9</v>
      </c>
      <c r="F779" s="5"/>
      <c r="J779" s="5"/>
      <c r="K779" s="5"/>
    </row>
    <row r="780" ht="16.5" customHeight="1" spans="4:11">
      <c r="D780" s="180">
        <v>45090</v>
      </c>
      <c r="E780" s="181">
        <v>18716.15</v>
      </c>
      <c r="F780" s="5"/>
      <c r="J780" s="5"/>
      <c r="K780" s="5"/>
    </row>
    <row r="781" ht="16.5" customHeight="1" spans="4:11">
      <c r="D781" s="180">
        <v>45089</v>
      </c>
      <c r="E781" s="181">
        <v>18601.5</v>
      </c>
      <c r="F781" s="5"/>
      <c r="J781" s="5"/>
      <c r="K781" s="5"/>
    </row>
    <row r="782" ht="16.5" customHeight="1" spans="4:11">
      <c r="D782" s="180">
        <v>45086</v>
      </c>
      <c r="E782" s="181">
        <v>18563.4</v>
      </c>
      <c r="F782" s="5"/>
      <c r="J782" s="5"/>
      <c r="K782" s="5"/>
    </row>
    <row r="783" ht="16.5" customHeight="1" spans="4:11">
      <c r="D783" s="180">
        <v>45085</v>
      </c>
      <c r="E783" s="181">
        <v>18634.55</v>
      </c>
      <c r="F783" s="5"/>
      <c r="J783" s="5"/>
      <c r="K783" s="5"/>
    </row>
    <row r="784" ht="16.5" customHeight="1" spans="4:11">
      <c r="D784" s="180">
        <v>45084</v>
      </c>
      <c r="E784" s="181">
        <v>18726.4</v>
      </c>
      <c r="F784" s="5"/>
      <c r="J784" s="5"/>
      <c r="K784" s="5"/>
    </row>
    <row r="785" ht="16.5" customHeight="1" spans="4:11">
      <c r="D785" s="180">
        <v>45083</v>
      </c>
      <c r="E785" s="181">
        <v>18599</v>
      </c>
      <c r="F785" s="5"/>
      <c r="J785" s="5"/>
      <c r="K785" s="5"/>
    </row>
    <row r="786" ht="16.5" customHeight="1" spans="4:11">
      <c r="D786" s="180">
        <v>45082</v>
      </c>
      <c r="E786" s="181">
        <v>18593.85</v>
      </c>
      <c r="F786" s="5"/>
      <c r="J786" s="5"/>
      <c r="K786" s="5"/>
    </row>
    <row r="787" ht="16.5" customHeight="1" spans="4:11">
      <c r="D787" s="180">
        <v>45079</v>
      </c>
      <c r="E787" s="181">
        <v>18534.1</v>
      </c>
      <c r="F787" s="5"/>
      <c r="J787" s="5"/>
      <c r="K787" s="5"/>
    </row>
    <row r="788" ht="16.5" customHeight="1" spans="4:11">
      <c r="D788" s="180">
        <v>45078</v>
      </c>
      <c r="E788" s="181">
        <v>18487.75</v>
      </c>
      <c r="F788" s="5"/>
      <c r="J788" s="5"/>
      <c r="K788" s="5"/>
    </row>
    <row r="789" ht="16.5" customHeight="1" spans="4:11">
      <c r="D789" s="180">
        <v>45077</v>
      </c>
      <c r="E789" s="181">
        <v>18534.4</v>
      </c>
      <c r="F789" s="5"/>
      <c r="J789" s="5"/>
      <c r="K789" s="5"/>
    </row>
    <row r="790" ht="16.5" customHeight="1" spans="4:11">
      <c r="D790" s="180">
        <v>45076</v>
      </c>
      <c r="E790" s="181">
        <v>18633.85</v>
      </c>
      <c r="F790" s="5"/>
      <c r="J790" s="5"/>
      <c r="K790" s="5"/>
    </row>
    <row r="791" ht="16.5" customHeight="1" spans="4:11">
      <c r="D791" s="180">
        <v>45075</v>
      </c>
      <c r="E791" s="181">
        <v>18598.65</v>
      </c>
      <c r="F791" s="5"/>
      <c r="J791" s="5"/>
      <c r="K791" s="5"/>
    </row>
    <row r="792" ht="16.5" customHeight="1" spans="4:11">
      <c r="D792" s="180">
        <v>45072</v>
      </c>
      <c r="E792" s="181">
        <v>18499.35</v>
      </c>
      <c r="F792" s="5"/>
      <c r="J792" s="5"/>
      <c r="K792" s="5"/>
    </row>
    <row r="793" ht="16.5" customHeight="1" spans="4:11">
      <c r="D793" s="180">
        <v>45071</v>
      </c>
      <c r="E793" s="181">
        <v>18321.15</v>
      </c>
      <c r="F793" s="5"/>
      <c r="J793" s="5"/>
      <c r="K793" s="5"/>
    </row>
    <row r="794" ht="16.5" customHeight="1" spans="4:11">
      <c r="D794" s="180">
        <v>45070</v>
      </c>
      <c r="E794" s="181">
        <v>18285.4</v>
      </c>
      <c r="F794" s="5"/>
      <c r="J794" s="5"/>
      <c r="K794" s="5"/>
    </row>
    <row r="795" ht="16.5" customHeight="1" spans="4:11">
      <c r="D795" s="180">
        <v>45069</v>
      </c>
      <c r="E795" s="181">
        <v>18348</v>
      </c>
      <c r="F795" s="5"/>
      <c r="J795" s="5"/>
      <c r="K795" s="5"/>
    </row>
    <row r="796" ht="16.5" customHeight="1" spans="4:11">
      <c r="D796" s="180">
        <v>45068</v>
      </c>
      <c r="E796" s="181">
        <v>18314.4</v>
      </c>
      <c r="F796" s="5"/>
      <c r="J796" s="5"/>
      <c r="K796" s="5"/>
    </row>
    <row r="797" ht="16.5" customHeight="1" spans="4:11">
      <c r="D797" s="180">
        <v>45065</v>
      </c>
      <c r="E797" s="181">
        <v>18203.4</v>
      </c>
      <c r="F797" s="5"/>
      <c r="J797" s="5"/>
      <c r="K797" s="5"/>
    </row>
    <row r="798" ht="16.5" customHeight="1" spans="4:11">
      <c r="D798" s="180">
        <v>45064</v>
      </c>
      <c r="E798" s="181">
        <v>18129.95</v>
      </c>
      <c r="F798" s="5"/>
      <c r="J798" s="5"/>
      <c r="K798" s="5"/>
    </row>
    <row r="799" ht="16.5" customHeight="1" spans="4:11">
      <c r="D799" s="180">
        <v>45063</v>
      </c>
      <c r="E799" s="181">
        <v>18181.75</v>
      </c>
      <c r="F799" s="5"/>
      <c r="J799" s="5"/>
      <c r="K799" s="5"/>
    </row>
    <row r="800" ht="16.5" customHeight="1" spans="4:11">
      <c r="D800" s="180">
        <v>45062</v>
      </c>
      <c r="E800" s="181">
        <v>18286.5</v>
      </c>
      <c r="F800" s="5"/>
      <c r="J800" s="5"/>
      <c r="K800" s="5"/>
    </row>
    <row r="801" ht="16.5" customHeight="1" spans="4:11">
      <c r="D801" s="180">
        <v>45061</v>
      </c>
      <c r="E801" s="181">
        <v>18398.85</v>
      </c>
      <c r="F801" s="5"/>
      <c r="J801" s="5"/>
      <c r="K801" s="5"/>
    </row>
    <row r="802" ht="16.5" customHeight="1" spans="4:11">
      <c r="D802" s="180">
        <v>45058</v>
      </c>
      <c r="E802" s="181">
        <v>18314.8</v>
      </c>
      <c r="F802" s="5"/>
      <c r="J802" s="5"/>
      <c r="K802" s="5"/>
    </row>
    <row r="803" ht="16.5" customHeight="1" spans="4:11">
      <c r="D803" s="180">
        <v>45057</v>
      </c>
      <c r="E803" s="181">
        <v>18297</v>
      </c>
      <c r="F803" s="5"/>
      <c r="J803" s="5"/>
      <c r="K803" s="5"/>
    </row>
    <row r="804" ht="16.5" customHeight="1" spans="4:11">
      <c r="D804" s="180">
        <v>45056</v>
      </c>
      <c r="E804" s="181">
        <v>18315.1</v>
      </c>
      <c r="F804" s="5"/>
      <c r="J804" s="5"/>
      <c r="K804" s="5"/>
    </row>
    <row r="805" ht="16.5" customHeight="1" spans="4:11">
      <c r="D805" s="180">
        <v>45055</v>
      </c>
      <c r="E805" s="181">
        <v>18265.95</v>
      </c>
      <c r="F805" s="5"/>
      <c r="J805" s="5"/>
      <c r="K805" s="5"/>
    </row>
    <row r="806" ht="16.5" customHeight="1" spans="4:11">
      <c r="D806" s="180">
        <v>45054</v>
      </c>
      <c r="E806" s="181">
        <v>18264.4</v>
      </c>
      <c r="F806" s="5"/>
      <c r="J806" s="5"/>
      <c r="K806" s="5"/>
    </row>
    <row r="807" ht="16.5" customHeight="1" spans="4:11">
      <c r="D807" s="180">
        <v>45051</v>
      </c>
      <c r="E807" s="181">
        <v>18069</v>
      </c>
      <c r="F807" s="5"/>
      <c r="J807" s="5"/>
      <c r="K807" s="5"/>
    </row>
    <row r="808" ht="16.5" customHeight="1" spans="4:11">
      <c r="D808" s="180">
        <v>45050</v>
      </c>
      <c r="E808" s="181">
        <v>18255.8</v>
      </c>
      <c r="F808" s="5"/>
      <c r="J808" s="5"/>
      <c r="K808" s="5"/>
    </row>
    <row r="809" ht="16.5" customHeight="1" spans="4:11">
      <c r="D809" s="180">
        <v>45049</v>
      </c>
      <c r="E809" s="181">
        <v>18089.85</v>
      </c>
      <c r="F809" s="5"/>
      <c r="J809" s="5"/>
      <c r="K809" s="5"/>
    </row>
    <row r="810" ht="16.5" customHeight="1" spans="4:11">
      <c r="D810" s="180">
        <v>45048</v>
      </c>
      <c r="E810" s="181">
        <v>18147.65</v>
      </c>
      <c r="F810" s="5"/>
      <c r="J810" s="5"/>
      <c r="K810" s="5"/>
    </row>
    <row r="811" ht="16.5" customHeight="1" spans="4:11">
      <c r="D811" s="180">
        <v>45044</v>
      </c>
      <c r="E811" s="181">
        <v>18065</v>
      </c>
      <c r="F811" s="5"/>
      <c r="J811" s="5"/>
      <c r="K811" s="5"/>
    </row>
    <row r="812" ht="16.5" customHeight="1" spans="4:11">
      <c r="D812" s="180">
        <v>45043</v>
      </c>
      <c r="E812" s="181">
        <v>17915.05</v>
      </c>
      <c r="F812" s="5"/>
      <c r="J812" s="5"/>
      <c r="K812" s="5"/>
    </row>
    <row r="813" ht="16.5" customHeight="1" spans="4:11">
      <c r="D813" s="180">
        <v>45042</v>
      </c>
      <c r="E813" s="181">
        <v>17813.6</v>
      </c>
      <c r="F813" s="5"/>
      <c r="J813" s="5"/>
      <c r="K813" s="5"/>
    </row>
    <row r="814" ht="16.5" customHeight="1" spans="4:11">
      <c r="D814" s="180">
        <v>45041</v>
      </c>
      <c r="E814" s="181">
        <v>17769.25</v>
      </c>
      <c r="F814" s="5"/>
      <c r="J814" s="5"/>
      <c r="K814" s="5"/>
    </row>
    <row r="815" ht="16.5" customHeight="1" spans="4:11">
      <c r="D815" s="180">
        <v>45040</v>
      </c>
      <c r="E815" s="181">
        <v>17743.4</v>
      </c>
      <c r="F815" s="5"/>
      <c r="J815" s="5"/>
      <c r="K815" s="5"/>
    </row>
    <row r="816" ht="16.5" customHeight="1" spans="4:11">
      <c r="D816" s="180">
        <v>45037</v>
      </c>
      <c r="E816" s="181">
        <v>17624.05</v>
      </c>
      <c r="F816" s="5"/>
      <c r="J816" s="5"/>
      <c r="K816" s="5"/>
    </row>
    <row r="817" ht="16.5" customHeight="1" spans="4:11">
      <c r="D817" s="180">
        <v>45036</v>
      </c>
      <c r="E817" s="181">
        <v>17624.45</v>
      </c>
      <c r="F817" s="5"/>
      <c r="J817" s="5"/>
      <c r="K817" s="5"/>
    </row>
    <row r="818" ht="16.5" customHeight="1" spans="4:11">
      <c r="D818" s="180">
        <v>45035</v>
      </c>
      <c r="E818" s="181">
        <v>17618.75</v>
      </c>
      <c r="F818" s="5"/>
      <c r="J818" s="5"/>
      <c r="K818" s="5"/>
    </row>
    <row r="819" ht="16.5" customHeight="1" spans="4:11">
      <c r="D819" s="180">
        <v>45034</v>
      </c>
      <c r="E819" s="181">
        <v>17660.15</v>
      </c>
      <c r="F819" s="5"/>
      <c r="J819" s="5"/>
      <c r="K819" s="5"/>
    </row>
    <row r="820" ht="16.5" customHeight="1" spans="4:11">
      <c r="D820" s="180">
        <v>45033</v>
      </c>
      <c r="E820" s="181">
        <v>17706.85</v>
      </c>
      <c r="F820" s="5"/>
      <c r="J820" s="5"/>
      <c r="K820" s="5"/>
    </row>
    <row r="821" ht="16.5" customHeight="1" spans="4:11">
      <c r="D821" s="180">
        <v>45029</v>
      </c>
      <c r="E821" s="181">
        <v>17828</v>
      </c>
      <c r="F821" s="5"/>
      <c r="J821" s="5"/>
      <c r="K821" s="5"/>
    </row>
    <row r="822" ht="16.5" customHeight="1" spans="4:11">
      <c r="D822" s="180">
        <v>45028</v>
      </c>
      <c r="E822" s="181">
        <v>17812.4</v>
      </c>
      <c r="F822" s="5"/>
      <c r="J822" s="5"/>
      <c r="K822" s="5"/>
    </row>
    <row r="823" ht="16.5" customHeight="1" spans="4:11">
      <c r="D823" s="180">
        <v>45027</v>
      </c>
      <c r="E823" s="181">
        <v>17722.3</v>
      </c>
      <c r="F823" s="5"/>
      <c r="J823" s="5"/>
      <c r="K823" s="5"/>
    </row>
    <row r="824" ht="16.5" customHeight="1" spans="4:11">
      <c r="D824" s="180">
        <v>45026</v>
      </c>
      <c r="E824" s="181">
        <v>17624.05</v>
      </c>
      <c r="F824" s="5"/>
      <c r="J824" s="5"/>
      <c r="K824" s="5"/>
    </row>
    <row r="825" ht="16.5" customHeight="1" spans="4:11">
      <c r="D825" s="180">
        <v>45022</v>
      </c>
      <c r="E825" s="181">
        <v>17599.15</v>
      </c>
      <c r="F825" s="5"/>
      <c r="J825" s="5"/>
      <c r="K825" s="5"/>
    </row>
    <row r="826" ht="16.5" customHeight="1" spans="4:11">
      <c r="D826" s="180">
        <v>45021</v>
      </c>
      <c r="E826" s="181">
        <v>17557.05</v>
      </c>
      <c r="F826" s="5"/>
      <c r="J826" s="5"/>
      <c r="K826" s="5"/>
    </row>
    <row r="827" ht="16.5" customHeight="1" spans="4:11">
      <c r="D827" s="180">
        <v>45019</v>
      </c>
      <c r="E827" s="181">
        <v>17398.05</v>
      </c>
      <c r="F827" s="5"/>
      <c r="J827" s="5"/>
      <c r="K827" s="5"/>
    </row>
    <row r="828" ht="16.5" customHeight="1" spans="4:11">
      <c r="D828" s="180">
        <v>45016</v>
      </c>
      <c r="E828" s="181">
        <v>17359.75</v>
      </c>
      <c r="F828" s="5"/>
      <c r="J828" s="5"/>
      <c r="K828" s="5"/>
    </row>
    <row r="829" ht="16.5" customHeight="1" spans="4:11">
      <c r="D829" s="180">
        <v>45014</v>
      </c>
      <c r="E829" s="181">
        <v>17080.7</v>
      </c>
      <c r="F829" s="5"/>
      <c r="J829" s="5"/>
      <c r="K829" s="5"/>
    </row>
    <row r="830" ht="16.5" customHeight="1" spans="4:11">
      <c r="D830" s="180">
        <v>45013</v>
      </c>
      <c r="E830" s="181">
        <v>16951.7</v>
      </c>
      <c r="F830" s="5"/>
      <c r="J830" s="5"/>
      <c r="K830" s="5"/>
    </row>
    <row r="831" ht="16.5" customHeight="1" spans="4:11">
      <c r="D831" s="180">
        <v>45012</v>
      </c>
      <c r="E831" s="181">
        <v>16985.7</v>
      </c>
      <c r="F831" s="5"/>
      <c r="J831" s="5"/>
      <c r="K831" s="5"/>
    </row>
    <row r="832" ht="16.5" customHeight="1" spans="4:11">
      <c r="D832" s="180">
        <v>45009</v>
      </c>
      <c r="E832" s="181">
        <v>16945.05</v>
      </c>
      <c r="F832" s="5"/>
      <c r="J832" s="5"/>
      <c r="K832" s="5"/>
    </row>
    <row r="833" ht="16.5" customHeight="1" spans="4:11">
      <c r="D833" s="180">
        <v>45008</v>
      </c>
      <c r="E833" s="181">
        <v>17076.9</v>
      </c>
      <c r="F833" s="5"/>
      <c r="J833" s="5"/>
      <c r="K833" s="5"/>
    </row>
    <row r="834" ht="16.5" customHeight="1" spans="4:11">
      <c r="D834" s="180">
        <v>45007</v>
      </c>
      <c r="E834" s="181">
        <v>17151.9</v>
      </c>
      <c r="F834" s="5"/>
      <c r="J834" s="5"/>
      <c r="K834" s="5"/>
    </row>
    <row r="835" ht="16.5" customHeight="1" spans="4:11">
      <c r="D835" s="180">
        <v>45006</v>
      </c>
      <c r="E835" s="181">
        <v>17107.5</v>
      </c>
      <c r="F835" s="5"/>
      <c r="J835" s="5"/>
      <c r="K835" s="5"/>
    </row>
    <row r="836" ht="16.5" customHeight="1" spans="4:11">
      <c r="D836" s="180">
        <v>45005</v>
      </c>
      <c r="E836" s="181">
        <v>16988.4</v>
      </c>
      <c r="F836" s="5"/>
      <c r="J836" s="5"/>
      <c r="K836" s="5"/>
    </row>
    <row r="837" ht="16.5" customHeight="1" spans="4:11">
      <c r="D837" s="180">
        <v>45002</v>
      </c>
      <c r="E837" s="181">
        <v>17100.05</v>
      </c>
      <c r="F837" s="5"/>
      <c r="J837" s="5"/>
      <c r="K837" s="5"/>
    </row>
    <row r="838" ht="16.5" customHeight="1" spans="4:11">
      <c r="D838" s="180">
        <v>45001</v>
      </c>
      <c r="E838" s="181">
        <v>16985.6</v>
      </c>
      <c r="F838" s="5"/>
      <c r="J838" s="5"/>
      <c r="K838" s="5"/>
    </row>
    <row r="839" ht="16.5" customHeight="1" spans="4:11">
      <c r="D839" s="180">
        <v>45000</v>
      </c>
      <c r="E839" s="181">
        <v>16972.15</v>
      </c>
      <c r="F839" s="5"/>
      <c r="J839" s="5"/>
      <c r="K839" s="5"/>
    </row>
    <row r="840" ht="16.5" customHeight="1" spans="4:11">
      <c r="D840" s="180">
        <v>44999</v>
      </c>
      <c r="E840" s="181">
        <v>17043.3</v>
      </c>
      <c r="F840" s="5"/>
      <c r="J840" s="5"/>
      <c r="K840" s="5"/>
    </row>
    <row r="841" ht="16.5" customHeight="1" spans="4:11">
      <c r="D841" s="180">
        <v>44998</v>
      </c>
      <c r="E841" s="181">
        <v>17154.3</v>
      </c>
      <c r="F841" s="5"/>
      <c r="J841" s="5"/>
      <c r="K841" s="5"/>
    </row>
    <row r="842" ht="16.5" customHeight="1" spans="4:11">
      <c r="D842" s="180">
        <v>44995</v>
      </c>
      <c r="E842" s="181">
        <v>17412.9</v>
      </c>
      <c r="F842" s="5"/>
      <c r="J842" s="5"/>
      <c r="K842" s="5"/>
    </row>
    <row r="843" ht="16.5" customHeight="1" spans="4:11">
      <c r="D843" s="180">
        <v>44994</v>
      </c>
      <c r="E843" s="181">
        <v>17589.6</v>
      </c>
      <c r="F843" s="5"/>
      <c r="J843" s="5"/>
      <c r="K843" s="5"/>
    </row>
    <row r="844" ht="16.5" customHeight="1" spans="4:11">
      <c r="D844" s="180">
        <v>44993</v>
      </c>
      <c r="E844" s="181">
        <v>17754.4</v>
      </c>
      <c r="F844" s="5"/>
      <c r="J844" s="5"/>
      <c r="K844" s="5"/>
    </row>
    <row r="845" ht="16.5" customHeight="1" spans="4:11">
      <c r="D845" s="180">
        <v>44991</v>
      </c>
      <c r="E845" s="181">
        <v>17711.45</v>
      </c>
      <c r="F845" s="5"/>
      <c r="J845" s="5"/>
      <c r="K845" s="5"/>
    </row>
    <row r="846" ht="16.5" customHeight="1" spans="4:11">
      <c r="D846" s="180">
        <v>44988</v>
      </c>
      <c r="E846" s="181">
        <v>17594.35</v>
      </c>
      <c r="F846" s="5"/>
      <c r="J846" s="5"/>
      <c r="K846" s="5"/>
    </row>
    <row r="847" ht="16.5" customHeight="1" spans="4:11">
      <c r="D847" s="180">
        <v>44987</v>
      </c>
      <c r="E847" s="181">
        <v>17321.9</v>
      </c>
      <c r="F847" s="5"/>
      <c r="J847" s="5"/>
      <c r="K847" s="5"/>
    </row>
    <row r="848" ht="16.5" customHeight="1" spans="4:11">
      <c r="D848" s="180">
        <v>44986</v>
      </c>
      <c r="E848" s="181">
        <v>17450.9</v>
      </c>
      <c r="F848" s="5"/>
      <c r="J848" s="5"/>
      <c r="K848" s="5"/>
    </row>
    <row r="849" ht="16.5" customHeight="1" spans="4:11">
      <c r="D849" s="180">
        <v>44985</v>
      </c>
      <c r="E849" s="181">
        <v>17303.95</v>
      </c>
      <c r="F849" s="5"/>
      <c r="J849" s="5"/>
      <c r="K849" s="5"/>
    </row>
    <row r="850" ht="16.5" customHeight="1" spans="4:11">
      <c r="D850" s="180">
        <v>44984</v>
      </c>
      <c r="E850" s="181">
        <v>17392.7</v>
      </c>
      <c r="F850" s="5"/>
      <c r="J850" s="5"/>
      <c r="K850" s="5"/>
    </row>
    <row r="851" ht="16.5" customHeight="1" spans="4:11">
      <c r="D851" s="180">
        <v>44981</v>
      </c>
      <c r="E851" s="181">
        <v>17465.8</v>
      </c>
      <c r="F851" s="5"/>
      <c r="J851" s="5"/>
      <c r="K851" s="5"/>
    </row>
    <row r="852" ht="16.5" customHeight="1" spans="4:11">
      <c r="D852" s="180">
        <v>44980</v>
      </c>
      <c r="E852" s="181">
        <v>17511.25</v>
      </c>
      <c r="F852" s="5"/>
      <c r="J852" s="5"/>
      <c r="K852" s="5"/>
    </row>
    <row r="853" ht="16.5" customHeight="1" spans="4:11">
      <c r="D853" s="180">
        <v>44979</v>
      </c>
      <c r="E853" s="181">
        <v>17554.3</v>
      </c>
      <c r="F853" s="5"/>
      <c r="J853" s="5"/>
      <c r="K853" s="5"/>
    </row>
    <row r="854" ht="16.5" customHeight="1" spans="4:11">
      <c r="D854" s="180">
        <v>44978</v>
      </c>
      <c r="E854" s="181">
        <v>17826.7</v>
      </c>
      <c r="F854" s="5"/>
      <c r="J854" s="5"/>
      <c r="K854" s="5"/>
    </row>
    <row r="855" ht="16.5" customHeight="1" spans="4:11">
      <c r="D855" s="180">
        <v>44977</v>
      </c>
      <c r="E855" s="181">
        <v>17844.6</v>
      </c>
      <c r="F855" s="5"/>
      <c r="J855" s="5"/>
      <c r="K855" s="5"/>
    </row>
    <row r="856" ht="16.5" customHeight="1" spans="4:11">
      <c r="D856" s="180">
        <v>44974</v>
      </c>
      <c r="E856" s="181">
        <v>17944.2</v>
      </c>
      <c r="F856" s="5"/>
      <c r="J856" s="5"/>
      <c r="K856" s="5"/>
    </row>
    <row r="857" ht="16.5" customHeight="1" spans="4:11">
      <c r="D857" s="180">
        <v>44973</v>
      </c>
      <c r="E857" s="181">
        <v>18035.85</v>
      </c>
      <c r="F857" s="5"/>
      <c r="J857" s="5"/>
      <c r="K857" s="5"/>
    </row>
    <row r="858" ht="16.5" customHeight="1" spans="4:11">
      <c r="D858" s="180">
        <v>44972</v>
      </c>
      <c r="E858" s="181">
        <v>18015.85</v>
      </c>
      <c r="F858" s="5"/>
      <c r="J858" s="5"/>
      <c r="K858" s="5"/>
    </row>
    <row r="859" ht="16.5" customHeight="1" spans="4:11">
      <c r="D859" s="180">
        <v>44971</v>
      </c>
      <c r="E859" s="181">
        <v>17929.85</v>
      </c>
      <c r="F859" s="5"/>
      <c r="J859" s="5"/>
      <c r="K859" s="5"/>
    </row>
    <row r="860" ht="16.5" customHeight="1" spans="4:11">
      <c r="D860" s="180">
        <v>44970</v>
      </c>
      <c r="E860" s="181">
        <v>17770.9</v>
      </c>
      <c r="F860" s="5"/>
      <c r="J860" s="5"/>
      <c r="K860" s="5"/>
    </row>
    <row r="861" ht="16.5" customHeight="1" spans="4:11">
      <c r="D861" s="180">
        <v>44967</v>
      </c>
      <c r="E861" s="181">
        <v>17856.5</v>
      </c>
      <c r="F861" s="5"/>
      <c r="J861" s="5"/>
      <c r="K861" s="5"/>
    </row>
    <row r="862" ht="16.5" customHeight="1" spans="4:11">
      <c r="D862" s="180">
        <v>44966</v>
      </c>
      <c r="E862" s="181">
        <v>17893.45</v>
      </c>
      <c r="F862" s="5"/>
      <c r="J862" s="5"/>
      <c r="K862" s="5"/>
    </row>
    <row r="863" ht="16.5" customHeight="1" spans="4:11">
      <c r="D863" s="180">
        <v>44965</v>
      </c>
      <c r="E863" s="181">
        <v>17871.7</v>
      </c>
      <c r="F863" s="5"/>
      <c r="J863" s="5"/>
      <c r="K863" s="5"/>
    </row>
    <row r="864" ht="16.5" customHeight="1" spans="4:11">
      <c r="D864" s="180">
        <v>44964</v>
      </c>
      <c r="E864" s="181">
        <v>17721.5</v>
      </c>
      <c r="F864" s="5"/>
      <c r="J864" s="5"/>
      <c r="K864" s="5"/>
    </row>
    <row r="865" ht="16.5" customHeight="1" spans="4:11">
      <c r="D865" s="180">
        <v>44963</v>
      </c>
      <c r="E865" s="181">
        <v>17764.6</v>
      </c>
      <c r="F865" s="5"/>
      <c r="J865" s="5"/>
      <c r="K865" s="5"/>
    </row>
    <row r="866" ht="16.5" customHeight="1" spans="4:11">
      <c r="D866" s="180">
        <v>44960</v>
      </c>
      <c r="E866" s="181">
        <v>17854.05</v>
      </c>
      <c r="F866" s="5"/>
      <c r="J866" s="5"/>
      <c r="K866" s="5"/>
    </row>
    <row r="867" ht="16.5" customHeight="1" spans="4:11">
      <c r="D867" s="180">
        <v>44959</v>
      </c>
      <c r="E867" s="181">
        <v>17610.4</v>
      </c>
      <c r="F867" s="5"/>
      <c r="J867" s="5"/>
      <c r="K867" s="5"/>
    </row>
    <row r="868" ht="16.5" customHeight="1" spans="4:11">
      <c r="D868" s="180">
        <v>44958</v>
      </c>
      <c r="E868" s="181">
        <v>17616.3</v>
      </c>
      <c r="F868" s="5"/>
      <c r="J868" s="5"/>
      <c r="K868" s="5"/>
    </row>
    <row r="869" ht="16.5" customHeight="1" spans="4:11">
      <c r="D869" s="180">
        <v>44957</v>
      </c>
      <c r="E869" s="181">
        <v>17662.15</v>
      </c>
      <c r="F869" s="5"/>
      <c r="J869" s="5"/>
      <c r="K869" s="5"/>
    </row>
    <row r="870" ht="16.5" customHeight="1" spans="4:11">
      <c r="D870" s="180">
        <v>44956</v>
      </c>
      <c r="E870" s="181">
        <v>17648.95</v>
      </c>
      <c r="F870" s="5"/>
      <c r="J870" s="5"/>
      <c r="K870" s="5"/>
    </row>
    <row r="871" ht="16.5" customHeight="1" spans="4:11">
      <c r="D871" s="180">
        <v>44953</v>
      </c>
      <c r="E871" s="181">
        <v>17604.35</v>
      </c>
      <c r="F871" s="5"/>
      <c r="J871" s="5"/>
      <c r="K871" s="5"/>
    </row>
    <row r="872" ht="16.5" customHeight="1" spans="4:11">
      <c r="D872" s="180">
        <v>44951</v>
      </c>
      <c r="E872" s="181">
        <v>17891.95</v>
      </c>
      <c r="F872" s="5"/>
      <c r="J872" s="5"/>
      <c r="K872" s="5"/>
    </row>
    <row r="873" ht="16.5" customHeight="1" spans="4:11">
      <c r="D873" s="180">
        <v>44950</v>
      </c>
      <c r="E873" s="181">
        <v>18118.3</v>
      </c>
      <c r="F873" s="5"/>
      <c r="J873" s="5"/>
      <c r="K873" s="5"/>
    </row>
    <row r="874" ht="16.5" customHeight="1" spans="4:11">
      <c r="D874" s="180">
        <v>44949</v>
      </c>
      <c r="E874" s="181">
        <v>18118.55</v>
      </c>
      <c r="F874" s="5"/>
      <c r="J874" s="5"/>
      <c r="K874" s="5"/>
    </row>
    <row r="875" ht="16.5" customHeight="1" spans="4:11">
      <c r="D875" s="180">
        <v>44946</v>
      </c>
      <c r="E875" s="181">
        <v>18027.65</v>
      </c>
      <c r="F875" s="5"/>
      <c r="J875" s="5"/>
      <c r="K875" s="5"/>
    </row>
    <row r="876" ht="16.5" customHeight="1" spans="4:11">
      <c r="D876" s="180">
        <v>44945</v>
      </c>
      <c r="E876" s="181">
        <v>18107.85</v>
      </c>
      <c r="F876" s="5"/>
      <c r="J876" s="5"/>
      <c r="K876" s="5"/>
    </row>
    <row r="877" ht="16.5" customHeight="1" spans="4:11">
      <c r="D877" s="180">
        <v>44944</v>
      </c>
      <c r="E877" s="181">
        <v>18165.35</v>
      </c>
      <c r="F877" s="5"/>
      <c r="J877" s="5"/>
      <c r="K877" s="5"/>
    </row>
    <row r="878" ht="16.5" customHeight="1" spans="4:11">
      <c r="D878" s="180">
        <v>44943</v>
      </c>
      <c r="E878" s="181">
        <v>18053.3</v>
      </c>
      <c r="F878" s="5"/>
      <c r="J878" s="5"/>
      <c r="K878" s="5"/>
    </row>
    <row r="879" ht="16.5" customHeight="1" spans="4:11">
      <c r="D879" s="180">
        <v>44942</v>
      </c>
      <c r="E879" s="181">
        <v>17894.85</v>
      </c>
      <c r="F879" s="5"/>
      <c r="J879" s="5"/>
      <c r="K879" s="5"/>
    </row>
    <row r="880" ht="16.5" customHeight="1" spans="4:11">
      <c r="D880" s="180">
        <v>44939</v>
      </c>
      <c r="E880" s="181">
        <v>17956.6</v>
      </c>
      <c r="F880" s="5"/>
      <c r="J880" s="5"/>
      <c r="K880" s="5"/>
    </row>
    <row r="881" ht="16.5" customHeight="1" spans="4:11">
      <c r="D881" s="180">
        <v>44938</v>
      </c>
      <c r="E881" s="181">
        <v>17858.2</v>
      </c>
      <c r="F881" s="5"/>
      <c r="J881" s="5"/>
      <c r="K881" s="5"/>
    </row>
    <row r="882" ht="16.5" customHeight="1" spans="4:11">
      <c r="D882" s="180">
        <v>44937</v>
      </c>
      <c r="E882" s="181">
        <v>17895.7</v>
      </c>
      <c r="F882" s="5"/>
      <c r="J882" s="5"/>
      <c r="K882" s="5"/>
    </row>
    <row r="883" ht="16.5" customHeight="1" spans="4:11">
      <c r="D883" s="180">
        <v>44936</v>
      </c>
      <c r="E883" s="181">
        <v>17914.15</v>
      </c>
      <c r="F883" s="5"/>
      <c r="J883" s="5"/>
      <c r="K883" s="5"/>
    </row>
    <row r="884" ht="16.5" customHeight="1" spans="4:11">
      <c r="D884" s="180">
        <v>44935</v>
      </c>
      <c r="E884" s="181">
        <v>18101.2</v>
      </c>
      <c r="F884" s="5"/>
      <c r="J884" s="5"/>
      <c r="K884" s="5"/>
    </row>
    <row r="885" ht="16.5" customHeight="1" spans="4:11">
      <c r="D885" s="180">
        <v>44932</v>
      </c>
      <c r="E885" s="181">
        <v>17859.45</v>
      </c>
      <c r="F885" s="5"/>
      <c r="J885" s="5"/>
      <c r="K885" s="5"/>
    </row>
    <row r="886" ht="16.5" customHeight="1" spans="4:11">
      <c r="D886" s="180">
        <v>44931</v>
      </c>
      <c r="E886" s="181">
        <v>17992.15</v>
      </c>
      <c r="F886" s="5"/>
      <c r="J886" s="5"/>
      <c r="K886" s="5"/>
    </row>
    <row r="887" ht="16.5" customHeight="1" spans="4:11">
      <c r="D887" s="180">
        <v>44930</v>
      </c>
      <c r="E887" s="181">
        <v>18042.95</v>
      </c>
      <c r="F887" s="5"/>
      <c r="J887" s="5"/>
      <c r="K887" s="5"/>
    </row>
    <row r="888" ht="16.5" customHeight="1" spans="4:11">
      <c r="D888" s="180">
        <v>44929</v>
      </c>
      <c r="E888" s="181">
        <v>18232.55</v>
      </c>
      <c r="F888" s="5"/>
      <c r="J888" s="5"/>
      <c r="K888" s="5"/>
    </row>
    <row r="889" ht="16.5" customHeight="1" spans="4:11">
      <c r="D889" s="180">
        <v>44928</v>
      </c>
      <c r="E889" s="181">
        <v>18197.45</v>
      </c>
      <c r="F889" s="5"/>
      <c r="J889" s="5"/>
      <c r="K889" s="5"/>
    </row>
    <row r="890" ht="16.5" customHeight="1" spans="4:11">
      <c r="D890" s="180">
        <v>44925</v>
      </c>
      <c r="E890" s="181">
        <v>18105.3</v>
      </c>
      <c r="F890" s="5"/>
      <c r="J890" s="5"/>
      <c r="K890" s="5"/>
    </row>
    <row r="891" ht="16.5" customHeight="1" spans="4:11">
      <c r="D891" s="180">
        <v>44924</v>
      </c>
      <c r="E891" s="181">
        <v>18191</v>
      </c>
      <c r="F891" s="5"/>
      <c r="J891" s="5"/>
      <c r="K891" s="5"/>
    </row>
    <row r="892" ht="16.5" customHeight="1" spans="4:11">
      <c r="D892" s="180">
        <v>44923</v>
      </c>
      <c r="E892" s="181">
        <v>18122.5</v>
      </c>
      <c r="F892" s="5"/>
      <c r="J892" s="5"/>
      <c r="K892" s="5"/>
    </row>
    <row r="893" ht="16.5" customHeight="1" spans="4:11">
      <c r="D893" s="180">
        <v>44922</v>
      </c>
      <c r="E893" s="181">
        <v>18132.3</v>
      </c>
      <c r="F893" s="5"/>
      <c r="J893" s="5"/>
      <c r="K893" s="5"/>
    </row>
    <row r="894" ht="16.5" customHeight="1" spans="4:11">
      <c r="D894" s="180">
        <v>44921</v>
      </c>
      <c r="E894" s="181">
        <v>18014.6</v>
      </c>
      <c r="F894" s="5"/>
      <c r="J894" s="5"/>
      <c r="K894" s="5"/>
    </row>
    <row r="895" ht="16.5" customHeight="1" spans="4:11">
      <c r="D895" s="180">
        <v>44918</v>
      </c>
      <c r="E895" s="181">
        <v>17806.8</v>
      </c>
      <c r="F895" s="5"/>
      <c r="J895" s="5"/>
      <c r="K895" s="5"/>
    </row>
    <row r="896" ht="16.5" customHeight="1" spans="4:11">
      <c r="D896" s="180">
        <v>44917</v>
      </c>
      <c r="E896" s="181">
        <v>18127.35</v>
      </c>
      <c r="F896" s="5"/>
      <c r="J896" s="5"/>
      <c r="K896" s="5"/>
    </row>
    <row r="897" ht="16.5" customHeight="1" spans="4:11">
      <c r="D897" s="180">
        <v>44916</v>
      </c>
      <c r="E897" s="181">
        <v>18199.1</v>
      </c>
      <c r="F897" s="5"/>
      <c r="J897" s="5"/>
      <c r="K897" s="5"/>
    </row>
    <row r="898" ht="16.5" customHeight="1" spans="4:11">
      <c r="D898" s="180">
        <v>44915</v>
      </c>
      <c r="E898" s="181">
        <v>18385.3</v>
      </c>
      <c r="F898" s="5"/>
      <c r="J898" s="5"/>
      <c r="K898" s="5"/>
    </row>
    <row r="899" ht="16.5" customHeight="1" spans="4:11">
      <c r="D899" s="180">
        <v>44914</v>
      </c>
      <c r="E899" s="181">
        <v>18420.45</v>
      </c>
      <c r="F899" s="5"/>
      <c r="J899" s="5"/>
      <c r="K899" s="5"/>
    </row>
    <row r="900" ht="16.5" customHeight="1" spans="4:11">
      <c r="D900" s="180">
        <v>44911</v>
      </c>
      <c r="E900" s="181">
        <v>18269</v>
      </c>
      <c r="F900" s="5"/>
      <c r="J900" s="5"/>
      <c r="K900" s="5"/>
    </row>
    <row r="901" ht="16.5" customHeight="1" spans="4:11">
      <c r="D901" s="180">
        <v>44910</v>
      </c>
      <c r="E901" s="181">
        <v>18414.9</v>
      </c>
      <c r="F901" s="5"/>
      <c r="J901" s="5"/>
      <c r="K901" s="5"/>
    </row>
    <row r="902" ht="16.5" customHeight="1" spans="4:11">
      <c r="D902" s="180">
        <v>44909</v>
      </c>
      <c r="E902" s="181">
        <v>18660.3</v>
      </c>
      <c r="F902" s="5"/>
      <c r="J902" s="5"/>
      <c r="K902" s="5"/>
    </row>
    <row r="903" ht="16.5" customHeight="1" spans="4:11">
      <c r="D903" s="180">
        <v>44908</v>
      </c>
      <c r="E903" s="181">
        <v>18608</v>
      </c>
      <c r="F903" s="5"/>
      <c r="J903" s="5"/>
      <c r="K903" s="5"/>
    </row>
    <row r="904" ht="16.5" customHeight="1" spans="4:11">
      <c r="D904" s="180">
        <v>44907</v>
      </c>
      <c r="E904" s="181">
        <v>18497.15</v>
      </c>
      <c r="F904" s="5"/>
      <c r="J904" s="5"/>
      <c r="K904" s="5"/>
    </row>
    <row r="905" ht="16.5" customHeight="1" spans="4:11">
      <c r="D905" s="180">
        <v>44904</v>
      </c>
      <c r="E905" s="181">
        <v>18496.6</v>
      </c>
      <c r="F905" s="5"/>
      <c r="J905" s="5"/>
      <c r="K905" s="5"/>
    </row>
    <row r="906" ht="16.5" customHeight="1" spans="4:11">
      <c r="D906" s="180">
        <v>44903</v>
      </c>
      <c r="E906" s="181">
        <v>18609.35</v>
      </c>
      <c r="F906" s="5"/>
      <c r="J906" s="5"/>
      <c r="K906" s="5"/>
    </row>
    <row r="907" ht="16.5" customHeight="1" spans="4:11">
      <c r="D907" s="180">
        <v>44902</v>
      </c>
      <c r="E907" s="181">
        <v>18560.5</v>
      </c>
      <c r="F907" s="5"/>
      <c r="J907" s="5"/>
      <c r="K907" s="5"/>
    </row>
    <row r="908" ht="16.5" customHeight="1" spans="4:11">
      <c r="D908" s="180">
        <v>44901</v>
      </c>
      <c r="E908" s="181">
        <v>18642.75</v>
      </c>
      <c r="F908" s="5"/>
      <c r="J908" s="5"/>
      <c r="K908" s="5"/>
    </row>
    <row r="909" ht="16.5" customHeight="1" spans="4:11">
      <c r="D909" s="180">
        <v>44900</v>
      </c>
      <c r="E909" s="181">
        <v>18701.05</v>
      </c>
      <c r="F909" s="5"/>
      <c r="J909" s="5"/>
      <c r="K909" s="5"/>
    </row>
    <row r="910" ht="16.5" customHeight="1" spans="4:11">
      <c r="D910" s="180">
        <v>44897</v>
      </c>
      <c r="E910" s="181">
        <v>18696.1</v>
      </c>
      <c r="F910" s="5"/>
      <c r="J910" s="5"/>
      <c r="K910" s="5"/>
    </row>
    <row r="911" ht="16.5" customHeight="1" spans="4:11">
      <c r="D911" s="180">
        <v>44896</v>
      </c>
      <c r="E911" s="181">
        <v>18812.5</v>
      </c>
      <c r="F911" s="5"/>
      <c r="J911" s="5"/>
      <c r="K911" s="5"/>
    </row>
    <row r="912" ht="16.5" customHeight="1" spans="4:11">
      <c r="D912" s="180">
        <v>44895</v>
      </c>
      <c r="E912" s="181">
        <v>18758.35</v>
      </c>
      <c r="F912" s="5"/>
      <c r="J912" s="5"/>
      <c r="K912" s="5"/>
    </row>
    <row r="913" ht="16.5" customHeight="1" spans="4:11">
      <c r="D913" s="180">
        <v>44894</v>
      </c>
      <c r="E913" s="181">
        <v>18618.05</v>
      </c>
      <c r="F913" s="5"/>
      <c r="J913" s="5"/>
      <c r="K913" s="5"/>
    </row>
    <row r="914" ht="16.5" customHeight="1" spans="4:11">
      <c r="D914" s="180">
        <v>44893</v>
      </c>
      <c r="E914" s="181">
        <v>18562.75</v>
      </c>
      <c r="F914" s="5"/>
      <c r="J914" s="5"/>
      <c r="K914" s="5"/>
    </row>
    <row r="915" ht="16.5" customHeight="1" spans="4:11">
      <c r="D915" s="180">
        <v>44890</v>
      </c>
      <c r="E915" s="181">
        <v>18512.75</v>
      </c>
      <c r="F915" s="5"/>
      <c r="J915" s="5"/>
      <c r="K915" s="5"/>
    </row>
    <row r="916" ht="16.5" customHeight="1" spans="4:11">
      <c r="D916" s="180">
        <v>44889</v>
      </c>
      <c r="E916" s="181">
        <v>18484.1</v>
      </c>
      <c r="F916" s="5"/>
      <c r="J916" s="5"/>
      <c r="K916" s="5"/>
    </row>
    <row r="917" ht="16.5" customHeight="1" spans="4:11">
      <c r="D917" s="180">
        <v>44888</v>
      </c>
      <c r="E917" s="181">
        <v>18267.25</v>
      </c>
      <c r="F917" s="5"/>
      <c r="J917" s="5"/>
      <c r="K917" s="5"/>
    </row>
    <row r="918" ht="16.5" customHeight="1" spans="4:11">
      <c r="D918" s="180">
        <v>44887</v>
      </c>
      <c r="E918" s="181">
        <v>18244.2</v>
      </c>
      <c r="F918" s="5"/>
      <c r="J918" s="5"/>
      <c r="K918" s="5"/>
    </row>
    <row r="919" ht="16.5" customHeight="1" spans="4:11">
      <c r="D919" s="180">
        <v>44886</v>
      </c>
      <c r="E919" s="181">
        <v>18159.95</v>
      </c>
      <c r="F919" s="5"/>
      <c r="J919" s="5"/>
      <c r="K919" s="5"/>
    </row>
    <row r="920" ht="16.5" customHeight="1" spans="4:11">
      <c r="D920" s="180">
        <v>44883</v>
      </c>
      <c r="E920" s="181">
        <v>18307.65</v>
      </c>
      <c r="F920" s="5"/>
      <c r="J920" s="5"/>
      <c r="K920" s="5"/>
    </row>
    <row r="921" ht="16.5" customHeight="1" spans="4:11">
      <c r="D921" s="180">
        <v>44882</v>
      </c>
      <c r="E921" s="181">
        <v>18343.9</v>
      </c>
      <c r="F921" s="5"/>
      <c r="J921" s="5"/>
      <c r="K921" s="5"/>
    </row>
    <row r="922" ht="16.5" customHeight="1" spans="4:11">
      <c r="D922" s="180">
        <v>44881</v>
      </c>
      <c r="E922" s="181">
        <v>18409.65</v>
      </c>
      <c r="F922" s="5"/>
      <c r="J922" s="5"/>
      <c r="K922" s="5"/>
    </row>
    <row r="923" ht="16.5" customHeight="1" spans="4:11">
      <c r="D923" s="180">
        <v>44880</v>
      </c>
      <c r="E923" s="181">
        <v>18403.4</v>
      </c>
      <c r="F923" s="5"/>
      <c r="J923" s="5"/>
      <c r="K923" s="5"/>
    </row>
    <row r="924" ht="16.5" customHeight="1" spans="4:11">
      <c r="D924" s="180">
        <v>44879</v>
      </c>
      <c r="E924" s="181">
        <v>18329.15</v>
      </c>
      <c r="F924" s="5"/>
      <c r="J924" s="5"/>
      <c r="K924" s="5"/>
    </row>
    <row r="925" ht="16.5" customHeight="1" spans="4:11">
      <c r="D925" s="180">
        <v>44876</v>
      </c>
      <c r="E925" s="181">
        <v>18349.7</v>
      </c>
      <c r="F925" s="5"/>
      <c r="J925" s="5"/>
      <c r="K925" s="5"/>
    </row>
    <row r="926" ht="16.5" customHeight="1" spans="4:11">
      <c r="D926" s="180">
        <v>44875</v>
      </c>
      <c r="E926" s="181">
        <v>18028.2</v>
      </c>
      <c r="F926" s="5"/>
      <c r="J926" s="5"/>
      <c r="K926" s="5"/>
    </row>
    <row r="927" ht="16.5" customHeight="1" spans="4:11">
      <c r="D927" s="180">
        <v>44874</v>
      </c>
      <c r="E927" s="181">
        <v>18157</v>
      </c>
      <c r="F927" s="5"/>
      <c r="J927" s="5"/>
      <c r="K927" s="5"/>
    </row>
    <row r="928" ht="16.5" customHeight="1" spans="4:11">
      <c r="D928" s="180">
        <v>44872</v>
      </c>
      <c r="E928" s="181">
        <v>18202.8</v>
      </c>
      <c r="F928" s="5"/>
      <c r="J928" s="5"/>
      <c r="K928" s="5"/>
    </row>
    <row r="929" ht="16.5" customHeight="1" spans="4:11">
      <c r="D929" s="180">
        <v>44869</v>
      </c>
      <c r="E929" s="181">
        <v>18117.15</v>
      </c>
      <c r="F929" s="5"/>
      <c r="J929" s="5"/>
      <c r="K929" s="5"/>
    </row>
    <row r="930" ht="16.5" customHeight="1" spans="4:11">
      <c r="D930" s="180">
        <v>44868</v>
      </c>
      <c r="E930" s="181">
        <v>18052.7</v>
      </c>
      <c r="F930" s="5"/>
      <c r="J930" s="5"/>
      <c r="K930" s="5"/>
    </row>
    <row r="931" ht="16.5" customHeight="1" spans="4:11">
      <c r="D931" s="180">
        <v>44867</v>
      </c>
      <c r="E931" s="181">
        <v>18082.85</v>
      </c>
      <c r="F931" s="5"/>
      <c r="J931" s="5"/>
      <c r="K931" s="5"/>
    </row>
    <row r="932" ht="16.5" customHeight="1" spans="4:11">
      <c r="D932" s="180">
        <v>44866</v>
      </c>
      <c r="E932" s="181">
        <v>18145.4</v>
      </c>
      <c r="F932" s="5"/>
      <c r="J932" s="5"/>
      <c r="K932" s="5"/>
    </row>
    <row r="933" ht="16.5" customHeight="1" spans="4:11">
      <c r="D933" s="180">
        <v>44865</v>
      </c>
      <c r="E933" s="181">
        <v>18012.2</v>
      </c>
      <c r="F933" s="5"/>
      <c r="J933" s="5"/>
      <c r="K933" s="5"/>
    </row>
    <row r="934" ht="16.5" customHeight="1" spans="4:11">
      <c r="D934" s="180">
        <v>44862</v>
      </c>
      <c r="E934" s="181">
        <v>17786.8</v>
      </c>
      <c r="F934" s="5"/>
      <c r="J934" s="5"/>
      <c r="K934" s="5"/>
    </row>
    <row r="935" ht="16.5" customHeight="1" spans="4:11">
      <c r="D935" s="180">
        <v>44861</v>
      </c>
      <c r="E935" s="181">
        <v>17736.95</v>
      </c>
      <c r="F935" s="5"/>
      <c r="J935" s="5"/>
      <c r="K935" s="5"/>
    </row>
    <row r="936" ht="16.5" customHeight="1" spans="4:11">
      <c r="D936" s="180">
        <v>44859</v>
      </c>
      <c r="E936" s="181">
        <v>17656.35</v>
      </c>
      <c r="F936" s="5"/>
      <c r="J936" s="5"/>
      <c r="K936" s="5"/>
    </row>
    <row r="937" ht="16.5" customHeight="1" spans="4:11">
      <c r="D937" s="180">
        <v>44858</v>
      </c>
      <c r="E937" s="181">
        <v>17730.75</v>
      </c>
      <c r="F937" s="5"/>
      <c r="J937" s="5"/>
      <c r="K937" s="5"/>
    </row>
    <row r="938" ht="16.5" customHeight="1" spans="4:11">
      <c r="D938" s="180">
        <v>44855</v>
      </c>
      <c r="E938" s="181">
        <v>17576.3</v>
      </c>
      <c r="F938" s="5"/>
      <c r="J938" s="5"/>
      <c r="K938" s="5"/>
    </row>
    <row r="939" ht="16.5" customHeight="1" spans="4:11">
      <c r="D939" s="180">
        <v>44854</v>
      </c>
      <c r="E939" s="181">
        <v>17563.95</v>
      </c>
      <c r="F939" s="5"/>
      <c r="J939" s="5"/>
      <c r="K939" s="5"/>
    </row>
    <row r="940" ht="16.5" customHeight="1" spans="4:11">
      <c r="D940" s="180">
        <v>44853</v>
      </c>
      <c r="E940" s="181">
        <v>17512.25</v>
      </c>
      <c r="F940" s="5"/>
      <c r="J940" s="5"/>
      <c r="K940" s="5"/>
    </row>
    <row r="941" ht="16.5" customHeight="1" spans="4:11">
      <c r="D941" s="180">
        <v>44852</v>
      </c>
      <c r="E941" s="181">
        <v>17486.95</v>
      </c>
      <c r="F941" s="5"/>
      <c r="J941" s="5"/>
      <c r="K941" s="5"/>
    </row>
    <row r="942" ht="16.5" customHeight="1" spans="4:11">
      <c r="D942" s="180">
        <v>44851</v>
      </c>
      <c r="E942" s="181">
        <v>17311.8</v>
      </c>
      <c r="F942" s="5"/>
      <c r="J942" s="5"/>
      <c r="K942" s="5"/>
    </row>
    <row r="943" ht="16.5" customHeight="1" spans="4:11">
      <c r="D943" s="180">
        <v>44848</v>
      </c>
      <c r="E943" s="181">
        <v>17185.7</v>
      </c>
      <c r="F943" s="5"/>
      <c r="J943" s="5"/>
      <c r="K943" s="5"/>
    </row>
    <row r="944" ht="16.5" customHeight="1" spans="4:11">
      <c r="D944" s="180">
        <v>44847</v>
      </c>
      <c r="E944" s="181">
        <v>17014.35</v>
      </c>
      <c r="F944" s="5"/>
      <c r="J944" s="5"/>
      <c r="K944" s="5"/>
    </row>
    <row r="945" ht="16.5" customHeight="1" spans="4:11">
      <c r="D945" s="180">
        <v>44846</v>
      </c>
      <c r="E945" s="181">
        <v>17123.6</v>
      </c>
      <c r="F945" s="5"/>
      <c r="J945" s="5"/>
      <c r="K945" s="5"/>
    </row>
    <row r="946" ht="16.5" customHeight="1" spans="4:11">
      <c r="D946" s="180">
        <v>44845</v>
      </c>
      <c r="E946" s="181">
        <v>16983.55</v>
      </c>
      <c r="F946" s="5"/>
      <c r="J946" s="5"/>
      <c r="K946" s="5"/>
    </row>
    <row r="947" ht="16.5" customHeight="1" spans="4:11">
      <c r="D947" s="180">
        <v>44844</v>
      </c>
      <c r="E947" s="181">
        <v>17241</v>
      </c>
      <c r="F947" s="5"/>
      <c r="J947" s="5"/>
      <c r="K947" s="5"/>
    </row>
    <row r="948" ht="16.5" customHeight="1" spans="4:11">
      <c r="D948" s="180">
        <v>44841</v>
      </c>
      <c r="E948" s="181">
        <v>17314.65</v>
      </c>
      <c r="F948" s="5"/>
      <c r="J948" s="5"/>
      <c r="K948" s="5"/>
    </row>
    <row r="949" ht="16.5" customHeight="1" spans="4:11">
      <c r="D949" s="180">
        <v>44840</v>
      </c>
      <c r="E949" s="181">
        <v>17331.8</v>
      </c>
      <c r="F949" s="5"/>
      <c r="J949" s="5"/>
      <c r="K949" s="5"/>
    </row>
    <row r="950" ht="16.5" customHeight="1" spans="4:11">
      <c r="D950" s="180">
        <v>44838</v>
      </c>
      <c r="E950" s="181">
        <v>17274.3</v>
      </c>
      <c r="F950" s="5"/>
      <c r="J950" s="5"/>
      <c r="K950" s="5"/>
    </row>
    <row r="951" ht="16.5" customHeight="1" spans="4:11">
      <c r="D951" s="180">
        <v>44837</v>
      </c>
      <c r="E951" s="181">
        <v>16887.35</v>
      </c>
      <c r="F951" s="5"/>
      <c r="J951" s="5"/>
      <c r="K951" s="5"/>
    </row>
    <row r="952" ht="16.5" customHeight="1" spans="4:11">
      <c r="D952" s="180">
        <v>44834</v>
      </c>
      <c r="E952" s="181">
        <v>17094.35</v>
      </c>
      <c r="F952" s="5"/>
      <c r="J952" s="5"/>
      <c r="K952" s="5"/>
    </row>
    <row r="953" ht="16.5" customHeight="1" spans="4:11">
      <c r="D953" s="180">
        <v>44833</v>
      </c>
      <c r="E953" s="181">
        <v>16818.1</v>
      </c>
      <c r="F953" s="5"/>
      <c r="J953" s="5"/>
      <c r="K953" s="5"/>
    </row>
    <row r="954" ht="16.5" customHeight="1" spans="4:11">
      <c r="D954" s="180">
        <v>44832</v>
      </c>
      <c r="E954" s="181">
        <v>16858.6</v>
      </c>
      <c r="F954" s="5"/>
      <c r="J954" s="5"/>
      <c r="K954" s="5"/>
    </row>
    <row r="955" ht="16.5" customHeight="1" spans="4:11">
      <c r="D955" s="180">
        <v>44831</v>
      </c>
      <c r="E955" s="181">
        <v>17007.4</v>
      </c>
      <c r="F955" s="5"/>
      <c r="J955" s="5"/>
      <c r="K955" s="5"/>
    </row>
    <row r="956" ht="16.5" customHeight="1" spans="4:11">
      <c r="D956" s="180">
        <v>44830</v>
      </c>
      <c r="E956" s="181">
        <v>17016.3</v>
      </c>
      <c r="F956" s="5"/>
      <c r="J956" s="5"/>
      <c r="K956" s="5"/>
    </row>
    <row r="957" ht="16.5" customHeight="1" spans="4:11">
      <c r="D957" s="180">
        <v>44827</v>
      </c>
      <c r="E957" s="181">
        <v>17327.35</v>
      </c>
      <c r="F957" s="5"/>
      <c r="J957" s="5"/>
      <c r="K957" s="5"/>
    </row>
    <row r="958" ht="16.5" customHeight="1" spans="4:11">
      <c r="D958" s="180">
        <v>44826</v>
      </c>
      <c r="E958" s="181">
        <v>17629.8</v>
      </c>
      <c r="F958" s="5"/>
      <c r="J958" s="5"/>
      <c r="K958" s="5"/>
    </row>
    <row r="959" ht="16.5" customHeight="1" spans="4:11">
      <c r="D959" s="180">
        <v>44825</v>
      </c>
      <c r="E959" s="181">
        <v>17718.35</v>
      </c>
      <c r="F959" s="5"/>
      <c r="J959" s="5"/>
      <c r="K959" s="5"/>
    </row>
    <row r="960" ht="16.5" customHeight="1" spans="4:11">
      <c r="D960" s="180">
        <v>44824</v>
      </c>
      <c r="E960" s="181">
        <v>17816.25</v>
      </c>
      <c r="F960" s="5"/>
      <c r="J960" s="5"/>
      <c r="K960" s="5"/>
    </row>
    <row r="961" ht="16.5" customHeight="1" spans="4:11">
      <c r="D961" s="180">
        <v>44823</v>
      </c>
      <c r="E961" s="181">
        <v>17622.25</v>
      </c>
      <c r="F961" s="5"/>
      <c r="J961" s="5"/>
      <c r="K961" s="5"/>
    </row>
    <row r="962" ht="16.5" customHeight="1" spans="4:11">
      <c r="D962" s="180">
        <v>44820</v>
      </c>
      <c r="E962" s="181">
        <v>17530.85</v>
      </c>
      <c r="F962" s="5"/>
      <c r="J962" s="5"/>
      <c r="K962" s="5"/>
    </row>
    <row r="963" ht="16.5" customHeight="1" spans="4:11">
      <c r="D963" s="180">
        <v>44819</v>
      </c>
      <c r="E963" s="181">
        <v>17877.4</v>
      </c>
      <c r="F963" s="5"/>
      <c r="J963" s="5"/>
      <c r="K963" s="5"/>
    </row>
    <row r="964" ht="16.5" customHeight="1" spans="4:11">
      <c r="D964" s="180">
        <v>44818</v>
      </c>
      <c r="E964" s="181">
        <v>18003.75</v>
      </c>
      <c r="F964" s="5"/>
      <c r="J964" s="5"/>
      <c r="K964" s="5"/>
    </row>
    <row r="965" ht="16.5" customHeight="1" spans="4:11">
      <c r="D965" s="180">
        <v>44817</v>
      </c>
      <c r="E965" s="181">
        <v>18070.05</v>
      </c>
      <c r="F965" s="5"/>
      <c r="J965" s="5"/>
      <c r="K965" s="5"/>
    </row>
    <row r="966" ht="16.5" customHeight="1" spans="4:11">
      <c r="D966" s="180">
        <v>44816</v>
      </c>
      <c r="E966" s="181">
        <v>17936.35</v>
      </c>
      <c r="F966" s="5"/>
      <c r="J966" s="5"/>
      <c r="K966" s="5"/>
    </row>
    <row r="967" ht="16.5" customHeight="1" spans="4:11">
      <c r="D967" s="180">
        <v>44813</v>
      </c>
      <c r="E967" s="181">
        <v>17833.35</v>
      </c>
      <c r="F967" s="5"/>
      <c r="J967" s="5"/>
      <c r="K967" s="5"/>
    </row>
    <row r="968" ht="16.5" customHeight="1" spans="4:11">
      <c r="D968" s="180">
        <v>44812</v>
      </c>
      <c r="E968" s="181">
        <v>17798.75</v>
      </c>
      <c r="F968" s="5"/>
      <c r="J968" s="5"/>
      <c r="K968" s="5"/>
    </row>
    <row r="969" ht="16.5" customHeight="1" spans="4:11">
      <c r="D969" s="180">
        <v>44811</v>
      </c>
      <c r="E969" s="181">
        <v>17624.4</v>
      </c>
      <c r="F969" s="5"/>
      <c r="J969" s="5"/>
      <c r="K969" s="5"/>
    </row>
    <row r="970" ht="16.5" customHeight="1" spans="4:11">
      <c r="D970" s="180">
        <v>44810</v>
      </c>
      <c r="E970" s="181">
        <v>17655.6</v>
      </c>
      <c r="F970" s="5"/>
      <c r="J970" s="5"/>
      <c r="K970" s="5"/>
    </row>
    <row r="971" ht="16.5" customHeight="1" spans="4:11">
      <c r="D971" s="180">
        <v>44809</v>
      </c>
      <c r="E971" s="181">
        <v>17665.8</v>
      </c>
      <c r="F971" s="5"/>
      <c r="J971" s="5"/>
      <c r="K971" s="5"/>
    </row>
    <row r="972" ht="16.5" customHeight="1" spans="4:11">
      <c r="D972" s="180">
        <v>44806</v>
      </c>
      <c r="E972" s="181">
        <v>17539.45</v>
      </c>
      <c r="F972" s="5"/>
      <c r="J972" s="5"/>
      <c r="K972" s="5"/>
    </row>
    <row r="973" ht="16.5" customHeight="1" spans="4:11">
      <c r="D973" s="180">
        <v>44805</v>
      </c>
      <c r="E973" s="181">
        <v>17542.8</v>
      </c>
      <c r="F973" s="5"/>
      <c r="J973" s="5"/>
      <c r="K973" s="5"/>
    </row>
    <row r="974" ht="16.5" customHeight="1" spans="4:11">
      <c r="D974" s="180">
        <v>44803</v>
      </c>
      <c r="E974" s="181">
        <v>17759.3</v>
      </c>
      <c r="F974" s="5"/>
      <c r="J974" s="5"/>
      <c r="K974" s="5"/>
    </row>
    <row r="975" ht="16.5" customHeight="1" spans="4:11">
      <c r="D975" s="180">
        <v>44802</v>
      </c>
      <c r="E975" s="181">
        <v>17312.9</v>
      </c>
      <c r="F975" s="5"/>
      <c r="J975" s="5"/>
      <c r="K975" s="5"/>
    </row>
    <row r="976" ht="16.5" customHeight="1" spans="4:11">
      <c r="D976" s="180">
        <v>44799</v>
      </c>
      <c r="E976" s="181">
        <v>17558.9</v>
      </c>
      <c r="F976" s="5"/>
      <c r="J976" s="5"/>
      <c r="K976" s="5"/>
    </row>
    <row r="977" ht="16.5" customHeight="1" spans="4:11">
      <c r="D977" s="180">
        <v>44798</v>
      </c>
      <c r="E977" s="181">
        <v>17522.45</v>
      </c>
      <c r="F977" s="5"/>
      <c r="J977" s="5"/>
      <c r="K977" s="5"/>
    </row>
    <row r="978" ht="16.5" customHeight="1" spans="4:11">
      <c r="D978" s="180">
        <v>44797</v>
      </c>
      <c r="E978" s="181">
        <v>17604.95</v>
      </c>
      <c r="F978" s="5"/>
      <c r="J978" s="5"/>
      <c r="K978" s="5"/>
    </row>
    <row r="979" ht="16.5" customHeight="1" spans="4:11">
      <c r="D979" s="180">
        <v>44796</v>
      </c>
      <c r="E979" s="181">
        <v>17577.5</v>
      </c>
      <c r="F979" s="5"/>
      <c r="J979" s="5"/>
      <c r="K979" s="5"/>
    </row>
    <row r="980" ht="16.5" customHeight="1" spans="4:11">
      <c r="D980" s="180">
        <v>44795</v>
      </c>
      <c r="E980" s="181">
        <v>17490.7</v>
      </c>
      <c r="F980" s="5"/>
      <c r="J980" s="5"/>
      <c r="K980" s="5"/>
    </row>
    <row r="981" ht="16.5" customHeight="1" spans="4:11">
      <c r="D981" s="180">
        <v>44792</v>
      </c>
      <c r="E981" s="181">
        <v>17758.45</v>
      </c>
      <c r="F981" s="5"/>
      <c r="J981" s="5"/>
      <c r="K981" s="5"/>
    </row>
    <row r="982" ht="16.5" customHeight="1" spans="4:11">
      <c r="D982" s="180">
        <v>44791</v>
      </c>
      <c r="E982" s="181">
        <v>17956.5</v>
      </c>
      <c r="F982" s="5"/>
      <c r="J982" s="5"/>
      <c r="K982" s="5"/>
    </row>
    <row r="983" ht="16.5" customHeight="1" spans="4:11">
      <c r="D983" s="180">
        <v>44790</v>
      </c>
      <c r="E983" s="181">
        <v>17944.25</v>
      </c>
      <c r="F983" s="5"/>
      <c r="J983" s="5"/>
      <c r="K983" s="5"/>
    </row>
    <row r="984" ht="16.5" customHeight="1" spans="4:11">
      <c r="D984" s="180">
        <v>44789</v>
      </c>
      <c r="E984" s="181">
        <v>17825.25</v>
      </c>
      <c r="F984" s="5"/>
      <c r="J984" s="5"/>
      <c r="K984" s="5"/>
    </row>
    <row r="985" ht="16.5" customHeight="1" spans="4:11">
      <c r="D985" s="180">
        <v>44785</v>
      </c>
      <c r="E985" s="181">
        <v>17698.15</v>
      </c>
      <c r="F985" s="5"/>
      <c r="J985" s="5"/>
      <c r="K985" s="5"/>
    </row>
    <row r="986" ht="16.5" customHeight="1" spans="4:11">
      <c r="D986" s="180">
        <v>44784</v>
      </c>
      <c r="E986" s="181">
        <v>17659</v>
      </c>
      <c r="F986" s="5"/>
      <c r="J986" s="5"/>
      <c r="K986" s="5"/>
    </row>
    <row r="987" ht="16.5" customHeight="1" spans="4:11">
      <c r="D987" s="180">
        <v>44783</v>
      </c>
      <c r="E987" s="181">
        <v>17534.75</v>
      </c>
      <c r="F987" s="5"/>
      <c r="J987" s="5"/>
      <c r="K987" s="5"/>
    </row>
    <row r="988" ht="16.5" customHeight="1" spans="4:11">
      <c r="D988" s="180">
        <v>44781</v>
      </c>
      <c r="E988" s="181">
        <v>17525.1</v>
      </c>
      <c r="F988" s="5"/>
      <c r="J988" s="5"/>
      <c r="K988" s="5"/>
    </row>
    <row r="989" ht="16.5" customHeight="1" spans="4:11">
      <c r="D989" s="180">
        <v>44778</v>
      </c>
      <c r="E989" s="181">
        <v>17397.5</v>
      </c>
      <c r="F989" s="5"/>
      <c r="J989" s="5"/>
      <c r="K989" s="5"/>
    </row>
    <row r="990" ht="16.5" customHeight="1" spans="4:11">
      <c r="D990" s="180">
        <v>44777</v>
      </c>
      <c r="E990" s="181">
        <v>17382</v>
      </c>
      <c r="F990" s="5"/>
      <c r="J990" s="5"/>
      <c r="K990" s="5"/>
    </row>
    <row r="991" ht="16.5" customHeight="1" spans="4:11">
      <c r="D991" s="180">
        <v>44776</v>
      </c>
      <c r="E991" s="181">
        <v>17388.15</v>
      </c>
      <c r="F991" s="5"/>
      <c r="J991" s="5"/>
      <c r="K991" s="5"/>
    </row>
    <row r="992" ht="16.5" customHeight="1" spans="4:11">
      <c r="D992" s="180">
        <v>44775</v>
      </c>
      <c r="E992" s="181">
        <v>17345.45</v>
      </c>
      <c r="F992" s="5"/>
      <c r="J992" s="5"/>
      <c r="K992" s="5"/>
    </row>
    <row r="993" ht="16.5" customHeight="1" spans="4:11">
      <c r="D993" s="180">
        <v>44774</v>
      </c>
      <c r="E993" s="181">
        <v>17340.05</v>
      </c>
      <c r="F993" s="5"/>
      <c r="J993" s="5"/>
      <c r="K993" s="5"/>
    </row>
    <row r="994" ht="16.5" customHeight="1" spans="4:11">
      <c r="D994" s="180">
        <v>44771</v>
      </c>
      <c r="E994" s="181">
        <v>17158.25</v>
      </c>
      <c r="F994" s="5"/>
      <c r="J994" s="5"/>
      <c r="K994" s="5"/>
    </row>
    <row r="995" ht="16.5" customHeight="1" spans="4:11">
      <c r="D995" s="180">
        <v>44770</v>
      </c>
      <c r="E995" s="181">
        <v>16929.6</v>
      </c>
      <c r="F995" s="5"/>
      <c r="J995" s="5"/>
      <c r="K995" s="5"/>
    </row>
    <row r="996" ht="16.5" customHeight="1" spans="4:11">
      <c r="D996" s="180">
        <v>44769</v>
      </c>
      <c r="E996" s="181">
        <v>16641.8</v>
      </c>
      <c r="F996" s="5"/>
      <c r="J996" s="5"/>
      <c r="K996" s="5"/>
    </row>
    <row r="997" ht="16.5" customHeight="1" spans="4:11">
      <c r="D997" s="180">
        <v>44768</v>
      </c>
      <c r="E997" s="181">
        <v>16483.85</v>
      </c>
      <c r="F997" s="5"/>
      <c r="J997" s="5"/>
      <c r="K997" s="5"/>
    </row>
    <row r="998" ht="16.5" customHeight="1" spans="4:11">
      <c r="D998" s="180">
        <v>44767</v>
      </c>
      <c r="E998" s="181">
        <v>16631</v>
      </c>
      <c r="F998" s="5"/>
      <c r="J998" s="5"/>
      <c r="K998" s="5"/>
    </row>
    <row r="999" ht="16.5" customHeight="1" spans="4:11">
      <c r="D999" s="180">
        <v>44764</v>
      </c>
      <c r="E999" s="181">
        <v>16719.45</v>
      </c>
      <c r="F999" s="5"/>
      <c r="J999" s="5"/>
      <c r="K999" s="5"/>
    </row>
    <row r="1000" ht="16.5" customHeight="1" spans="4:11">
      <c r="D1000" s="180">
        <v>44763</v>
      </c>
      <c r="E1000" s="181">
        <v>16605.25</v>
      </c>
      <c r="F1000" s="5"/>
      <c r="J1000" s="5"/>
      <c r="K1000" s="5"/>
    </row>
    <row r="1001" ht="16.5" customHeight="1" spans="4:11">
      <c r="D1001" s="180">
        <v>44762</v>
      </c>
      <c r="E1001" s="181">
        <v>16520.85</v>
      </c>
      <c r="F1001" s="5"/>
      <c r="J1001" s="5"/>
      <c r="K1001" s="5"/>
    </row>
    <row r="1002" ht="16.5" customHeight="1" spans="4:11">
      <c r="D1002" s="180">
        <v>44761</v>
      </c>
      <c r="E1002" s="181">
        <v>16340.55</v>
      </c>
      <c r="F1002" s="5"/>
      <c r="J1002" s="5"/>
      <c r="K1002" s="5"/>
    </row>
    <row r="1003" ht="16.5" customHeight="1" spans="4:11">
      <c r="D1003" s="180">
        <v>44760</v>
      </c>
      <c r="E1003" s="181">
        <v>16278.5</v>
      </c>
      <c r="F1003" s="5"/>
      <c r="J1003" s="5"/>
      <c r="K1003" s="5"/>
    </row>
    <row r="1004" ht="16.5" customHeight="1" spans="4:11">
      <c r="D1004" s="180">
        <v>44757</v>
      </c>
      <c r="E1004" s="181">
        <v>16049.2</v>
      </c>
      <c r="F1004" s="5"/>
      <c r="J1004" s="5"/>
      <c r="K1004" s="5"/>
    </row>
    <row r="1005" ht="16.5" customHeight="1" spans="4:11">
      <c r="D1005" s="180">
        <v>44756</v>
      </c>
      <c r="E1005" s="181">
        <v>15938.65</v>
      </c>
      <c r="F1005" s="5"/>
      <c r="J1005" s="5"/>
      <c r="K1005" s="5"/>
    </row>
    <row r="1006" ht="16.5" customHeight="1" spans="4:11">
      <c r="D1006" s="180">
        <v>44755</v>
      </c>
      <c r="E1006" s="181">
        <v>15966.65</v>
      </c>
      <c r="F1006" s="5"/>
      <c r="J1006" s="5"/>
      <c r="K1006" s="5"/>
    </row>
    <row r="1007" ht="16.5" customHeight="1" spans="4:11">
      <c r="D1007" s="180">
        <v>44754</v>
      </c>
      <c r="E1007" s="181">
        <v>16058.3</v>
      </c>
      <c r="F1007" s="5"/>
      <c r="J1007" s="5"/>
      <c r="K1007" s="5"/>
    </row>
    <row r="1008" ht="16.5" customHeight="1" spans="4:11">
      <c r="D1008" s="180">
        <v>44753</v>
      </c>
      <c r="E1008" s="181">
        <v>16216</v>
      </c>
      <c r="F1008" s="5"/>
      <c r="J1008" s="5"/>
      <c r="K1008" s="5"/>
    </row>
    <row r="1009" ht="16.5" customHeight="1" spans="4:11">
      <c r="D1009" s="180">
        <v>44750</v>
      </c>
      <c r="E1009" s="181">
        <v>16220.6</v>
      </c>
      <c r="F1009" s="5"/>
      <c r="J1009" s="5"/>
      <c r="K1009" s="5"/>
    </row>
    <row r="1010" ht="16.5" customHeight="1" spans="4:11">
      <c r="D1010" s="180">
        <v>44749</v>
      </c>
      <c r="E1010" s="181">
        <v>16132.9</v>
      </c>
      <c r="F1010" s="5"/>
      <c r="J1010" s="5"/>
      <c r="K1010" s="5"/>
    </row>
    <row r="1011" ht="16.5" customHeight="1" spans="4:11">
      <c r="D1011" s="180">
        <v>44748</v>
      </c>
      <c r="E1011" s="181">
        <v>15989.8</v>
      </c>
      <c r="F1011" s="5"/>
      <c r="J1011" s="5"/>
      <c r="K1011" s="5"/>
    </row>
    <row r="1012" ht="16.5" customHeight="1" spans="4:11">
      <c r="D1012" s="180">
        <v>44747</v>
      </c>
      <c r="E1012" s="181">
        <v>15810.85</v>
      </c>
      <c r="F1012" s="5"/>
      <c r="J1012" s="5"/>
      <c r="K1012" s="5"/>
    </row>
    <row r="1013" ht="16.5" customHeight="1" spans="4:11">
      <c r="D1013" s="180">
        <v>44746</v>
      </c>
      <c r="E1013" s="181">
        <v>15835.35</v>
      </c>
      <c r="F1013" s="5"/>
      <c r="J1013" s="5"/>
      <c r="K1013" s="5"/>
    </row>
    <row r="1014" ht="16.5" customHeight="1" spans="4:11">
      <c r="D1014" s="180">
        <v>44743</v>
      </c>
      <c r="E1014" s="181">
        <v>15752.05</v>
      </c>
      <c r="F1014" s="5"/>
      <c r="J1014" s="5"/>
      <c r="K1014" s="5"/>
    </row>
    <row r="1015" ht="16.5" customHeight="1" spans="4:11">
      <c r="D1015" s="180">
        <v>44742</v>
      </c>
      <c r="E1015" s="181">
        <v>15780.25</v>
      </c>
      <c r="F1015" s="5"/>
      <c r="J1015" s="5"/>
      <c r="K1015" s="5"/>
    </row>
    <row r="1016" ht="16.5" customHeight="1" spans="4:11">
      <c r="D1016" s="180">
        <v>44741</v>
      </c>
      <c r="E1016" s="181">
        <v>15799.1</v>
      </c>
      <c r="F1016" s="5"/>
      <c r="J1016" s="5"/>
      <c r="K1016" s="5"/>
    </row>
    <row r="1017" ht="16.5" customHeight="1" spans="4:11">
      <c r="D1017" s="180">
        <v>44740</v>
      </c>
      <c r="E1017" s="181">
        <v>15850.2</v>
      </c>
      <c r="F1017" s="5"/>
      <c r="J1017" s="5"/>
      <c r="K1017" s="5"/>
    </row>
    <row r="1018" ht="16.5" customHeight="1" spans="4:11">
      <c r="D1018" s="180">
        <v>44739</v>
      </c>
      <c r="E1018" s="181">
        <v>15832.05</v>
      </c>
      <c r="F1018" s="5"/>
      <c r="J1018" s="5"/>
      <c r="K1018" s="5"/>
    </row>
    <row r="1019" ht="16.5" customHeight="1" spans="4:11">
      <c r="D1019" s="180">
        <v>44736</v>
      </c>
      <c r="E1019" s="181">
        <v>15699.25</v>
      </c>
      <c r="F1019" s="5"/>
      <c r="J1019" s="5"/>
      <c r="K1019" s="5"/>
    </row>
    <row r="1020" ht="16.5" customHeight="1" spans="4:11">
      <c r="D1020" s="180">
        <v>44735</v>
      </c>
      <c r="E1020" s="181">
        <v>15556.65</v>
      </c>
      <c r="F1020" s="5"/>
      <c r="J1020" s="5"/>
      <c r="K1020" s="5"/>
    </row>
    <row r="1021" ht="16.5" customHeight="1" spans="4:11">
      <c r="D1021" s="180">
        <v>44734</v>
      </c>
      <c r="E1021" s="181">
        <v>15413.3</v>
      </c>
      <c r="F1021" s="5"/>
      <c r="J1021" s="5"/>
      <c r="K1021" s="5"/>
    </row>
    <row r="1022" ht="16.5" customHeight="1" spans="4:11">
      <c r="D1022" s="180">
        <v>44733</v>
      </c>
      <c r="E1022" s="181">
        <v>15638.8</v>
      </c>
      <c r="F1022" s="5"/>
      <c r="J1022" s="5"/>
      <c r="K1022" s="5"/>
    </row>
    <row r="1023" ht="16.5" customHeight="1" spans="4:11">
      <c r="D1023" s="180">
        <v>44732</v>
      </c>
      <c r="E1023" s="181">
        <v>15350.15</v>
      </c>
      <c r="F1023" s="5"/>
      <c r="J1023" s="5"/>
      <c r="K1023" s="5"/>
    </row>
    <row r="1024" ht="16.5" customHeight="1" spans="4:11">
      <c r="D1024" s="180">
        <v>44729</v>
      </c>
      <c r="E1024" s="181">
        <v>15293.5</v>
      </c>
      <c r="F1024" s="5"/>
      <c r="J1024" s="5"/>
      <c r="K1024" s="5"/>
    </row>
    <row r="1025" ht="16.5" customHeight="1" spans="4:11">
      <c r="D1025" s="180">
        <v>44728</v>
      </c>
      <c r="E1025" s="181">
        <v>15360.6</v>
      </c>
      <c r="F1025" s="5"/>
      <c r="J1025" s="5"/>
      <c r="K1025" s="5"/>
    </row>
    <row r="1026" ht="16.5" customHeight="1" spans="4:11">
      <c r="D1026" s="180">
        <v>44727</v>
      </c>
      <c r="E1026" s="181">
        <v>15692.15</v>
      </c>
      <c r="F1026" s="5"/>
      <c r="J1026" s="5"/>
      <c r="K1026" s="5"/>
    </row>
    <row r="1027" ht="16.5" customHeight="1" spans="4:11">
      <c r="D1027" s="180">
        <v>44726</v>
      </c>
      <c r="E1027" s="181">
        <v>15732.1</v>
      </c>
      <c r="F1027" s="5"/>
      <c r="J1027" s="5"/>
      <c r="K1027" s="5"/>
    </row>
    <row r="1028" ht="16.5" customHeight="1" spans="4:11">
      <c r="D1028" s="180">
        <v>44725</v>
      </c>
      <c r="E1028" s="181">
        <v>15774.4</v>
      </c>
      <c r="F1028" s="5"/>
      <c r="J1028" s="5"/>
      <c r="K1028" s="5"/>
    </row>
    <row r="1029" ht="16.5" customHeight="1" spans="4:11">
      <c r="D1029" s="180">
        <v>44722</v>
      </c>
      <c r="E1029" s="181">
        <v>16201.8</v>
      </c>
      <c r="F1029" s="5"/>
      <c r="J1029" s="5"/>
      <c r="K1029" s="5"/>
    </row>
    <row r="1030" ht="16.5" customHeight="1" spans="4:11">
      <c r="D1030" s="180">
        <v>44721</v>
      </c>
      <c r="E1030" s="181">
        <v>16478.1</v>
      </c>
      <c r="F1030" s="5"/>
      <c r="J1030" s="5"/>
      <c r="K1030" s="5"/>
    </row>
    <row r="1031" ht="16.5" customHeight="1" spans="4:11">
      <c r="D1031" s="180">
        <v>44720</v>
      </c>
      <c r="E1031" s="181">
        <v>16356.25</v>
      </c>
      <c r="F1031" s="5"/>
      <c r="J1031" s="5"/>
      <c r="K1031" s="5"/>
    </row>
    <row r="1032" ht="16.5" customHeight="1" spans="4:11">
      <c r="D1032" s="180">
        <v>44719</v>
      </c>
      <c r="E1032" s="181">
        <v>16416.35</v>
      </c>
      <c r="F1032" s="5"/>
      <c r="J1032" s="5"/>
      <c r="K1032" s="5"/>
    </row>
    <row r="1033" ht="16.5" customHeight="1" spans="4:11">
      <c r="D1033" s="180">
        <v>44718</v>
      </c>
      <c r="E1033" s="181">
        <v>16569.55</v>
      </c>
      <c r="F1033" s="5"/>
      <c r="J1033" s="5"/>
      <c r="K1033" s="5"/>
    </row>
    <row r="1034" ht="16.5" customHeight="1" spans="4:11">
      <c r="D1034" s="180">
        <v>44715</v>
      </c>
      <c r="E1034" s="181">
        <v>16584.3</v>
      </c>
      <c r="F1034" s="5"/>
      <c r="J1034" s="5"/>
      <c r="K1034" s="5"/>
    </row>
    <row r="1035" ht="16.5" customHeight="1" spans="4:11">
      <c r="D1035" s="180">
        <v>44714</v>
      </c>
      <c r="E1035" s="181">
        <v>16628</v>
      </c>
      <c r="F1035" s="5"/>
      <c r="J1035" s="5"/>
      <c r="K1035" s="5"/>
    </row>
    <row r="1036" ht="16.5" customHeight="1" spans="4:11">
      <c r="D1036" s="180">
        <v>44713</v>
      </c>
      <c r="E1036" s="181">
        <v>16522.75</v>
      </c>
      <c r="F1036" s="5"/>
      <c r="J1036" s="5"/>
      <c r="K1036" s="5"/>
    </row>
    <row r="1037" ht="16.5" customHeight="1" spans="4:11">
      <c r="D1037" s="180">
        <v>44712</v>
      </c>
      <c r="E1037" s="181">
        <v>16584.55</v>
      </c>
      <c r="F1037" s="5"/>
      <c r="J1037" s="5"/>
      <c r="K1037" s="5"/>
    </row>
    <row r="1038" ht="16.5" customHeight="1" spans="4:11">
      <c r="D1038" s="180">
        <v>44711</v>
      </c>
      <c r="E1038" s="181">
        <v>16661.4</v>
      </c>
      <c r="F1038" s="5"/>
      <c r="J1038" s="5"/>
      <c r="K1038" s="5"/>
    </row>
    <row r="1039" ht="16.5" customHeight="1" spans="4:11">
      <c r="D1039" s="180">
        <v>44708</v>
      </c>
      <c r="E1039" s="181">
        <v>16352.45</v>
      </c>
      <c r="F1039" s="5"/>
      <c r="J1039" s="5"/>
      <c r="K1039" s="5"/>
    </row>
    <row r="1040" ht="16.5" customHeight="1" spans="4:11">
      <c r="D1040" s="180">
        <v>44707</v>
      </c>
      <c r="E1040" s="181">
        <v>16170.15</v>
      </c>
      <c r="F1040" s="5"/>
      <c r="J1040" s="5"/>
      <c r="K1040" s="5"/>
    </row>
    <row r="1041" ht="16.5" customHeight="1" spans="4:11">
      <c r="D1041" s="180">
        <v>44706</v>
      </c>
      <c r="E1041" s="181">
        <v>16025.8</v>
      </c>
      <c r="F1041" s="5"/>
      <c r="J1041" s="5"/>
      <c r="K1041" s="5"/>
    </row>
    <row r="1042" ht="16.5" customHeight="1" spans="4:11">
      <c r="D1042" s="180">
        <v>44705</v>
      </c>
      <c r="E1042" s="181">
        <v>16125.15</v>
      </c>
      <c r="F1042" s="5"/>
      <c r="J1042" s="5"/>
      <c r="K1042" s="5"/>
    </row>
    <row r="1043" ht="16.5" customHeight="1" spans="4:11">
      <c r="D1043" s="180">
        <v>44704</v>
      </c>
      <c r="E1043" s="181">
        <v>16214.7</v>
      </c>
      <c r="F1043" s="5"/>
      <c r="J1043" s="5"/>
      <c r="K1043" s="5"/>
    </row>
    <row r="1044" ht="16.5" customHeight="1" spans="4:11">
      <c r="D1044" s="180">
        <v>44701</v>
      </c>
      <c r="E1044" s="181">
        <v>16266.15</v>
      </c>
      <c r="F1044" s="5"/>
      <c r="J1044" s="5"/>
      <c r="K1044" s="5"/>
    </row>
    <row r="1045" ht="16.5" customHeight="1" spans="4:11">
      <c r="D1045" s="180">
        <v>44700</v>
      </c>
      <c r="E1045" s="181">
        <v>15809.4</v>
      </c>
      <c r="F1045" s="5"/>
      <c r="J1045" s="5"/>
      <c r="K1045" s="5"/>
    </row>
    <row r="1046" ht="16.5" customHeight="1" spans="4:11">
      <c r="D1046" s="180">
        <v>44699</v>
      </c>
      <c r="E1046" s="181">
        <v>16240.3</v>
      </c>
      <c r="F1046" s="5"/>
      <c r="J1046" s="5"/>
      <c r="K1046" s="5"/>
    </row>
    <row r="1047" ht="16.5" customHeight="1" spans="4:11">
      <c r="D1047" s="180">
        <v>44698</v>
      </c>
      <c r="E1047" s="181">
        <v>16259.3</v>
      </c>
      <c r="F1047" s="5"/>
      <c r="J1047" s="5"/>
      <c r="K1047" s="5"/>
    </row>
    <row r="1048" ht="16.5" customHeight="1" spans="4:11">
      <c r="D1048" s="180">
        <v>44697</v>
      </c>
      <c r="E1048" s="181">
        <v>15842.3</v>
      </c>
      <c r="F1048" s="5"/>
      <c r="J1048" s="5"/>
      <c r="K1048" s="5"/>
    </row>
    <row r="1049" ht="16.5" customHeight="1" spans="4:11">
      <c r="D1049" s="180">
        <v>44694</v>
      </c>
      <c r="E1049" s="181">
        <v>15782.15</v>
      </c>
      <c r="F1049" s="5"/>
      <c r="J1049" s="5"/>
      <c r="K1049" s="5"/>
    </row>
    <row r="1050" ht="16.5" customHeight="1" spans="4:11">
      <c r="D1050" s="180">
        <v>44693</v>
      </c>
      <c r="E1050" s="181">
        <v>15808</v>
      </c>
      <c r="F1050" s="5"/>
      <c r="J1050" s="5"/>
      <c r="K1050" s="5"/>
    </row>
    <row r="1051" ht="16.5" customHeight="1" spans="4:11">
      <c r="D1051" s="180">
        <v>44692</v>
      </c>
      <c r="E1051" s="181">
        <v>16167.1</v>
      </c>
      <c r="F1051" s="5"/>
      <c r="J1051" s="5"/>
      <c r="K1051" s="5"/>
    </row>
    <row r="1052" ht="16.5" customHeight="1" spans="4:11">
      <c r="D1052" s="180">
        <v>44691</v>
      </c>
      <c r="E1052" s="181">
        <v>16240.05</v>
      </c>
      <c r="F1052" s="5"/>
      <c r="J1052" s="5"/>
      <c r="K1052" s="5"/>
    </row>
    <row r="1053" ht="16.5" customHeight="1" spans="4:11">
      <c r="D1053" s="180">
        <v>44690</v>
      </c>
      <c r="E1053" s="181">
        <v>16301.85</v>
      </c>
      <c r="F1053" s="5"/>
      <c r="J1053" s="5"/>
      <c r="K1053" s="5"/>
    </row>
    <row r="1054" ht="16.5" customHeight="1" spans="4:11">
      <c r="D1054" s="180">
        <v>44687</v>
      </c>
      <c r="E1054" s="181">
        <v>16411.25</v>
      </c>
      <c r="F1054" s="5"/>
      <c r="J1054" s="5"/>
      <c r="K1054" s="5"/>
    </row>
    <row r="1055" ht="16.5" customHeight="1" spans="4:11">
      <c r="D1055" s="180">
        <v>44686</v>
      </c>
      <c r="E1055" s="181">
        <v>16682.65</v>
      </c>
      <c r="F1055" s="5"/>
      <c r="J1055" s="5"/>
      <c r="K1055" s="5"/>
    </row>
    <row r="1056" ht="16.5" customHeight="1" spans="4:11">
      <c r="D1056" s="180">
        <v>44685</v>
      </c>
      <c r="E1056" s="181">
        <v>16677.6</v>
      </c>
      <c r="F1056" s="5"/>
      <c r="J1056" s="5"/>
      <c r="K1056" s="5"/>
    </row>
    <row r="1057" ht="16.5" customHeight="1" spans="4:11">
      <c r="D1057" s="180">
        <v>44683</v>
      </c>
      <c r="E1057" s="181">
        <v>17069.1</v>
      </c>
      <c r="F1057" s="5"/>
      <c r="J1057" s="5"/>
      <c r="K1057" s="5"/>
    </row>
    <row r="1058" ht="16.5" customHeight="1" spans="4:11">
      <c r="D1058" s="180">
        <v>44680</v>
      </c>
      <c r="E1058" s="181">
        <v>17102.55</v>
      </c>
      <c r="F1058" s="5"/>
      <c r="J1058" s="5"/>
      <c r="K1058" s="5"/>
    </row>
    <row r="1059" ht="16.5" customHeight="1" spans="4:11">
      <c r="D1059" s="180">
        <v>44679</v>
      </c>
      <c r="E1059" s="181">
        <v>17245.05</v>
      </c>
      <c r="F1059" s="5"/>
      <c r="J1059" s="5"/>
      <c r="K1059" s="5"/>
    </row>
    <row r="1060" ht="16.5" customHeight="1" spans="4:11">
      <c r="D1060" s="180">
        <v>44678</v>
      </c>
      <c r="E1060" s="181">
        <v>17038.4</v>
      </c>
      <c r="F1060" s="5"/>
      <c r="J1060" s="5"/>
      <c r="K1060" s="5"/>
    </row>
    <row r="1061" ht="16.5" customHeight="1" spans="4:11">
      <c r="D1061" s="180">
        <v>44677</v>
      </c>
      <c r="E1061" s="181">
        <v>17200.8</v>
      </c>
      <c r="F1061" s="5"/>
      <c r="J1061" s="5"/>
      <c r="K1061" s="5"/>
    </row>
    <row r="1062" ht="16.5" customHeight="1" spans="4:11">
      <c r="D1062" s="180">
        <v>44676</v>
      </c>
      <c r="E1062" s="181">
        <v>16953.95</v>
      </c>
      <c r="F1062" s="5"/>
      <c r="J1062" s="5"/>
      <c r="K1062" s="5"/>
    </row>
    <row r="1063" ht="16.5" customHeight="1" spans="4:11">
      <c r="D1063" s="180">
        <v>44673</v>
      </c>
      <c r="E1063" s="181">
        <v>17171.95</v>
      </c>
      <c r="F1063" s="5"/>
      <c r="J1063" s="5"/>
      <c r="K1063" s="5"/>
    </row>
    <row r="1064" ht="16.5" customHeight="1" spans="4:11">
      <c r="D1064" s="180">
        <v>44672</v>
      </c>
      <c r="E1064" s="181">
        <v>17392.6</v>
      </c>
      <c r="F1064" s="5"/>
      <c r="J1064" s="5"/>
      <c r="K1064" s="5"/>
    </row>
    <row r="1065" ht="16.5" customHeight="1" spans="4:11">
      <c r="D1065" s="180">
        <v>44671</v>
      </c>
      <c r="E1065" s="181">
        <v>17136.55</v>
      </c>
      <c r="F1065" s="5"/>
      <c r="J1065" s="5"/>
      <c r="K1065" s="5"/>
    </row>
    <row r="1066" ht="16.5" customHeight="1" spans="4:11">
      <c r="D1066" s="180">
        <v>44670</v>
      </c>
      <c r="E1066" s="181">
        <v>16958.65</v>
      </c>
      <c r="F1066" s="5"/>
      <c r="J1066" s="5"/>
      <c r="K1066" s="5"/>
    </row>
    <row r="1067" ht="16.5" customHeight="1" spans="4:11">
      <c r="D1067" s="180">
        <v>44669</v>
      </c>
      <c r="E1067" s="181">
        <v>17173.65</v>
      </c>
      <c r="F1067" s="5"/>
      <c r="J1067" s="5"/>
      <c r="K1067" s="5"/>
    </row>
    <row r="1068" ht="16.5" customHeight="1" spans="4:11">
      <c r="D1068" s="180">
        <v>44664</v>
      </c>
      <c r="E1068" s="181">
        <v>17475.65</v>
      </c>
      <c r="F1068" s="5"/>
      <c r="J1068" s="5"/>
      <c r="K1068" s="5"/>
    </row>
    <row r="1069" ht="16.5" customHeight="1" spans="4:11">
      <c r="D1069" s="180">
        <v>44663</v>
      </c>
      <c r="E1069" s="181">
        <v>17530.3</v>
      </c>
      <c r="F1069" s="5"/>
      <c r="J1069" s="5"/>
      <c r="K1069" s="5"/>
    </row>
    <row r="1070" ht="16.5" customHeight="1" spans="4:11">
      <c r="D1070" s="180">
        <v>44662</v>
      </c>
      <c r="E1070" s="181">
        <v>17674.95</v>
      </c>
      <c r="F1070" s="5"/>
      <c r="J1070" s="5"/>
      <c r="K1070" s="5"/>
    </row>
    <row r="1071" ht="16.5" customHeight="1" spans="4:11">
      <c r="D1071" s="180">
        <v>44659</v>
      </c>
      <c r="E1071" s="181">
        <v>17784.35</v>
      </c>
      <c r="F1071" s="5"/>
      <c r="J1071" s="5"/>
      <c r="K1071" s="5"/>
    </row>
    <row r="1072" ht="16.5" customHeight="1" spans="4:11">
      <c r="D1072" s="180">
        <v>44658</v>
      </c>
      <c r="E1072" s="181">
        <v>17639.55</v>
      </c>
      <c r="F1072" s="5"/>
      <c r="J1072" s="5"/>
      <c r="K1072" s="5"/>
    </row>
    <row r="1073" ht="16.5" customHeight="1" spans="4:11">
      <c r="D1073" s="180">
        <v>44657</v>
      </c>
      <c r="E1073" s="181">
        <v>17807.65</v>
      </c>
      <c r="F1073" s="5"/>
      <c r="J1073" s="5"/>
      <c r="K1073" s="5"/>
    </row>
    <row r="1074" ht="16.5" customHeight="1" spans="4:11">
      <c r="D1074" s="180">
        <v>44656</v>
      </c>
      <c r="E1074" s="181">
        <v>17957.4</v>
      </c>
      <c r="F1074" s="5"/>
      <c r="J1074" s="5"/>
      <c r="K1074" s="5"/>
    </row>
    <row r="1075" ht="16.5" customHeight="1" spans="4:11">
      <c r="D1075" s="180">
        <v>44655</v>
      </c>
      <c r="E1075" s="181">
        <v>18053.4</v>
      </c>
      <c r="F1075" s="5"/>
      <c r="J1075" s="5"/>
      <c r="K1075" s="5"/>
    </row>
    <row r="1076" ht="16.5" customHeight="1" spans="4:11">
      <c r="D1076" s="180">
        <v>44652</v>
      </c>
      <c r="E1076" s="181">
        <v>17670.45</v>
      </c>
      <c r="F1076" s="5"/>
      <c r="J1076" s="5"/>
      <c r="K1076" s="5"/>
    </row>
    <row r="1077" ht="16.5" customHeight="1" spans="4:11">
      <c r="D1077" s="180">
        <v>44651</v>
      </c>
      <c r="E1077" s="181">
        <v>17464.75</v>
      </c>
      <c r="F1077" s="5"/>
      <c r="J1077" s="5"/>
      <c r="K1077" s="5"/>
    </row>
    <row r="1078" ht="16.5" customHeight="1" spans="4:11">
      <c r="D1078" s="180">
        <v>44650</v>
      </c>
      <c r="E1078" s="181">
        <v>17498.25</v>
      </c>
      <c r="F1078" s="5"/>
      <c r="J1078" s="5"/>
      <c r="K1078" s="5"/>
    </row>
    <row r="1079" ht="16.5" customHeight="1" spans="4:11">
      <c r="D1079" s="180">
        <v>44649</v>
      </c>
      <c r="E1079" s="181">
        <v>17325.3</v>
      </c>
      <c r="F1079" s="5"/>
      <c r="J1079" s="5"/>
      <c r="K1079" s="5"/>
    </row>
    <row r="1080" ht="16.5" customHeight="1" spans="4:11">
      <c r="D1080" s="180">
        <v>44648</v>
      </c>
      <c r="E1080" s="181">
        <v>17222</v>
      </c>
      <c r="F1080" s="5"/>
      <c r="J1080" s="5"/>
      <c r="K1080" s="5"/>
    </row>
    <row r="1081" ht="16.5" customHeight="1" spans="4:11">
      <c r="D1081" s="180">
        <v>44645</v>
      </c>
      <c r="E1081" s="181">
        <v>17153</v>
      </c>
      <c r="F1081" s="5"/>
      <c r="J1081" s="5"/>
      <c r="K1081" s="5"/>
    </row>
    <row r="1082" ht="16.5" customHeight="1" spans="4:11">
      <c r="D1082" s="180">
        <v>44644</v>
      </c>
      <c r="E1082" s="181">
        <v>17222.75</v>
      </c>
      <c r="F1082" s="5"/>
      <c r="J1082" s="5"/>
      <c r="K1082" s="5"/>
    </row>
    <row r="1083" ht="16.5" customHeight="1" spans="4:11">
      <c r="D1083" s="180">
        <v>44643</v>
      </c>
      <c r="E1083" s="181">
        <v>17245.65</v>
      </c>
      <c r="F1083" s="5"/>
      <c r="J1083" s="5"/>
      <c r="K1083" s="5"/>
    </row>
    <row r="1084" ht="16.5" customHeight="1" spans="4:11">
      <c r="D1084" s="180">
        <v>44642</v>
      </c>
      <c r="E1084" s="181">
        <v>17315.5</v>
      </c>
      <c r="F1084" s="5"/>
      <c r="J1084" s="5"/>
      <c r="K1084" s="5"/>
    </row>
    <row r="1085" ht="16.5" customHeight="1" spans="4:11">
      <c r="D1085" s="180">
        <v>44641</v>
      </c>
      <c r="E1085" s="181">
        <v>17117.6</v>
      </c>
      <c r="F1085" s="5"/>
      <c r="J1085" s="5"/>
      <c r="K1085" s="5"/>
    </row>
    <row r="1086" ht="16.5" customHeight="1" spans="4:11">
      <c r="D1086" s="180">
        <v>44637</v>
      </c>
      <c r="E1086" s="181">
        <v>17287.05</v>
      </c>
      <c r="F1086" s="5"/>
      <c r="J1086" s="5"/>
      <c r="K1086" s="5"/>
    </row>
    <row r="1087" ht="16.5" customHeight="1" spans="4:11">
      <c r="D1087" s="180">
        <v>44636</v>
      </c>
      <c r="E1087" s="181">
        <v>16975.35</v>
      </c>
      <c r="F1087" s="5"/>
      <c r="J1087" s="5"/>
      <c r="K1087" s="5"/>
    </row>
    <row r="1088" ht="16.5" customHeight="1" spans="4:11">
      <c r="D1088" s="180">
        <v>44635</v>
      </c>
      <c r="E1088" s="181">
        <v>16663</v>
      </c>
      <c r="F1088" s="5"/>
      <c r="J1088" s="5"/>
      <c r="K1088" s="5"/>
    </row>
    <row r="1089" ht="16.5" customHeight="1" spans="4:11">
      <c r="D1089" s="180">
        <v>44634</v>
      </c>
      <c r="E1089" s="181">
        <v>16871.3</v>
      </c>
      <c r="F1089" s="5"/>
      <c r="J1089" s="5"/>
      <c r="K1089" s="5"/>
    </row>
    <row r="1090" ht="16.5" customHeight="1" spans="4:11">
      <c r="D1090" s="180">
        <v>44631</v>
      </c>
      <c r="E1090" s="181">
        <v>16630.45</v>
      </c>
      <c r="F1090" s="5"/>
      <c r="J1090" s="5"/>
      <c r="K1090" s="5"/>
    </row>
    <row r="1091" ht="16.5" customHeight="1" spans="4:11">
      <c r="D1091" s="180">
        <v>44630</v>
      </c>
      <c r="E1091" s="181">
        <v>16594.9</v>
      </c>
      <c r="F1091" s="5"/>
      <c r="J1091" s="5"/>
      <c r="K1091" s="5"/>
    </row>
    <row r="1092" ht="16.5" customHeight="1" spans="4:11">
      <c r="D1092" s="180">
        <v>44629</v>
      </c>
      <c r="E1092" s="181">
        <v>16345.35</v>
      </c>
      <c r="F1092" s="5"/>
      <c r="J1092" s="5"/>
      <c r="K1092" s="5"/>
    </row>
    <row r="1093" ht="16.5" customHeight="1" spans="4:11">
      <c r="D1093" s="180">
        <v>44628</v>
      </c>
      <c r="E1093" s="181">
        <v>16013.45</v>
      </c>
      <c r="F1093" s="5"/>
      <c r="J1093" s="5"/>
      <c r="K1093" s="5"/>
    </row>
    <row r="1094" ht="16.5" customHeight="1" spans="4:11">
      <c r="D1094" s="180">
        <v>44627</v>
      </c>
      <c r="E1094" s="181">
        <v>15863.15</v>
      </c>
      <c r="F1094" s="5"/>
      <c r="J1094" s="5"/>
      <c r="K1094" s="5"/>
    </row>
    <row r="1095" ht="16.5" customHeight="1" spans="4:11">
      <c r="D1095" s="180">
        <v>44624</v>
      </c>
      <c r="E1095" s="181">
        <v>16245.35</v>
      </c>
      <c r="F1095" s="5"/>
      <c r="J1095" s="5"/>
      <c r="K1095" s="5"/>
    </row>
    <row r="1096" ht="16.5" customHeight="1" spans="4:11">
      <c r="D1096" s="180">
        <v>44623</v>
      </c>
      <c r="E1096" s="181">
        <v>16498.05</v>
      </c>
      <c r="F1096" s="5"/>
      <c r="J1096" s="5"/>
      <c r="K1096" s="5"/>
    </row>
    <row r="1097" ht="16.5" customHeight="1" spans="4:11">
      <c r="D1097" s="180">
        <v>44622</v>
      </c>
      <c r="E1097" s="181">
        <v>16605.95</v>
      </c>
      <c r="F1097" s="5"/>
      <c r="J1097" s="5"/>
      <c r="K1097" s="5"/>
    </row>
    <row r="1098" ht="16.5" customHeight="1" spans="4:11">
      <c r="D1098" s="180">
        <v>44620</v>
      </c>
      <c r="E1098" s="181">
        <v>16793.9</v>
      </c>
      <c r="F1098" s="5"/>
      <c r="J1098" s="5"/>
      <c r="K1098" s="5"/>
    </row>
    <row r="1099" ht="16.5" customHeight="1" spans="4:11">
      <c r="D1099" s="180">
        <v>44617</v>
      </c>
      <c r="E1099" s="181">
        <v>16658.4</v>
      </c>
      <c r="F1099" s="5"/>
      <c r="J1099" s="5"/>
      <c r="K1099" s="5"/>
    </row>
    <row r="1100" ht="16.5" customHeight="1" spans="4:11">
      <c r="D1100" s="180">
        <v>44616</v>
      </c>
      <c r="E1100" s="181">
        <v>16247.95</v>
      </c>
      <c r="F1100" s="5"/>
      <c r="J1100" s="5"/>
      <c r="K1100" s="5"/>
    </row>
    <row r="1101" ht="16.5" customHeight="1" spans="4:11">
      <c r="D1101" s="180">
        <v>44615</v>
      </c>
      <c r="E1101" s="181">
        <v>17063.25</v>
      </c>
      <c r="F1101" s="5"/>
      <c r="J1101" s="5"/>
      <c r="K1101" s="5"/>
    </row>
    <row r="1102" ht="16.5" customHeight="1" spans="4:11">
      <c r="D1102" s="180">
        <v>44614</v>
      </c>
      <c r="E1102" s="181">
        <v>17092.2</v>
      </c>
      <c r="F1102" s="5"/>
      <c r="J1102" s="5"/>
      <c r="K1102" s="5"/>
    </row>
    <row r="1103" ht="16.5" customHeight="1" spans="4:11">
      <c r="D1103" s="180">
        <v>44613</v>
      </c>
      <c r="E1103" s="181">
        <v>17206.65</v>
      </c>
      <c r="F1103" s="5"/>
      <c r="J1103" s="5"/>
      <c r="K1103" s="5"/>
    </row>
    <row r="1104" ht="16.5" customHeight="1" spans="4:11">
      <c r="D1104" s="180">
        <v>44610</v>
      </c>
      <c r="E1104" s="181">
        <v>17276.3</v>
      </c>
      <c r="F1104" s="5"/>
      <c r="J1104" s="5"/>
      <c r="K1104" s="5"/>
    </row>
    <row r="1105" ht="16.5" customHeight="1" spans="4:11">
      <c r="D1105" s="180">
        <v>44609</v>
      </c>
      <c r="E1105" s="181">
        <v>17304.6</v>
      </c>
      <c r="F1105" s="5"/>
      <c r="J1105" s="5"/>
      <c r="K1105" s="5"/>
    </row>
    <row r="1106" ht="16.5" customHeight="1" spans="4:11">
      <c r="D1106" s="180">
        <v>44608</v>
      </c>
      <c r="E1106" s="181">
        <v>17322.2</v>
      </c>
      <c r="F1106" s="5"/>
      <c r="J1106" s="5"/>
      <c r="K1106" s="5"/>
    </row>
    <row r="1107" ht="16.5" customHeight="1" spans="4:11">
      <c r="D1107" s="180">
        <v>44607</v>
      </c>
      <c r="E1107" s="181">
        <v>17352.45</v>
      </c>
      <c r="F1107" s="5"/>
      <c r="J1107" s="5"/>
      <c r="K1107" s="5"/>
    </row>
    <row r="1108" ht="16.5" customHeight="1" spans="4:11">
      <c r="D1108" s="180">
        <v>44606</v>
      </c>
      <c r="E1108" s="181">
        <v>16842.8</v>
      </c>
      <c r="F1108" s="5"/>
      <c r="J1108" s="5"/>
      <c r="K1108" s="5"/>
    </row>
    <row r="1109" ht="16.5" customHeight="1" spans="4:11">
      <c r="D1109" s="180">
        <v>44603</v>
      </c>
      <c r="E1109" s="181">
        <v>17374.75</v>
      </c>
      <c r="F1109" s="5"/>
      <c r="J1109" s="5"/>
      <c r="K1109" s="5"/>
    </row>
    <row r="1110" ht="16.5" customHeight="1" spans="4:11">
      <c r="D1110" s="180">
        <v>44602</v>
      </c>
      <c r="E1110" s="181">
        <v>17605.85</v>
      </c>
      <c r="F1110" s="5"/>
      <c r="J1110" s="5"/>
      <c r="K1110" s="5"/>
    </row>
    <row r="1111" ht="16.5" customHeight="1" spans="4:11">
      <c r="D1111" s="180">
        <v>44601</v>
      </c>
      <c r="E1111" s="181">
        <v>17463.8</v>
      </c>
      <c r="F1111" s="5"/>
      <c r="J1111" s="5"/>
      <c r="K1111" s="5"/>
    </row>
    <row r="1112" ht="16.5" customHeight="1" spans="4:11">
      <c r="D1112" s="180">
        <v>44600</v>
      </c>
      <c r="E1112" s="181">
        <v>17266.75</v>
      </c>
      <c r="F1112" s="5"/>
      <c r="J1112" s="5"/>
      <c r="K1112" s="5"/>
    </row>
    <row r="1113" ht="16.5" customHeight="1" spans="4:11">
      <c r="D1113" s="180">
        <v>44599</v>
      </c>
      <c r="E1113" s="181">
        <v>17213.6</v>
      </c>
      <c r="F1113" s="5"/>
      <c r="J1113" s="5"/>
      <c r="K1113" s="5"/>
    </row>
    <row r="1114" ht="16.5" customHeight="1" spans="4:11">
      <c r="D1114" s="180">
        <v>44596</v>
      </c>
      <c r="E1114" s="181">
        <v>17516.3</v>
      </c>
      <c r="F1114" s="5"/>
      <c r="J1114" s="5"/>
      <c r="K1114" s="5"/>
    </row>
    <row r="1115" ht="16.5" customHeight="1" spans="4:11">
      <c r="D1115" s="180">
        <v>44595</v>
      </c>
      <c r="E1115" s="181">
        <v>17560.2</v>
      </c>
      <c r="F1115" s="5"/>
      <c r="J1115" s="5"/>
      <c r="K1115" s="5"/>
    </row>
    <row r="1116" ht="16.5" customHeight="1" spans="4:11">
      <c r="D1116" s="180">
        <v>44594</v>
      </c>
      <c r="E1116" s="181">
        <v>17780</v>
      </c>
      <c r="F1116" s="5"/>
      <c r="J1116" s="5"/>
      <c r="K1116" s="5"/>
    </row>
    <row r="1117" ht="16.5" customHeight="1" spans="4:11">
      <c r="D1117" s="180">
        <v>44593</v>
      </c>
      <c r="E1117" s="181">
        <v>17576.85</v>
      </c>
      <c r="F1117" s="5"/>
      <c r="J1117" s="5"/>
      <c r="K1117" s="5"/>
    </row>
    <row r="1118" ht="16.5" customHeight="1" spans="4:11">
      <c r="D1118" s="180">
        <v>44592</v>
      </c>
      <c r="E1118" s="181">
        <v>17339.85</v>
      </c>
      <c r="F1118" s="5"/>
      <c r="J1118" s="5"/>
      <c r="K1118" s="5"/>
    </row>
    <row r="1119" ht="16.5" customHeight="1" spans="4:11">
      <c r="D1119" s="180">
        <v>44589</v>
      </c>
      <c r="E1119" s="181">
        <v>17101.95</v>
      </c>
      <c r="F1119" s="5"/>
      <c r="J1119" s="5"/>
      <c r="K1119" s="5"/>
    </row>
    <row r="1120" ht="16.5" customHeight="1" spans="4:11">
      <c r="D1120" s="180">
        <v>44588</v>
      </c>
      <c r="E1120" s="181">
        <v>17110.15</v>
      </c>
      <c r="F1120" s="5"/>
      <c r="J1120" s="5"/>
      <c r="K1120" s="5"/>
    </row>
    <row r="1121" ht="16.5" customHeight="1" spans="4:11">
      <c r="D1121" s="180">
        <v>44586</v>
      </c>
      <c r="E1121" s="181">
        <v>17277.95</v>
      </c>
      <c r="F1121" s="5"/>
      <c r="J1121" s="5"/>
      <c r="K1121" s="5"/>
    </row>
    <row r="1122" ht="16.5" customHeight="1" spans="4:11">
      <c r="D1122" s="180">
        <v>44585</v>
      </c>
      <c r="E1122" s="181">
        <v>17149.1</v>
      </c>
      <c r="F1122" s="5"/>
      <c r="J1122" s="5"/>
      <c r="K1122" s="5"/>
    </row>
    <row r="1123" ht="16.5" customHeight="1" spans="4:11">
      <c r="D1123" s="180">
        <v>44582</v>
      </c>
      <c r="E1123" s="181">
        <v>17617.15</v>
      </c>
      <c r="F1123" s="5"/>
      <c r="J1123" s="5"/>
      <c r="K1123" s="5"/>
    </row>
    <row r="1124" ht="16.5" customHeight="1" spans="4:11">
      <c r="D1124" s="180">
        <v>44581</v>
      </c>
      <c r="E1124" s="181">
        <v>17757</v>
      </c>
      <c r="F1124" s="5"/>
      <c r="J1124" s="5"/>
      <c r="K1124" s="5"/>
    </row>
    <row r="1125" ht="16.5" customHeight="1" spans="4:11">
      <c r="D1125" s="180">
        <v>44580</v>
      </c>
      <c r="E1125" s="181">
        <v>17938.4</v>
      </c>
      <c r="F1125" s="5"/>
      <c r="J1125" s="5"/>
      <c r="K1125" s="5"/>
    </row>
    <row r="1126" ht="16.5" customHeight="1" spans="4:11">
      <c r="D1126" s="180">
        <v>44579</v>
      </c>
      <c r="E1126" s="181">
        <v>18113.05</v>
      </c>
      <c r="F1126" s="5"/>
      <c r="J1126" s="5"/>
      <c r="K1126" s="5"/>
    </row>
    <row r="1127" ht="16.5" customHeight="1" spans="4:11">
      <c r="D1127" s="180">
        <v>44578</v>
      </c>
      <c r="E1127" s="181">
        <v>18308.1</v>
      </c>
      <c r="F1127" s="5"/>
      <c r="J1127" s="5"/>
      <c r="K1127" s="5"/>
    </row>
    <row r="1128" ht="16.5" customHeight="1" spans="4:11">
      <c r="D1128" s="180">
        <v>44575</v>
      </c>
      <c r="E1128" s="181">
        <v>18255.75</v>
      </c>
      <c r="F1128" s="5"/>
      <c r="J1128" s="5"/>
      <c r="K1128" s="5"/>
    </row>
    <row r="1129" ht="16.5" customHeight="1" spans="4:11">
      <c r="D1129" s="180">
        <v>44574</v>
      </c>
      <c r="E1129" s="181">
        <v>18257.8</v>
      </c>
      <c r="F1129" s="5"/>
      <c r="J1129" s="5"/>
      <c r="K1129" s="5"/>
    </row>
    <row r="1130" ht="16.5" customHeight="1" spans="4:11">
      <c r="D1130" s="180">
        <v>44573</v>
      </c>
      <c r="E1130" s="181">
        <v>18212.35</v>
      </c>
      <c r="F1130" s="5"/>
      <c r="J1130" s="5"/>
      <c r="K1130" s="5"/>
    </row>
    <row r="1131" ht="16.5" customHeight="1" spans="4:11">
      <c r="D1131" s="180">
        <v>44572</v>
      </c>
      <c r="E1131" s="181">
        <v>18055.75</v>
      </c>
      <c r="F1131" s="5"/>
      <c r="J1131" s="5"/>
      <c r="K1131" s="5"/>
    </row>
    <row r="1132" ht="16.5" customHeight="1" spans="4:11">
      <c r="D1132" s="180">
        <v>44571</v>
      </c>
      <c r="E1132" s="181">
        <v>18003.3</v>
      </c>
      <c r="F1132" s="5"/>
      <c r="J1132" s="5"/>
      <c r="K1132" s="5"/>
    </row>
    <row r="1133" ht="16.5" customHeight="1" spans="4:11">
      <c r="D1133" s="180">
        <v>44568</v>
      </c>
      <c r="E1133" s="181">
        <v>17812.7</v>
      </c>
      <c r="F1133" s="5"/>
      <c r="J1133" s="5"/>
      <c r="K1133" s="5"/>
    </row>
    <row r="1134" ht="16.5" customHeight="1" spans="4:11">
      <c r="D1134" s="180">
        <v>44567</v>
      </c>
      <c r="E1134" s="181">
        <v>17745.9</v>
      </c>
      <c r="F1134" s="5"/>
      <c r="J1134" s="5"/>
      <c r="K1134" s="5"/>
    </row>
    <row r="1135" ht="16.5" customHeight="1" spans="4:11">
      <c r="D1135" s="180">
        <v>44566</v>
      </c>
      <c r="E1135" s="181">
        <v>17925.25</v>
      </c>
      <c r="F1135" s="5"/>
      <c r="J1135" s="5"/>
      <c r="K1135" s="5"/>
    </row>
    <row r="1136" ht="16.5" customHeight="1" spans="4:11">
      <c r="D1136" s="180">
        <v>44565</v>
      </c>
      <c r="E1136" s="181">
        <v>17805.25</v>
      </c>
      <c r="F1136" s="5"/>
      <c r="J1136" s="5"/>
      <c r="K1136" s="5"/>
    </row>
    <row r="1137" ht="16.5" customHeight="1" spans="4:11">
      <c r="D1137" s="180">
        <v>44564</v>
      </c>
      <c r="E1137" s="181">
        <v>17625.7</v>
      </c>
      <c r="F1137" s="5"/>
      <c r="J1137" s="5"/>
      <c r="K1137" s="5"/>
    </row>
    <row r="1138" ht="16.5" customHeight="1" spans="4:11">
      <c r="D1138" s="180">
        <v>44561</v>
      </c>
      <c r="E1138" s="181">
        <v>17354.05</v>
      </c>
      <c r="F1138" s="5"/>
      <c r="J1138" s="5"/>
      <c r="K1138" s="5"/>
    </row>
    <row r="1139" ht="16.5" customHeight="1" spans="4:11">
      <c r="D1139" s="180">
        <v>44560</v>
      </c>
      <c r="E1139" s="181">
        <v>17203.95</v>
      </c>
      <c r="F1139" s="5"/>
      <c r="J1139" s="5"/>
      <c r="K1139" s="5"/>
    </row>
    <row r="1140" ht="16.5" customHeight="1" spans="4:11">
      <c r="D1140" s="180">
        <v>44559</v>
      </c>
      <c r="E1140" s="181">
        <v>17213.6</v>
      </c>
      <c r="F1140" s="5"/>
      <c r="J1140" s="5"/>
      <c r="K1140" s="5"/>
    </row>
    <row r="1141" ht="16.5" customHeight="1" spans="4:11">
      <c r="D1141" s="180">
        <v>44558</v>
      </c>
      <c r="E1141" s="181">
        <v>17233.25</v>
      </c>
      <c r="F1141" s="5"/>
      <c r="J1141" s="5"/>
      <c r="K1141" s="5"/>
    </row>
    <row r="1142" ht="16.5" customHeight="1" spans="4:11">
      <c r="D1142" s="180">
        <v>44557</v>
      </c>
      <c r="E1142" s="181">
        <v>17086.25</v>
      </c>
      <c r="F1142" s="5"/>
      <c r="J1142" s="5"/>
      <c r="K1142" s="5"/>
    </row>
    <row r="1143" ht="16.5" customHeight="1" spans="4:11">
      <c r="D1143" s="180">
        <v>44554</v>
      </c>
      <c r="E1143" s="181">
        <v>17003.75</v>
      </c>
      <c r="F1143" s="5"/>
      <c r="J1143" s="5"/>
      <c r="K1143" s="5"/>
    </row>
    <row r="1144" ht="16.5" customHeight="1" spans="4:11">
      <c r="D1144" s="180">
        <v>44553</v>
      </c>
      <c r="E1144" s="181">
        <v>17072.6</v>
      </c>
      <c r="F1144" s="5"/>
      <c r="J1144" s="5"/>
      <c r="K1144" s="5"/>
    </row>
    <row r="1145" ht="16.5" customHeight="1" spans="4:11">
      <c r="D1145" s="180">
        <v>44552</v>
      </c>
      <c r="E1145" s="181">
        <v>16955.45</v>
      </c>
      <c r="F1145" s="5"/>
      <c r="J1145" s="5"/>
      <c r="K1145" s="5"/>
    </row>
    <row r="1146" ht="16.5" customHeight="1" spans="4:11">
      <c r="D1146" s="180">
        <v>44551</v>
      </c>
      <c r="E1146" s="181">
        <v>16770.85</v>
      </c>
      <c r="F1146" s="5"/>
      <c r="J1146" s="5"/>
      <c r="K1146" s="5"/>
    </row>
    <row r="1147" ht="16.5" customHeight="1" spans="4:11">
      <c r="D1147" s="180">
        <v>44550</v>
      </c>
      <c r="E1147" s="181">
        <v>16614.2</v>
      </c>
      <c r="F1147" s="5"/>
      <c r="J1147" s="5"/>
      <c r="K1147" s="5"/>
    </row>
    <row r="1148" ht="16.5" customHeight="1" spans="4:11">
      <c r="D1148" s="180">
        <v>44547</v>
      </c>
      <c r="E1148" s="181">
        <v>16985.2</v>
      </c>
      <c r="F1148" s="5"/>
      <c r="J1148" s="5"/>
      <c r="K1148" s="5"/>
    </row>
    <row r="1149" ht="16.5" customHeight="1" spans="4:11">
      <c r="D1149" s="180">
        <v>44546</v>
      </c>
      <c r="E1149" s="181">
        <v>17248.4</v>
      </c>
      <c r="F1149" s="5"/>
      <c r="J1149" s="5"/>
      <c r="K1149" s="5"/>
    </row>
    <row r="1150" ht="16.5" customHeight="1" spans="4:11">
      <c r="D1150" s="180">
        <v>44545</v>
      </c>
      <c r="E1150" s="181">
        <v>17221.4</v>
      </c>
      <c r="F1150" s="5"/>
      <c r="J1150" s="5"/>
      <c r="K1150" s="5"/>
    </row>
    <row r="1151" ht="16.5" customHeight="1" spans="4:11">
      <c r="D1151" s="180">
        <v>44544</v>
      </c>
      <c r="E1151" s="181">
        <v>17324.9</v>
      </c>
      <c r="F1151" s="5"/>
      <c r="J1151" s="5"/>
      <c r="K1151" s="5"/>
    </row>
    <row r="1152" ht="16.5" customHeight="1" spans="4:11">
      <c r="D1152" s="180">
        <v>44543</v>
      </c>
      <c r="E1152" s="181">
        <v>17368.25</v>
      </c>
      <c r="F1152" s="5"/>
      <c r="J1152" s="5"/>
      <c r="K1152" s="5"/>
    </row>
    <row r="1153" ht="16.5" customHeight="1" spans="4:11">
      <c r="D1153" s="180">
        <v>44540</v>
      </c>
      <c r="E1153" s="181">
        <v>17511.3</v>
      </c>
      <c r="F1153" s="5"/>
      <c r="J1153" s="5"/>
      <c r="K1153" s="5"/>
    </row>
    <row r="1154" ht="16.5" customHeight="1" spans="4:11">
      <c r="D1154" s="180">
        <v>44539</v>
      </c>
      <c r="E1154" s="181">
        <v>17516.85</v>
      </c>
      <c r="F1154" s="5"/>
      <c r="J1154" s="5"/>
      <c r="K1154" s="5"/>
    </row>
    <row r="1155" ht="16.5" customHeight="1" spans="4:11">
      <c r="D1155" s="180">
        <v>44538</v>
      </c>
      <c r="E1155" s="181">
        <v>17469.75</v>
      </c>
      <c r="F1155" s="5"/>
      <c r="J1155" s="5"/>
      <c r="K1155" s="5"/>
    </row>
    <row r="1156" ht="16.5" customHeight="1" spans="4:11">
      <c r="D1156" s="180">
        <v>44537</v>
      </c>
      <c r="E1156" s="181">
        <v>17176.7</v>
      </c>
      <c r="F1156" s="5"/>
      <c r="J1156" s="5"/>
      <c r="K1156" s="5"/>
    </row>
    <row r="1157" ht="16.5" customHeight="1" spans="4:11">
      <c r="D1157" s="180">
        <v>44536</v>
      </c>
      <c r="E1157" s="181">
        <v>16912.25</v>
      </c>
      <c r="F1157" s="5"/>
      <c r="J1157" s="5"/>
      <c r="K1157" s="5"/>
    </row>
    <row r="1158" ht="16.5" customHeight="1" spans="4:11">
      <c r="D1158" s="180">
        <v>44533</v>
      </c>
      <c r="E1158" s="181">
        <v>17196.7</v>
      </c>
      <c r="F1158" s="5"/>
      <c r="J1158" s="5"/>
      <c r="K1158" s="5"/>
    </row>
    <row r="1159" ht="16.5" customHeight="1" spans="4:11">
      <c r="D1159" s="180">
        <v>44532</v>
      </c>
      <c r="E1159" s="181">
        <v>17401.65</v>
      </c>
      <c r="F1159" s="5"/>
      <c r="J1159" s="5"/>
      <c r="K1159" s="5"/>
    </row>
    <row r="1160" ht="16.5" customHeight="1" spans="4:11">
      <c r="D1160" s="180">
        <v>44531</v>
      </c>
      <c r="E1160" s="181">
        <v>17166.9</v>
      </c>
      <c r="F1160" s="5"/>
      <c r="J1160" s="5"/>
      <c r="K1160" s="5"/>
    </row>
    <row r="1161" ht="16.5" customHeight="1" spans="4:11">
      <c r="D1161" s="180">
        <v>44530</v>
      </c>
      <c r="E1161" s="181">
        <v>16983.2</v>
      </c>
      <c r="F1161" s="5"/>
      <c r="J1161" s="5"/>
      <c r="K1161" s="5"/>
    </row>
    <row r="1162" ht="16.5" customHeight="1" spans="4:11">
      <c r="D1162" s="180">
        <v>44529</v>
      </c>
      <c r="E1162" s="181">
        <v>17053.95</v>
      </c>
      <c r="F1162" s="5"/>
      <c r="J1162" s="5"/>
      <c r="K1162" s="5"/>
    </row>
    <row r="1163" ht="16.5" customHeight="1" spans="4:11">
      <c r="D1163" s="180">
        <v>44526</v>
      </c>
      <c r="E1163" s="181">
        <v>17026.45</v>
      </c>
      <c r="F1163" s="5"/>
      <c r="J1163" s="5"/>
      <c r="K1163" s="5"/>
    </row>
    <row r="1164" ht="16.5" customHeight="1" spans="4:11">
      <c r="D1164" s="180">
        <v>44525</v>
      </c>
      <c r="E1164" s="181">
        <v>17536.25</v>
      </c>
      <c r="F1164" s="5"/>
      <c r="J1164" s="5"/>
      <c r="K1164" s="5"/>
    </row>
    <row r="1165" ht="16.5" customHeight="1" spans="4:11">
      <c r="D1165" s="180">
        <v>44524</v>
      </c>
      <c r="E1165" s="181">
        <v>17415.05</v>
      </c>
      <c r="F1165" s="5"/>
      <c r="J1165" s="5"/>
      <c r="K1165" s="5"/>
    </row>
    <row r="1166" ht="16.5" customHeight="1" spans="4:11">
      <c r="D1166" s="180">
        <v>44523</v>
      </c>
      <c r="E1166" s="181">
        <v>17503.35</v>
      </c>
      <c r="F1166" s="5"/>
      <c r="J1166" s="5"/>
      <c r="K1166" s="5"/>
    </row>
    <row r="1167" ht="16.5" customHeight="1" spans="4:11">
      <c r="D1167" s="180">
        <v>44522</v>
      </c>
      <c r="E1167" s="181">
        <v>17416.55</v>
      </c>
      <c r="F1167" s="5"/>
      <c r="J1167" s="5"/>
      <c r="K1167" s="5"/>
    </row>
    <row r="1168" ht="16.5" customHeight="1" spans="4:11">
      <c r="D1168" s="180">
        <v>44518</v>
      </c>
      <c r="E1168" s="181">
        <v>17764.8</v>
      </c>
      <c r="F1168" s="5"/>
      <c r="J1168" s="5"/>
      <c r="K1168" s="5"/>
    </row>
    <row r="1169" ht="16.5" customHeight="1" spans="4:11">
      <c r="D1169" s="180">
        <v>44517</v>
      </c>
      <c r="E1169" s="181">
        <v>17898.65</v>
      </c>
      <c r="F1169" s="5"/>
      <c r="J1169" s="5"/>
      <c r="K1169" s="5"/>
    </row>
    <row r="1170" ht="16.5" customHeight="1" spans="4:11">
      <c r="D1170" s="180">
        <v>44516</v>
      </c>
      <c r="E1170" s="181">
        <v>17999.2</v>
      </c>
      <c r="F1170" s="5"/>
      <c r="J1170" s="5"/>
      <c r="K1170" s="5"/>
    </row>
    <row r="1171" ht="16.5" customHeight="1" spans="4:11">
      <c r="D1171" s="180">
        <v>44515</v>
      </c>
      <c r="E1171" s="181">
        <v>18109.45</v>
      </c>
      <c r="F1171" s="5"/>
      <c r="J1171" s="5"/>
      <c r="K1171" s="5"/>
    </row>
    <row r="1172" ht="16.5" customHeight="1" spans="4:11">
      <c r="D1172" s="180">
        <v>44512</v>
      </c>
      <c r="E1172" s="181">
        <v>18102.75</v>
      </c>
      <c r="F1172" s="5"/>
      <c r="J1172" s="5"/>
      <c r="K1172" s="5"/>
    </row>
    <row r="1173" ht="16.5" customHeight="1" spans="4:11">
      <c r="D1173" s="180">
        <v>44511</v>
      </c>
      <c r="E1173" s="181">
        <v>17873.6</v>
      </c>
      <c r="F1173" s="5"/>
      <c r="J1173" s="5"/>
      <c r="K1173" s="5"/>
    </row>
    <row r="1174" ht="16.5" customHeight="1" spans="4:11">
      <c r="D1174" s="180">
        <v>44510</v>
      </c>
      <c r="E1174" s="181">
        <v>18017.2</v>
      </c>
      <c r="F1174" s="5"/>
      <c r="J1174" s="5"/>
      <c r="K1174" s="5"/>
    </row>
    <row r="1175" ht="16.5" customHeight="1" spans="4:11">
      <c r="D1175" s="180">
        <v>44509</v>
      </c>
      <c r="E1175" s="181">
        <v>18044.25</v>
      </c>
      <c r="F1175" s="5"/>
      <c r="J1175" s="5"/>
      <c r="K1175" s="5"/>
    </row>
    <row r="1176" ht="16.5" customHeight="1" spans="4:11">
      <c r="D1176" s="180">
        <v>44508</v>
      </c>
      <c r="E1176" s="181">
        <v>18068.55</v>
      </c>
      <c r="F1176" s="5"/>
      <c r="J1176" s="5"/>
      <c r="K1176" s="5"/>
    </row>
    <row r="1177" ht="16.5" customHeight="1" spans="4:11">
      <c r="D1177" s="180">
        <v>44504</v>
      </c>
      <c r="E1177" s="181">
        <v>17916.8</v>
      </c>
      <c r="F1177" s="5"/>
      <c r="J1177" s="5"/>
      <c r="K1177" s="5"/>
    </row>
    <row r="1178" ht="16.5" customHeight="1" spans="4:11">
      <c r="D1178" s="180">
        <v>44503</v>
      </c>
      <c r="E1178" s="181">
        <v>17829.2</v>
      </c>
      <c r="F1178" s="5"/>
      <c r="J1178" s="5"/>
      <c r="K1178" s="5"/>
    </row>
    <row r="1179" ht="16.5" customHeight="1" spans="4:11">
      <c r="D1179" s="180">
        <v>44502</v>
      </c>
      <c r="E1179" s="181">
        <v>17888.95</v>
      </c>
      <c r="F1179" s="5"/>
      <c r="J1179" s="5"/>
      <c r="K1179" s="5"/>
    </row>
    <row r="1180" ht="16.5" customHeight="1" spans="4:11">
      <c r="D1180" s="180">
        <v>44501</v>
      </c>
      <c r="E1180" s="181">
        <v>17929.65</v>
      </c>
      <c r="F1180" s="5"/>
      <c r="J1180" s="5"/>
      <c r="K1180" s="5"/>
    </row>
    <row r="1181" ht="16.5" customHeight="1" spans="4:11">
      <c r="D1181" s="180">
        <v>44498</v>
      </c>
      <c r="E1181" s="181">
        <v>17671.65</v>
      </c>
      <c r="F1181" s="5"/>
      <c r="J1181" s="5"/>
      <c r="K1181" s="5"/>
    </row>
    <row r="1182" ht="16.5" customHeight="1" spans="4:11">
      <c r="D1182" s="180">
        <v>44497</v>
      </c>
      <c r="E1182" s="181">
        <v>17857.25</v>
      </c>
      <c r="F1182" s="5"/>
      <c r="J1182" s="5"/>
      <c r="K1182" s="5"/>
    </row>
    <row r="1183" ht="16.5" customHeight="1" spans="4:11">
      <c r="D1183" s="180">
        <v>44496</v>
      </c>
      <c r="E1183" s="181">
        <v>18210.95</v>
      </c>
      <c r="F1183" s="5"/>
      <c r="J1183" s="5"/>
      <c r="K1183" s="5"/>
    </row>
    <row r="1184" ht="16.5" customHeight="1" spans="4:11">
      <c r="D1184" s="180">
        <v>44495</v>
      </c>
      <c r="E1184" s="181">
        <v>18268.4</v>
      </c>
      <c r="F1184" s="5"/>
      <c r="J1184" s="5"/>
      <c r="K1184" s="5"/>
    </row>
    <row r="1185" ht="16.5" customHeight="1" spans="4:11">
      <c r="D1185" s="180">
        <v>44494</v>
      </c>
      <c r="E1185" s="181">
        <v>18125.4</v>
      </c>
      <c r="F1185" s="5"/>
      <c r="J1185" s="5"/>
      <c r="K1185" s="5"/>
    </row>
    <row r="1186" ht="16.5" customHeight="1" spans="4:11">
      <c r="D1186" s="180">
        <v>44491</v>
      </c>
      <c r="E1186" s="181">
        <v>18114.9</v>
      </c>
      <c r="F1186" s="5"/>
      <c r="J1186" s="5"/>
      <c r="K1186" s="5"/>
    </row>
    <row r="1187" ht="16.5" customHeight="1" spans="4:11">
      <c r="D1187" s="180">
        <v>44490</v>
      </c>
      <c r="E1187" s="181">
        <v>18178.1</v>
      </c>
      <c r="F1187" s="5"/>
      <c r="J1187" s="5"/>
      <c r="K1187" s="5"/>
    </row>
    <row r="1188" ht="16.5" customHeight="1" spans="4:11">
      <c r="D1188" s="180">
        <v>44489</v>
      </c>
      <c r="E1188" s="181">
        <v>18266.6</v>
      </c>
      <c r="F1188" s="5"/>
      <c r="J1188" s="5"/>
      <c r="K1188" s="5"/>
    </row>
    <row r="1189" ht="16.5" customHeight="1" spans="4:11">
      <c r="D1189" s="180">
        <v>44488</v>
      </c>
      <c r="E1189" s="181">
        <v>18418.75</v>
      </c>
      <c r="F1189" s="5"/>
      <c r="J1189" s="5"/>
      <c r="K1189" s="5"/>
    </row>
    <row r="1190" ht="16.5" customHeight="1" spans="4:11">
      <c r="D1190" s="180">
        <v>44487</v>
      </c>
      <c r="E1190" s="181">
        <v>18477.05</v>
      </c>
      <c r="F1190" s="5"/>
      <c r="J1190" s="5"/>
      <c r="K1190" s="5"/>
    </row>
    <row r="1191" ht="16.5" customHeight="1" spans="4:11">
      <c r="D1191" s="180">
        <v>44483</v>
      </c>
      <c r="E1191" s="181">
        <v>18338.55</v>
      </c>
      <c r="F1191" s="5"/>
      <c r="J1191" s="5"/>
      <c r="K1191" s="5"/>
    </row>
    <row r="1192" ht="16.5" customHeight="1" spans="4:11">
      <c r="D1192" s="180">
        <v>44482</v>
      </c>
      <c r="E1192" s="181">
        <v>18161.75</v>
      </c>
      <c r="F1192" s="5"/>
      <c r="J1192" s="5"/>
      <c r="K1192" s="5"/>
    </row>
    <row r="1193" ht="16.5" customHeight="1" spans="4:11">
      <c r="D1193" s="180">
        <v>44481</v>
      </c>
      <c r="E1193" s="181">
        <v>17991.95</v>
      </c>
      <c r="F1193" s="5"/>
      <c r="J1193" s="5"/>
      <c r="K1193" s="5"/>
    </row>
    <row r="1194" ht="16.5" customHeight="1" spans="4:11">
      <c r="D1194" s="180">
        <v>44480</v>
      </c>
      <c r="E1194" s="181">
        <v>17945.95</v>
      </c>
      <c r="F1194" s="5"/>
      <c r="J1194" s="5"/>
      <c r="K1194" s="5"/>
    </row>
    <row r="1195" ht="16.5" customHeight="1" spans="4:11">
      <c r="D1195" s="180">
        <v>44477</v>
      </c>
      <c r="E1195" s="181">
        <v>17895.2</v>
      </c>
      <c r="F1195" s="5"/>
      <c r="J1195" s="5"/>
      <c r="K1195" s="5"/>
    </row>
    <row r="1196" ht="16.5" customHeight="1" spans="4:11">
      <c r="D1196" s="180">
        <v>44476</v>
      </c>
      <c r="E1196" s="181">
        <v>17790.35</v>
      </c>
      <c r="F1196" s="5"/>
      <c r="J1196" s="5"/>
      <c r="K1196" s="5"/>
    </row>
    <row r="1197" ht="16.5" customHeight="1" spans="4:11">
      <c r="D1197" s="180">
        <v>44475</v>
      </c>
      <c r="E1197" s="181">
        <v>17646</v>
      </c>
      <c r="F1197" s="5"/>
      <c r="J1197" s="5"/>
      <c r="K1197" s="5"/>
    </row>
    <row r="1198" ht="16.5" customHeight="1" spans="4:11">
      <c r="D1198" s="180">
        <v>44474</v>
      </c>
      <c r="E1198" s="181">
        <v>17822.3</v>
      </c>
      <c r="F1198" s="5"/>
      <c r="J1198" s="5"/>
      <c r="K1198" s="5"/>
    </row>
    <row r="1199" ht="16.5" customHeight="1" spans="4:11">
      <c r="D1199" s="180">
        <v>44473</v>
      </c>
      <c r="E1199" s="181">
        <v>17691.25</v>
      </c>
      <c r="F1199" s="5"/>
      <c r="J1199" s="5"/>
      <c r="K1199" s="5"/>
    </row>
    <row r="1200" ht="16.5" customHeight="1" spans="4:11">
      <c r="D1200" s="180">
        <v>44470</v>
      </c>
      <c r="E1200" s="181">
        <v>17532.05</v>
      </c>
      <c r="F1200" s="5"/>
      <c r="J1200" s="5"/>
      <c r="K1200" s="5"/>
    </row>
    <row r="1201" ht="16.5" customHeight="1" spans="4:11">
      <c r="D1201" s="180">
        <v>44469</v>
      </c>
      <c r="E1201" s="181">
        <v>17618.15</v>
      </c>
      <c r="F1201" s="5"/>
      <c r="J1201" s="5"/>
      <c r="K1201" s="5"/>
    </row>
    <row r="1202" ht="16.5" customHeight="1" spans="4:11">
      <c r="D1202" s="180">
        <v>44468</v>
      </c>
      <c r="E1202" s="181">
        <v>17711.3</v>
      </c>
      <c r="F1202" s="5"/>
      <c r="J1202" s="5"/>
      <c r="K1202" s="5"/>
    </row>
    <row r="1203" ht="16.5" customHeight="1" spans="4:11">
      <c r="D1203" s="180">
        <v>44467</v>
      </c>
      <c r="E1203" s="181">
        <v>17748.6</v>
      </c>
      <c r="F1203" s="5"/>
      <c r="J1203" s="5"/>
      <c r="K1203" s="5"/>
    </row>
    <row r="1204" ht="16.5" customHeight="1" spans="4:11">
      <c r="D1204" s="180">
        <v>44466</v>
      </c>
      <c r="E1204" s="181">
        <v>17855.1</v>
      </c>
      <c r="F1204" s="5"/>
      <c r="J1204" s="5"/>
      <c r="K1204" s="5"/>
    </row>
    <row r="1205" ht="16.5" customHeight="1" spans="4:11">
      <c r="D1205" s="180">
        <v>44463</v>
      </c>
      <c r="E1205" s="181">
        <v>17853.2</v>
      </c>
      <c r="F1205" s="5"/>
      <c r="J1205" s="5"/>
      <c r="K1205" s="5"/>
    </row>
    <row r="1206" ht="16.5" customHeight="1" spans="4:11">
      <c r="D1206" s="180">
        <v>44462</v>
      </c>
      <c r="E1206" s="181">
        <v>17822.95</v>
      </c>
      <c r="F1206" s="5"/>
      <c r="J1206" s="5"/>
      <c r="K1206" s="5"/>
    </row>
    <row r="1207" ht="16.5" customHeight="1" spans="4:11">
      <c r="D1207" s="180">
        <v>44461</v>
      </c>
      <c r="E1207" s="181">
        <v>17546.65</v>
      </c>
      <c r="F1207" s="5"/>
      <c r="J1207" s="5"/>
      <c r="K1207" s="5"/>
    </row>
    <row r="1208" ht="16.5" customHeight="1" spans="4:11">
      <c r="D1208" s="180">
        <v>44460</v>
      </c>
      <c r="E1208" s="181">
        <v>17562</v>
      </c>
      <c r="F1208" s="5"/>
      <c r="J1208" s="5"/>
      <c r="K1208" s="5"/>
    </row>
    <row r="1209" ht="16.5" customHeight="1" spans="4:11">
      <c r="D1209" s="180">
        <v>44459</v>
      </c>
      <c r="E1209" s="181">
        <v>17396.9</v>
      </c>
      <c r="F1209" s="5"/>
      <c r="J1209" s="5"/>
      <c r="K1209" s="5"/>
    </row>
    <row r="1210" ht="16.5" customHeight="1" spans="4:11">
      <c r="D1210" s="180">
        <v>44456</v>
      </c>
      <c r="E1210" s="181">
        <v>17585.15</v>
      </c>
      <c r="F1210" s="5"/>
      <c r="J1210" s="5"/>
      <c r="K1210" s="5"/>
    </row>
    <row r="1211" ht="16.5" customHeight="1" spans="4:11">
      <c r="D1211" s="180">
        <v>44455</v>
      </c>
      <c r="E1211" s="181">
        <v>17629.5</v>
      </c>
      <c r="F1211" s="5"/>
      <c r="J1211" s="5"/>
      <c r="K1211" s="5"/>
    </row>
    <row r="1212" ht="16.5" customHeight="1" spans="4:11">
      <c r="D1212" s="180">
        <v>44454</v>
      </c>
      <c r="E1212" s="181">
        <v>17519.45</v>
      </c>
      <c r="F1212" s="5"/>
      <c r="J1212" s="5"/>
      <c r="K1212" s="5"/>
    </row>
    <row r="1213" ht="16.5" customHeight="1" spans="4:11">
      <c r="D1213" s="180">
        <v>44453</v>
      </c>
      <c r="E1213" s="181">
        <v>17380</v>
      </c>
      <c r="F1213" s="5"/>
      <c r="J1213" s="5"/>
      <c r="K1213" s="5"/>
    </row>
    <row r="1214" ht="16.5" customHeight="1" spans="4:11">
      <c r="D1214" s="180">
        <v>44452</v>
      </c>
      <c r="E1214" s="181">
        <v>17355.3</v>
      </c>
      <c r="F1214" s="5"/>
      <c r="J1214" s="5"/>
      <c r="K1214" s="5"/>
    </row>
    <row r="1215" ht="16.5" customHeight="1" spans="4:11">
      <c r="D1215" s="180">
        <v>44448</v>
      </c>
      <c r="E1215" s="181">
        <v>17369.25</v>
      </c>
      <c r="F1215" s="5"/>
      <c r="J1215" s="5"/>
      <c r="K1215" s="5"/>
    </row>
    <row r="1216" ht="16.5" customHeight="1" spans="4:11">
      <c r="D1216" s="180">
        <v>44447</v>
      </c>
      <c r="E1216" s="181">
        <v>17353.5</v>
      </c>
      <c r="F1216" s="5"/>
      <c r="J1216" s="5"/>
      <c r="K1216" s="5"/>
    </row>
    <row r="1217" ht="16.5" customHeight="1" spans="4:11">
      <c r="D1217" s="180">
        <v>44446</v>
      </c>
      <c r="E1217" s="181">
        <v>17362.1</v>
      </c>
      <c r="F1217" s="5"/>
      <c r="J1217" s="5"/>
      <c r="K1217" s="5"/>
    </row>
    <row r="1218" ht="16.5" customHeight="1" spans="4:11">
      <c r="D1218" s="180">
        <v>44445</v>
      </c>
      <c r="E1218" s="181">
        <v>17377.8</v>
      </c>
      <c r="F1218" s="5"/>
      <c r="J1218" s="5"/>
      <c r="K1218" s="5"/>
    </row>
    <row r="1219" ht="16.5" customHeight="1" spans="4:11">
      <c r="D1219" s="180">
        <v>44442</v>
      </c>
      <c r="E1219" s="181">
        <v>17323.6</v>
      </c>
      <c r="F1219" s="5"/>
      <c r="J1219" s="5"/>
      <c r="K1219" s="5"/>
    </row>
    <row r="1220" ht="16.5" customHeight="1" spans="4:11">
      <c r="D1220" s="180">
        <v>44441</v>
      </c>
      <c r="E1220" s="181">
        <v>17234.15</v>
      </c>
      <c r="F1220" s="5"/>
      <c r="J1220" s="5"/>
      <c r="K1220" s="5"/>
    </row>
    <row r="1221" ht="16.5" customHeight="1" spans="4:11">
      <c r="D1221" s="180">
        <v>44440</v>
      </c>
      <c r="E1221" s="181">
        <v>17076.25</v>
      </c>
      <c r="F1221" s="5"/>
      <c r="J1221" s="5"/>
      <c r="K1221" s="5"/>
    </row>
    <row r="1222" ht="16.5" customHeight="1" spans="4:11">
      <c r="D1222" s="180">
        <v>44439</v>
      </c>
      <c r="E1222" s="181">
        <v>17132.2</v>
      </c>
      <c r="F1222" s="5"/>
      <c r="J1222" s="5"/>
      <c r="K1222" s="5"/>
    </row>
    <row r="1223" ht="16.5" customHeight="1" spans="4:11">
      <c r="D1223" s="180">
        <v>44438</v>
      </c>
      <c r="E1223" s="181">
        <v>16931.05</v>
      </c>
      <c r="F1223" s="5"/>
      <c r="J1223" s="5"/>
      <c r="K1223" s="5"/>
    </row>
    <row r="1224" ht="16.5" customHeight="1" spans="4:11">
      <c r="D1224" s="180">
        <v>44435</v>
      </c>
      <c r="E1224" s="181">
        <v>16705.2</v>
      </c>
      <c r="F1224" s="5"/>
      <c r="J1224" s="5"/>
      <c r="K1224" s="5"/>
    </row>
    <row r="1225" ht="16.5" customHeight="1" spans="4:11">
      <c r="D1225" s="180">
        <v>44434</v>
      </c>
      <c r="E1225" s="181">
        <v>16636.9</v>
      </c>
      <c r="F1225" s="5"/>
      <c r="J1225" s="5"/>
      <c r="K1225" s="5"/>
    </row>
    <row r="1226" ht="16.5" customHeight="1" spans="4:11">
      <c r="D1226" s="180">
        <v>44433</v>
      </c>
      <c r="E1226" s="181">
        <v>16634.65</v>
      </c>
      <c r="F1226" s="5"/>
      <c r="J1226" s="5"/>
      <c r="K1226" s="5"/>
    </row>
    <row r="1227" ht="16.5" customHeight="1" spans="4:11">
      <c r="D1227" s="180">
        <v>44432</v>
      </c>
      <c r="E1227" s="181">
        <v>16624.6</v>
      </c>
      <c r="F1227" s="5"/>
      <c r="J1227" s="5"/>
      <c r="K1227" s="5"/>
    </row>
    <row r="1228" ht="16.5" customHeight="1" spans="4:11">
      <c r="D1228" s="180">
        <v>44431</v>
      </c>
      <c r="E1228" s="181">
        <v>16496.45</v>
      </c>
      <c r="F1228" s="5"/>
      <c r="J1228" s="5"/>
      <c r="K1228" s="5"/>
    </row>
    <row r="1229" ht="16.5" customHeight="1" spans="4:11">
      <c r="D1229" s="180">
        <v>44428</v>
      </c>
      <c r="E1229" s="181">
        <v>16450.5</v>
      </c>
      <c r="F1229" s="5"/>
      <c r="J1229" s="5"/>
      <c r="K1229" s="5"/>
    </row>
    <row r="1230" ht="16.5" customHeight="1" spans="4:11">
      <c r="D1230" s="180">
        <v>44426</v>
      </c>
      <c r="E1230" s="181">
        <v>16568.85</v>
      </c>
      <c r="F1230" s="5"/>
      <c r="J1230" s="5"/>
      <c r="K1230" s="5"/>
    </row>
    <row r="1231" ht="16.5" customHeight="1" spans="4:11">
      <c r="D1231" s="180">
        <v>44425</v>
      </c>
      <c r="E1231" s="181">
        <v>16614.6</v>
      </c>
      <c r="F1231" s="5"/>
      <c r="J1231" s="5"/>
      <c r="K1231" s="5"/>
    </row>
    <row r="1232" ht="16.5" customHeight="1" spans="4:11">
      <c r="D1232" s="180">
        <v>44424</v>
      </c>
      <c r="E1232" s="181">
        <v>16563.05</v>
      </c>
      <c r="F1232" s="5"/>
      <c r="J1232" s="5"/>
      <c r="K1232" s="5"/>
    </row>
    <row r="1233" ht="16.5" customHeight="1" spans="4:11">
      <c r="D1233" s="180">
        <v>44421</v>
      </c>
      <c r="E1233" s="181">
        <v>16529.1</v>
      </c>
      <c r="F1233" s="5"/>
      <c r="J1233" s="5"/>
      <c r="K1233" s="5"/>
    </row>
    <row r="1234" ht="16.5" customHeight="1" spans="4:11">
      <c r="D1234" s="180">
        <v>44420</v>
      </c>
      <c r="E1234" s="181">
        <v>16364.4</v>
      </c>
      <c r="F1234" s="5"/>
      <c r="J1234" s="5"/>
      <c r="K1234" s="5"/>
    </row>
    <row r="1235" ht="16.5" customHeight="1" spans="4:11">
      <c r="D1235" s="180">
        <v>44419</v>
      </c>
      <c r="E1235" s="181">
        <v>16282.25</v>
      </c>
      <c r="F1235" s="5"/>
      <c r="J1235" s="5"/>
      <c r="K1235" s="5"/>
    </row>
    <row r="1236" ht="16.5" customHeight="1" spans="4:11">
      <c r="D1236" s="180">
        <v>44418</v>
      </c>
      <c r="E1236" s="181">
        <v>16280.1</v>
      </c>
      <c r="F1236" s="5"/>
      <c r="J1236" s="5"/>
      <c r="K1236" s="5"/>
    </row>
    <row r="1237" ht="16.5" customHeight="1" spans="4:11">
      <c r="D1237" s="180">
        <v>44417</v>
      </c>
      <c r="E1237" s="181">
        <v>16258.25</v>
      </c>
      <c r="F1237" s="5"/>
      <c r="J1237" s="5"/>
      <c r="K1237" s="5"/>
    </row>
    <row r="1238" ht="16.5" customHeight="1" spans="4:11">
      <c r="D1238" s="180">
        <v>44414</v>
      </c>
      <c r="E1238" s="181">
        <v>16238.2</v>
      </c>
      <c r="F1238" s="5"/>
      <c r="J1238" s="5"/>
      <c r="K1238" s="5"/>
    </row>
    <row r="1239" ht="16.5" customHeight="1" spans="4:11">
      <c r="D1239" s="180">
        <v>44413</v>
      </c>
      <c r="E1239" s="181">
        <v>16294.6</v>
      </c>
      <c r="F1239" s="5"/>
      <c r="J1239" s="5"/>
      <c r="K1239" s="5"/>
    </row>
    <row r="1240" ht="16.5" customHeight="1" spans="4:11">
      <c r="D1240" s="180">
        <v>44412</v>
      </c>
      <c r="E1240" s="181">
        <v>16258.8</v>
      </c>
      <c r="F1240" s="5"/>
      <c r="J1240" s="5"/>
      <c r="K1240" s="5"/>
    </row>
    <row r="1241" ht="16.5" customHeight="1" spans="4:11">
      <c r="D1241" s="180">
        <v>44411</v>
      </c>
      <c r="E1241" s="181">
        <v>16130.75</v>
      </c>
      <c r="F1241" s="5"/>
      <c r="J1241" s="5"/>
      <c r="K1241" s="5"/>
    </row>
    <row r="1242" ht="16.5" customHeight="1" spans="4:11">
      <c r="D1242" s="180">
        <v>44410</v>
      </c>
      <c r="E1242" s="181">
        <v>15885.15</v>
      </c>
      <c r="F1242" s="5"/>
      <c r="J1242" s="5"/>
      <c r="K1242" s="5"/>
    </row>
    <row r="1243" ht="16.5" customHeight="1" spans="4:11">
      <c r="D1243" s="180">
        <v>44407</v>
      </c>
      <c r="E1243" s="181">
        <v>15763.05</v>
      </c>
      <c r="F1243" s="5"/>
      <c r="J1243" s="5"/>
      <c r="K1243" s="5"/>
    </row>
    <row r="1244" ht="16.5" customHeight="1" spans="4:11">
      <c r="D1244" s="180">
        <v>44406</v>
      </c>
      <c r="E1244" s="181">
        <v>15778.45</v>
      </c>
      <c r="F1244" s="5"/>
      <c r="J1244" s="5"/>
      <c r="K1244" s="5"/>
    </row>
    <row r="1245" ht="16.5" customHeight="1" spans="4:11">
      <c r="D1245" s="180">
        <v>44405</v>
      </c>
      <c r="E1245" s="181">
        <v>15709.4</v>
      </c>
      <c r="F1245" s="5"/>
      <c r="J1245" s="5"/>
      <c r="K1245" s="5"/>
    </row>
    <row r="1246" ht="16.5" customHeight="1" spans="4:11">
      <c r="D1246" s="180">
        <v>44404</v>
      </c>
      <c r="E1246" s="181">
        <v>15746.45</v>
      </c>
      <c r="F1246" s="5"/>
      <c r="J1246" s="5"/>
      <c r="K1246" s="5"/>
    </row>
    <row r="1247" ht="16.5" customHeight="1" spans="4:11">
      <c r="D1247" s="180">
        <v>44403</v>
      </c>
      <c r="E1247" s="181">
        <v>15824.45</v>
      </c>
      <c r="F1247" s="5"/>
      <c r="J1247" s="5"/>
      <c r="K1247" s="5"/>
    </row>
    <row r="1248" ht="16.5" customHeight="1" spans="4:11">
      <c r="D1248" s="180">
        <v>44400</v>
      </c>
      <c r="E1248" s="181">
        <v>15856.05</v>
      </c>
      <c r="F1248" s="5"/>
      <c r="J1248" s="5"/>
      <c r="K1248" s="5"/>
    </row>
    <row r="1249" ht="16.5" customHeight="1" spans="4:11">
      <c r="D1249" s="180">
        <v>44399</v>
      </c>
      <c r="E1249" s="181">
        <v>15824.05</v>
      </c>
      <c r="F1249" s="5"/>
      <c r="J1249" s="5"/>
      <c r="K1249" s="5"/>
    </row>
    <row r="1250" ht="16.5" customHeight="1" spans="4:11">
      <c r="D1250" s="180">
        <v>44397</v>
      </c>
      <c r="E1250" s="181">
        <v>15632.1</v>
      </c>
      <c r="F1250" s="5"/>
      <c r="J1250" s="5"/>
      <c r="K1250" s="5"/>
    </row>
    <row r="1251" ht="16.5" customHeight="1" spans="4:11">
      <c r="D1251" s="180">
        <v>44396</v>
      </c>
      <c r="E1251" s="181">
        <v>15752.4</v>
      </c>
      <c r="F1251" s="5"/>
      <c r="J1251" s="5"/>
      <c r="K1251" s="5"/>
    </row>
    <row r="1252" ht="16.5" customHeight="1" spans="4:11">
      <c r="D1252" s="180">
        <v>44393</v>
      </c>
      <c r="E1252" s="181">
        <v>15923.4</v>
      </c>
      <c r="F1252" s="5"/>
      <c r="J1252" s="5"/>
      <c r="K1252" s="5"/>
    </row>
    <row r="1253" ht="16.5" customHeight="1" spans="4:11">
      <c r="D1253" s="180">
        <v>44392</v>
      </c>
      <c r="E1253" s="181">
        <v>15924.2</v>
      </c>
      <c r="F1253" s="5"/>
      <c r="J1253" s="5"/>
      <c r="K1253" s="5"/>
    </row>
    <row r="1254" ht="16.5" customHeight="1" spans="4:11">
      <c r="D1254" s="180">
        <v>44391</v>
      </c>
      <c r="E1254" s="181">
        <v>15853.95</v>
      </c>
      <c r="F1254" s="5"/>
      <c r="J1254" s="5"/>
      <c r="K1254" s="5"/>
    </row>
    <row r="1255" ht="16.5" customHeight="1" spans="4:11">
      <c r="D1255" s="180">
        <v>44390</v>
      </c>
      <c r="E1255" s="181">
        <v>15812.35</v>
      </c>
      <c r="F1255" s="5"/>
      <c r="J1255" s="5"/>
      <c r="K1255" s="5"/>
    </row>
    <row r="1256" ht="16.5" customHeight="1" spans="4:11">
      <c r="D1256" s="180">
        <v>44389</v>
      </c>
      <c r="E1256" s="181">
        <v>15692.6</v>
      </c>
      <c r="F1256" s="5"/>
      <c r="J1256" s="5"/>
      <c r="K1256" s="5"/>
    </row>
    <row r="1257" ht="16.5" customHeight="1" spans="4:11">
      <c r="D1257" s="180">
        <v>44386</v>
      </c>
      <c r="E1257" s="181">
        <v>15689.8</v>
      </c>
      <c r="F1257" s="5"/>
      <c r="J1257" s="5"/>
      <c r="K1257" s="5"/>
    </row>
    <row r="1258" ht="16.5" customHeight="1" spans="4:11">
      <c r="D1258" s="180">
        <v>44385</v>
      </c>
      <c r="E1258" s="181">
        <v>15727.9</v>
      </c>
      <c r="F1258" s="5"/>
      <c r="J1258" s="5"/>
      <c r="K1258" s="5"/>
    </row>
    <row r="1259" ht="16.5" customHeight="1" spans="4:11">
      <c r="D1259" s="180">
        <v>44384</v>
      </c>
      <c r="E1259" s="181">
        <v>15879.65</v>
      </c>
      <c r="F1259" s="5"/>
      <c r="J1259" s="5"/>
      <c r="K1259" s="5"/>
    </row>
    <row r="1260" ht="16.5" customHeight="1" spans="4:11">
      <c r="D1260" s="180">
        <v>44383</v>
      </c>
      <c r="E1260" s="181">
        <v>15818.25</v>
      </c>
      <c r="F1260" s="5"/>
      <c r="J1260" s="5"/>
      <c r="K1260" s="5"/>
    </row>
    <row r="1261" ht="16.5" customHeight="1" spans="4:11">
      <c r="D1261" s="180">
        <v>44382</v>
      </c>
      <c r="E1261" s="181">
        <v>15834.35</v>
      </c>
      <c r="F1261" s="5"/>
      <c r="J1261" s="5"/>
      <c r="K1261" s="5"/>
    </row>
    <row r="1262" ht="16.5" customHeight="1" spans="4:11">
      <c r="D1262" s="180">
        <v>44379</v>
      </c>
      <c r="E1262" s="181">
        <v>15722.2</v>
      </c>
      <c r="F1262" s="5"/>
      <c r="J1262" s="5"/>
      <c r="K1262" s="5"/>
    </row>
    <row r="1263" ht="16.5" customHeight="1" spans="4:11">
      <c r="D1263" s="180">
        <v>44378</v>
      </c>
      <c r="E1263" s="181">
        <v>15680</v>
      </c>
      <c r="F1263" s="5"/>
      <c r="J1263" s="5"/>
      <c r="K1263" s="5"/>
    </row>
    <row r="1264" ht="16.5" customHeight="1" spans="4:11">
      <c r="D1264" s="180">
        <v>44377</v>
      </c>
      <c r="E1264" s="181">
        <v>15721.5</v>
      </c>
      <c r="F1264" s="5"/>
      <c r="J1264" s="5"/>
      <c r="K1264" s="5"/>
    </row>
    <row r="1265" ht="16.5" customHeight="1" spans="4:11">
      <c r="D1265" s="180">
        <v>44376</v>
      </c>
      <c r="E1265" s="181">
        <v>15748.45</v>
      </c>
      <c r="F1265" s="5"/>
      <c r="J1265" s="5"/>
      <c r="K1265" s="5"/>
    </row>
    <row r="1266" ht="16.5" customHeight="1" spans="4:11">
      <c r="D1266" s="180">
        <v>44375</v>
      </c>
      <c r="E1266" s="181">
        <v>15814.7</v>
      </c>
      <c r="F1266" s="5"/>
      <c r="J1266" s="5"/>
      <c r="K1266" s="5"/>
    </row>
    <row r="1267" ht="16.5" customHeight="1" spans="4:11">
      <c r="D1267" s="180">
        <v>44372</v>
      </c>
      <c r="E1267" s="181">
        <v>15860.35</v>
      </c>
      <c r="F1267" s="5"/>
      <c r="J1267" s="5"/>
      <c r="K1267" s="5"/>
    </row>
    <row r="1268" ht="16.5" customHeight="1" spans="4:11">
      <c r="D1268" s="180">
        <v>44371</v>
      </c>
      <c r="E1268" s="181">
        <v>15790.45</v>
      </c>
      <c r="F1268" s="5"/>
      <c r="J1268" s="5"/>
      <c r="K1268" s="5"/>
    </row>
    <row r="1269" ht="16.5" customHeight="1" spans="4:11">
      <c r="D1269" s="180">
        <v>44370</v>
      </c>
      <c r="E1269" s="181">
        <v>15686.95</v>
      </c>
      <c r="F1269" s="5"/>
      <c r="J1269" s="5"/>
      <c r="K1269" s="5"/>
    </row>
    <row r="1270" ht="16.5" customHeight="1" spans="4:11">
      <c r="D1270" s="180">
        <v>44369</v>
      </c>
      <c r="E1270" s="181">
        <v>15772.75</v>
      </c>
      <c r="F1270" s="5"/>
      <c r="J1270" s="5"/>
      <c r="K1270" s="5"/>
    </row>
    <row r="1271" ht="16.5" customHeight="1" spans="4:11">
      <c r="D1271" s="180">
        <v>44368</v>
      </c>
      <c r="E1271" s="181">
        <v>15746.5</v>
      </c>
      <c r="F1271" s="5"/>
      <c r="J1271" s="5"/>
      <c r="K1271" s="5"/>
    </row>
    <row r="1272" ht="16.5" customHeight="1" spans="4:11">
      <c r="D1272" s="180">
        <v>44365</v>
      </c>
      <c r="E1272" s="181">
        <v>15683.35</v>
      </c>
      <c r="F1272" s="5"/>
      <c r="J1272" s="5"/>
      <c r="K1272" s="5"/>
    </row>
    <row r="1273" ht="16.5" customHeight="1" spans="4:11">
      <c r="D1273" s="180">
        <v>44364</v>
      </c>
      <c r="E1273" s="181">
        <v>15691.4</v>
      </c>
      <c r="F1273" s="5"/>
      <c r="J1273" s="5"/>
      <c r="K1273" s="5"/>
    </row>
    <row r="1274" ht="16.5" customHeight="1" spans="4:11">
      <c r="D1274" s="180">
        <v>44363</v>
      </c>
      <c r="E1274" s="181">
        <v>15767.55</v>
      </c>
      <c r="F1274" s="5"/>
      <c r="J1274" s="5"/>
      <c r="K1274" s="5"/>
    </row>
    <row r="1275" ht="16.5" customHeight="1" spans="4:11">
      <c r="D1275" s="180">
        <v>44362</v>
      </c>
      <c r="E1275" s="181">
        <v>15869.25</v>
      </c>
      <c r="F1275" s="5"/>
      <c r="J1275" s="5"/>
      <c r="K1275" s="5"/>
    </row>
    <row r="1276" ht="16.5" customHeight="1" spans="4:11">
      <c r="D1276" s="180">
        <v>44361</v>
      </c>
      <c r="E1276" s="181">
        <v>15811.85</v>
      </c>
      <c r="F1276" s="5"/>
      <c r="J1276" s="5"/>
      <c r="K1276" s="5"/>
    </row>
    <row r="1277" ht="16.5" customHeight="1" spans="4:11">
      <c r="D1277" s="180">
        <v>44358</v>
      </c>
      <c r="E1277" s="181">
        <v>15799.35</v>
      </c>
      <c r="F1277" s="5"/>
      <c r="J1277" s="5"/>
      <c r="K1277" s="5"/>
    </row>
    <row r="1278" ht="16.5" customHeight="1" spans="4:11">
      <c r="D1278" s="180">
        <v>44357</v>
      </c>
      <c r="E1278" s="181">
        <v>15737.75</v>
      </c>
      <c r="F1278" s="5"/>
      <c r="J1278" s="5"/>
      <c r="K1278" s="5"/>
    </row>
    <row r="1279" ht="16.5" customHeight="1" spans="4:11">
      <c r="D1279" s="180">
        <v>44356</v>
      </c>
      <c r="E1279" s="181">
        <v>15635.35</v>
      </c>
      <c r="F1279" s="5"/>
      <c r="J1279" s="5"/>
      <c r="K1279" s="5"/>
    </row>
    <row r="1280" ht="16.5" customHeight="1" spans="4:11">
      <c r="D1280" s="180">
        <v>44355</v>
      </c>
      <c r="E1280" s="181">
        <v>15740.1</v>
      </c>
      <c r="F1280" s="5"/>
      <c r="J1280" s="5"/>
      <c r="K1280" s="5"/>
    </row>
    <row r="1281" ht="16.5" customHeight="1" spans="4:11">
      <c r="D1281" s="180">
        <v>44354</v>
      </c>
      <c r="E1281" s="181">
        <v>15751.65</v>
      </c>
      <c r="F1281" s="5"/>
      <c r="J1281" s="5"/>
      <c r="K1281" s="5"/>
    </row>
    <row r="1282" ht="16.5" customHeight="1" spans="4:11">
      <c r="D1282" s="180">
        <v>44351</v>
      </c>
      <c r="E1282" s="181">
        <v>15670.25</v>
      </c>
      <c r="F1282" s="5"/>
      <c r="J1282" s="5"/>
      <c r="K1282" s="5"/>
    </row>
    <row r="1283" ht="16.5" customHeight="1" spans="4:11">
      <c r="D1283" s="180">
        <v>44350</v>
      </c>
      <c r="E1283" s="181">
        <v>15690.35</v>
      </c>
      <c r="F1283" s="5"/>
      <c r="J1283" s="5"/>
      <c r="K1283" s="5"/>
    </row>
    <row r="1284" ht="16.5" customHeight="1" spans="4:11">
      <c r="D1284" s="180">
        <v>44349</v>
      </c>
      <c r="E1284" s="181">
        <v>15576.2</v>
      </c>
      <c r="F1284" s="5"/>
      <c r="J1284" s="5"/>
      <c r="K1284" s="5"/>
    </row>
    <row r="1285" ht="16.5" customHeight="1" spans="4:11">
      <c r="D1285" s="180">
        <v>44348</v>
      </c>
      <c r="E1285" s="181">
        <v>15574.85</v>
      </c>
      <c r="F1285" s="5"/>
      <c r="J1285" s="5"/>
      <c r="K1285" s="5"/>
    </row>
    <row r="1286" ht="16.5" customHeight="1" spans="4:11">
      <c r="D1286" s="180">
        <v>44347</v>
      </c>
      <c r="E1286" s="181">
        <v>15582.8</v>
      </c>
      <c r="F1286" s="5"/>
      <c r="J1286" s="5"/>
      <c r="K1286" s="5"/>
    </row>
    <row r="1287" ht="16.5" customHeight="1" spans="4:11">
      <c r="D1287" s="180">
        <v>44344</v>
      </c>
      <c r="E1287" s="181">
        <v>15435.65</v>
      </c>
      <c r="F1287" s="5"/>
      <c r="J1287" s="5"/>
      <c r="K1287" s="5"/>
    </row>
    <row r="1288" ht="16.5" customHeight="1" spans="4:11">
      <c r="D1288" s="180">
        <v>44343</v>
      </c>
      <c r="E1288" s="181">
        <v>15337.85</v>
      </c>
      <c r="F1288" s="5"/>
      <c r="J1288" s="5"/>
      <c r="K1288" s="5"/>
    </row>
    <row r="1289" ht="16.5" customHeight="1" spans="4:11">
      <c r="D1289" s="180">
        <v>44342</v>
      </c>
      <c r="E1289" s="181">
        <v>15301.45</v>
      </c>
      <c r="F1289" s="5"/>
      <c r="J1289" s="5"/>
      <c r="K1289" s="5"/>
    </row>
    <row r="1290" ht="16.5" customHeight="1" spans="4:11">
      <c r="D1290" s="180">
        <v>44341</v>
      </c>
      <c r="E1290" s="181">
        <v>15208.45</v>
      </c>
      <c r="F1290" s="5"/>
      <c r="J1290" s="5"/>
      <c r="K1290" s="5"/>
    </row>
    <row r="1291" ht="16.5" customHeight="1" spans="4:11">
      <c r="D1291" s="180">
        <v>44340</v>
      </c>
      <c r="E1291" s="181">
        <v>15197.7</v>
      </c>
      <c r="F1291" s="5"/>
      <c r="J1291" s="5"/>
      <c r="K1291" s="5"/>
    </row>
    <row r="1292" ht="16.5" customHeight="1" spans="4:11">
      <c r="D1292" s="180">
        <v>44337</v>
      </c>
      <c r="E1292" s="181">
        <v>15175.3</v>
      </c>
      <c r="F1292" s="5"/>
      <c r="J1292" s="5"/>
      <c r="K1292" s="5"/>
    </row>
    <row r="1293" ht="16.5" customHeight="1" spans="4:11">
      <c r="D1293" s="180">
        <v>44336</v>
      </c>
      <c r="E1293" s="181">
        <v>14906.05</v>
      </c>
      <c r="F1293" s="5"/>
      <c r="J1293" s="5"/>
      <c r="K1293" s="5"/>
    </row>
    <row r="1294" ht="16.5" customHeight="1" spans="4:11">
      <c r="D1294" s="180">
        <v>44335</v>
      </c>
      <c r="E1294" s="181">
        <v>15030.15</v>
      </c>
      <c r="F1294" s="5"/>
      <c r="J1294" s="5"/>
      <c r="K1294" s="5"/>
    </row>
    <row r="1295" ht="16.5" customHeight="1" spans="4:11">
      <c r="D1295" s="180">
        <v>44334</v>
      </c>
      <c r="E1295" s="181">
        <v>15108.1</v>
      </c>
      <c r="F1295" s="5"/>
      <c r="J1295" s="5"/>
      <c r="K1295" s="5"/>
    </row>
    <row r="1296" ht="16.5" customHeight="1" spans="4:11">
      <c r="D1296" s="180">
        <v>44333</v>
      </c>
      <c r="E1296" s="181">
        <v>14923.15</v>
      </c>
      <c r="F1296" s="5"/>
      <c r="J1296" s="5"/>
      <c r="K1296" s="5"/>
    </row>
    <row r="1297" ht="16.5" customHeight="1" spans="4:11">
      <c r="D1297" s="180">
        <v>44330</v>
      </c>
      <c r="E1297" s="181">
        <v>14677.8</v>
      </c>
      <c r="F1297" s="5"/>
      <c r="J1297" s="5"/>
      <c r="K1297" s="5"/>
    </row>
    <row r="1298" ht="16.5" customHeight="1" spans="4:11">
      <c r="D1298" s="180">
        <v>44328</v>
      </c>
      <c r="E1298" s="181">
        <v>14696.5</v>
      </c>
      <c r="F1298" s="5"/>
      <c r="J1298" s="5"/>
      <c r="K1298" s="5"/>
    </row>
    <row r="1299" ht="16.5" customHeight="1" spans="4:11">
      <c r="D1299" s="180">
        <v>44327</v>
      </c>
      <c r="E1299" s="181">
        <v>14850.75</v>
      </c>
      <c r="F1299" s="5"/>
      <c r="J1299" s="5"/>
      <c r="K1299" s="5"/>
    </row>
    <row r="1300" ht="16.5" customHeight="1" spans="4:11">
      <c r="D1300" s="180">
        <v>44326</v>
      </c>
      <c r="E1300" s="181">
        <v>14942.35</v>
      </c>
      <c r="F1300" s="5"/>
      <c r="J1300" s="5"/>
      <c r="K1300" s="5"/>
    </row>
    <row r="1301" ht="16.5" customHeight="1" spans="4:11">
      <c r="D1301" s="180">
        <v>44323</v>
      </c>
      <c r="E1301" s="181">
        <v>14823.15</v>
      </c>
      <c r="F1301" s="5"/>
      <c r="J1301" s="5"/>
      <c r="K1301" s="5"/>
    </row>
    <row r="1302" ht="16.5" customHeight="1" spans="4:11">
      <c r="D1302" s="180">
        <v>44322</v>
      </c>
      <c r="E1302" s="181">
        <v>14724.8</v>
      </c>
      <c r="F1302" s="5"/>
      <c r="J1302" s="5"/>
      <c r="K1302" s="5"/>
    </row>
    <row r="1303" ht="16.5" customHeight="1" spans="4:11">
      <c r="D1303" s="180">
        <v>44321</v>
      </c>
      <c r="E1303" s="181">
        <v>14617.85</v>
      </c>
      <c r="F1303" s="5"/>
      <c r="J1303" s="5"/>
      <c r="K1303" s="5"/>
    </row>
    <row r="1304" ht="16.5" customHeight="1" spans="4:11">
      <c r="D1304" s="180">
        <v>44320</v>
      </c>
      <c r="E1304" s="181">
        <v>14496.5</v>
      </c>
      <c r="F1304" s="5"/>
      <c r="J1304" s="5"/>
      <c r="K1304" s="5"/>
    </row>
    <row r="1305" ht="16.5" customHeight="1" spans="4:11">
      <c r="D1305" s="180">
        <v>44319</v>
      </c>
      <c r="E1305" s="181">
        <v>14634.15</v>
      </c>
      <c r="F1305" s="5"/>
      <c r="J1305" s="5"/>
      <c r="K1305" s="5"/>
    </row>
    <row r="1306" ht="16.5" customHeight="1" spans="4:11">
      <c r="D1306" s="180">
        <v>44316</v>
      </c>
      <c r="E1306" s="181">
        <v>14631.1</v>
      </c>
      <c r="F1306" s="5"/>
      <c r="J1306" s="5"/>
      <c r="K1306" s="5"/>
    </row>
    <row r="1307" ht="16.5" customHeight="1" spans="4:11">
      <c r="D1307" s="180">
        <v>44315</v>
      </c>
      <c r="E1307" s="181">
        <v>14894.9</v>
      </c>
      <c r="F1307" s="5"/>
      <c r="J1307" s="5"/>
      <c r="K1307" s="5"/>
    </row>
    <row r="1308" ht="16.5" customHeight="1" spans="4:11">
      <c r="D1308" s="180">
        <v>44314</v>
      </c>
      <c r="E1308" s="181">
        <v>14864.55</v>
      </c>
      <c r="F1308" s="5"/>
      <c r="J1308" s="5"/>
      <c r="K1308" s="5"/>
    </row>
    <row r="1309" ht="16.5" customHeight="1" spans="4:11">
      <c r="D1309" s="180">
        <v>44313</v>
      </c>
      <c r="E1309" s="181">
        <v>14653.05</v>
      </c>
      <c r="F1309" s="5"/>
      <c r="J1309" s="5"/>
      <c r="K1309" s="5"/>
    </row>
    <row r="1310" ht="16.5" customHeight="1" spans="4:11">
      <c r="D1310" s="180">
        <v>44312</v>
      </c>
      <c r="E1310" s="181">
        <v>14485</v>
      </c>
      <c r="F1310" s="5"/>
      <c r="J1310" s="5"/>
      <c r="K1310" s="5"/>
    </row>
    <row r="1311" ht="16.5" customHeight="1" spans="4:11">
      <c r="D1311" s="180">
        <v>44309</v>
      </c>
      <c r="E1311" s="181">
        <v>14341.35</v>
      </c>
      <c r="F1311" s="5"/>
      <c r="J1311" s="5"/>
      <c r="K1311" s="5"/>
    </row>
    <row r="1312" ht="16.5" customHeight="1" spans="4:11">
      <c r="D1312" s="180">
        <v>44308</v>
      </c>
      <c r="E1312" s="181">
        <v>14406.15</v>
      </c>
      <c r="F1312" s="5"/>
      <c r="J1312" s="5"/>
      <c r="K1312" s="5"/>
    </row>
    <row r="1313" ht="16.5" customHeight="1" spans="4:11">
      <c r="D1313" s="180">
        <v>44306</v>
      </c>
      <c r="E1313" s="181">
        <v>14296.4</v>
      </c>
      <c r="F1313" s="5"/>
      <c r="J1313" s="5"/>
      <c r="K1313" s="5"/>
    </row>
    <row r="1314" ht="16.5" customHeight="1" spans="4:11">
      <c r="D1314" s="180">
        <v>44305</v>
      </c>
      <c r="E1314" s="181">
        <v>14359.45</v>
      </c>
      <c r="F1314" s="5"/>
      <c r="J1314" s="5"/>
      <c r="K1314" s="5"/>
    </row>
    <row r="1315" ht="16.5" customHeight="1" spans="4:11">
      <c r="D1315" s="180">
        <v>44302</v>
      </c>
      <c r="E1315" s="181">
        <v>14617.85</v>
      </c>
      <c r="F1315" s="5"/>
      <c r="J1315" s="5"/>
      <c r="K1315" s="5"/>
    </row>
    <row r="1316" ht="16.5" customHeight="1" spans="4:11">
      <c r="D1316" s="180">
        <v>44301</v>
      </c>
      <c r="E1316" s="181">
        <v>14581.45</v>
      </c>
      <c r="F1316" s="5"/>
      <c r="J1316" s="5"/>
      <c r="K1316" s="5"/>
    </row>
    <row r="1317" ht="16.5" customHeight="1" spans="4:11">
      <c r="D1317" s="180">
        <v>44299</v>
      </c>
      <c r="E1317" s="181">
        <v>14504.8</v>
      </c>
      <c r="F1317" s="5"/>
      <c r="J1317" s="5"/>
      <c r="K1317" s="5"/>
    </row>
    <row r="1318" ht="16.5" customHeight="1" spans="4:11">
      <c r="D1318" s="180">
        <v>44298</v>
      </c>
      <c r="E1318" s="181">
        <v>14310.8</v>
      </c>
      <c r="F1318" s="5"/>
      <c r="J1318" s="5"/>
      <c r="K1318" s="5"/>
    </row>
    <row r="1319" ht="16.5" customHeight="1" spans="4:11">
      <c r="D1319" s="180">
        <v>44295</v>
      </c>
      <c r="E1319" s="181">
        <v>14834.85</v>
      </c>
      <c r="F1319" s="5"/>
      <c r="J1319" s="5"/>
      <c r="K1319" s="5"/>
    </row>
    <row r="1320" ht="16.5" customHeight="1" spans="4:11">
      <c r="D1320" s="180">
        <v>44294</v>
      </c>
      <c r="E1320" s="181">
        <v>14873.8</v>
      </c>
      <c r="F1320" s="5"/>
      <c r="J1320" s="5"/>
      <c r="K1320" s="5"/>
    </row>
    <row r="1321" ht="16.5" customHeight="1" spans="4:11">
      <c r="D1321" s="180">
        <v>44293</v>
      </c>
      <c r="E1321" s="181">
        <v>14819.05</v>
      </c>
      <c r="F1321" s="5"/>
      <c r="J1321" s="5"/>
      <c r="K1321" s="5"/>
    </row>
    <row r="1322" ht="16.5" customHeight="1" spans="4:11">
      <c r="D1322" s="180">
        <v>44292</v>
      </c>
      <c r="E1322" s="181">
        <v>14683.5</v>
      </c>
      <c r="F1322" s="5"/>
      <c r="J1322" s="5"/>
      <c r="K1322" s="5"/>
    </row>
    <row r="1323" ht="16.5" customHeight="1" spans="4:11">
      <c r="D1323" s="180">
        <v>44291</v>
      </c>
      <c r="E1323" s="181">
        <v>14637.8</v>
      </c>
      <c r="F1323" s="5"/>
      <c r="J1323" s="5"/>
      <c r="K1323" s="5"/>
    </row>
    <row r="1324" ht="16.5" customHeight="1" spans="4:11">
      <c r="D1324" s="180">
        <v>44287</v>
      </c>
      <c r="E1324" s="181">
        <v>14867.35</v>
      </c>
      <c r="F1324" s="5"/>
      <c r="J1324" s="5"/>
      <c r="K1324" s="5"/>
    </row>
    <row r="1325" ht="16.5" customHeight="1" spans="4:11">
      <c r="D1325" s="180">
        <v>44286</v>
      </c>
      <c r="E1325" s="181">
        <v>14690.7</v>
      </c>
      <c r="F1325" s="5"/>
      <c r="J1325" s="5"/>
      <c r="K1325" s="5"/>
    </row>
    <row r="1326" ht="16.5" customHeight="1" spans="4:11">
      <c r="D1326" s="180">
        <v>44285</v>
      </c>
      <c r="E1326" s="181">
        <v>14845.1</v>
      </c>
      <c r="F1326" s="5"/>
      <c r="J1326" s="5"/>
      <c r="K1326" s="5"/>
    </row>
    <row r="1327" ht="16.5" customHeight="1" spans="4:11">
      <c r="D1327" s="180">
        <v>44281</v>
      </c>
      <c r="E1327" s="181">
        <v>14507.3</v>
      </c>
      <c r="F1327" s="5"/>
      <c r="J1327" s="5"/>
      <c r="K1327" s="5"/>
    </row>
    <row r="1328" ht="16.5" customHeight="1" spans="4:11">
      <c r="D1328" s="180">
        <v>44280</v>
      </c>
      <c r="E1328" s="181">
        <v>14324.9</v>
      </c>
      <c r="F1328" s="5"/>
      <c r="J1328" s="5"/>
      <c r="K1328" s="5"/>
    </row>
    <row r="1329" ht="16.5" customHeight="1" spans="4:11">
      <c r="D1329" s="180">
        <v>44279</v>
      </c>
      <c r="E1329" s="181">
        <v>14549.4</v>
      </c>
      <c r="F1329" s="5"/>
      <c r="J1329" s="5"/>
      <c r="K1329" s="5"/>
    </row>
    <row r="1330" ht="16.5" customHeight="1" spans="4:11">
      <c r="D1330" s="180">
        <v>44278</v>
      </c>
      <c r="E1330" s="181">
        <v>14814.75</v>
      </c>
      <c r="F1330" s="5"/>
      <c r="J1330" s="5"/>
      <c r="K1330" s="5"/>
    </row>
    <row r="1331" ht="16.5" customHeight="1" spans="4:11">
      <c r="D1331" s="180">
        <v>44277</v>
      </c>
      <c r="E1331" s="181">
        <v>14736.4</v>
      </c>
      <c r="F1331" s="5"/>
      <c r="J1331" s="5"/>
      <c r="K1331" s="5"/>
    </row>
    <row r="1332" ht="16.5" customHeight="1" spans="4:11">
      <c r="D1332" s="180">
        <v>44274</v>
      </c>
      <c r="E1332" s="181">
        <v>14744</v>
      </c>
      <c r="F1332" s="5"/>
      <c r="J1332" s="5"/>
      <c r="K1332" s="5"/>
    </row>
    <row r="1333" ht="16.5" customHeight="1" spans="4:11">
      <c r="D1333" s="180">
        <v>44273</v>
      </c>
      <c r="E1333" s="181">
        <v>14557.85</v>
      </c>
      <c r="F1333" s="5"/>
      <c r="J1333" s="5"/>
      <c r="K1333" s="5"/>
    </row>
    <row r="1334" ht="16.5" customHeight="1" spans="4:11">
      <c r="D1334" s="180">
        <v>44272</v>
      </c>
      <c r="E1334" s="181">
        <v>14721.3</v>
      </c>
      <c r="F1334" s="5"/>
      <c r="J1334" s="5"/>
      <c r="K1334" s="5"/>
    </row>
    <row r="1335" ht="16.5" customHeight="1" spans="4:11">
      <c r="D1335" s="180">
        <v>44271</v>
      </c>
      <c r="E1335" s="181">
        <v>14910.45</v>
      </c>
      <c r="F1335" s="5"/>
      <c r="J1335" s="5"/>
      <c r="K1335" s="5"/>
    </row>
    <row r="1336" ht="16.5" customHeight="1" spans="4:11">
      <c r="D1336" s="180">
        <v>44270</v>
      </c>
      <c r="E1336" s="181">
        <v>14929.5</v>
      </c>
      <c r="F1336" s="5"/>
      <c r="J1336" s="5"/>
      <c r="K1336" s="5"/>
    </row>
    <row r="1337" ht="16.5" customHeight="1" spans="4:11">
      <c r="D1337" s="180">
        <v>44267</v>
      </c>
      <c r="E1337" s="181">
        <v>15030.95</v>
      </c>
      <c r="F1337" s="5"/>
      <c r="J1337" s="5"/>
      <c r="K1337" s="5"/>
    </row>
    <row r="1338" ht="16.5" customHeight="1" spans="4:11">
      <c r="D1338" s="180">
        <v>44265</v>
      </c>
      <c r="E1338" s="181">
        <v>15174.8</v>
      </c>
      <c r="F1338" s="5"/>
      <c r="J1338" s="5"/>
      <c r="K1338" s="5"/>
    </row>
    <row r="1339" ht="16.5" customHeight="1" spans="4:11">
      <c r="D1339" s="180">
        <v>44264</v>
      </c>
      <c r="E1339" s="181">
        <v>15098.4</v>
      </c>
      <c r="F1339" s="5"/>
      <c r="J1339" s="5"/>
      <c r="K1339" s="5"/>
    </row>
    <row r="1340" ht="16.5" customHeight="1" spans="4:11">
      <c r="D1340" s="180">
        <v>44263</v>
      </c>
      <c r="E1340" s="181">
        <v>14956.2</v>
      </c>
      <c r="F1340" s="5"/>
      <c r="J1340" s="5"/>
      <c r="K1340" s="5"/>
    </row>
    <row r="1341" ht="16.5" customHeight="1" spans="4:11">
      <c r="D1341" s="180">
        <v>44260</v>
      </c>
      <c r="E1341" s="181">
        <v>14938.1</v>
      </c>
      <c r="F1341" s="5"/>
      <c r="J1341" s="5"/>
      <c r="K1341" s="5"/>
    </row>
    <row r="1342" ht="16.5" customHeight="1" spans="4:11">
      <c r="D1342" s="180">
        <v>44259</v>
      </c>
      <c r="E1342" s="181">
        <v>15080.75</v>
      </c>
      <c r="F1342" s="5"/>
      <c r="J1342" s="5"/>
      <c r="K1342" s="5"/>
    </row>
    <row r="1343" ht="16.5" customHeight="1" spans="4:11">
      <c r="D1343" s="180">
        <v>44258</v>
      </c>
      <c r="E1343" s="181">
        <v>15245.6</v>
      </c>
      <c r="F1343" s="5"/>
      <c r="J1343" s="5"/>
      <c r="K1343" s="5"/>
    </row>
    <row r="1344" ht="16.5" customHeight="1" spans="4:11">
      <c r="D1344" s="180">
        <v>44257</v>
      </c>
      <c r="E1344" s="181">
        <v>14919.1</v>
      </c>
      <c r="F1344" s="5"/>
      <c r="J1344" s="5"/>
      <c r="K1344" s="5"/>
    </row>
    <row r="1345" ht="16.5" customHeight="1" spans="4:11">
      <c r="D1345" s="180">
        <v>44256</v>
      </c>
      <c r="E1345" s="181">
        <v>14761.55</v>
      </c>
      <c r="F1345" s="5"/>
      <c r="J1345" s="5"/>
      <c r="K1345" s="5"/>
    </row>
    <row r="1346" ht="16.5" customHeight="1" spans="4:11">
      <c r="D1346" s="180">
        <v>44253</v>
      </c>
      <c r="E1346" s="181">
        <v>14529.15</v>
      </c>
      <c r="F1346" s="5"/>
      <c r="J1346" s="5"/>
      <c r="K1346" s="5"/>
    </row>
    <row r="1347" ht="16.5" customHeight="1" spans="4:11">
      <c r="D1347" s="180">
        <v>44252</v>
      </c>
      <c r="E1347" s="181">
        <v>15097.35</v>
      </c>
      <c r="F1347" s="5"/>
      <c r="J1347" s="5"/>
      <c r="K1347" s="5"/>
    </row>
    <row r="1348" ht="16.5" customHeight="1" spans="4:11">
      <c r="D1348" s="180">
        <v>44251</v>
      </c>
      <c r="E1348" s="181">
        <v>14982</v>
      </c>
      <c r="F1348" s="5"/>
      <c r="J1348" s="5"/>
      <c r="K1348" s="5"/>
    </row>
    <row r="1349" ht="16.5" customHeight="1" spans="4:11">
      <c r="D1349" s="180">
        <v>44250</v>
      </c>
      <c r="E1349" s="181">
        <v>14707.8</v>
      </c>
      <c r="F1349" s="5"/>
      <c r="J1349" s="5"/>
      <c r="K1349" s="5"/>
    </row>
    <row r="1350" ht="16.5" customHeight="1" spans="4:11">
      <c r="D1350" s="180">
        <v>44249</v>
      </c>
      <c r="E1350" s="181">
        <v>14675.7</v>
      </c>
      <c r="F1350" s="5"/>
      <c r="J1350" s="5"/>
      <c r="K1350" s="5"/>
    </row>
    <row r="1351" ht="16.5" customHeight="1" spans="4:11">
      <c r="D1351" s="180">
        <v>44246</v>
      </c>
      <c r="E1351" s="181">
        <v>14981.75</v>
      </c>
      <c r="F1351" s="5"/>
      <c r="J1351" s="5"/>
      <c r="K1351" s="5"/>
    </row>
    <row r="1352" ht="16.5" customHeight="1" spans="4:11">
      <c r="D1352" s="180">
        <v>44245</v>
      </c>
      <c r="E1352" s="181">
        <v>15118.95</v>
      </c>
      <c r="F1352" s="5"/>
      <c r="J1352" s="5"/>
      <c r="K1352" s="5"/>
    </row>
    <row r="1353" ht="16.5" customHeight="1" spans="4:11">
      <c r="D1353" s="180">
        <v>44244</v>
      </c>
      <c r="E1353" s="181">
        <v>15208.9</v>
      </c>
      <c r="F1353" s="5"/>
      <c r="J1353" s="5"/>
      <c r="K1353" s="5"/>
    </row>
    <row r="1354" ht="16.5" customHeight="1" spans="4:11">
      <c r="D1354" s="180">
        <v>44243</v>
      </c>
      <c r="E1354" s="181">
        <v>15313.45</v>
      </c>
      <c r="F1354" s="5"/>
      <c r="J1354" s="5"/>
      <c r="K1354" s="5"/>
    </row>
    <row r="1355" ht="16.5" customHeight="1" spans="4:11">
      <c r="D1355" s="180">
        <v>44242</v>
      </c>
      <c r="E1355" s="181">
        <v>15314.7</v>
      </c>
      <c r="F1355" s="5"/>
      <c r="J1355" s="5"/>
      <c r="K1355" s="5"/>
    </row>
    <row r="1356" ht="16.5" customHeight="1" spans="4:11">
      <c r="D1356" s="180">
        <v>44239</v>
      </c>
      <c r="E1356" s="181">
        <v>15163.3</v>
      </c>
      <c r="F1356" s="5"/>
      <c r="J1356" s="5"/>
      <c r="K1356" s="5"/>
    </row>
    <row r="1357" ht="16.5" customHeight="1" spans="4:11">
      <c r="D1357" s="180">
        <v>44238</v>
      </c>
      <c r="E1357" s="181">
        <v>15173.3</v>
      </c>
      <c r="F1357" s="5"/>
      <c r="J1357" s="5"/>
      <c r="K1357" s="5"/>
    </row>
    <row r="1358" ht="16.5" customHeight="1" spans="4:11">
      <c r="D1358" s="180">
        <v>44237</v>
      </c>
      <c r="E1358" s="181">
        <v>15106.5</v>
      </c>
      <c r="F1358" s="5"/>
      <c r="J1358" s="5"/>
      <c r="K1358" s="5"/>
    </row>
    <row r="1359" ht="16.5" customHeight="1" spans="4:11">
      <c r="D1359" s="180">
        <v>44236</v>
      </c>
      <c r="E1359" s="181">
        <v>15109.3</v>
      </c>
      <c r="F1359" s="5"/>
      <c r="J1359" s="5"/>
      <c r="K1359" s="5"/>
    </row>
    <row r="1360" ht="16.5" customHeight="1" spans="4:11">
      <c r="D1360" s="180">
        <v>44235</v>
      </c>
      <c r="E1360" s="181">
        <v>15115.8</v>
      </c>
      <c r="F1360" s="5"/>
      <c r="J1360" s="5"/>
      <c r="K1360" s="5"/>
    </row>
    <row r="1361" ht="16.5" customHeight="1" spans="4:11">
      <c r="D1361" s="180">
        <v>44232</v>
      </c>
      <c r="E1361" s="181">
        <v>14924.25</v>
      </c>
      <c r="F1361" s="5"/>
      <c r="J1361" s="5"/>
      <c r="K1361" s="5"/>
    </row>
    <row r="1362" ht="16.5" customHeight="1" spans="4:11">
      <c r="D1362" s="180">
        <v>44231</v>
      </c>
      <c r="E1362" s="181">
        <v>14895.65</v>
      </c>
      <c r="F1362" s="5"/>
      <c r="J1362" s="5"/>
      <c r="K1362" s="5"/>
    </row>
    <row r="1363" ht="16.5" customHeight="1" spans="4:11">
      <c r="D1363" s="180">
        <v>44230</v>
      </c>
      <c r="E1363" s="181">
        <v>14789.95</v>
      </c>
      <c r="F1363" s="5"/>
      <c r="J1363" s="5"/>
      <c r="K1363" s="5"/>
    </row>
    <row r="1364" ht="16.5" customHeight="1" spans="4:11">
      <c r="D1364" s="180">
        <v>44229</v>
      </c>
      <c r="E1364" s="181">
        <v>14647.85</v>
      </c>
      <c r="F1364" s="5"/>
      <c r="J1364" s="5"/>
      <c r="K1364" s="5"/>
    </row>
    <row r="1365" ht="16.5" customHeight="1" spans="4:11">
      <c r="D1365" s="180">
        <v>44228</v>
      </c>
      <c r="E1365" s="181">
        <v>14281.2</v>
      </c>
      <c r="F1365" s="5"/>
      <c r="J1365" s="5"/>
      <c r="K1365" s="5"/>
    </row>
    <row r="1366" ht="16.5" customHeight="1" spans="4:11">
      <c r="D1366" s="180">
        <v>44225</v>
      </c>
      <c r="E1366" s="181">
        <v>13634.6</v>
      </c>
      <c r="F1366" s="5"/>
      <c r="J1366" s="5"/>
      <c r="K1366" s="5"/>
    </row>
    <row r="1367" ht="16.5" customHeight="1" spans="4:11">
      <c r="D1367" s="180">
        <v>44224</v>
      </c>
      <c r="E1367" s="181">
        <v>13817.55</v>
      </c>
      <c r="F1367" s="5"/>
      <c r="J1367" s="5"/>
      <c r="K1367" s="5"/>
    </row>
    <row r="1368" ht="16.5" customHeight="1" spans="4:11">
      <c r="D1368" s="180">
        <v>44223</v>
      </c>
      <c r="E1368" s="181">
        <v>13967.5</v>
      </c>
      <c r="F1368" s="5"/>
      <c r="J1368" s="5"/>
      <c r="K1368" s="5"/>
    </row>
    <row r="1369" ht="16.5" customHeight="1" spans="4:11">
      <c r="D1369" s="180">
        <v>44221</v>
      </c>
      <c r="E1369" s="181">
        <v>14238.9</v>
      </c>
      <c r="F1369" s="5"/>
      <c r="J1369" s="5"/>
      <c r="K1369" s="5"/>
    </row>
    <row r="1370" ht="16.5" customHeight="1" spans="4:11">
      <c r="D1370" s="180">
        <v>44218</v>
      </c>
      <c r="E1370" s="181">
        <v>14371.9</v>
      </c>
      <c r="F1370" s="5"/>
      <c r="J1370" s="5"/>
      <c r="K1370" s="5"/>
    </row>
    <row r="1371" ht="16.5" customHeight="1" spans="4:11">
      <c r="D1371" s="180">
        <v>44217</v>
      </c>
      <c r="E1371" s="181">
        <v>14590.35</v>
      </c>
      <c r="F1371" s="5"/>
      <c r="J1371" s="5"/>
      <c r="K1371" s="5"/>
    </row>
    <row r="1372" ht="16.5" customHeight="1" spans="4:11">
      <c r="D1372" s="180">
        <v>44216</v>
      </c>
      <c r="E1372" s="181">
        <v>14644.7</v>
      </c>
      <c r="F1372" s="5"/>
      <c r="J1372" s="5"/>
      <c r="K1372" s="5"/>
    </row>
    <row r="1373" ht="16.5" customHeight="1" spans="4:11">
      <c r="D1373" s="180">
        <v>44215</v>
      </c>
      <c r="E1373" s="181">
        <v>14521.15</v>
      </c>
      <c r="F1373" s="5"/>
      <c r="J1373" s="5"/>
      <c r="K1373" s="5"/>
    </row>
    <row r="1374" ht="16.5" customHeight="1" spans="4:11">
      <c r="D1374" s="180">
        <v>44214</v>
      </c>
      <c r="E1374" s="181">
        <v>14281.3</v>
      </c>
      <c r="F1374" s="5"/>
      <c r="J1374" s="5"/>
      <c r="K1374" s="5"/>
    </row>
    <row r="1375" ht="16.5" customHeight="1" spans="4:11">
      <c r="D1375" s="180">
        <v>44211</v>
      </c>
      <c r="E1375" s="181">
        <v>14433.7</v>
      </c>
      <c r="F1375" s="5"/>
      <c r="J1375" s="5"/>
      <c r="K1375" s="5"/>
    </row>
    <row r="1376" ht="16.5" customHeight="1" spans="4:11">
      <c r="D1376" s="180">
        <v>44210</v>
      </c>
      <c r="E1376" s="181">
        <v>14595.6</v>
      </c>
      <c r="F1376" s="5"/>
      <c r="J1376" s="5"/>
      <c r="K1376" s="5"/>
    </row>
    <row r="1377" ht="16.5" customHeight="1" spans="4:11">
      <c r="D1377" s="180">
        <v>44209</v>
      </c>
      <c r="E1377" s="181">
        <v>14564.85</v>
      </c>
      <c r="F1377" s="5"/>
      <c r="J1377" s="5"/>
      <c r="K1377" s="5"/>
    </row>
    <row r="1378" ht="16.5" customHeight="1" spans="4:11">
      <c r="D1378" s="180">
        <v>44208</v>
      </c>
      <c r="E1378" s="181">
        <v>14563.45</v>
      </c>
      <c r="F1378" s="5"/>
      <c r="J1378" s="5"/>
      <c r="K1378" s="5"/>
    </row>
    <row r="1379" ht="16.5" customHeight="1" spans="4:11">
      <c r="D1379" s="180">
        <v>44207</v>
      </c>
      <c r="E1379" s="181">
        <v>14484.75</v>
      </c>
      <c r="F1379" s="5"/>
      <c r="J1379" s="5"/>
      <c r="K1379" s="5"/>
    </row>
    <row r="1380" ht="16.5" customHeight="1" spans="4:11">
      <c r="D1380" s="180">
        <v>44204</v>
      </c>
      <c r="E1380" s="181">
        <v>14347.25</v>
      </c>
      <c r="F1380" s="5"/>
      <c r="J1380" s="5"/>
      <c r="K1380" s="5"/>
    </row>
    <row r="1381" ht="16.5" customHeight="1" spans="4:11">
      <c r="D1381" s="180">
        <v>44203</v>
      </c>
      <c r="E1381" s="181">
        <v>14137.35</v>
      </c>
      <c r="F1381" s="5"/>
      <c r="J1381" s="5"/>
      <c r="K1381" s="5"/>
    </row>
    <row r="1382" ht="16.5" customHeight="1" spans="4:11">
      <c r="D1382" s="180">
        <v>44202</v>
      </c>
      <c r="E1382" s="181">
        <v>14146.25</v>
      </c>
      <c r="F1382" s="5"/>
      <c r="J1382" s="5"/>
      <c r="K1382" s="5"/>
    </row>
    <row r="1383" ht="16.5" customHeight="1" spans="4:11">
      <c r="D1383" s="180">
        <v>44201</v>
      </c>
      <c r="E1383" s="181">
        <v>14199.5</v>
      </c>
      <c r="F1383" s="5"/>
      <c r="J1383" s="5"/>
      <c r="K1383" s="5"/>
    </row>
    <row r="1384" ht="16.5" customHeight="1" spans="4:11">
      <c r="D1384" s="180">
        <v>44200</v>
      </c>
      <c r="E1384" s="181">
        <v>14132.9</v>
      </c>
      <c r="F1384" s="5"/>
      <c r="J1384" s="5"/>
      <c r="K1384" s="5"/>
    </row>
    <row r="1385" ht="16.5" customHeight="1" spans="4:11">
      <c r="D1385" s="180">
        <v>44197</v>
      </c>
      <c r="E1385" s="181">
        <v>14018.5</v>
      </c>
      <c r="F1385" s="5"/>
      <c r="J1385" s="5"/>
      <c r="K1385" s="5"/>
    </row>
    <row r="1386" ht="16.5" customHeight="1" spans="4:11">
      <c r="D1386" s="180">
        <v>44196</v>
      </c>
      <c r="E1386" s="181">
        <v>13981.75</v>
      </c>
      <c r="F1386" s="5"/>
      <c r="J1386" s="5"/>
      <c r="K1386" s="5"/>
    </row>
    <row r="1387" ht="16.5" customHeight="1" spans="4:11">
      <c r="D1387" s="180">
        <v>44195</v>
      </c>
      <c r="E1387" s="181">
        <v>13981.95</v>
      </c>
      <c r="F1387" s="5"/>
      <c r="J1387" s="5"/>
      <c r="K1387" s="5"/>
    </row>
    <row r="1388" ht="16.5" customHeight="1" spans="4:11">
      <c r="D1388" s="180">
        <v>44194</v>
      </c>
      <c r="E1388" s="181">
        <v>13932.6</v>
      </c>
      <c r="F1388" s="5"/>
      <c r="J1388" s="5"/>
      <c r="K1388" s="5"/>
    </row>
    <row r="1389" ht="16.5" customHeight="1" spans="4:11">
      <c r="D1389" s="180">
        <v>44193</v>
      </c>
      <c r="E1389" s="181">
        <v>13873.2</v>
      </c>
      <c r="F1389" s="5"/>
      <c r="J1389" s="5"/>
      <c r="K1389" s="5"/>
    </row>
    <row r="1390" ht="16.5" customHeight="1" spans="4:11">
      <c r="D1390" s="180">
        <v>44189</v>
      </c>
      <c r="E1390" s="181">
        <v>13749.25</v>
      </c>
      <c r="F1390" s="5"/>
      <c r="J1390" s="5"/>
      <c r="K1390" s="5"/>
    </row>
    <row r="1391" ht="16.5" customHeight="1" spans="4:11">
      <c r="D1391" s="180">
        <v>44188</v>
      </c>
      <c r="E1391" s="181">
        <v>13601.1</v>
      </c>
      <c r="F1391" s="5"/>
      <c r="J1391" s="5"/>
      <c r="K1391" s="5"/>
    </row>
    <row r="1392" ht="16.5" customHeight="1" spans="4:11">
      <c r="D1392" s="180">
        <v>44187</v>
      </c>
      <c r="E1392" s="181">
        <v>13466.3</v>
      </c>
      <c r="F1392" s="5"/>
      <c r="J1392" s="5"/>
      <c r="K1392" s="5"/>
    </row>
    <row r="1393" ht="16.5" customHeight="1" spans="4:11">
      <c r="D1393" s="180">
        <v>44186</v>
      </c>
      <c r="E1393" s="181">
        <v>13328.4</v>
      </c>
      <c r="F1393" s="5"/>
      <c r="J1393" s="5"/>
      <c r="K1393" s="5"/>
    </row>
    <row r="1394" ht="16.5" customHeight="1" spans="4:11">
      <c r="D1394" s="180">
        <v>44183</v>
      </c>
      <c r="E1394" s="181">
        <v>13760.55</v>
      </c>
      <c r="F1394" s="5"/>
      <c r="J1394" s="5"/>
      <c r="K1394" s="5"/>
    </row>
    <row r="1395" ht="16.5" customHeight="1" spans="4:11">
      <c r="D1395" s="180">
        <v>44182</v>
      </c>
      <c r="E1395" s="181">
        <v>13740.7</v>
      </c>
      <c r="F1395" s="5"/>
      <c r="J1395" s="5"/>
      <c r="K1395" s="5"/>
    </row>
    <row r="1396" ht="16.5" customHeight="1" spans="4:11">
      <c r="D1396" s="180">
        <v>44181</v>
      </c>
      <c r="E1396" s="181">
        <v>13682.7</v>
      </c>
      <c r="F1396" s="5"/>
      <c r="J1396" s="5"/>
      <c r="K1396" s="5"/>
    </row>
    <row r="1397" ht="16.5" customHeight="1" spans="4:11">
      <c r="D1397" s="180">
        <v>44180</v>
      </c>
      <c r="E1397" s="181">
        <v>13567.85</v>
      </c>
      <c r="F1397" s="5"/>
      <c r="J1397" s="5"/>
      <c r="K1397" s="5"/>
    </row>
    <row r="1398" ht="16.5" customHeight="1" spans="4:11">
      <c r="D1398" s="180">
        <v>44179</v>
      </c>
      <c r="E1398" s="181">
        <v>13558.15</v>
      </c>
      <c r="F1398" s="5"/>
      <c r="J1398" s="5"/>
      <c r="K1398" s="5"/>
    </row>
    <row r="1399" ht="16.5" customHeight="1" spans="4:11">
      <c r="D1399" s="180">
        <v>44176</v>
      </c>
      <c r="E1399" s="181">
        <v>13513.85</v>
      </c>
      <c r="F1399" s="5"/>
      <c r="J1399" s="5"/>
      <c r="K1399" s="5"/>
    </row>
    <row r="1400" ht="16.5" customHeight="1" spans="4:11">
      <c r="D1400" s="180">
        <v>44175</v>
      </c>
      <c r="E1400" s="181">
        <v>13478.3</v>
      </c>
      <c r="F1400" s="5"/>
      <c r="J1400" s="5"/>
      <c r="K1400" s="5"/>
    </row>
    <row r="1401" ht="16.5" customHeight="1" spans="4:11">
      <c r="D1401" s="180">
        <v>44174</v>
      </c>
      <c r="E1401" s="181">
        <v>13529.1</v>
      </c>
      <c r="F1401" s="5"/>
      <c r="J1401" s="5"/>
      <c r="K1401" s="5"/>
    </row>
    <row r="1402" ht="16.5" customHeight="1" spans="4:11">
      <c r="D1402" s="180">
        <v>44173</v>
      </c>
      <c r="E1402" s="181">
        <v>13392.95</v>
      </c>
      <c r="F1402" s="5"/>
      <c r="J1402" s="5"/>
      <c r="K1402" s="5"/>
    </row>
    <row r="1403" ht="16.5" customHeight="1" spans="4:11">
      <c r="D1403" s="180">
        <v>44172</v>
      </c>
      <c r="E1403" s="181">
        <v>13355.75</v>
      </c>
      <c r="F1403" s="5"/>
      <c r="J1403" s="5"/>
      <c r="K1403" s="5"/>
    </row>
    <row r="1404" ht="16.5" customHeight="1" spans="4:11">
      <c r="D1404" s="180">
        <v>44169</v>
      </c>
      <c r="E1404" s="181">
        <v>13258.55</v>
      </c>
      <c r="F1404" s="5"/>
      <c r="J1404" s="5"/>
      <c r="K1404" s="5"/>
    </row>
    <row r="1405" ht="16.5" customHeight="1" spans="4:11">
      <c r="D1405" s="180">
        <v>44168</v>
      </c>
      <c r="E1405" s="181">
        <v>13133.9</v>
      </c>
      <c r="F1405" s="5"/>
      <c r="J1405" s="5"/>
      <c r="K1405" s="5"/>
    </row>
    <row r="1406" ht="16.5" customHeight="1" spans="4:11">
      <c r="D1406" s="180">
        <v>44167</v>
      </c>
      <c r="E1406" s="181">
        <v>13113.75</v>
      </c>
      <c r="F1406" s="5"/>
      <c r="J1406" s="5"/>
      <c r="K1406" s="5"/>
    </row>
    <row r="1407" ht="16.5" customHeight="1" spans="4:11">
      <c r="D1407" s="180">
        <v>44166</v>
      </c>
      <c r="E1407" s="181">
        <v>13109.05</v>
      </c>
      <c r="F1407" s="5"/>
      <c r="J1407" s="5"/>
      <c r="K1407" s="5"/>
    </row>
    <row r="1408" ht="16.5" customHeight="1" spans="4:11">
      <c r="D1408" s="180">
        <v>44162</v>
      </c>
      <c r="E1408" s="181">
        <v>12968.95</v>
      </c>
      <c r="F1408" s="5"/>
      <c r="J1408" s="5"/>
      <c r="K1408" s="5"/>
    </row>
    <row r="1409" ht="16.5" customHeight="1" spans="4:11">
      <c r="D1409" s="180">
        <v>44161</v>
      </c>
      <c r="E1409" s="181">
        <v>12987</v>
      </c>
      <c r="F1409" s="5"/>
      <c r="J1409" s="5"/>
      <c r="K1409" s="5"/>
    </row>
    <row r="1410" ht="16.5" customHeight="1" spans="4:11">
      <c r="D1410" s="180">
        <v>44160</v>
      </c>
      <c r="E1410" s="181">
        <v>12858.4</v>
      </c>
      <c r="F1410" s="5"/>
      <c r="J1410" s="5"/>
      <c r="K1410" s="5"/>
    </row>
    <row r="1411" ht="16.5" customHeight="1" spans="4:11">
      <c r="D1411" s="180">
        <v>44159</v>
      </c>
      <c r="E1411" s="181">
        <v>13055.15</v>
      </c>
      <c r="F1411" s="5"/>
      <c r="J1411" s="5"/>
      <c r="K1411" s="5"/>
    </row>
    <row r="1412" ht="16.5" customHeight="1" spans="4:11">
      <c r="D1412" s="180">
        <v>44158</v>
      </c>
      <c r="E1412" s="181">
        <v>12926.45</v>
      </c>
      <c r="F1412" s="5"/>
      <c r="J1412" s="5"/>
      <c r="K1412" s="5"/>
    </row>
    <row r="1413" ht="16.5" customHeight="1" spans="4:11">
      <c r="D1413" s="180">
        <v>44155</v>
      </c>
      <c r="E1413" s="181">
        <v>12859.05</v>
      </c>
      <c r="F1413" s="5"/>
      <c r="J1413" s="5"/>
      <c r="K1413" s="5"/>
    </row>
    <row r="1414" ht="16.5" customHeight="1" spans="4:11">
      <c r="D1414" s="180">
        <v>44154</v>
      </c>
      <c r="E1414" s="181">
        <v>12771.7</v>
      </c>
      <c r="F1414" s="5"/>
      <c r="J1414" s="5"/>
      <c r="K1414" s="5"/>
    </row>
    <row r="1415" ht="16.5" customHeight="1" spans="4:11">
      <c r="D1415" s="180">
        <v>44153</v>
      </c>
      <c r="E1415" s="181">
        <v>12938.25</v>
      </c>
      <c r="F1415" s="5"/>
      <c r="J1415" s="5"/>
      <c r="K1415" s="5"/>
    </row>
    <row r="1416" ht="16.5" customHeight="1" spans="4:11">
      <c r="D1416" s="180">
        <v>44152</v>
      </c>
      <c r="E1416" s="181">
        <v>12874.2</v>
      </c>
      <c r="F1416" s="5"/>
      <c r="J1416" s="5"/>
      <c r="K1416" s="5"/>
    </row>
    <row r="1417" ht="16.5" customHeight="1" spans="4:11">
      <c r="D1417" s="180">
        <v>44149</v>
      </c>
      <c r="E1417" s="181">
        <v>12780.25</v>
      </c>
      <c r="F1417" s="5"/>
      <c r="J1417" s="5"/>
      <c r="K1417" s="5"/>
    </row>
    <row r="1418" ht="16.5" customHeight="1" spans="4:11">
      <c r="D1418" s="180">
        <v>44148</v>
      </c>
      <c r="E1418" s="181">
        <v>12719.95</v>
      </c>
      <c r="F1418" s="5"/>
      <c r="J1418" s="5"/>
      <c r="K1418" s="5"/>
    </row>
    <row r="1419" ht="16.5" customHeight="1" spans="4:11">
      <c r="D1419" s="180">
        <v>44147</v>
      </c>
      <c r="E1419" s="181">
        <v>12690.8</v>
      </c>
      <c r="F1419" s="5"/>
      <c r="J1419" s="5"/>
      <c r="K1419" s="5"/>
    </row>
    <row r="1420" ht="16.5" customHeight="1" spans="4:11">
      <c r="D1420" s="180">
        <v>44146</v>
      </c>
      <c r="E1420" s="181">
        <v>12749.15</v>
      </c>
      <c r="F1420" s="5"/>
      <c r="J1420" s="5"/>
      <c r="K1420" s="5"/>
    </row>
    <row r="1421" ht="16.5" customHeight="1" spans="4:11">
      <c r="D1421" s="180">
        <v>44145</v>
      </c>
      <c r="E1421" s="181">
        <v>12631.1</v>
      </c>
      <c r="F1421" s="5"/>
      <c r="J1421" s="5"/>
      <c r="K1421" s="5"/>
    </row>
    <row r="1422" ht="16.5" customHeight="1" spans="4:11">
      <c r="D1422" s="180">
        <v>44144</v>
      </c>
      <c r="E1422" s="181">
        <v>12461.05</v>
      </c>
      <c r="F1422" s="5"/>
      <c r="J1422" s="5"/>
      <c r="K1422" s="5"/>
    </row>
    <row r="1423" ht="16.5" customHeight="1" spans="4:11">
      <c r="D1423" s="180">
        <v>44141</v>
      </c>
      <c r="E1423" s="181">
        <v>12263.55</v>
      </c>
      <c r="F1423" s="5"/>
      <c r="J1423" s="5"/>
      <c r="K1423" s="5"/>
    </row>
    <row r="1424" ht="16.5" customHeight="1" spans="4:11">
      <c r="D1424" s="180">
        <v>44140</v>
      </c>
      <c r="E1424" s="181">
        <v>12120.3</v>
      </c>
      <c r="F1424" s="5"/>
      <c r="J1424" s="5"/>
      <c r="K1424" s="5"/>
    </row>
    <row r="1425" ht="16.5" customHeight="1" spans="4:11">
      <c r="D1425" s="180">
        <v>44139</v>
      </c>
      <c r="E1425" s="181">
        <v>11908.5</v>
      </c>
      <c r="F1425" s="5"/>
      <c r="J1425" s="5"/>
      <c r="K1425" s="5"/>
    </row>
    <row r="1426" ht="16.5" customHeight="1" spans="4:11">
      <c r="D1426" s="180">
        <v>44138</v>
      </c>
      <c r="E1426" s="181">
        <v>11813.5</v>
      </c>
      <c r="F1426" s="5"/>
      <c r="J1426" s="5"/>
      <c r="K1426" s="5"/>
    </row>
    <row r="1427" ht="16.5" customHeight="1" spans="4:11">
      <c r="D1427" s="180">
        <v>44137</v>
      </c>
      <c r="E1427" s="181">
        <v>11669.15</v>
      </c>
      <c r="F1427" s="5"/>
      <c r="J1427" s="5"/>
      <c r="K1427" s="5"/>
    </row>
    <row r="1428" ht="16.5" customHeight="1" spans="4:11">
      <c r="D1428" s="180">
        <v>44134</v>
      </c>
      <c r="E1428" s="181">
        <v>11642.4</v>
      </c>
      <c r="F1428" s="5"/>
      <c r="J1428" s="5"/>
      <c r="K1428" s="5"/>
    </row>
    <row r="1429" ht="16.5" customHeight="1" spans="4:11">
      <c r="D1429" s="180">
        <v>44133</v>
      </c>
      <c r="E1429" s="181">
        <v>11670.8</v>
      </c>
      <c r="F1429" s="5"/>
      <c r="J1429" s="5"/>
      <c r="K1429" s="5"/>
    </row>
    <row r="1430" ht="16.5" customHeight="1" spans="4:11">
      <c r="D1430" s="180">
        <v>44132</v>
      </c>
      <c r="E1430" s="181">
        <v>11729.6</v>
      </c>
      <c r="F1430" s="5"/>
      <c r="J1430" s="5"/>
      <c r="K1430" s="5"/>
    </row>
    <row r="1431" ht="16.5" customHeight="1" spans="4:11">
      <c r="D1431" s="180">
        <v>44131</v>
      </c>
      <c r="E1431" s="181">
        <v>11889.4</v>
      </c>
      <c r="F1431" s="5"/>
      <c r="J1431" s="5"/>
      <c r="K1431" s="5"/>
    </row>
    <row r="1432" ht="16.5" customHeight="1" spans="4:11">
      <c r="D1432" s="180">
        <v>44130</v>
      </c>
      <c r="E1432" s="181">
        <v>11767.75</v>
      </c>
      <c r="F1432" s="5"/>
      <c r="J1432" s="5"/>
      <c r="K1432" s="5"/>
    </row>
    <row r="1433" ht="16.5" customHeight="1" spans="4:11">
      <c r="D1433" s="180">
        <v>44127</v>
      </c>
      <c r="E1433" s="181">
        <v>11930.35</v>
      </c>
      <c r="F1433" s="5"/>
      <c r="J1433" s="5"/>
      <c r="K1433" s="5"/>
    </row>
    <row r="1434" ht="16.5" customHeight="1" spans="4:11">
      <c r="D1434" s="180">
        <v>44126</v>
      </c>
      <c r="E1434" s="181">
        <v>11896.45</v>
      </c>
      <c r="F1434" s="5"/>
      <c r="J1434" s="5"/>
      <c r="K1434" s="5"/>
    </row>
    <row r="1435" ht="16.5" customHeight="1" spans="4:11">
      <c r="D1435" s="180">
        <v>44125</v>
      </c>
      <c r="E1435" s="181">
        <v>11937.65</v>
      </c>
      <c r="F1435" s="5"/>
      <c r="J1435" s="5"/>
      <c r="K1435" s="5"/>
    </row>
    <row r="1436" ht="16.5" customHeight="1" spans="4:11">
      <c r="D1436" s="180">
        <v>44124</v>
      </c>
      <c r="E1436" s="181">
        <v>11896.8</v>
      </c>
      <c r="F1436" s="5"/>
      <c r="J1436" s="5"/>
      <c r="K1436" s="5"/>
    </row>
    <row r="1437" ht="16.5" customHeight="1" spans="4:11">
      <c r="D1437" s="180">
        <v>44123</v>
      </c>
      <c r="E1437" s="181">
        <v>11873.05</v>
      </c>
      <c r="F1437" s="5"/>
      <c r="J1437" s="5"/>
      <c r="K1437" s="5"/>
    </row>
    <row r="1438" ht="16.5" customHeight="1" spans="4:11">
      <c r="D1438" s="180">
        <v>44120</v>
      </c>
      <c r="E1438" s="181">
        <v>11762.45</v>
      </c>
      <c r="F1438" s="5"/>
      <c r="J1438" s="5"/>
      <c r="K1438" s="5"/>
    </row>
    <row r="1439" ht="16.5" customHeight="1" spans="4:11">
      <c r="D1439" s="180">
        <v>44119</v>
      </c>
      <c r="E1439" s="181">
        <v>11680.35</v>
      </c>
      <c r="F1439" s="5"/>
      <c r="J1439" s="5"/>
      <c r="K1439" s="5"/>
    </row>
    <row r="1440" ht="16.5" customHeight="1" spans="4:11">
      <c r="D1440" s="180">
        <v>44118</v>
      </c>
      <c r="E1440" s="181">
        <v>11971.05</v>
      </c>
      <c r="F1440" s="5"/>
      <c r="J1440" s="5"/>
      <c r="K1440" s="5"/>
    </row>
    <row r="1441" ht="16.5" customHeight="1" spans="4:11">
      <c r="D1441" s="180">
        <v>44117</v>
      </c>
      <c r="E1441" s="181">
        <v>11934.5</v>
      </c>
      <c r="F1441" s="5"/>
      <c r="J1441" s="5"/>
      <c r="K1441" s="5"/>
    </row>
    <row r="1442" ht="16.5" customHeight="1" spans="4:11">
      <c r="D1442" s="180">
        <v>44116</v>
      </c>
      <c r="E1442" s="181">
        <v>11930.95</v>
      </c>
      <c r="F1442" s="5"/>
      <c r="J1442" s="5"/>
      <c r="K1442" s="5"/>
    </row>
    <row r="1443" ht="16.5" customHeight="1" spans="4:11">
      <c r="D1443" s="180">
        <v>44113</v>
      </c>
      <c r="E1443" s="181">
        <v>11914.2</v>
      </c>
      <c r="F1443" s="5"/>
      <c r="J1443" s="5"/>
      <c r="K1443" s="5"/>
    </row>
    <row r="1444" ht="16.5" customHeight="1" spans="4:11">
      <c r="D1444" s="180">
        <v>44112</v>
      </c>
      <c r="E1444" s="181">
        <v>11834.6</v>
      </c>
      <c r="F1444" s="5"/>
      <c r="J1444" s="5"/>
      <c r="K1444" s="5"/>
    </row>
    <row r="1445" ht="16.5" customHeight="1" spans="4:11">
      <c r="D1445" s="180">
        <v>44111</v>
      </c>
      <c r="E1445" s="181">
        <v>11738.85</v>
      </c>
      <c r="F1445" s="5"/>
      <c r="J1445" s="5"/>
      <c r="K1445" s="5"/>
    </row>
    <row r="1446" ht="16.5" customHeight="1" spans="4:11">
      <c r="D1446" s="180">
        <v>44110</v>
      </c>
      <c r="E1446" s="181">
        <v>11662.4</v>
      </c>
      <c r="F1446" s="5"/>
      <c r="J1446" s="5"/>
      <c r="K1446" s="5"/>
    </row>
    <row r="1447" ht="16.5" customHeight="1" spans="4:11">
      <c r="D1447" s="180">
        <v>44109</v>
      </c>
      <c r="E1447" s="181">
        <v>11503.35</v>
      </c>
      <c r="F1447" s="5"/>
      <c r="J1447" s="5"/>
      <c r="K1447" s="5"/>
    </row>
    <row r="1448" ht="16.5" customHeight="1" spans="4:11">
      <c r="D1448" s="180">
        <v>44105</v>
      </c>
      <c r="E1448" s="181">
        <v>11416.95</v>
      </c>
      <c r="F1448" s="5"/>
      <c r="J1448" s="5"/>
      <c r="K1448" s="5"/>
    </row>
    <row r="1449" ht="16.5" customHeight="1" spans="4:11">
      <c r="D1449" s="180">
        <v>44104</v>
      </c>
      <c r="E1449" s="181">
        <v>11247.55</v>
      </c>
      <c r="F1449" s="5"/>
      <c r="J1449" s="5"/>
      <c r="K1449" s="5"/>
    </row>
    <row r="1450" ht="16.5" customHeight="1" spans="4:11">
      <c r="D1450" s="180">
        <v>44103</v>
      </c>
      <c r="E1450" s="181">
        <v>11222.4</v>
      </c>
      <c r="F1450" s="5"/>
      <c r="J1450" s="5"/>
      <c r="K1450" s="5"/>
    </row>
    <row r="1451" ht="16.5" customHeight="1" spans="4:11">
      <c r="D1451" s="180">
        <v>44102</v>
      </c>
      <c r="E1451" s="181">
        <v>11227.55</v>
      </c>
      <c r="F1451" s="5"/>
      <c r="J1451" s="5"/>
      <c r="K1451" s="5"/>
    </row>
    <row r="1452" ht="16.5" customHeight="1" spans="4:11">
      <c r="D1452" s="180">
        <v>44099</v>
      </c>
      <c r="E1452" s="181">
        <v>11050.25</v>
      </c>
      <c r="F1452" s="5"/>
      <c r="J1452" s="5"/>
      <c r="K1452" s="5"/>
    </row>
    <row r="1453" ht="16.5" customHeight="1" spans="4:11">
      <c r="D1453" s="180">
        <v>44098</v>
      </c>
      <c r="E1453" s="181">
        <v>10805.55</v>
      </c>
      <c r="F1453" s="5"/>
      <c r="J1453" s="5"/>
      <c r="K1453" s="5"/>
    </row>
    <row r="1454" ht="16.5" customHeight="1" spans="4:11">
      <c r="D1454" s="180">
        <v>44097</v>
      </c>
      <c r="E1454" s="181">
        <v>11131.85</v>
      </c>
      <c r="F1454" s="5"/>
      <c r="J1454" s="5"/>
      <c r="K1454" s="5"/>
    </row>
    <row r="1455" ht="16.5" customHeight="1" spans="4:11">
      <c r="D1455" s="180">
        <v>44096</v>
      </c>
      <c r="E1455" s="181">
        <v>11153.65</v>
      </c>
      <c r="F1455" s="5"/>
      <c r="J1455" s="5"/>
      <c r="K1455" s="5"/>
    </row>
    <row r="1456" ht="16.5" customHeight="1" spans="4:11">
      <c r="D1456" s="180">
        <v>44095</v>
      </c>
      <c r="E1456" s="181">
        <v>11250.55</v>
      </c>
      <c r="F1456" s="5"/>
      <c r="J1456" s="5"/>
      <c r="K1456" s="5"/>
    </row>
    <row r="1457" ht="16.5" customHeight="1" spans="4:11">
      <c r="D1457" s="180">
        <v>44092</v>
      </c>
      <c r="E1457" s="181">
        <v>11504.95</v>
      </c>
      <c r="F1457" s="5"/>
      <c r="J1457" s="5"/>
      <c r="K1457" s="5"/>
    </row>
    <row r="1458" ht="16.5" customHeight="1" spans="4:11">
      <c r="D1458" s="180">
        <v>44091</v>
      </c>
      <c r="E1458" s="181">
        <v>11516.1</v>
      </c>
      <c r="F1458" s="5"/>
      <c r="J1458" s="5"/>
      <c r="K1458" s="5"/>
    </row>
    <row r="1459" ht="16.5" customHeight="1" spans="4:11">
      <c r="D1459" s="180">
        <v>44090</v>
      </c>
      <c r="E1459" s="181">
        <v>11604.55</v>
      </c>
      <c r="F1459" s="5"/>
      <c r="J1459" s="5"/>
      <c r="K1459" s="5"/>
    </row>
    <row r="1460" ht="16.5" customHeight="1" spans="4:11">
      <c r="D1460" s="180">
        <v>44089</v>
      </c>
      <c r="E1460" s="181">
        <v>11521.8</v>
      </c>
      <c r="F1460" s="5"/>
      <c r="J1460" s="5"/>
      <c r="K1460" s="5"/>
    </row>
    <row r="1461" ht="16.5" customHeight="1" spans="4:11">
      <c r="D1461" s="180">
        <v>44088</v>
      </c>
      <c r="E1461" s="181">
        <v>11440.05</v>
      </c>
      <c r="F1461" s="5"/>
      <c r="J1461" s="5"/>
      <c r="K1461" s="5"/>
    </row>
    <row r="1462" ht="16.5" customHeight="1" spans="4:11">
      <c r="D1462" s="180">
        <v>44085</v>
      </c>
      <c r="E1462" s="181">
        <v>11464.45</v>
      </c>
      <c r="F1462" s="5"/>
      <c r="J1462" s="5"/>
      <c r="K1462" s="5"/>
    </row>
    <row r="1463" ht="16.5" customHeight="1" spans="4:11">
      <c r="D1463" s="180">
        <v>44084</v>
      </c>
      <c r="E1463" s="181">
        <v>11449.25</v>
      </c>
      <c r="F1463" s="5"/>
      <c r="J1463" s="5"/>
      <c r="K1463" s="5"/>
    </row>
    <row r="1464" ht="16.5" customHeight="1" spans="4:11">
      <c r="D1464" s="180">
        <v>44083</v>
      </c>
      <c r="E1464" s="181">
        <v>11278</v>
      </c>
      <c r="F1464" s="5"/>
      <c r="J1464" s="5"/>
      <c r="K1464" s="5"/>
    </row>
    <row r="1465" ht="16.5" customHeight="1" spans="4:11">
      <c r="D1465" s="180">
        <v>44082</v>
      </c>
      <c r="E1465" s="181">
        <v>11317.35</v>
      </c>
      <c r="F1465" s="5"/>
      <c r="J1465" s="5"/>
      <c r="K1465" s="5"/>
    </row>
    <row r="1466" ht="16.5" customHeight="1" spans="4:11">
      <c r="D1466" s="180">
        <v>44081</v>
      </c>
      <c r="E1466" s="181">
        <v>11355.05</v>
      </c>
      <c r="F1466" s="5"/>
      <c r="J1466" s="5"/>
      <c r="K1466" s="5"/>
    </row>
    <row r="1467" ht="16.5" customHeight="1" spans="4:11">
      <c r="D1467" s="180">
        <v>44078</v>
      </c>
      <c r="E1467" s="181">
        <v>11333.85</v>
      </c>
      <c r="F1467" s="5"/>
      <c r="J1467" s="5"/>
      <c r="K1467" s="5"/>
    </row>
    <row r="1468" ht="16.5" customHeight="1" spans="4:11">
      <c r="D1468" s="180">
        <v>44077</v>
      </c>
      <c r="E1468" s="181">
        <v>11527.45</v>
      </c>
      <c r="F1468" s="5"/>
      <c r="J1468" s="5"/>
      <c r="K1468" s="5"/>
    </row>
    <row r="1469" ht="16.5" customHeight="1" spans="4:11">
      <c r="D1469" s="180">
        <v>44076</v>
      </c>
      <c r="E1469" s="181">
        <v>11535</v>
      </c>
      <c r="F1469" s="5"/>
      <c r="J1469" s="5"/>
      <c r="K1469" s="5"/>
    </row>
    <row r="1470" ht="16.5" customHeight="1" spans="4:11">
      <c r="D1470" s="180">
        <v>44075</v>
      </c>
      <c r="E1470" s="181">
        <v>11470.25</v>
      </c>
      <c r="F1470" s="5"/>
      <c r="J1470" s="5"/>
      <c r="K1470" s="5"/>
    </row>
    <row r="1471" ht="16.5" customHeight="1" spans="4:11">
      <c r="D1471" s="180">
        <v>44074</v>
      </c>
      <c r="E1471" s="181">
        <v>11387.5</v>
      </c>
      <c r="F1471" s="5"/>
      <c r="J1471" s="5"/>
      <c r="K1471" s="5"/>
    </row>
    <row r="1472" ht="16.5" customHeight="1" spans="4:11">
      <c r="D1472" s="180">
        <v>44071</v>
      </c>
      <c r="E1472" s="181">
        <v>11647.6</v>
      </c>
      <c r="F1472" s="5"/>
      <c r="J1472" s="5"/>
      <c r="K1472" s="5"/>
    </row>
    <row r="1473" ht="16.5" customHeight="1" spans="4:11">
      <c r="D1473" s="180">
        <v>44070</v>
      </c>
      <c r="E1473" s="181">
        <v>11559.25</v>
      </c>
      <c r="F1473" s="5"/>
      <c r="J1473" s="5"/>
      <c r="K1473" s="5"/>
    </row>
    <row r="1474" ht="16.5" customHeight="1" spans="4:11">
      <c r="D1474" s="180">
        <v>44069</v>
      </c>
      <c r="E1474" s="181">
        <v>11549.6</v>
      </c>
      <c r="F1474" s="5"/>
      <c r="J1474" s="5"/>
      <c r="K1474" s="5"/>
    </row>
    <row r="1475" ht="16.5" customHeight="1" spans="4:11">
      <c r="D1475" s="180">
        <v>44068</v>
      </c>
      <c r="E1475" s="181">
        <v>11472.25</v>
      </c>
      <c r="F1475" s="5"/>
      <c r="J1475" s="5"/>
      <c r="K1475" s="5"/>
    </row>
    <row r="1476" ht="16.5" customHeight="1" spans="4:11">
      <c r="D1476" s="180">
        <v>44067</v>
      </c>
      <c r="E1476" s="181">
        <v>11466.45</v>
      </c>
      <c r="F1476" s="5"/>
      <c r="J1476" s="5"/>
      <c r="K1476" s="5"/>
    </row>
    <row r="1477" ht="16.5" customHeight="1" spans="4:11">
      <c r="D1477" s="180">
        <v>44064</v>
      </c>
      <c r="E1477" s="181">
        <v>11371.6</v>
      </c>
      <c r="F1477" s="5"/>
      <c r="J1477" s="5"/>
      <c r="K1477" s="5"/>
    </row>
    <row r="1478" ht="16.5" customHeight="1" spans="4:11">
      <c r="D1478" s="180">
        <v>44063</v>
      </c>
      <c r="E1478" s="181">
        <v>11312.2</v>
      </c>
      <c r="F1478" s="5"/>
      <c r="J1478" s="5"/>
      <c r="K1478" s="5"/>
    </row>
    <row r="1479" ht="16.5" customHeight="1" spans="4:11">
      <c r="D1479" s="180">
        <v>44062</v>
      </c>
      <c r="E1479" s="181">
        <v>11408.4</v>
      </c>
      <c r="F1479" s="5"/>
      <c r="J1479" s="5"/>
      <c r="K1479" s="5"/>
    </row>
    <row r="1480" ht="16.5" customHeight="1" spans="4:11">
      <c r="D1480" s="180">
        <v>44061</v>
      </c>
      <c r="E1480" s="181">
        <v>11385.35</v>
      </c>
      <c r="F1480" s="5"/>
      <c r="J1480" s="5"/>
      <c r="K1480" s="5"/>
    </row>
    <row r="1481" ht="16.5" customHeight="1" spans="4:11">
      <c r="D1481" s="180">
        <v>44060</v>
      </c>
      <c r="E1481" s="181">
        <v>11247.1</v>
      </c>
      <c r="F1481" s="5"/>
      <c r="J1481" s="5"/>
      <c r="K1481" s="5"/>
    </row>
    <row r="1482" ht="16.5" customHeight="1" spans="4:11">
      <c r="D1482" s="180">
        <v>44057</v>
      </c>
      <c r="E1482" s="181">
        <v>11178.4</v>
      </c>
      <c r="F1482" s="5"/>
      <c r="J1482" s="5"/>
      <c r="K1482" s="5"/>
    </row>
    <row r="1483" ht="16.5" customHeight="1" spans="4:11">
      <c r="D1483" s="180">
        <v>44056</v>
      </c>
      <c r="E1483" s="181">
        <v>11300.45</v>
      </c>
      <c r="F1483" s="5"/>
      <c r="J1483" s="5"/>
      <c r="K1483" s="5"/>
    </row>
    <row r="1484" ht="16.5" customHeight="1" spans="4:11">
      <c r="D1484" s="180">
        <v>44055</v>
      </c>
      <c r="E1484" s="181">
        <v>11308.4</v>
      </c>
      <c r="F1484" s="5"/>
      <c r="J1484" s="5"/>
      <c r="K1484" s="5"/>
    </row>
    <row r="1485" ht="16.5" customHeight="1" spans="4:11">
      <c r="D1485" s="180">
        <v>44054</v>
      </c>
      <c r="E1485" s="181">
        <v>11322.5</v>
      </c>
      <c r="F1485" s="5"/>
      <c r="J1485" s="5"/>
      <c r="K1485" s="5"/>
    </row>
    <row r="1486" ht="16.5" customHeight="1" spans="4:11">
      <c r="D1486" s="180">
        <v>44053</v>
      </c>
      <c r="E1486" s="181">
        <v>11270.15</v>
      </c>
      <c r="F1486" s="5"/>
      <c r="J1486" s="5"/>
      <c r="K1486" s="5"/>
    </row>
    <row r="1487" ht="16.5" customHeight="1" spans="4:11">
      <c r="D1487" s="180">
        <v>44050</v>
      </c>
      <c r="E1487" s="181">
        <v>11214.05</v>
      </c>
      <c r="F1487" s="5"/>
      <c r="J1487" s="5"/>
      <c r="K1487" s="5"/>
    </row>
    <row r="1488" ht="16.5" customHeight="1" spans="4:11">
      <c r="D1488" s="180">
        <v>44049</v>
      </c>
      <c r="E1488" s="181">
        <v>11200.15</v>
      </c>
      <c r="F1488" s="5"/>
      <c r="J1488" s="5"/>
      <c r="K1488" s="5"/>
    </row>
    <row r="1489" ht="16.5" customHeight="1" spans="4:11">
      <c r="D1489" s="180">
        <v>44048</v>
      </c>
      <c r="E1489" s="181">
        <v>11101.65</v>
      </c>
      <c r="F1489" s="5"/>
      <c r="J1489" s="5"/>
      <c r="K1489" s="5"/>
    </row>
    <row r="1490" ht="16.5" customHeight="1" spans="4:11">
      <c r="D1490" s="180">
        <v>44047</v>
      </c>
      <c r="E1490" s="181">
        <v>11095.25</v>
      </c>
      <c r="F1490" s="5"/>
      <c r="J1490" s="5"/>
      <c r="K1490" s="5"/>
    </row>
    <row r="1491" ht="16.5" customHeight="1" spans="4:11">
      <c r="D1491" s="180">
        <v>44046</v>
      </c>
      <c r="E1491" s="181">
        <v>10891.6</v>
      </c>
      <c r="F1491" s="5"/>
      <c r="J1491" s="5"/>
      <c r="K1491" s="5"/>
    </row>
    <row r="1492" ht="16.5" customHeight="1" spans="4:11">
      <c r="D1492" s="180">
        <v>44043</v>
      </c>
      <c r="E1492" s="181">
        <v>11073.45</v>
      </c>
      <c r="F1492" s="5"/>
      <c r="J1492" s="5"/>
      <c r="K1492" s="5"/>
    </row>
    <row r="1493" ht="16.5" customHeight="1" spans="4:11">
      <c r="D1493" s="180">
        <v>44042</v>
      </c>
      <c r="E1493" s="181">
        <v>11102.15</v>
      </c>
      <c r="F1493" s="5"/>
      <c r="J1493" s="5"/>
      <c r="K1493" s="5"/>
    </row>
    <row r="1494" ht="16.5" customHeight="1" spans="4:11">
      <c r="D1494" s="180">
        <v>44041</v>
      </c>
      <c r="E1494" s="181">
        <v>11202.85</v>
      </c>
      <c r="F1494" s="5"/>
      <c r="J1494" s="5"/>
      <c r="K1494" s="5"/>
    </row>
    <row r="1495" ht="16.5" customHeight="1" spans="4:11">
      <c r="D1495" s="180">
        <v>44040</v>
      </c>
      <c r="E1495" s="181">
        <v>11300.55</v>
      </c>
      <c r="F1495" s="5"/>
      <c r="J1495" s="5"/>
      <c r="K1495" s="5"/>
    </row>
    <row r="1496" ht="16.5" customHeight="1" spans="4:11">
      <c r="D1496" s="180">
        <v>44039</v>
      </c>
      <c r="E1496" s="181">
        <v>11131.8</v>
      </c>
      <c r="F1496" s="5"/>
      <c r="J1496" s="5"/>
      <c r="K1496" s="5"/>
    </row>
    <row r="1497" ht="16.5" customHeight="1" spans="4:11">
      <c r="D1497" s="180">
        <v>44036</v>
      </c>
      <c r="E1497" s="181">
        <v>11194.15</v>
      </c>
      <c r="F1497" s="5"/>
      <c r="J1497" s="5"/>
      <c r="K1497" s="5"/>
    </row>
    <row r="1498" ht="16.5" customHeight="1" spans="4:11">
      <c r="D1498" s="180">
        <v>44035</v>
      </c>
      <c r="E1498" s="181">
        <v>11215.45</v>
      </c>
      <c r="F1498" s="5"/>
      <c r="J1498" s="5"/>
      <c r="K1498" s="5"/>
    </row>
    <row r="1499" ht="16.5" customHeight="1" spans="4:11">
      <c r="D1499" s="180">
        <v>44034</v>
      </c>
      <c r="E1499" s="181">
        <v>11132.6</v>
      </c>
      <c r="F1499" s="5"/>
      <c r="J1499" s="5"/>
      <c r="K1499" s="5"/>
    </row>
    <row r="1500" ht="16.5" customHeight="1" spans="4:11">
      <c r="D1500" s="180">
        <v>44033</v>
      </c>
      <c r="E1500" s="181">
        <v>11162.25</v>
      </c>
      <c r="F1500" s="5"/>
      <c r="J1500" s="5"/>
      <c r="K1500" s="5"/>
    </row>
    <row r="1501" ht="16.5" customHeight="1" spans="4:11">
      <c r="D1501" s="180">
        <v>44032</v>
      </c>
      <c r="E1501" s="181">
        <v>11022.2</v>
      </c>
      <c r="F1501" s="5"/>
      <c r="J1501" s="5"/>
      <c r="K1501" s="5"/>
    </row>
    <row r="1502" ht="16.5" customHeight="1" spans="4:11">
      <c r="D1502" s="180">
        <v>44029</v>
      </c>
      <c r="E1502" s="181">
        <v>10901.7</v>
      </c>
      <c r="F1502" s="5"/>
      <c r="J1502" s="5"/>
      <c r="K1502" s="5"/>
    </row>
    <row r="1503" ht="16.5" customHeight="1" spans="4:11">
      <c r="D1503" s="180">
        <v>44028</v>
      </c>
      <c r="E1503" s="181">
        <v>10739.95</v>
      </c>
      <c r="F1503" s="5"/>
      <c r="J1503" s="5"/>
      <c r="K1503" s="5"/>
    </row>
    <row r="1504" ht="16.5" customHeight="1" spans="4:11">
      <c r="D1504" s="180">
        <v>44027</v>
      </c>
      <c r="E1504" s="181">
        <v>10618.2</v>
      </c>
      <c r="F1504" s="5"/>
      <c r="J1504" s="5"/>
      <c r="K1504" s="5"/>
    </row>
    <row r="1505" ht="16.5" customHeight="1" spans="4:11">
      <c r="D1505" s="180">
        <v>44026</v>
      </c>
      <c r="E1505" s="181">
        <v>10607.35</v>
      </c>
      <c r="F1505" s="5"/>
      <c r="J1505" s="5"/>
      <c r="K1505" s="5"/>
    </row>
    <row r="1506" ht="16.5" customHeight="1" spans="4:11">
      <c r="D1506" s="180">
        <v>44025</v>
      </c>
      <c r="E1506" s="181">
        <v>10802.7</v>
      </c>
      <c r="F1506" s="5"/>
      <c r="J1506" s="5"/>
      <c r="K1506" s="5"/>
    </row>
    <row r="1507" ht="16.5" customHeight="1" spans="4:11">
      <c r="D1507" s="180">
        <v>44022</v>
      </c>
      <c r="E1507" s="181">
        <v>10768.05</v>
      </c>
      <c r="F1507" s="5"/>
      <c r="J1507" s="5"/>
      <c r="K1507" s="5"/>
    </row>
    <row r="1508" ht="16.5" customHeight="1" spans="4:11">
      <c r="D1508" s="180">
        <v>44021</v>
      </c>
      <c r="E1508" s="181">
        <v>10813.45</v>
      </c>
      <c r="F1508" s="5"/>
      <c r="J1508" s="5"/>
      <c r="K1508" s="5"/>
    </row>
    <row r="1509" ht="16.5" customHeight="1" spans="4:11">
      <c r="D1509" s="180">
        <v>44020</v>
      </c>
      <c r="E1509" s="181">
        <v>10705.75</v>
      </c>
      <c r="F1509" s="5"/>
      <c r="J1509" s="5"/>
      <c r="K1509" s="5"/>
    </row>
    <row r="1510" ht="16.5" customHeight="1" spans="4:11">
      <c r="D1510" s="180">
        <v>44019</v>
      </c>
      <c r="E1510" s="181">
        <v>10799.65</v>
      </c>
      <c r="F1510" s="5"/>
      <c r="J1510" s="5"/>
      <c r="K1510" s="5"/>
    </row>
    <row r="1511" ht="16.5" customHeight="1" spans="4:11">
      <c r="D1511" s="180">
        <v>44018</v>
      </c>
      <c r="E1511" s="181">
        <v>10763.65</v>
      </c>
      <c r="F1511" s="5"/>
      <c r="J1511" s="5"/>
      <c r="K1511" s="5"/>
    </row>
    <row r="1512" ht="16.5" customHeight="1" spans="4:11">
      <c r="D1512" s="180">
        <v>44015</v>
      </c>
      <c r="E1512" s="181">
        <v>10607.35</v>
      </c>
      <c r="F1512" s="5"/>
      <c r="J1512" s="5"/>
      <c r="K1512" s="5"/>
    </row>
    <row r="1513" ht="16.5" customHeight="1" spans="4:11">
      <c r="D1513" s="180">
        <v>44014</v>
      </c>
      <c r="E1513" s="181">
        <v>10551.7</v>
      </c>
      <c r="F1513" s="5"/>
      <c r="J1513" s="5"/>
      <c r="K1513" s="5"/>
    </row>
    <row r="1514" ht="16.5" customHeight="1" spans="4:11">
      <c r="D1514" s="180">
        <v>44013</v>
      </c>
      <c r="E1514" s="181">
        <v>10430.05</v>
      </c>
      <c r="F1514" s="5"/>
      <c r="J1514" s="5"/>
      <c r="K1514" s="5"/>
    </row>
    <row r="1515" ht="16.5" customHeight="1" spans="4:11">
      <c r="D1515" s="180">
        <v>44012</v>
      </c>
      <c r="E1515" s="181">
        <v>10302.1</v>
      </c>
      <c r="F1515" s="5"/>
      <c r="J1515" s="5"/>
      <c r="K1515" s="5"/>
    </row>
    <row r="1516" ht="16.5" customHeight="1" spans="4:11">
      <c r="D1516" s="180">
        <v>44011</v>
      </c>
      <c r="E1516" s="181">
        <v>10312.4</v>
      </c>
      <c r="F1516" s="5"/>
      <c r="J1516" s="5"/>
      <c r="K1516" s="5"/>
    </row>
    <row r="1517" ht="16.5" customHeight="1" spans="4:11">
      <c r="D1517" s="180">
        <v>44008</v>
      </c>
      <c r="E1517" s="181">
        <v>10383</v>
      </c>
      <c r="F1517" s="5"/>
      <c r="J1517" s="5"/>
      <c r="K1517" s="5"/>
    </row>
    <row r="1518" ht="16.5" customHeight="1" spans="4:11">
      <c r="D1518" s="180">
        <v>44007</v>
      </c>
      <c r="E1518" s="181">
        <v>10288.9</v>
      </c>
      <c r="F1518" s="5"/>
      <c r="J1518" s="5"/>
      <c r="K1518" s="5"/>
    </row>
    <row r="1519" ht="16.5" customHeight="1" spans="4:11">
      <c r="D1519" s="180">
        <v>44006</v>
      </c>
      <c r="E1519" s="181">
        <v>10305.3</v>
      </c>
      <c r="F1519" s="5"/>
      <c r="J1519" s="5"/>
      <c r="K1519" s="5"/>
    </row>
    <row r="1520" ht="16.5" customHeight="1" spans="4:11">
      <c r="D1520" s="180">
        <v>44005</v>
      </c>
      <c r="E1520" s="181">
        <v>10471</v>
      </c>
      <c r="F1520" s="5"/>
      <c r="J1520" s="5"/>
      <c r="K1520" s="5"/>
    </row>
    <row r="1521" ht="16.5" customHeight="1" spans="4:11">
      <c r="D1521" s="180">
        <v>44004</v>
      </c>
      <c r="E1521" s="181">
        <v>10311.2</v>
      </c>
      <c r="F1521" s="5"/>
      <c r="J1521" s="5"/>
      <c r="K1521" s="5"/>
    </row>
    <row r="1522" ht="16.5" customHeight="1" spans="4:11">
      <c r="D1522" s="180">
        <v>44001</v>
      </c>
      <c r="E1522" s="181">
        <v>10244.4</v>
      </c>
      <c r="F1522" s="5"/>
      <c r="J1522" s="5"/>
      <c r="K1522" s="5"/>
    </row>
    <row r="1523" ht="16.5" customHeight="1" spans="4:11">
      <c r="D1523" s="180">
        <v>44000</v>
      </c>
      <c r="E1523" s="181">
        <v>10091.65</v>
      </c>
      <c r="F1523" s="5"/>
      <c r="J1523" s="5"/>
      <c r="K1523" s="5"/>
    </row>
    <row r="1524" ht="16.5" customHeight="1" spans="4:11">
      <c r="D1524" s="180">
        <v>43999</v>
      </c>
      <c r="E1524" s="181">
        <v>9881.15</v>
      </c>
      <c r="F1524" s="5"/>
      <c r="J1524" s="5"/>
      <c r="K1524" s="5"/>
    </row>
    <row r="1525" ht="16.5" customHeight="1" spans="4:11">
      <c r="D1525" s="180">
        <v>43998</v>
      </c>
      <c r="E1525" s="181">
        <v>9914</v>
      </c>
      <c r="F1525" s="5"/>
      <c r="J1525" s="5"/>
      <c r="K1525" s="5"/>
    </row>
    <row r="1526" ht="16.5" customHeight="1" spans="4:11">
      <c r="D1526" s="180">
        <v>43997</v>
      </c>
      <c r="E1526" s="181">
        <v>9813.7</v>
      </c>
      <c r="F1526" s="5"/>
      <c r="J1526" s="5"/>
      <c r="K1526" s="5"/>
    </row>
    <row r="1527" ht="16.5" customHeight="1" spans="4:11">
      <c r="D1527" s="180">
        <v>43994</v>
      </c>
      <c r="E1527" s="181">
        <v>9972.9</v>
      </c>
      <c r="F1527" s="5"/>
      <c r="J1527" s="5"/>
      <c r="K1527" s="5"/>
    </row>
    <row r="1528" ht="16.5" customHeight="1" spans="4:11">
      <c r="D1528" s="180">
        <v>43993</v>
      </c>
      <c r="E1528" s="181">
        <v>9902</v>
      </c>
      <c r="F1528" s="5"/>
      <c r="J1528" s="5"/>
      <c r="K1528" s="5"/>
    </row>
    <row r="1529" ht="16.5" customHeight="1" spans="4:11">
      <c r="D1529" s="180">
        <v>43992</v>
      </c>
      <c r="E1529" s="181">
        <v>10116.15</v>
      </c>
      <c r="F1529" s="5"/>
      <c r="J1529" s="5"/>
      <c r="K1529" s="5"/>
    </row>
    <row r="1530" ht="16.5" customHeight="1" spans="4:11">
      <c r="D1530" s="180">
        <v>43991</v>
      </c>
      <c r="E1530" s="181">
        <v>10046.65</v>
      </c>
      <c r="F1530" s="5"/>
      <c r="J1530" s="5"/>
      <c r="K1530" s="5"/>
    </row>
    <row r="1531" ht="16.5" customHeight="1" spans="4:11">
      <c r="D1531" s="180">
        <v>43990</v>
      </c>
      <c r="E1531" s="181">
        <v>10167.45</v>
      </c>
      <c r="F1531" s="5"/>
      <c r="J1531" s="5"/>
      <c r="K1531" s="5"/>
    </row>
    <row r="1532" ht="16.5" customHeight="1" spans="4:11">
      <c r="D1532" s="180">
        <v>43987</v>
      </c>
      <c r="E1532" s="181">
        <v>10142.15</v>
      </c>
      <c r="F1532" s="5"/>
      <c r="J1532" s="5"/>
      <c r="K1532" s="5"/>
    </row>
    <row r="1533" ht="16.5" customHeight="1" spans="4:11">
      <c r="D1533" s="180">
        <v>43986</v>
      </c>
      <c r="E1533" s="181">
        <v>10029.1</v>
      </c>
      <c r="F1533" s="5"/>
      <c r="J1533" s="5"/>
      <c r="K1533" s="5"/>
    </row>
    <row r="1534" ht="16.5" customHeight="1" spans="4:11">
      <c r="D1534" s="180">
        <v>43985</v>
      </c>
      <c r="E1534" s="181">
        <v>10061.55</v>
      </c>
      <c r="F1534" s="5"/>
      <c r="J1534" s="5"/>
      <c r="K1534" s="5"/>
    </row>
    <row r="1535" ht="16.5" customHeight="1" spans="4:11">
      <c r="D1535" s="180">
        <v>43984</v>
      </c>
      <c r="E1535" s="181">
        <v>9979.1</v>
      </c>
      <c r="F1535" s="5"/>
      <c r="J1535" s="5"/>
      <c r="K1535" s="5"/>
    </row>
    <row r="1536" ht="16.5" customHeight="1" spans="4:11">
      <c r="D1536" s="180">
        <v>43983</v>
      </c>
      <c r="E1536" s="181">
        <v>9826.15</v>
      </c>
      <c r="F1536" s="5"/>
      <c r="J1536" s="5"/>
      <c r="K1536" s="5"/>
    </row>
    <row r="1537" ht="16.5" customHeight="1" spans="4:11">
      <c r="D1537" s="180">
        <v>43980</v>
      </c>
      <c r="E1537" s="181">
        <v>9580.3</v>
      </c>
      <c r="F1537" s="5"/>
      <c r="J1537" s="5"/>
      <c r="K1537" s="5"/>
    </row>
    <row r="1538" ht="16.5" customHeight="1" spans="4:11">
      <c r="D1538" s="180">
        <v>43979</v>
      </c>
      <c r="E1538" s="181">
        <v>9490.1</v>
      </c>
      <c r="F1538" s="5"/>
      <c r="J1538" s="5"/>
      <c r="K1538" s="5"/>
    </row>
    <row r="1539" ht="16.5" customHeight="1" spans="4:11">
      <c r="D1539" s="180">
        <v>43978</v>
      </c>
      <c r="E1539" s="181">
        <v>9314.95</v>
      </c>
      <c r="F1539" s="5"/>
      <c r="J1539" s="5"/>
      <c r="K1539" s="5"/>
    </row>
    <row r="1540" ht="16.5" customHeight="1" spans="4:11">
      <c r="D1540" s="180">
        <v>43977</v>
      </c>
      <c r="E1540" s="181">
        <v>9029.05</v>
      </c>
      <c r="F1540" s="5"/>
      <c r="J1540" s="5"/>
      <c r="K1540" s="5"/>
    </row>
    <row r="1541" ht="16.5" customHeight="1" spans="4:11">
      <c r="D1541" s="180">
        <v>43973</v>
      </c>
      <c r="E1541" s="181">
        <v>9039.25</v>
      </c>
      <c r="F1541" s="5"/>
      <c r="J1541" s="5"/>
      <c r="K1541" s="5"/>
    </row>
    <row r="1542" ht="16.5" customHeight="1" spans="4:11">
      <c r="D1542" s="180">
        <v>43972</v>
      </c>
      <c r="E1542" s="181">
        <v>9106.25</v>
      </c>
      <c r="F1542" s="5"/>
      <c r="J1542" s="5"/>
      <c r="K1542" s="5"/>
    </row>
    <row r="1543" ht="16.5" customHeight="1" spans="4:11">
      <c r="D1543" s="180">
        <v>43971</v>
      </c>
      <c r="E1543" s="181">
        <v>9066.55</v>
      </c>
      <c r="F1543" s="5"/>
      <c r="J1543" s="5"/>
      <c r="K1543" s="5"/>
    </row>
    <row r="1544" ht="16.5" customHeight="1" spans="4:11">
      <c r="D1544" s="180">
        <v>43970</v>
      </c>
      <c r="E1544" s="181">
        <v>8879.1</v>
      </c>
      <c r="F1544" s="5"/>
      <c r="J1544" s="5"/>
      <c r="K1544" s="5"/>
    </row>
    <row r="1545" ht="16.5" customHeight="1" spans="4:11">
      <c r="D1545" s="180">
        <v>43969</v>
      </c>
      <c r="E1545" s="181">
        <v>8823.25</v>
      </c>
      <c r="F1545" s="5"/>
      <c r="J1545" s="5"/>
      <c r="K1545" s="5"/>
    </row>
    <row r="1546" ht="16.5" customHeight="1" spans="4:11">
      <c r="D1546" s="180">
        <v>43966</v>
      </c>
      <c r="E1546" s="181">
        <v>9136.85</v>
      </c>
      <c r="F1546" s="5"/>
      <c r="J1546" s="5"/>
      <c r="K1546" s="5"/>
    </row>
    <row r="1547" ht="16.5" customHeight="1" spans="4:11">
      <c r="D1547" s="180">
        <v>43965</v>
      </c>
      <c r="E1547" s="181">
        <v>9142.75</v>
      </c>
      <c r="F1547" s="5"/>
      <c r="J1547" s="5"/>
      <c r="K1547" s="5"/>
    </row>
    <row r="1548" ht="16.5" customHeight="1" spans="4:11">
      <c r="D1548" s="180">
        <v>43964</v>
      </c>
      <c r="E1548" s="181">
        <v>9383.55</v>
      </c>
      <c r="F1548" s="5"/>
      <c r="J1548" s="5"/>
      <c r="K1548" s="5"/>
    </row>
    <row r="1549" ht="16.5" customHeight="1" spans="4:11">
      <c r="D1549" s="180">
        <v>43963</v>
      </c>
      <c r="E1549" s="181">
        <v>9196.55</v>
      </c>
      <c r="F1549" s="5"/>
      <c r="J1549" s="5"/>
      <c r="K1549" s="5"/>
    </row>
    <row r="1550" ht="16.5" customHeight="1" spans="4:11">
      <c r="D1550" s="180">
        <v>43962</v>
      </c>
      <c r="E1550" s="181">
        <v>9239.2</v>
      </c>
      <c r="F1550" s="5"/>
      <c r="J1550" s="5"/>
      <c r="K1550" s="5"/>
    </row>
    <row r="1551" ht="16.5" customHeight="1" spans="4:11">
      <c r="D1551" s="180">
        <v>43959</v>
      </c>
      <c r="E1551" s="181">
        <v>9251.5</v>
      </c>
      <c r="F1551" s="5"/>
      <c r="J1551" s="5"/>
      <c r="K1551" s="5"/>
    </row>
    <row r="1552" ht="16.5" customHeight="1" spans="4:11">
      <c r="D1552" s="180">
        <v>43958</v>
      </c>
      <c r="E1552" s="181">
        <v>9199.05</v>
      </c>
      <c r="F1552" s="5"/>
      <c r="J1552" s="5"/>
      <c r="K1552" s="5"/>
    </row>
    <row r="1553" ht="16.5" customHeight="1" spans="4:11">
      <c r="D1553" s="180">
        <v>43957</v>
      </c>
      <c r="E1553" s="181">
        <v>9270.9</v>
      </c>
      <c r="F1553" s="5"/>
      <c r="J1553" s="5"/>
      <c r="K1553" s="5"/>
    </row>
    <row r="1554" ht="16.5" customHeight="1" spans="4:11">
      <c r="D1554" s="180">
        <v>43956</v>
      </c>
      <c r="E1554" s="181">
        <v>9205.6</v>
      </c>
      <c r="F1554" s="5"/>
      <c r="J1554" s="5"/>
      <c r="K1554" s="5"/>
    </row>
    <row r="1555" ht="16.5" customHeight="1" spans="4:11">
      <c r="D1555" s="180">
        <v>43955</v>
      </c>
      <c r="E1555" s="181">
        <v>9293.5</v>
      </c>
      <c r="F1555" s="5"/>
      <c r="J1555" s="5"/>
      <c r="K1555" s="5"/>
    </row>
    <row r="1556" ht="16.5" customHeight="1" spans="4:11">
      <c r="D1556" s="180">
        <v>43951</v>
      </c>
      <c r="E1556" s="181">
        <v>9859.9</v>
      </c>
      <c r="F1556" s="5"/>
      <c r="J1556" s="5"/>
      <c r="K1556" s="5"/>
    </row>
    <row r="1557" ht="16.5" customHeight="1" spans="4:11">
      <c r="D1557" s="180">
        <v>43950</v>
      </c>
      <c r="E1557" s="181">
        <v>9553.35</v>
      </c>
      <c r="F1557" s="5"/>
      <c r="J1557" s="5"/>
      <c r="K1557" s="5"/>
    </row>
    <row r="1558" ht="16.5" customHeight="1" spans="4:11">
      <c r="D1558" s="180">
        <v>43949</v>
      </c>
      <c r="E1558" s="181">
        <v>9380.9</v>
      </c>
      <c r="F1558" s="5"/>
      <c r="J1558" s="5"/>
      <c r="K1558" s="5"/>
    </row>
    <row r="1559" ht="16.5" customHeight="1" spans="4:11">
      <c r="D1559" s="180">
        <v>43948</v>
      </c>
      <c r="E1559" s="181">
        <v>9282.3</v>
      </c>
      <c r="F1559" s="5"/>
      <c r="J1559" s="5"/>
      <c r="K1559" s="5"/>
    </row>
    <row r="1560" ht="16.5" customHeight="1" spans="4:11">
      <c r="D1560" s="180">
        <v>43945</v>
      </c>
      <c r="E1560" s="181">
        <v>9154.4</v>
      </c>
      <c r="F1560" s="5"/>
      <c r="J1560" s="5"/>
      <c r="K1560" s="5"/>
    </row>
    <row r="1561" ht="16.5" customHeight="1" spans="4:11">
      <c r="D1561" s="180">
        <v>43944</v>
      </c>
      <c r="E1561" s="181">
        <v>9313.9</v>
      </c>
      <c r="F1561" s="5"/>
      <c r="J1561" s="5"/>
      <c r="K1561" s="5"/>
    </row>
    <row r="1562" ht="16.5" customHeight="1" spans="4:11">
      <c r="D1562" s="180">
        <v>43943</v>
      </c>
      <c r="E1562" s="181">
        <v>9187.3</v>
      </c>
      <c r="F1562" s="5"/>
      <c r="J1562" s="5"/>
      <c r="K1562" s="5"/>
    </row>
    <row r="1563" ht="16.5" customHeight="1" spans="4:11">
      <c r="D1563" s="180">
        <v>43942</v>
      </c>
      <c r="E1563" s="181">
        <v>8981.45</v>
      </c>
      <c r="F1563" s="5"/>
      <c r="J1563" s="5"/>
      <c r="K1563" s="5"/>
    </row>
    <row r="1564" ht="16.5" customHeight="1" spans="4:11">
      <c r="D1564" s="180">
        <v>43941</v>
      </c>
      <c r="E1564" s="181">
        <v>9261.85</v>
      </c>
      <c r="F1564" s="5"/>
      <c r="J1564" s="5"/>
      <c r="K1564" s="5"/>
    </row>
    <row r="1565" ht="16.5" customHeight="1" spans="4:11">
      <c r="D1565" s="180">
        <v>43938</v>
      </c>
      <c r="E1565" s="181">
        <v>9266.75</v>
      </c>
      <c r="F1565" s="5"/>
      <c r="J1565" s="5"/>
      <c r="K1565" s="5"/>
    </row>
    <row r="1566" ht="16.5" customHeight="1" spans="4:11">
      <c r="D1566" s="180">
        <v>43937</v>
      </c>
      <c r="E1566" s="181">
        <v>8992.8</v>
      </c>
      <c r="F1566" s="5"/>
      <c r="J1566" s="5"/>
      <c r="K1566" s="5"/>
    </row>
    <row r="1567" ht="16.5" customHeight="1" spans="4:11">
      <c r="D1567" s="180">
        <v>43936</v>
      </c>
      <c r="E1567" s="181">
        <v>8925.3</v>
      </c>
      <c r="F1567" s="5"/>
      <c r="J1567" s="5"/>
      <c r="K1567" s="5"/>
    </row>
    <row r="1568" ht="16.5" customHeight="1" spans="4:11">
      <c r="D1568" s="180">
        <v>43934</v>
      </c>
      <c r="E1568" s="181">
        <v>8993.85</v>
      </c>
      <c r="F1568" s="5"/>
      <c r="J1568" s="5"/>
      <c r="K1568" s="5"/>
    </row>
    <row r="1569" ht="16.5" customHeight="1" spans="4:11">
      <c r="D1569" s="180">
        <v>43930</v>
      </c>
      <c r="E1569" s="181">
        <v>9111.9</v>
      </c>
      <c r="F1569" s="5"/>
      <c r="J1569" s="5"/>
      <c r="K1569" s="5"/>
    </row>
    <row r="1570" ht="16.5" customHeight="1" spans="4:11">
      <c r="D1570" s="180">
        <v>43929</v>
      </c>
      <c r="E1570" s="181">
        <v>8748.75</v>
      </c>
      <c r="F1570" s="5"/>
      <c r="J1570" s="5"/>
      <c r="K1570" s="5"/>
    </row>
    <row r="1571" ht="16.5" customHeight="1" spans="4:11">
      <c r="D1571" s="180">
        <v>43928</v>
      </c>
      <c r="E1571" s="181">
        <v>8792.2</v>
      </c>
      <c r="F1571" s="5"/>
      <c r="J1571" s="5"/>
      <c r="K1571" s="5"/>
    </row>
    <row r="1572" ht="16.5" customHeight="1" spans="4:11">
      <c r="D1572" s="180">
        <v>43924</v>
      </c>
      <c r="E1572" s="181">
        <v>8083.8</v>
      </c>
      <c r="F1572" s="5"/>
      <c r="J1572" s="5"/>
      <c r="K1572" s="5"/>
    </row>
    <row r="1573" ht="16.5" customHeight="1" spans="4:11">
      <c r="D1573" s="180">
        <v>43922</v>
      </c>
      <c r="E1573" s="181">
        <v>8253.8</v>
      </c>
      <c r="F1573" s="5"/>
      <c r="J1573" s="5"/>
      <c r="K1573" s="5"/>
    </row>
    <row r="1574" ht="16.5" customHeight="1" spans="4:11">
      <c r="D1574" s="180">
        <v>43921</v>
      </c>
      <c r="E1574" s="181">
        <v>8597.75</v>
      </c>
      <c r="F1574" s="5"/>
      <c r="J1574" s="5"/>
      <c r="K1574" s="5"/>
    </row>
    <row r="1575" ht="16.5" customHeight="1" spans="4:11">
      <c r="D1575" s="180">
        <v>43920</v>
      </c>
      <c r="E1575" s="181">
        <v>8281.1</v>
      </c>
      <c r="F1575" s="5"/>
      <c r="J1575" s="5"/>
      <c r="K1575" s="5"/>
    </row>
    <row r="1576" ht="16.5" customHeight="1" spans="4:11">
      <c r="D1576" s="180">
        <v>43917</v>
      </c>
      <c r="E1576" s="181">
        <v>8660.25</v>
      </c>
      <c r="F1576" s="5"/>
      <c r="J1576" s="5"/>
      <c r="K1576" s="5"/>
    </row>
    <row r="1577" ht="16.5" customHeight="1" spans="4:11">
      <c r="D1577" s="180">
        <v>43916</v>
      </c>
      <c r="E1577" s="181">
        <v>8641.45</v>
      </c>
      <c r="F1577" s="5"/>
      <c r="J1577" s="5"/>
      <c r="K1577" s="5"/>
    </row>
    <row r="1578" ht="16.5" customHeight="1" spans="4:11">
      <c r="D1578" s="180">
        <v>43915</v>
      </c>
      <c r="E1578" s="181">
        <v>8317.85</v>
      </c>
      <c r="F1578" s="5"/>
      <c r="J1578" s="5"/>
      <c r="K1578" s="5"/>
    </row>
    <row r="1579" ht="16.5" customHeight="1" spans="4:11">
      <c r="D1579" s="180">
        <v>43914</v>
      </c>
      <c r="E1579" s="181">
        <v>7801.05</v>
      </c>
      <c r="F1579" s="5"/>
      <c r="J1579" s="5"/>
      <c r="K1579" s="5"/>
    </row>
    <row r="1580" ht="16.5" customHeight="1" spans="4:11">
      <c r="D1580" s="180">
        <v>43913</v>
      </c>
      <c r="E1580" s="181">
        <v>7610.25</v>
      </c>
      <c r="F1580" s="5"/>
      <c r="J1580" s="5"/>
      <c r="K1580" s="5"/>
    </row>
    <row r="1581" ht="16.5" customHeight="1" spans="4:11">
      <c r="D1581" s="180">
        <v>43910</v>
      </c>
      <c r="E1581" s="181">
        <v>8745.45</v>
      </c>
      <c r="F1581" s="5"/>
      <c r="J1581" s="5"/>
      <c r="K1581" s="5"/>
    </row>
    <row r="1582" ht="16.5" customHeight="1" spans="4:11">
      <c r="D1582" s="180">
        <v>43909</v>
      </c>
      <c r="E1582" s="181">
        <v>8263.45</v>
      </c>
      <c r="F1582" s="5"/>
      <c r="J1582" s="5"/>
      <c r="K1582" s="5"/>
    </row>
    <row r="1583" ht="16.5" customHeight="1" spans="4:11">
      <c r="D1583" s="180">
        <v>43908</v>
      </c>
      <c r="E1583" s="181">
        <v>8468.8</v>
      </c>
      <c r="F1583" s="5"/>
      <c r="J1583" s="5"/>
      <c r="K1583" s="5"/>
    </row>
    <row r="1584" ht="16.5" customHeight="1" spans="4:11">
      <c r="D1584" s="180">
        <v>43907</v>
      </c>
      <c r="E1584" s="181">
        <v>8967.05</v>
      </c>
      <c r="F1584" s="5"/>
      <c r="J1584" s="5"/>
      <c r="K1584" s="5"/>
    </row>
    <row r="1585" ht="16.5" customHeight="1" spans="4:11">
      <c r="D1585" s="180">
        <v>43906</v>
      </c>
      <c r="E1585" s="181">
        <v>9197.4</v>
      </c>
      <c r="F1585" s="5"/>
      <c r="J1585" s="5"/>
      <c r="K1585" s="5"/>
    </row>
    <row r="1586" ht="16.5" customHeight="1" spans="4:11">
      <c r="D1586" s="180">
        <v>43903</v>
      </c>
      <c r="E1586" s="181">
        <v>9955.2</v>
      </c>
      <c r="F1586" s="5"/>
      <c r="J1586" s="5"/>
      <c r="K1586" s="5"/>
    </row>
    <row r="1587" ht="16.5" customHeight="1" spans="4:11">
      <c r="D1587" s="180">
        <v>43902</v>
      </c>
      <c r="E1587" s="181">
        <v>9590.15</v>
      </c>
      <c r="F1587" s="5"/>
      <c r="J1587" s="5"/>
      <c r="K1587" s="5"/>
    </row>
    <row r="1588" ht="16.5" customHeight="1" spans="4:11">
      <c r="D1588" s="180">
        <v>43901</v>
      </c>
      <c r="E1588" s="181">
        <v>10458.4</v>
      </c>
      <c r="F1588" s="5"/>
      <c r="J1588" s="5"/>
      <c r="K1588" s="5"/>
    </row>
    <row r="1589" ht="16.5" customHeight="1" spans="4:11">
      <c r="D1589" s="180">
        <v>43899</v>
      </c>
      <c r="E1589" s="181">
        <v>10451.45</v>
      </c>
      <c r="F1589" s="5"/>
      <c r="J1589" s="5"/>
      <c r="K1589" s="5"/>
    </row>
    <row r="1590" ht="16.5" customHeight="1" spans="4:11">
      <c r="D1590" s="180">
        <v>43896</v>
      </c>
      <c r="E1590" s="181">
        <v>10989.45</v>
      </c>
      <c r="F1590" s="5"/>
      <c r="J1590" s="5"/>
      <c r="K1590" s="5"/>
    </row>
    <row r="1591" ht="16.5" customHeight="1" spans="4:11">
      <c r="D1591" s="180">
        <v>43895</v>
      </c>
      <c r="E1591" s="181">
        <v>11269</v>
      </c>
      <c r="F1591" s="5"/>
      <c r="J1591" s="5"/>
      <c r="K1591" s="5"/>
    </row>
    <row r="1592" ht="16.5" customHeight="1" spans="4:11">
      <c r="D1592" s="180">
        <v>43894</v>
      </c>
      <c r="E1592" s="181">
        <v>11251</v>
      </c>
      <c r="F1592" s="5"/>
      <c r="J1592" s="5"/>
      <c r="K1592" s="5"/>
    </row>
    <row r="1593" ht="16.5" customHeight="1" spans="4:11">
      <c r="D1593" s="180">
        <v>43893</v>
      </c>
      <c r="E1593" s="181">
        <v>11303.3</v>
      </c>
      <c r="F1593" s="5"/>
      <c r="J1593" s="5"/>
      <c r="K1593" s="5"/>
    </row>
    <row r="1594" ht="16.5" customHeight="1" spans="4:11">
      <c r="D1594" s="180">
        <v>43892</v>
      </c>
      <c r="E1594" s="181">
        <v>11132.75</v>
      </c>
      <c r="F1594" s="5"/>
      <c r="J1594" s="5"/>
      <c r="K1594" s="5"/>
    </row>
    <row r="1595" ht="16.5" customHeight="1" spans="4:11">
      <c r="D1595" s="180">
        <v>43889</v>
      </c>
      <c r="E1595" s="181">
        <v>11201.75</v>
      </c>
      <c r="F1595" s="5"/>
      <c r="J1595" s="5"/>
      <c r="K1595" s="5"/>
    </row>
    <row r="1596" ht="16.5" customHeight="1" spans="4:11">
      <c r="D1596" s="180">
        <v>43888</v>
      </c>
      <c r="E1596" s="181">
        <v>11633.3</v>
      </c>
      <c r="F1596" s="5"/>
      <c r="J1596" s="5"/>
      <c r="K1596" s="5"/>
    </row>
    <row r="1597" ht="16.5" customHeight="1" spans="4:11">
      <c r="D1597" s="180">
        <v>43887</v>
      </c>
      <c r="E1597" s="181">
        <v>11678.5</v>
      </c>
      <c r="F1597" s="5"/>
      <c r="J1597" s="5"/>
      <c r="K1597" s="5"/>
    </row>
    <row r="1598" ht="16.5" customHeight="1" spans="4:11">
      <c r="D1598" s="180">
        <v>43886</v>
      </c>
      <c r="E1598" s="181">
        <v>11797.9</v>
      </c>
      <c r="F1598" s="5"/>
      <c r="J1598" s="5"/>
      <c r="K1598" s="5"/>
    </row>
    <row r="1599" ht="16.5" customHeight="1" spans="4:11">
      <c r="D1599" s="180">
        <v>43885</v>
      </c>
      <c r="E1599" s="181">
        <v>11829.4</v>
      </c>
      <c r="F1599" s="5"/>
      <c r="J1599" s="5"/>
      <c r="K1599" s="5"/>
    </row>
    <row r="1600" ht="16.5" customHeight="1" spans="4:11">
      <c r="D1600" s="180">
        <v>43881</v>
      </c>
      <c r="E1600" s="181">
        <v>12080.85</v>
      </c>
      <c r="F1600" s="5"/>
      <c r="J1600" s="5"/>
      <c r="K1600" s="5"/>
    </row>
    <row r="1601" ht="16.5" customHeight="1" spans="4:11">
      <c r="D1601" s="180">
        <v>43880</v>
      </c>
      <c r="E1601" s="181">
        <v>12125.9</v>
      </c>
      <c r="F1601" s="5"/>
      <c r="J1601" s="5"/>
      <c r="K1601" s="5"/>
    </row>
    <row r="1602" ht="16.5" customHeight="1" spans="4:11">
      <c r="D1602" s="180">
        <v>43879</v>
      </c>
      <c r="E1602" s="181">
        <v>11992.5</v>
      </c>
      <c r="F1602" s="5"/>
      <c r="J1602" s="5"/>
      <c r="K1602" s="5"/>
    </row>
    <row r="1603" ht="16.5" customHeight="1" spans="4:11">
      <c r="D1603" s="180">
        <v>43878</v>
      </c>
      <c r="E1603" s="181">
        <v>12045.8</v>
      </c>
      <c r="F1603" s="5"/>
      <c r="J1603" s="5"/>
      <c r="K1603" s="5"/>
    </row>
    <row r="1604" ht="16.5" customHeight="1" spans="4:11">
      <c r="D1604" s="180">
        <v>43875</v>
      </c>
      <c r="E1604" s="181">
        <v>12113.45</v>
      </c>
      <c r="F1604" s="5"/>
      <c r="J1604" s="5"/>
      <c r="K1604" s="5"/>
    </row>
    <row r="1605" ht="16.5" customHeight="1" spans="4:11">
      <c r="D1605" s="180">
        <v>43874</v>
      </c>
      <c r="E1605" s="181">
        <v>12174.65</v>
      </c>
      <c r="F1605" s="5"/>
      <c r="J1605" s="5"/>
      <c r="K1605" s="5"/>
    </row>
    <row r="1606" ht="16.5" customHeight="1" spans="4:11">
      <c r="D1606" s="180">
        <v>43873</v>
      </c>
      <c r="E1606" s="181">
        <v>12201.2</v>
      </c>
      <c r="F1606" s="5"/>
      <c r="J1606" s="5"/>
      <c r="K1606" s="5"/>
    </row>
    <row r="1607" ht="16.5" customHeight="1" spans="4:11">
      <c r="D1607" s="180">
        <v>43872</v>
      </c>
      <c r="E1607" s="181">
        <v>12107.9</v>
      </c>
      <c r="F1607" s="5"/>
      <c r="J1607" s="5"/>
      <c r="K1607" s="5"/>
    </row>
    <row r="1608" ht="16.5" customHeight="1" spans="4:11">
      <c r="D1608" s="180">
        <v>43871</v>
      </c>
      <c r="E1608" s="181">
        <v>12031.5</v>
      </c>
      <c r="F1608" s="5"/>
      <c r="J1608" s="5"/>
      <c r="K1608" s="5"/>
    </row>
    <row r="1609" ht="16.5" customHeight="1" spans="4:11">
      <c r="D1609" s="180">
        <v>43868</v>
      </c>
      <c r="E1609" s="181">
        <v>12098.35</v>
      </c>
      <c r="F1609" s="5"/>
      <c r="J1609" s="5"/>
      <c r="K1609" s="5"/>
    </row>
    <row r="1610" ht="16.5" customHeight="1" spans="4:11">
      <c r="D1610" s="180">
        <v>43867</v>
      </c>
      <c r="E1610" s="181">
        <v>12137.95</v>
      </c>
      <c r="F1610" s="5"/>
      <c r="J1610" s="5"/>
      <c r="K1610" s="5"/>
    </row>
    <row r="1611" ht="16.5" customHeight="1" spans="4:11">
      <c r="D1611" s="180">
        <v>43866</v>
      </c>
      <c r="E1611" s="181">
        <v>12089.15</v>
      </c>
      <c r="F1611" s="5"/>
      <c r="J1611" s="5"/>
      <c r="K1611" s="5"/>
    </row>
    <row r="1612" ht="16.5" customHeight="1" spans="4:11">
      <c r="D1612" s="180">
        <v>43865</v>
      </c>
      <c r="E1612" s="181">
        <v>11979.65</v>
      </c>
      <c r="F1612" s="5"/>
      <c r="J1612" s="5"/>
      <c r="K1612" s="5"/>
    </row>
    <row r="1613" ht="16.5" customHeight="1" spans="4:11">
      <c r="D1613" s="180">
        <v>43864</v>
      </c>
      <c r="E1613" s="181">
        <v>11707.9</v>
      </c>
      <c r="F1613" s="5"/>
      <c r="J1613" s="5"/>
      <c r="K1613" s="5"/>
    </row>
    <row r="1614" ht="16.5" customHeight="1" spans="4:11">
      <c r="D1614" s="180">
        <v>43862</v>
      </c>
      <c r="E1614" s="181">
        <v>11661.85</v>
      </c>
      <c r="F1614" s="5"/>
      <c r="J1614" s="5"/>
      <c r="K1614" s="5"/>
    </row>
    <row r="1615" ht="16.5" customHeight="1" spans="4:11">
      <c r="D1615" s="180">
        <v>43861</v>
      </c>
      <c r="E1615" s="181">
        <v>11962.1</v>
      </c>
      <c r="F1615" s="5"/>
      <c r="J1615" s="5"/>
      <c r="K1615" s="5"/>
    </row>
    <row r="1616" ht="16.5" customHeight="1" spans="4:11">
      <c r="D1616" s="180">
        <v>43860</v>
      </c>
      <c r="E1616" s="181">
        <v>12035.8</v>
      </c>
      <c r="F1616" s="5"/>
      <c r="J1616" s="5"/>
      <c r="K1616" s="5"/>
    </row>
    <row r="1617" ht="16.5" customHeight="1" spans="4:11">
      <c r="D1617" s="180">
        <v>43859</v>
      </c>
      <c r="E1617" s="181">
        <v>12129.5</v>
      </c>
      <c r="F1617" s="5"/>
      <c r="J1617" s="5"/>
      <c r="K1617" s="5"/>
    </row>
    <row r="1618" ht="16.5" customHeight="1" spans="4:11">
      <c r="D1618" s="180">
        <v>43858</v>
      </c>
      <c r="E1618" s="181">
        <v>12055.8</v>
      </c>
      <c r="F1618" s="5"/>
      <c r="J1618" s="5"/>
      <c r="K1618" s="5"/>
    </row>
    <row r="1619" ht="16.5" customHeight="1" spans="4:11">
      <c r="D1619" s="180">
        <v>43857</v>
      </c>
      <c r="E1619" s="181">
        <v>12119</v>
      </c>
      <c r="F1619" s="5"/>
      <c r="J1619" s="5"/>
      <c r="K1619" s="5"/>
    </row>
    <row r="1620" ht="16.5" customHeight="1" spans="4:11">
      <c r="D1620" s="180">
        <v>43854</v>
      </c>
      <c r="E1620" s="181">
        <v>12248.25</v>
      </c>
      <c r="F1620" s="5"/>
      <c r="J1620" s="5"/>
      <c r="K1620" s="5"/>
    </row>
    <row r="1621" ht="16.5" customHeight="1" spans="4:11">
      <c r="D1621" s="180">
        <v>43853</v>
      </c>
      <c r="E1621" s="181">
        <v>12180.35</v>
      </c>
      <c r="F1621" s="5"/>
      <c r="J1621" s="5"/>
      <c r="K1621" s="5"/>
    </row>
    <row r="1622" ht="16.5" customHeight="1" spans="4:11">
      <c r="D1622" s="180">
        <v>43852</v>
      </c>
      <c r="E1622" s="181">
        <v>12106.9</v>
      </c>
      <c r="F1622" s="5"/>
      <c r="J1622" s="5"/>
      <c r="K1622" s="5"/>
    </row>
    <row r="1623" ht="16.5" customHeight="1" spans="4:11">
      <c r="D1623" s="180">
        <v>43851</v>
      </c>
      <c r="E1623" s="181">
        <v>12169.85</v>
      </c>
      <c r="F1623" s="5"/>
      <c r="J1623" s="5"/>
      <c r="K1623" s="5"/>
    </row>
    <row r="1624" ht="16.5" customHeight="1" spans="4:11">
      <c r="D1624" s="180">
        <v>43850</v>
      </c>
      <c r="E1624" s="181">
        <v>12224.55</v>
      </c>
      <c r="F1624" s="5"/>
      <c r="J1624" s="5"/>
      <c r="K1624" s="5"/>
    </row>
    <row r="1625" ht="16.5" customHeight="1" spans="4:11">
      <c r="D1625" s="180">
        <v>43847</v>
      </c>
      <c r="E1625" s="181">
        <v>12352.35</v>
      </c>
      <c r="F1625" s="5"/>
      <c r="J1625" s="5"/>
      <c r="K1625" s="5"/>
    </row>
    <row r="1626" ht="16.5" customHeight="1" spans="4:11">
      <c r="D1626" s="180">
        <v>43846</v>
      </c>
      <c r="E1626" s="181">
        <v>12355.5</v>
      </c>
      <c r="F1626" s="5"/>
      <c r="J1626" s="5"/>
      <c r="K1626" s="5"/>
    </row>
    <row r="1627" ht="16.5" customHeight="1" spans="4:11">
      <c r="D1627" s="180">
        <v>43845</v>
      </c>
      <c r="E1627" s="181">
        <v>12343.3</v>
      </c>
      <c r="F1627" s="5"/>
      <c r="J1627" s="5"/>
      <c r="K1627" s="5"/>
    </row>
    <row r="1628" ht="16.5" customHeight="1" spans="4:11">
      <c r="D1628" s="180">
        <v>43844</v>
      </c>
      <c r="E1628" s="181">
        <v>12362.3</v>
      </c>
      <c r="F1628" s="5"/>
      <c r="J1628" s="5"/>
      <c r="K1628" s="5"/>
    </row>
    <row r="1629" ht="16.5" customHeight="1" spans="4:11">
      <c r="D1629" s="180">
        <v>43843</v>
      </c>
      <c r="E1629" s="181">
        <v>12329.55</v>
      </c>
      <c r="F1629" s="5"/>
      <c r="J1629" s="5"/>
      <c r="K1629" s="5"/>
    </row>
    <row r="1630" ht="16.5" customHeight="1" spans="4:11">
      <c r="D1630" s="180">
        <v>43840</v>
      </c>
      <c r="E1630" s="181">
        <v>12256.8</v>
      </c>
      <c r="F1630" s="5"/>
      <c r="J1630" s="5"/>
      <c r="K1630" s="5"/>
    </row>
    <row r="1631" ht="16.5" customHeight="1" spans="4:11">
      <c r="D1631" s="180">
        <v>43839</v>
      </c>
      <c r="E1631" s="181">
        <v>12215.9</v>
      </c>
      <c r="F1631" s="5"/>
      <c r="J1631" s="5"/>
      <c r="K1631" s="5"/>
    </row>
    <row r="1632" ht="16.5" customHeight="1" spans="4:11">
      <c r="D1632" s="180">
        <v>43838</v>
      </c>
      <c r="E1632" s="181">
        <v>12025.35</v>
      </c>
      <c r="F1632" s="5"/>
      <c r="J1632" s="5"/>
      <c r="K1632" s="5"/>
    </row>
    <row r="1633" ht="16.5" customHeight="1" spans="4:11">
      <c r="D1633" s="180">
        <v>43837</v>
      </c>
      <c r="E1633" s="181">
        <v>12052.95</v>
      </c>
      <c r="F1633" s="5"/>
      <c r="J1633" s="5"/>
      <c r="K1633" s="5"/>
    </row>
    <row r="1634" ht="16.5" customHeight="1" spans="4:11">
      <c r="D1634" s="180">
        <v>43836</v>
      </c>
      <c r="E1634" s="181">
        <v>11993.05</v>
      </c>
      <c r="F1634" s="5"/>
      <c r="J1634" s="5"/>
      <c r="K1634" s="5"/>
    </row>
    <row r="1635" ht="16.5" customHeight="1" spans="4:11">
      <c r="D1635" s="180">
        <v>43833</v>
      </c>
      <c r="E1635" s="181">
        <v>12226.65</v>
      </c>
      <c r="F1635" s="5"/>
      <c r="J1635" s="5"/>
      <c r="K1635" s="5"/>
    </row>
    <row r="1636" ht="16.5" customHeight="1" spans="4:11">
      <c r="D1636" s="180">
        <v>43832</v>
      </c>
      <c r="E1636" s="181">
        <v>12282.2</v>
      </c>
      <c r="F1636" s="5"/>
      <c r="J1636" s="5"/>
      <c r="K1636" s="5"/>
    </row>
    <row r="1637" ht="16.5" customHeight="1" spans="4:11">
      <c r="D1637" s="180">
        <v>43831</v>
      </c>
      <c r="E1637" s="181">
        <v>12182.5</v>
      </c>
      <c r="F1637" s="5"/>
      <c r="J1637" s="5"/>
      <c r="K1637" s="5"/>
    </row>
    <row r="1638" ht="16.5" customHeight="1" spans="4:11">
      <c r="D1638" s="180">
        <v>43830</v>
      </c>
      <c r="E1638" s="181">
        <v>12168.45</v>
      </c>
      <c r="F1638" s="5"/>
      <c r="J1638" s="5"/>
      <c r="K1638" s="5"/>
    </row>
    <row r="1639" ht="16.5" customHeight="1" spans="4:11">
      <c r="D1639" s="180">
        <v>43829</v>
      </c>
      <c r="E1639" s="181">
        <v>12255.85</v>
      </c>
      <c r="F1639" s="5"/>
      <c r="J1639" s="5"/>
      <c r="K1639" s="5"/>
    </row>
    <row r="1640" ht="16.5" customHeight="1" spans="4:11">
      <c r="D1640" s="180">
        <v>43826</v>
      </c>
      <c r="E1640" s="181">
        <v>12245.8</v>
      </c>
      <c r="F1640" s="5"/>
      <c r="J1640" s="5"/>
      <c r="K1640" s="5"/>
    </row>
    <row r="1641" ht="16.5" customHeight="1" spans="4:11">
      <c r="D1641" s="180">
        <v>43825</v>
      </c>
      <c r="E1641" s="181">
        <v>12126.55</v>
      </c>
      <c r="F1641" s="5"/>
      <c r="J1641" s="5"/>
      <c r="K1641" s="5"/>
    </row>
    <row r="1642" ht="16.5" customHeight="1" spans="4:11">
      <c r="D1642" s="180">
        <v>43823</v>
      </c>
      <c r="E1642" s="181">
        <v>12214.55</v>
      </c>
      <c r="F1642" s="5"/>
      <c r="J1642" s="5"/>
      <c r="K1642" s="5"/>
    </row>
    <row r="1643" ht="16.5" customHeight="1" spans="4:11">
      <c r="D1643" s="180">
        <v>43822</v>
      </c>
      <c r="E1643" s="181">
        <v>12262.75</v>
      </c>
      <c r="F1643" s="5"/>
      <c r="J1643" s="5"/>
      <c r="K1643" s="5"/>
    </row>
    <row r="1644" ht="16.5" customHeight="1" spans="4:11">
      <c r="D1644" s="180">
        <v>43819</v>
      </c>
      <c r="E1644" s="181">
        <v>12271.8</v>
      </c>
      <c r="F1644" s="5"/>
      <c r="J1644" s="5"/>
      <c r="K1644" s="5"/>
    </row>
    <row r="1645" ht="16.5" customHeight="1" spans="4:11">
      <c r="D1645" s="180">
        <v>43818</v>
      </c>
      <c r="E1645" s="181">
        <v>12259.7</v>
      </c>
      <c r="F1645" s="5"/>
      <c r="J1645" s="5"/>
      <c r="K1645" s="5"/>
    </row>
    <row r="1646" ht="16.5" customHeight="1" spans="4:11">
      <c r="D1646" s="180">
        <v>43817</v>
      </c>
      <c r="E1646" s="181">
        <v>12221.65</v>
      </c>
      <c r="F1646" s="5"/>
      <c r="J1646" s="5"/>
      <c r="K1646" s="5"/>
    </row>
    <row r="1647" ht="16.5" customHeight="1" spans="4:11">
      <c r="D1647" s="180">
        <v>43816</v>
      </c>
      <c r="E1647" s="181">
        <v>12165</v>
      </c>
      <c r="F1647" s="5"/>
      <c r="J1647" s="5"/>
      <c r="K1647" s="5"/>
    </row>
    <row r="1648" ht="16.5" customHeight="1" spans="4:11">
      <c r="D1648" s="180">
        <v>43815</v>
      </c>
      <c r="E1648" s="181">
        <v>12053.95</v>
      </c>
      <c r="F1648" s="5"/>
      <c r="J1648" s="5"/>
      <c r="K1648" s="5"/>
    </row>
    <row r="1649" ht="16.5" customHeight="1" spans="4:11">
      <c r="D1649" s="180">
        <v>43812</v>
      </c>
      <c r="E1649" s="181">
        <v>12086.7</v>
      </c>
      <c r="F1649" s="5"/>
      <c r="J1649" s="5"/>
      <c r="K1649" s="5"/>
    </row>
    <row r="1650" ht="16.5" customHeight="1" spans="4:11">
      <c r="D1650" s="180">
        <v>43811</v>
      </c>
      <c r="E1650" s="181">
        <v>11971.8</v>
      </c>
      <c r="F1650" s="5"/>
      <c r="J1650" s="5"/>
      <c r="K1650" s="5"/>
    </row>
    <row r="1651" ht="16.5" customHeight="1" spans="4:11">
      <c r="D1651" s="180">
        <v>43810</v>
      </c>
      <c r="E1651" s="181">
        <v>11910.15</v>
      </c>
      <c r="F1651" s="5"/>
      <c r="J1651" s="5"/>
      <c r="K1651" s="5"/>
    </row>
    <row r="1652" ht="16.5" customHeight="1" spans="4:11">
      <c r="D1652" s="180">
        <v>43809</v>
      </c>
      <c r="E1652" s="181">
        <v>11856.8</v>
      </c>
      <c r="F1652" s="5"/>
      <c r="J1652" s="5"/>
      <c r="K1652" s="5"/>
    </row>
    <row r="1653" ht="16.5" customHeight="1" spans="4:11">
      <c r="D1653" s="180">
        <v>43808</v>
      </c>
      <c r="E1653" s="181">
        <v>11937.5</v>
      </c>
      <c r="F1653" s="5"/>
      <c r="J1653" s="5"/>
      <c r="K1653" s="5"/>
    </row>
    <row r="1654" ht="16.5" customHeight="1" spans="4:11">
      <c r="D1654" s="180">
        <v>43805</v>
      </c>
      <c r="E1654" s="181">
        <v>11921.5</v>
      </c>
      <c r="F1654" s="5"/>
      <c r="J1654" s="5"/>
      <c r="K1654" s="5"/>
    </row>
    <row r="1655" ht="16.5" customHeight="1" spans="4:11">
      <c r="D1655" s="180">
        <v>43804</v>
      </c>
      <c r="E1655" s="181">
        <v>12018.4</v>
      </c>
      <c r="F1655" s="5"/>
      <c r="J1655" s="5"/>
      <c r="K1655" s="5"/>
    </row>
    <row r="1656" ht="16.5" customHeight="1" spans="4:11">
      <c r="D1656" s="180">
        <v>43803</v>
      </c>
      <c r="E1656" s="181">
        <v>12043.2</v>
      </c>
      <c r="F1656" s="5"/>
      <c r="J1656" s="5"/>
      <c r="K1656" s="5"/>
    </row>
    <row r="1657" ht="16.5" customHeight="1" spans="4:11">
      <c r="D1657" s="180">
        <v>43802</v>
      </c>
      <c r="E1657" s="181">
        <v>11994.2</v>
      </c>
      <c r="F1657" s="5"/>
      <c r="J1657" s="5"/>
      <c r="K1657" s="5"/>
    </row>
    <row r="1658" ht="16.5" customHeight="1" spans="4:11">
      <c r="D1658" s="180">
        <v>43801</v>
      </c>
      <c r="E1658" s="181">
        <v>12048.2</v>
      </c>
      <c r="F1658" s="5"/>
      <c r="J1658" s="5"/>
      <c r="K1658" s="5"/>
    </row>
    <row r="1659" ht="16.5" customHeight="1" spans="4:11">
      <c r="D1659" s="180">
        <v>43798</v>
      </c>
      <c r="E1659" s="181">
        <v>12056.05</v>
      </c>
      <c r="F1659" s="5"/>
      <c r="J1659" s="5"/>
      <c r="K1659" s="5"/>
    </row>
    <row r="1660" ht="16.5" customHeight="1" spans="4:11">
      <c r="D1660" s="180">
        <v>43797</v>
      </c>
      <c r="E1660" s="181">
        <v>12151.15</v>
      </c>
      <c r="F1660" s="5"/>
      <c r="J1660" s="5"/>
      <c r="K1660" s="5"/>
    </row>
    <row r="1661" ht="16.5" customHeight="1" spans="4:11">
      <c r="D1661" s="180">
        <v>43796</v>
      </c>
      <c r="E1661" s="181">
        <v>12100.7</v>
      </c>
      <c r="F1661" s="5"/>
      <c r="J1661" s="5"/>
      <c r="K1661" s="5"/>
    </row>
    <row r="1662" ht="16.5" customHeight="1" spans="4:11">
      <c r="D1662" s="180">
        <v>43795</v>
      </c>
      <c r="E1662" s="181">
        <v>12037.7</v>
      </c>
      <c r="F1662" s="5"/>
      <c r="J1662" s="5"/>
      <c r="K1662" s="5"/>
    </row>
    <row r="1663" ht="16.5" customHeight="1" spans="4:11">
      <c r="D1663" s="180">
        <v>43794</v>
      </c>
      <c r="E1663" s="181">
        <v>12073.75</v>
      </c>
      <c r="F1663" s="5"/>
      <c r="J1663" s="5"/>
      <c r="K1663" s="5"/>
    </row>
    <row r="1664" ht="16.5" customHeight="1" spans="4:11">
      <c r="D1664" s="180">
        <v>43791</v>
      </c>
      <c r="E1664" s="181">
        <v>11914.4</v>
      </c>
      <c r="F1664" s="5"/>
      <c r="J1664" s="5"/>
      <c r="K1664" s="5"/>
    </row>
    <row r="1665" ht="16.5" customHeight="1" spans="4:11">
      <c r="D1665" s="180">
        <v>43790</v>
      </c>
      <c r="E1665" s="181">
        <v>11968.4</v>
      </c>
      <c r="F1665" s="5"/>
      <c r="J1665" s="5"/>
      <c r="K1665" s="5"/>
    </row>
    <row r="1666" ht="16.5" customHeight="1" spans="4:11">
      <c r="D1666" s="180">
        <v>43789</v>
      </c>
      <c r="E1666" s="181">
        <v>11999.1</v>
      </c>
      <c r="F1666" s="5"/>
      <c r="J1666" s="5"/>
      <c r="K1666" s="5"/>
    </row>
    <row r="1667" ht="16.5" customHeight="1" spans="4:11">
      <c r="D1667" s="180">
        <v>43788</v>
      </c>
      <c r="E1667" s="181">
        <v>11940.1</v>
      </c>
      <c r="F1667" s="5"/>
      <c r="J1667" s="5"/>
      <c r="K1667" s="5"/>
    </row>
    <row r="1668" ht="16.5" customHeight="1" spans="4:11">
      <c r="D1668" s="180">
        <v>43787</v>
      </c>
      <c r="E1668" s="181">
        <v>11884.5</v>
      </c>
      <c r="F1668" s="5"/>
      <c r="J1668" s="5"/>
      <c r="K1668" s="5"/>
    </row>
    <row r="1669" ht="16.5" customHeight="1" spans="4:11">
      <c r="D1669" s="180">
        <v>43784</v>
      </c>
      <c r="E1669" s="181">
        <v>11895.45</v>
      </c>
      <c r="F1669" s="5"/>
      <c r="J1669" s="5"/>
      <c r="K1669" s="5"/>
    </row>
    <row r="1670" ht="16.5" customHeight="1" spans="4:11">
      <c r="D1670" s="180">
        <v>43783</v>
      </c>
      <c r="E1670" s="181">
        <v>11872.1</v>
      </c>
      <c r="F1670" s="5"/>
      <c r="J1670" s="5"/>
      <c r="K1670" s="5"/>
    </row>
    <row r="1671" ht="16.5" customHeight="1" spans="4:11">
      <c r="D1671" s="180">
        <v>43782</v>
      </c>
      <c r="E1671" s="181">
        <v>11840.45</v>
      </c>
      <c r="F1671" s="5"/>
      <c r="J1671" s="5"/>
      <c r="K1671" s="5"/>
    </row>
    <row r="1672" ht="16.5" customHeight="1" spans="4:11">
      <c r="D1672" s="180">
        <v>43780</v>
      </c>
      <c r="E1672" s="181">
        <v>11913.45</v>
      </c>
      <c r="F1672" s="5"/>
      <c r="J1672" s="5"/>
      <c r="K1672" s="5"/>
    </row>
    <row r="1673" ht="16.5" customHeight="1" spans="4:11">
      <c r="D1673" s="180">
        <v>43777</v>
      </c>
      <c r="E1673" s="181">
        <v>11908.15</v>
      </c>
      <c r="F1673" s="5"/>
      <c r="J1673" s="5"/>
      <c r="K1673" s="5"/>
    </row>
    <row r="1674" ht="16.5" customHeight="1" spans="4:11">
      <c r="D1674" s="180">
        <v>43776</v>
      </c>
      <c r="E1674" s="181">
        <v>12012.05</v>
      </c>
      <c r="F1674" s="5"/>
      <c r="J1674" s="5"/>
      <c r="K1674" s="5"/>
    </row>
    <row r="1675" ht="16.5" customHeight="1" spans="4:11">
      <c r="D1675" s="180">
        <v>43775</v>
      </c>
      <c r="E1675" s="181">
        <v>11966.05</v>
      </c>
      <c r="F1675" s="5"/>
      <c r="J1675" s="5"/>
      <c r="K1675" s="5"/>
    </row>
    <row r="1676" ht="16.5" customHeight="1" spans="4:11">
      <c r="D1676" s="180">
        <v>43774</v>
      </c>
      <c r="E1676" s="181">
        <v>11917.2</v>
      </c>
      <c r="F1676" s="5"/>
      <c r="J1676" s="5"/>
      <c r="K1676" s="5"/>
    </row>
    <row r="1677" ht="16.5" customHeight="1" spans="4:11">
      <c r="D1677" s="180">
        <v>43773</v>
      </c>
      <c r="E1677" s="181">
        <v>11941.3</v>
      </c>
      <c r="F1677" s="5"/>
      <c r="J1677" s="5"/>
      <c r="K1677" s="5"/>
    </row>
    <row r="1678" ht="16.5" customHeight="1" spans="4:11">
      <c r="D1678" s="180">
        <v>43770</v>
      </c>
      <c r="E1678" s="181">
        <v>11890.6</v>
      </c>
      <c r="F1678" s="5"/>
      <c r="J1678" s="5"/>
      <c r="K1678" s="5"/>
    </row>
    <row r="1679" ht="16.5" customHeight="1" spans="4:11">
      <c r="D1679" s="180">
        <v>43769</v>
      </c>
      <c r="E1679" s="181">
        <v>11877.45</v>
      </c>
      <c r="F1679" s="5"/>
      <c r="J1679" s="5"/>
      <c r="K1679" s="5"/>
    </row>
    <row r="1680" ht="16.5" customHeight="1" spans="4:11">
      <c r="D1680" s="180">
        <v>43768</v>
      </c>
      <c r="E1680" s="181">
        <v>11844.1</v>
      </c>
      <c r="F1680" s="5"/>
      <c r="J1680" s="5"/>
      <c r="K1680" s="5"/>
    </row>
    <row r="1681" ht="16.5" customHeight="1" spans="4:11">
      <c r="D1681" s="180">
        <v>43767</v>
      </c>
      <c r="E1681" s="181">
        <v>11786.85</v>
      </c>
      <c r="F1681" s="5"/>
      <c r="J1681" s="5"/>
      <c r="K1681" s="5"/>
    </row>
    <row r="1682" ht="16.5" customHeight="1" spans="4:11">
      <c r="D1682" s="180">
        <v>43765</v>
      </c>
      <c r="E1682" s="181">
        <v>11627.15</v>
      </c>
      <c r="F1682" s="5"/>
      <c r="J1682" s="5"/>
      <c r="K1682" s="5"/>
    </row>
    <row r="1683" ht="16.5" customHeight="1" spans="4:11">
      <c r="D1683" s="180">
        <v>43763</v>
      </c>
      <c r="E1683" s="181">
        <v>11583.9</v>
      </c>
      <c r="F1683" s="5"/>
      <c r="J1683" s="5"/>
      <c r="K1683" s="5"/>
    </row>
    <row r="1684" ht="16.5" customHeight="1" spans="4:11">
      <c r="D1684" s="180">
        <v>43762</v>
      </c>
      <c r="E1684" s="181">
        <v>11582.6</v>
      </c>
      <c r="F1684" s="5"/>
      <c r="J1684" s="5"/>
      <c r="K1684" s="5"/>
    </row>
    <row r="1685" ht="16.5" customHeight="1" spans="4:11">
      <c r="D1685" s="180">
        <v>43761</v>
      </c>
      <c r="E1685" s="181">
        <v>11604.1</v>
      </c>
      <c r="F1685" s="5"/>
      <c r="J1685" s="5"/>
      <c r="K1685" s="5"/>
    </row>
    <row r="1686" ht="16.5" customHeight="1" spans="4:11">
      <c r="D1686" s="180">
        <v>43760</v>
      </c>
      <c r="E1686" s="181">
        <v>11588.35</v>
      </c>
      <c r="F1686" s="5"/>
      <c r="J1686" s="5"/>
      <c r="K1686" s="5"/>
    </row>
    <row r="1687" ht="16.5" customHeight="1" spans="4:11">
      <c r="D1687" s="180">
        <v>43756</v>
      </c>
      <c r="E1687" s="181">
        <v>11661.85</v>
      </c>
      <c r="F1687" s="5"/>
      <c r="J1687" s="5"/>
      <c r="K1687" s="5"/>
    </row>
    <row r="1688" ht="16.5" customHeight="1" spans="4:11">
      <c r="D1688" s="180">
        <v>43755</v>
      </c>
      <c r="E1688" s="181">
        <v>11586.35</v>
      </c>
      <c r="F1688" s="5"/>
      <c r="J1688" s="5"/>
      <c r="K1688" s="5"/>
    </row>
    <row r="1689" ht="16.5" customHeight="1" spans="4:11">
      <c r="D1689" s="180">
        <v>43754</v>
      </c>
      <c r="E1689" s="181">
        <v>11464</v>
      </c>
      <c r="F1689" s="5"/>
      <c r="J1689" s="5"/>
      <c r="K1689" s="5"/>
    </row>
    <row r="1690" ht="16.5" customHeight="1" spans="4:11">
      <c r="D1690" s="180">
        <v>43753</v>
      </c>
      <c r="E1690" s="181">
        <v>11428.3</v>
      </c>
      <c r="F1690" s="5"/>
      <c r="J1690" s="5"/>
      <c r="K1690" s="5"/>
    </row>
    <row r="1691" ht="16.5" customHeight="1" spans="4:11">
      <c r="D1691" s="180">
        <v>43752</v>
      </c>
      <c r="E1691" s="181">
        <v>11341.15</v>
      </c>
      <c r="F1691" s="5"/>
      <c r="J1691" s="5"/>
      <c r="K1691" s="5"/>
    </row>
    <row r="1692" ht="16.5" customHeight="1" spans="4:11">
      <c r="D1692" s="180">
        <v>43749</v>
      </c>
      <c r="E1692" s="181">
        <v>11305.05</v>
      </c>
      <c r="F1692" s="5"/>
      <c r="J1692" s="5"/>
      <c r="K1692" s="5"/>
    </row>
    <row r="1693" ht="16.5" customHeight="1" spans="4:11">
      <c r="D1693" s="180">
        <v>43748</v>
      </c>
      <c r="E1693" s="181">
        <v>11234.55</v>
      </c>
      <c r="F1693" s="5"/>
      <c r="J1693" s="5"/>
      <c r="K1693" s="5"/>
    </row>
    <row r="1694" ht="16.5" customHeight="1" spans="4:11">
      <c r="D1694" s="180">
        <v>43747</v>
      </c>
      <c r="E1694" s="181">
        <v>11313.3</v>
      </c>
      <c r="F1694" s="5"/>
      <c r="J1694" s="5"/>
      <c r="K1694" s="5"/>
    </row>
    <row r="1695" ht="16.5" customHeight="1" spans="4:11">
      <c r="D1695" s="180">
        <v>43745</v>
      </c>
      <c r="E1695" s="181">
        <v>11126.4</v>
      </c>
      <c r="F1695" s="5"/>
      <c r="J1695" s="5"/>
      <c r="K1695" s="5"/>
    </row>
    <row r="1696" ht="16.5" customHeight="1" spans="4:11">
      <c r="D1696" s="180">
        <v>43742</v>
      </c>
      <c r="E1696" s="181">
        <v>11174.75</v>
      </c>
      <c r="F1696" s="5"/>
      <c r="J1696" s="5"/>
      <c r="K1696" s="5"/>
    </row>
    <row r="1697" ht="16.5" customHeight="1" spans="4:11">
      <c r="D1697" s="180">
        <v>43741</v>
      </c>
      <c r="E1697" s="181">
        <v>11314</v>
      </c>
      <c r="F1697" s="5"/>
      <c r="J1697" s="5"/>
      <c r="K1697" s="5"/>
    </row>
    <row r="1698" ht="16.5" customHeight="1" spans="4:11">
      <c r="D1698" s="180">
        <v>43739</v>
      </c>
      <c r="E1698" s="181">
        <v>11359.9</v>
      </c>
      <c r="F1698" s="5"/>
      <c r="J1698" s="5"/>
      <c r="K1698" s="5"/>
    </row>
    <row r="1699" ht="16.5" customHeight="1" spans="4:11">
      <c r="D1699" s="180">
        <v>43738</v>
      </c>
      <c r="E1699" s="181">
        <v>11474.45</v>
      </c>
      <c r="F1699" s="5"/>
      <c r="J1699" s="5"/>
      <c r="K1699" s="5"/>
    </row>
    <row r="1700" ht="16.5" customHeight="1" spans="4:11">
      <c r="D1700" s="180">
        <v>43735</v>
      </c>
      <c r="E1700" s="181">
        <v>11512.4</v>
      </c>
      <c r="F1700" s="5"/>
      <c r="J1700" s="5"/>
      <c r="K1700" s="5"/>
    </row>
    <row r="1701" ht="16.5" customHeight="1" spans="4:11">
      <c r="D1701" s="180">
        <v>43734</v>
      </c>
      <c r="E1701" s="181">
        <v>11571.2</v>
      </c>
      <c r="F1701" s="5"/>
      <c r="J1701" s="5"/>
      <c r="K1701" s="5"/>
    </row>
    <row r="1702" ht="16.5" customHeight="1" spans="4:11">
      <c r="D1702" s="180">
        <v>43733</v>
      </c>
      <c r="E1702" s="181">
        <v>11440.2</v>
      </c>
      <c r="F1702" s="5"/>
      <c r="J1702" s="5"/>
      <c r="K1702" s="5"/>
    </row>
    <row r="1703" ht="16.5" customHeight="1" spans="4:11">
      <c r="D1703" s="180">
        <v>43732</v>
      </c>
      <c r="E1703" s="181">
        <v>11588.2</v>
      </c>
      <c r="F1703" s="5"/>
      <c r="J1703" s="5"/>
      <c r="K1703" s="5"/>
    </row>
    <row r="1704" ht="16.5" customHeight="1" spans="4:11">
      <c r="D1704" s="180">
        <v>43731</v>
      </c>
      <c r="E1704" s="181">
        <v>11600.2</v>
      </c>
      <c r="F1704" s="5"/>
      <c r="J1704" s="5"/>
      <c r="K1704" s="5"/>
    </row>
    <row r="1705" ht="16.5" customHeight="1" spans="4:11">
      <c r="D1705" s="180">
        <v>43728</v>
      </c>
      <c r="E1705" s="181">
        <v>11274.2</v>
      </c>
      <c r="F1705" s="5"/>
      <c r="J1705" s="5"/>
      <c r="K1705" s="5"/>
    </row>
    <row r="1706" ht="16.5" customHeight="1" spans="4:11">
      <c r="D1706" s="180">
        <v>43727</v>
      </c>
      <c r="E1706" s="181">
        <v>10704.8</v>
      </c>
      <c r="F1706" s="5"/>
      <c r="J1706" s="5"/>
      <c r="K1706" s="5"/>
    </row>
    <row r="1707" ht="16.5" customHeight="1" spans="4:11">
      <c r="D1707" s="180">
        <v>43726</v>
      </c>
      <c r="E1707" s="181">
        <v>10840.65</v>
      </c>
      <c r="F1707" s="5"/>
      <c r="J1707" s="5"/>
      <c r="K1707" s="5"/>
    </row>
    <row r="1708" ht="16.5" customHeight="1" spans="4:11">
      <c r="D1708" s="180">
        <v>43725</v>
      </c>
      <c r="E1708" s="181">
        <v>10817.6</v>
      </c>
      <c r="F1708" s="5"/>
      <c r="J1708" s="5"/>
      <c r="K1708" s="5"/>
    </row>
    <row r="1709" ht="16.5" customHeight="1" spans="4:11">
      <c r="D1709" s="180">
        <v>43724</v>
      </c>
      <c r="E1709" s="181">
        <v>11003.5</v>
      </c>
      <c r="F1709" s="5"/>
      <c r="J1709" s="5"/>
      <c r="K1709" s="5"/>
    </row>
    <row r="1710" ht="16.5" customHeight="1" spans="4:11">
      <c r="D1710" s="180">
        <v>43721</v>
      </c>
      <c r="E1710" s="181">
        <v>11075.9</v>
      </c>
      <c r="F1710" s="5"/>
      <c r="J1710" s="5"/>
      <c r="K1710" s="5"/>
    </row>
    <row r="1711" ht="16.5" customHeight="1" spans="4:11">
      <c r="D1711" s="180">
        <v>43720</v>
      </c>
      <c r="E1711" s="181">
        <v>10982.8</v>
      </c>
      <c r="F1711" s="5"/>
      <c r="J1711" s="5"/>
      <c r="K1711" s="5"/>
    </row>
    <row r="1712" ht="16.5" customHeight="1" spans="4:11">
      <c r="D1712" s="180">
        <v>43719</v>
      </c>
      <c r="E1712" s="181">
        <v>11035.7</v>
      </c>
      <c r="F1712" s="5"/>
      <c r="J1712" s="5"/>
      <c r="K1712" s="5"/>
    </row>
    <row r="1713" ht="16.5" customHeight="1" spans="4:11">
      <c r="D1713" s="180">
        <v>43717</v>
      </c>
      <c r="E1713" s="181">
        <v>11003.05</v>
      </c>
      <c r="F1713" s="5"/>
      <c r="J1713" s="5"/>
      <c r="K1713" s="5"/>
    </row>
    <row r="1714" ht="16.5" customHeight="1" spans="4:11">
      <c r="D1714" s="180">
        <v>43714</v>
      </c>
      <c r="E1714" s="181">
        <v>10946.2</v>
      </c>
      <c r="F1714" s="5"/>
      <c r="J1714" s="5"/>
      <c r="K1714" s="5"/>
    </row>
    <row r="1715" ht="16.5" customHeight="1" spans="4:11">
      <c r="D1715" s="180">
        <v>43713</v>
      </c>
      <c r="E1715" s="181">
        <v>10847.9</v>
      </c>
      <c r="F1715" s="5"/>
      <c r="J1715" s="5"/>
      <c r="K1715" s="5"/>
    </row>
    <row r="1716" ht="16.5" customHeight="1" spans="4:11">
      <c r="D1716" s="180">
        <v>43712</v>
      </c>
      <c r="E1716" s="181">
        <v>10844.65</v>
      </c>
      <c r="F1716" s="5"/>
      <c r="J1716" s="5"/>
      <c r="K1716" s="5"/>
    </row>
    <row r="1717" ht="16.5" customHeight="1" spans="4:11">
      <c r="D1717" s="180">
        <v>43711</v>
      </c>
      <c r="E1717" s="181">
        <v>10797.9</v>
      </c>
      <c r="F1717" s="5"/>
      <c r="J1717" s="5"/>
      <c r="K1717" s="5"/>
    </row>
    <row r="1718" ht="16.5" customHeight="1" spans="4:11">
      <c r="D1718" s="180">
        <v>43707</v>
      </c>
      <c r="E1718" s="181">
        <v>11023.25</v>
      </c>
      <c r="F1718" s="5"/>
      <c r="J1718" s="5"/>
      <c r="K1718" s="5"/>
    </row>
    <row r="1719" ht="16.5" customHeight="1" spans="4:11">
      <c r="D1719" s="180">
        <v>43706</v>
      </c>
      <c r="E1719" s="181">
        <v>10948.3</v>
      </c>
      <c r="F1719" s="5"/>
      <c r="J1719" s="5"/>
      <c r="K1719" s="5"/>
    </row>
    <row r="1720" ht="16.5" customHeight="1" spans="4:11">
      <c r="D1720" s="180">
        <v>43705</v>
      </c>
      <c r="E1720" s="181">
        <v>11046.1</v>
      </c>
      <c r="F1720" s="5"/>
      <c r="J1720" s="5"/>
      <c r="K1720" s="5"/>
    </row>
    <row r="1721" ht="16.5" customHeight="1" spans="4:11">
      <c r="D1721" s="180">
        <v>43704</v>
      </c>
      <c r="E1721" s="181">
        <v>11105.35</v>
      </c>
      <c r="F1721" s="5"/>
      <c r="J1721" s="5"/>
      <c r="K1721" s="5"/>
    </row>
    <row r="1722" ht="16.5" customHeight="1" spans="4:11">
      <c r="D1722" s="180">
        <v>43703</v>
      </c>
      <c r="E1722" s="181">
        <v>11057.85</v>
      </c>
      <c r="F1722" s="5"/>
      <c r="J1722" s="5"/>
      <c r="K1722" s="5"/>
    </row>
    <row r="1723" ht="16.5" customHeight="1" spans="4:11">
      <c r="D1723" s="180">
        <v>43700</v>
      </c>
      <c r="E1723" s="181">
        <v>10829.35</v>
      </c>
      <c r="F1723" s="5"/>
      <c r="J1723" s="5"/>
      <c r="K1723" s="5"/>
    </row>
    <row r="1724" ht="16.5" customHeight="1" spans="4:11">
      <c r="D1724" s="180">
        <v>43699</v>
      </c>
      <c r="E1724" s="181">
        <v>10741.35</v>
      </c>
      <c r="F1724" s="5"/>
      <c r="J1724" s="5"/>
      <c r="K1724" s="5"/>
    </row>
    <row r="1725" ht="16.5" customHeight="1" spans="4:11">
      <c r="D1725" s="180">
        <v>43698</v>
      </c>
      <c r="E1725" s="181">
        <v>10918.7</v>
      </c>
      <c r="F1725" s="5"/>
      <c r="J1725" s="5"/>
      <c r="K1725" s="5"/>
    </row>
    <row r="1726" ht="16.5" customHeight="1" spans="4:11">
      <c r="D1726" s="180">
        <v>43697</v>
      </c>
      <c r="E1726" s="181">
        <v>11017</v>
      </c>
      <c r="F1726" s="5"/>
      <c r="J1726" s="5"/>
      <c r="K1726" s="5"/>
    </row>
    <row r="1727" ht="16.5" customHeight="1" spans="4:11">
      <c r="D1727" s="180">
        <v>43696</v>
      </c>
      <c r="E1727" s="181">
        <v>11053.9</v>
      </c>
      <c r="F1727" s="5"/>
      <c r="J1727" s="5"/>
      <c r="K1727" s="5"/>
    </row>
    <row r="1728" ht="16.5" customHeight="1" spans="4:11">
      <c r="D1728" s="180">
        <v>43693</v>
      </c>
      <c r="E1728" s="181">
        <v>11047.8</v>
      </c>
      <c r="F1728" s="5"/>
      <c r="J1728" s="5"/>
      <c r="K1728" s="5"/>
    </row>
    <row r="1729" ht="16.5" customHeight="1" spans="4:11">
      <c r="D1729" s="180">
        <v>43691</v>
      </c>
      <c r="E1729" s="181">
        <v>11029.4</v>
      </c>
      <c r="F1729" s="5"/>
      <c r="J1729" s="5"/>
      <c r="K1729" s="5"/>
    </row>
    <row r="1730" ht="16.5" customHeight="1" spans="4:11">
      <c r="D1730" s="180">
        <v>43690</v>
      </c>
      <c r="E1730" s="181">
        <v>10925.85</v>
      </c>
      <c r="F1730" s="5"/>
      <c r="J1730" s="5"/>
      <c r="K1730" s="5"/>
    </row>
    <row r="1731" ht="16.5" customHeight="1" spans="4:11">
      <c r="D1731" s="180">
        <v>43686</v>
      </c>
      <c r="E1731" s="181">
        <v>11109.65</v>
      </c>
      <c r="F1731" s="5"/>
      <c r="J1731" s="5"/>
      <c r="K1731" s="5"/>
    </row>
    <row r="1732" ht="16.5" customHeight="1" spans="4:11">
      <c r="D1732" s="180">
        <v>43685</v>
      </c>
      <c r="E1732" s="181">
        <v>11032.45</v>
      </c>
      <c r="F1732" s="5"/>
      <c r="J1732" s="5"/>
      <c r="K1732" s="5"/>
    </row>
    <row r="1733" ht="16.5" customHeight="1" spans="4:11">
      <c r="D1733" s="180">
        <v>43684</v>
      </c>
      <c r="E1733" s="181">
        <v>10855.5</v>
      </c>
      <c r="F1733" s="5"/>
      <c r="J1733" s="5"/>
      <c r="K1733" s="5"/>
    </row>
    <row r="1734" ht="16.5" customHeight="1" spans="4:11">
      <c r="D1734" s="180">
        <v>43683</v>
      </c>
      <c r="E1734" s="181">
        <v>10948.25</v>
      </c>
      <c r="F1734" s="5"/>
      <c r="J1734" s="5"/>
      <c r="K1734" s="5"/>
    </row>
    <row r="1735" ht="16.5" customHeight="1" spans="4:11">
      <c r="D1735" s="180">
        <v>43682</v>
      </c>
      <c r="E1735" s="181">
        <v>10862.6</v>
      </c>
      <c r="F1735" s="5"/>
      <c r="J1735" s="5"/>
      <c r="K1735" s="5"/>
    </row>
    <row r="1736" ht="16.5" customHeight="1" spans="4:11">
      <c r="D1736" s="180">
        <v>43679</v>
      </c>
      <c r="E1736" s="181">
        <v>10997.35</v>
      </c>
      <c r="F1736" s="5"/>
      <c r="J1736" s="5"/>
      <c r="K1736" s="5"/>
    </row>
    <row r="1737" ht="16.5" customHeight="1" spans="4:11">
      <c r="D1737" s="180">
        <v>43678</v>
      </c>
      <c r="E1737" s="181">
        <v>10980</v>
      </c>
      <c r="F1737" s="5"/>
      <c r="J1737" s="5"/>
      <c r="K1737" s="5"/>
    </row>
    <row r="1738" ht="16.5" customHeight="1" spans="4:11">
      <c r="D1738" s="180">
        <v>43677</v>
      </c>
      <c r="E1738" s="181">
        <v>11118</v>
      </c>
      <c r="F1738" s="5"/>
      <c r="J1738" s="5"/>
      <c r="K1738" s="5"/>
    </row>
    <row r="1739" ht="16.5" customHeight="1" spans="4:11">
      <c r="D1739" s="180">
        <v>43676</v>
      </c>
      <c r="E1739" s="181">
        <v>11085.4</v>
      </c>
      <c r="F1739" s="5"/>
      <c r="J1739" s="5"/>
      <c r="K1739" s="5"/>
    </row>
    <row r="1740" ht="16.5" customHeight="1" spans="4:11">
      <c r="D1740" s="180">
        <v>43675</v>
      </c>
      <c r="E1740" s="181">
        <v>11189.2</v>
      </c>
      <c r="F1740" s="5"/>
      <c r="J1740" s="5"/>
      <c r="K1740" s="5"/>
    </row>
    <row r="1741" ht="16.5" customHeight="1" spans="4:11">
      <c r="D1741" s="180">
        <v>43672</v>
      </c>
      <c r="E1741" s="181">
        <v>11284.3</v>
      </c>
      <c r="F1741" s="5"/>
      <c r="J1741" s="5"/>
      <c r="K1741" s="5"/>
    </row>
    <row r="1742" ht="16.5" customHeight="1" spans="4:11">
      <c r="D1742" s="180">
        <v>43671</v>
      </c>
      <c r="E1742" s="181">
        <v>11252.15</v>
      </c>
      <c r="F1742" s="5"/>
      <c r="J1742" s="5"/>
      <c r="K1742" s="5"/>
    </row>
    <row r="1743" ht="16.5" customHeight="1" spans="4:11">
      <c r="D1743" s="180">
        <v>43670</v>
      </c>
      <c r="E1743" s="181">
        <v>11271.3</v>
      </c>
      <c r="F1743" s="5"/>
      <c r="J1743" s="5"/>
      <c r="K1743" s="5"/>
    </row>
    <row r="1744" ht="16.5" customHeight="1" spans="4:11">
      <c r="D1744" s="180">
        <v>43669</v>
      </c>
      <c r="E1744" s="181">
        <v>11331.05</v>
      </c>
      <c r="F1744" s="5"/>
      <c r="J1744" s="5"/>
      <c r="K1744" s="5"/>
    </row>
    <row r="1745" ht="16.5" customHeight="1" spans="4:11">
      <c r="D1745" s="180">
        <v>43668</v>
      </c>
      <c r="E1745" s="181">
        <v>11346.2</v>
      </c>
      <c r="F1745" s="5"/>
      <c r="J1745" s="5"/>
      <c r="K1745" s="5"/>
    </row>
    <row r="1746" ht="16.5" customHeight="1" spans="4:11">
      <c r="D1746" s="180">
        <v>43665</v>
      </c>
      <c r="E1746" s="181">
        <v>11419.25</v>
      </c>
      <c r="F1746" s="5"/>
      <c r="J1746" s="5"/>
      <c r="K1746" s="5"/>
    </row>
    <row r="1747" ht="16.5" customHeight="1" spans="4:11">
      <c r="D1747" s="180">
        <v>43664</v>
      </c>
      <c r="E1747" s="181">
        <v>11596.9</v>
      </c>
      <c r="F1747" s="5"/>
      <c r="J1747" s="5"/>
      <c r="K1747" s="5"/>
    </row>
    <row r="1748" ht="16.5" customHeight="1" spans="4:11">
      <c r="D1748" s="180">
        <v>43663</v>
      </c>
      <c r="E1748" s="181">
        <v>11687.5</v>
      </c>
      <c r="F1748" s="5"/>
      <c r="J1748" s="5"/>
      <c r="K1748" s="5"/>
    </row>
    <row r="1749" ht="16.5" customHeight="1" spans="4:11">
      <c r="D1749" s="180">
        <v>43662</v>
      </c>
      <c r="E1749" s="181">
        <v>11662.6</v>
      </c>
      <c r="F1749" s="5"/>
      <c r="J1749" s="5"/>
      <c r="K1749" s="5"/>
    </row>
    <row r="1750" ht="16.5" customHeight="1" spans="4:11">
      <c r="D1750" s="180">
        <v>43661</v>
      </c>
      <c r="E1750" s="181">
        <v>11588.35</v>
      </c>
      <c r="F1750" s="5"/>
      <c r="J1750" s="5"/>
      <c r="K1750" s="5"/>
    </row>
    <row r="1751" ht="16.5" customHeight="1" spans="4:11">
      <c r="D1751" s="180">
        <v>43658</v>
      </c>
      <c r="E1751" s="181">
        <v>11552.5</v>
      </c>
      <c r="F1751" s="5"/>
      <c r="J1751" s="5"/>
      <c r="K1751" s="5"/>
    </row>
    <row r="1752" ht="16.5" customHeight="1" spans="4:11">
      <c r="D1752" s="180">
        <v>43657</v>
      </c>
      <c r="E1752" s="181">
        <v>11582.9</v>
      </c>
      <c r="F1752" s="5"/>
      <c r="J1752" s="5"/>
      <c r="K1752" s="5"/>
    </row>
    <row r="1753" ht="16.5" customHeight="1" spans="4:11">
      <c r="D1753" s="180">
        <v>43656</v>
      </c>
      <c r="E1753" s="181">
        <v>11498.9</v>
      </c>
      <c r="F1753" s="5"/>
      <c r="J1753" s="5"/>
      <c r="K1753" s="5"/>
    </row>
    <row r="1754" ht="16.5" customHeight="1" spans="4:11">
      <c r="D1754" s="180">
        <v>43655</v>
      </c>
      <c r="E1754" s="181">
        <v>11555.9</v>
      </c>
      <c r="F1754" s="5"/>
      <c r="J1754" s="5"/>
      <c r="K1754" s="5"/>
    </row>
    <row r="1755" ht="16.5" customHeight="1" spans="4:11">
      <c r="D1755" s="180">
        <v>43654</v>
      </c>
      <c r="E1755" s="181">
        <v>11558.6</v>
      </c>
      <c r="F1755" s="5"/>
      <c r="J1755" s="5"/>
      <c r="K1755" s="5"/>
    </row>
    <row r="1756" ht="16.5" customHeight="1" spans="4:11">
      <c r="D1756" s="180">
        <v>43651</v>
      </c>
      <c r="E1756" s="181">
        <v>11811.15</v>
      </c>
      <c r="F1756" s="5"/>
      <c r="J1756" s="5"/>
      <c r="K1756" s="5"/>
    </row>
    <row r="1757" ht="16.5" customHeight="1" spans="4:11">
      <c r="D1757" s="180">
        <v>43650</v>
      </c>
      <c r="E1757" s="181">
        <v>11946.75</v>
      </c>
      <c r="F1757" s="5"/>
      <c r="J1757" s="5"/>
      <c r="K1757" s="5"/>
    </row>
    <row r="1758" ht="16.5" customHeight="1" spans="4:11">
      <c r="D1758" s="180">
        <v>43649</v>
      </c>
      <c r="E1758" s="181">
        <v>11916.75</v>
      </c>
      <c r="F1758" s="5"/>
      <c r="J1758" s="5"/>
      <c r="K1758" s="5"/>
    </row>
    <row r="1759" ht="16.5" customHeight="1" spans="4:11">
      <c r="D1759" s="180">
        <v>43648</v>
      </c>
      <c r="E1759" s="181">
        <v>11910.3</v>
      </c>
      <c r="F1759" s="5"/>
      <c r="J1759" s="5"/>
      <c r="K1759" s="5"/>
    </row>
    <row r="1760" ht="16.5" customHeight="1" spans="4:11">
      <c r="D1760" s="180">
        <v>43647</v>
      </c>
      <c r="E1760" s="181">
        <v>11865.6</v>
      </c>
      <c r="F1760" s="5"/>
      <c r="J1760" s="5"/>
      <c r="K1760" s="5"/>
    </row>
    <row r="1761" ht="16.5" customHeight="1" spans="4:11">
      <c r="D1761" s="180">
        <v>43644</v>
      </c>
      <c r="E1761" s="181">
        <v>11788.85</v>
      </c>
      <c r="F1761" s="5"/>
      <c r="J1761" s="5"/>
      <c r="K1761" s="5"/>
    </row>
    <row r="1762" ht="16.5" customHeight="1" spans="4:11">
      <c r="D1762" s="180">
        <v>43643</v>
      </c>
      <c r="E1762" s="181">
        <v>11841.55</v>
      </c>
      <c r="F1762" s="5"/>
      <c r="J1762" s="5"/>
      <c r="K1762" s="5"/>
    </row>
    <row r="1763" ht="16.5" customHeight="1" spans="4:11">
      <c r="D1763" s="180">
        <v>43642</v>
      </c>
      <c r="E1763" s="181">
        <v>11847.55</v>
      </c>
      <c r="F1763" s="5"/>
      <c r="J1763" s="5"/>
      <c r="K1763" s="5"/>
    </row>
    <row r="1764" ht="16.5" customHeight="1" spans="4:11">
      <c r="D1764" s="180">
        <v>43641</v>
      </c>
      <c r="E1764" s="181">
        <v>11796.45</v>
      </c>
      <c r="F1764" s="5"/>
      <c r="J1764" s="5"/>
      <c r="K1764" s="5"/>
    </row>
    <row r="1765" ht="16.5" customHeight="1" spans="4:11">
      <c r="D1765" s="180">
        <v>43640</v>
      </c>
      <c r="E1765" s="181">
        <v>11699.65</v>
      </c>
      <c r="F1765" s="5"/>
      <c r="J1765" s="5"/>
      <c r="K1765" s="5"/>
    </row>
    <row r="1766" ht="16.5" customHeight="1" spans="4:11">
      <c r="D1766" s="180">
        <v>43637</v>
      </c>
      <c r="E1766" s="181">
        <v>11724.1</v>
      </c>
      <c r="F1766" s="5"/>
      <c r="J1766" s="5"/>
      <c r="K1766" s="5"/>
    </row>
    <row r="1767" ht="16.5" customHeight="1" spans="4:11">
      <c r="D1767" s="180">
        <v>43636</v>
      </c>
      <c r="E1767" s="181">
        <v>11831.75</v>
      </c>
      <c r="F1767" s="5"/>
      <c r="J1767" s="5"/>
      <c r="K1767" s="5"/>
    </row>
    <row r="1768" ht="16.5" customHeight="1" spans="4:11">
      <c r="D1768" s="180">
        <v>43635</v>
      </c>
      <c r="E1768" s="181">
        <v>11691.45</v>
      </c>
      <c r="F1768" s="5"/>
      <c r="J1768" s="5"/>
      <c r="K1768" s="5"/>
    </row>
    <row r="1769" ht="16.5" customHeight="1" spans="4:11">
      <c r="D1769" s="180">
        <v>43634</v>
      </c>
      <c r="E1769" s="181">
        <v>11691.5</v>
      </c>
      <c r="F1769" s="5"/>
      <c r="J1769" s="5"/>
      <c r="K1769" s="5"/>
    </row>
    <row r="1770" ht="16.5" customHeight="1" spans="4:11">
      <c r="D1770" s="180">
        <v>43633</v>
      </c>
      <c r="E1770" s="181">
        <v>11672.15</v>
      </c>
      <c r="F1770" s="5"/>
      <c r="J1770" s="5"/>
      <c r="K1770" s="5"/>
    </row>
    <row r="1771" ht="16.5" customHeight="1" spans="4:11">
      <c r="D1771" s="180">
        <v>43630</v>
      </c>
      <c r="E1771" s="181">
        <v>11823.3</v>
      </c>
      <c r="F1771" s="5"/>
      <c r="J1771" s="5"/>
      <c r="K1771" s="5"/>
    </row>
    <row r="1772" ht="16.5" customHeight="1" spans="4:11">
      <c r="D1772" s="180">
        <v>43629</v>
      </c>
      <c r="E1772" s="181">
        <v>11914.05</v>
      </c>
      <c r="F1772" s="5"/>
      <c r="J1772" s="5"/>
      <c r="K1772" s="5"/>
    </row>
    <row r="1773" ht="16.5" customHeight="1" spans="4:11">
      <c r="D1773" s="180">
        <v>43628</v>
      </c>
      <c r="E1773" s="181">
        <v>11906.2</v>
      </c>
      <c r="F1773" s="5"/>
      <c r="J1773" s="5"/>
      <c r="K1773" s="5"/>
    </row>
    <row r="1774" ht="16.5" customHeight="1" spans="4:11">
      <c r="D1774" s="180">
        <v>43627</v>
      </c>
      <c r="E1774" s="181">
        <v>11965.6</v>
      </c>
      <c r="F1774" s="5"/>
      <c r="J1774" s="5"/>
      <c r="K1774" s="5"/>
    </row>
    <row r="1775" ht="16.5" customHeight="1" spans="4:11">
      <c r="D1775" s="180">
        <v>43626</v>
      </c>
      <c r="E1775" s="181">
        <v>11922.7</v>
      </c>
      <c r="F1775" s="5"/>
      <c r="J1775" s="5"/>
      <c r="K1775" s="5"/>
    </row>
    <row r="1776" ht="16.5" customHeight="1" spans="4:11">
      <c r="D1776" s="180">
        <v>43623</v>
      </c>
      <c r="E1776" s="181">
        <v>11870.65</v>
      </c>
      <c r="F1776" s="5"/>
      <c r="J1776" s="5"/>
      <c r="K1776" s="5"/>
    </row>
    <row r="1777" ht="16.5" customHeight="1" spans="4:11">
      <c r="D1777" s="180">
        <v>43622</v>
      </c>
      <c r="E1777" s="181">
        <v>11843.75</v>
      </c>
      <c r="F1777" s="5"/>
      <c r="J1777" s="5"/>
      <c r="K1777" s="5"/>
    </row>
    <row r="1778" ht="16.5" customHeight="1" spans="4:11">
      <c r="D1778" s="180">
        <v>43620</v>
      </c>
      <c r="E1778" s="181">
        <v>12021.65</v>
      </c>
      <c r="F1778" s="5"/>
      <c r="J1778" s="5"/>
      <c r="K1778" s="5"/>
    </row>
    <row r="1779" ht="16.5" customHeight="1" spans="4:11">
      <c r="D1779" s="180">
        <v>43619</v>
      </c>
      <c r="E1779" s="181">
        <v>12088.55</v>
      </c>
      <c r="F1779" s="5"/>
      <c r="J1779" s="5"/>
      <c r="K1779" s="5"/>
    </row>
    <row r="1780" ht="16.5" customHeight="1" spans="4:11">
      <c r="D1780" s="180">
        <v>43616</v>
      </c>
      <c r="E1780" s="181">
        <v>11922.8</v>
      </c>
      <c r="F1780" s="5"/>
      <c r="J1780" s="5"/>
      <c r="K1780" s="5"/>
    </row>
    <row r="1781" ht="16.5" customHeight="1" spans="4:11">
      <c r="D1781" s="180">
        <v>43615</v>
      </c>
      <c r="E1781" s="181">
        <v>11945.9</v>
      </c>
      <c r="F1781" s="5"/>
      <c r="J1781" s="5"/>
      <c r="K1781" s="5"/>
    </row>
    <row r="1782" ht="16.5" customHeight="1" spans="4:11">
      <c r="D1782" s="180">
        <v>43614</v>
      </c>
      <c r="E1782" s="181">
        <v>11861.1</v>
      </c>
      <c r="F1782" s="5"/>
      <c r="J1782" s="5"/>
      <c r="K1782" s="5"/>
    </row>
    <row r="1783" ht="16.5" customHeight="1" spans="4:11">
      <c r="D1783" s="180">
        <v>43613</v>
      </c>
      <c r="E1783" s="181">
        <v>11928.75</v>
      </c>
      <c r="F1783" s="5"/>
      <c r="J1783" s="5"/>
      <c r="K1783" s="5"/>
    </row>
    <row r="1784" ht="16.5" customHeight="1" spans="4:11">
      <c r="D1784" s="180">
        <v>43612</v>
      </c>
      <c r="E1784" s="181">
        <v>11924.75</v>
      </c>
      <c r="F1784" s="5"/>
      <c r="J1784" s="5"/>
      <c r="K1784" s="5"/>
    </row>
    <row r="1785" ht="16.5" customHeight="1" spans="4:11">
      <c r="D1785" s="180">
        <v>43609</v>
      </c>
      <c r="E1785" s="181">
        <v>11844.1</v>
      </c>
      <c r="F1785" s="5"/>
      <c r="J1785" s="5"/>
      <c r="K1785" s="5"/>
    </row>
    <row r="1786" ht="16.5" customHeight="1" spans="4:11">
      <c r="D1786" s="180">
        <v>43608</v>
      </c>
      <c r="E1786" s="181">
        <v>11657.05</v>
      </c>
      <c r="F1786" s="5"/>
      <c r="J1786" s="5"/>
      <c r="K1786" s="5"/>
    </row>
    <row r="1787" ht="16.5" customHeight="1" spans="4:11">
      <c r="D1787" s="180">
        <v>43607</v>
      </c>
      <c r="E1787" s="181">
        <v>11737.9</v>
      </c>
      <c r="F1787" s="5"/>
      <c r="J1787" s="5"/>
      <c r="K1787" s="5"/>
    </row>
    <row r="1788" ht="16.5" customHeight="1" spans="4:11">
      <c r="D1788" s="180">
        <v>43606</v>
      </c>
      <c r="E1788" s="181">
        <v>11709.1</v>
      </c>
      <c r="F1788" s="5"/>
      <c r="J1788" s="5"/>
      <c r="K1788" s="5"/>
    </row>
    <row r="1789" ht="16.5" customHeight="1" spans="4:11">
      <c r="D1789" s="180">
        <v>43605</v>
      </c>
      <c r="E1789" s="181">
        <v>11828.25</v>
      </c>
      <c r="F1789" s="5"/>
      <c r="J1789" s="5"/>
      <c r="K1789" s="5"/>
    </row>
    <row r="1790" ht="16.5" customHeight="1" spans="4:11">
      <c r="D1790" s="180">
        <v>43602</v>
      </c>
      <c r="E1790" s="181">
        <v>11407.15</v>
      </c>
      <c r="F1790" s="5"/>
      <c r="J1790" s="5"/>
      <c r="K1790" s="5"/>
    </row>
    <row r="1791" ht="16.5" customHeight="1" spans="4:11">
      <c r="D1791" s="180">
        <v>43601</v>
      </c>
      <c r="E1791" s="181">
        <v>11257.1</v>
      </c>
      <c r="F1791" s="5"/>
      <c r="J1791" s="5"/>
      <c r="K1791" s="5"/>
    </row>
    <row r="1792" ht="16.5" customHeight="1" spans="4:11">
      <c r="D1792" s="180">
        <v>43600</v>
      </c>
      <c r="E1792" s="181">
        <v>11157</v>
      </c>
      <c r="F1792" s="5"/>
      <c r="J1792" s="5"/>
      <c r="K1792" s="5"/>
    </row>
    <row r="1793" ht="16.5" customHeight="1" spans="4:11">
      <c r="D1793" s="180">
        <v>43599</v>
      </c>
      <c r="E1793" s="181">
        <v>11222.05</v>
      </c>
      <c r="F1793" s="5"/>
      <c r="J1793" s="5"/>
      <c r="K1793" s="5"/>
    </row>
    <row r="1794" ht="16.5" customHeight="1" spans="4:11">
      <c r="D1794" s="180">
        <v>43598</v>
      </c>
      <c r="E1794" s="181">
        <v>11148.2</v>
      </c>
      <c r="F1794" s="5"/>
      <c r="J1794" s="5"/>
      <c r="K1794" s="5"/>
    </row>
    <row r="1795" ht="16.5" customHeight="1" spans="4:11">
      <c r="D1795" s="180">
        <v>43595</v>
      </c>
      <c r="E1795" s="181">
        <v>11278.9</v>
      </c>
      <c r="F1795" s="5"/>
      <c r="J1795" s="5"/>
      <c r="K1795" s="5"/>
    </row>
    <row r="1796" ht="16.5" customHeight="1" spans="4:11">
      <c r="D1796" s="180">
        <v>43594</v>
      </c>
      <c r="E1796" s="181">
        <v>11301.8</v>
      </c>
      <c r="F1796" s="5"/>
      <c r="J1796" s="5"/>
      <c r="K1796" s="5"/>
    </row>
    <row r="1797" ht="16.5" customHeight="1" spans="4:11">
      <c r="D1797" s="180">
        <v>43593</v>
      </c>
      <c r="E1797" s="181">
        <v>11359.45</v>
      </c>
      <c r="F1797" s="5"/>
      <c r="J1797" s="5"/>
      <c r="K1797" s="5"/>
    </row>
    <row r="1798" ht="16.5" customHeight="1" spans="4:11">
      <c r="D1798" s="180">
        <v>43592</v>
      </c>
      <c r="E1798" s="181">
        <v>11497.9</v>
      </c>
      <c r="F1798" s="5"/>
      <c r="J1798" s="5"/>
      <c r="K1798" s="5"/>
    </row>
    <row r="1799" ht="16.5" customHeight="1" spans="4:11">
      <c r="D1799" s="180">
        <v>43591</v>
      </c>
      <c r="E1799" s="181">
        <v>11598.25</v>
      </c>
      <c r="F1799" s="5"/>
      <c r="J1799" s="5"/>
      <c r="K1799" s="5"/>
    </row>
    <row r="1800" ht="16.5" customHeight="1" spans="4:11">
      <c r="D1800" s="180">
        <v>43588</v>
      </c>
      <c r="E1800" s="181">
        <v>11712.25</v>
      </c>
      <c r="F1800" s="5"/>
      <c r="J1800" s="5"/>
      <c r="K1800" s="5"/>
    </row>
    <row r="1801" ht="16.5" customHeight="1" spans="4:11">
      <c r="D1801" s="180">
        <v>43587</v>
      </c>
      <c r="E1801" s="181">
        <v>11724.75</v>
      </c>
      <c r="F1801" s="5"/>
      <c r="J1801" s="5"/>
      <c r="K1801" s="5"/>
    </row>
    <row r="1802" ht="16.5" customHeight="1" spans="4:11">
      <c r="D1802" s="180">
        <v>43585</v>
      </c>
      <c r="E1802" s="181">
        <v>11748.15</v>
      </c>
      <c r="F1802" s="5"/>
      <c r="J1802" s="5"/>
      <c r="K1802" s="5"/>
    </row>
    <row r="1803" ht="16.5" customHeight="1" spans="4:11">
      <c r="D1803" s="180">
        <v>43581</v>
      </c>
      <c r="E1803" s="181">
        <v>11754.65</v>
      </c>
      <c r="F1803" s="5"/>
      <c r="J1803" s="5"/>
      <c r="K1803" s="5"/>
    </row>
    <row r="1804" ht="16.5" customHeight="1" spans="4:11">
      <c r="D1804" s="180">
        <v>43580</v>
      </c>
      <c r="E1804" s="181">
        <v>11641.8</v>
      </c>
      <c r="F1804" s="5"/>
      <c r="J1804" s="5"/>
      <c r="K1804" s="5"/>
    </row>
    <row r="1805" ht="16.5" customHeight="1" spans="4:11">
      <c r="D1805" s="180">
        <v>43579</v>
      </c>
      <c r="E1805" s="181">
        <v>11726.15</v>
      </c>
      <c r="F1805" s="5"/>
      <c r="J1805" s="5"/>
      <c r="K1805" s="5"/>
    </row>
    <row r="1806" ht="16.5" customHeight="1" spans="4:11">
      <c r="D1806" s="180">
        <v>43578</v>
      </c>
      <c r="E1806" s="181">
        <v>11575.95</v>
      </c>
      <c r="F1806" s="5"/>
      <c r="J1806" s="5"/>
      <c r="K1806" s="5"/>
    </row>
    <row r="1807" ht="16.5" customHeight="1" spans="4:11">
      <c r="D1807" s="180">
        <v>43577</v>
      </c>
      <c r="E1807" s="181">
        <v>11594.45</v>
      </c>
      <c r="F1807" s="5"/>
      <c r="J1807" s="5"/>
      <c r="K1807" s="5"/>
    </row>
    <row r="1808" ht="16.5" customHeight="1" spans="4:11">
      <c r="D1808" s="180">
        <v>43573</v>
      </c>
      <c r="E1808" s="181">
        <v>11752.8</v>
      </c>
      <c r="F1808" s="5"/>
      <c r="J1808" s="5"/>
      <c r="K1808" s="5"/>
    </row>
    <row r="1809" ht="16.5" customHeight="1" spans="4:11">
      <c r="D1809" s="180">
        <v>43571</v>
      </c>
      <c r="E1809" s="181">
        <v>11787.15</v>
      </c>
      <c r="F1809" s="5"/>
      <c r="J1809" s="5"/>
      <c r="K1809" s="5"/>
    </row>
    <row r="1810" ht="16.5" customHeight="1" spans="4:11">
      <c r="D1810" s="180">
        <v>43570</v>
      </c>
      <c r="E1810" s="181">
        <v>11690.35</v>
      </c>
      <c r="F1810" s="5"/>
      <c r="J1810" s="5"/>
      <c r="K1810" s="5"/>
    </row>
    <row r="1811" ht="16.5" customHeight="1" spans="4:11">
      <c r="D1811" s="180">
        <v>43567</v>
      </c>
      <c r="E1811" s="181">
        <v>11643.45</v>
      </c>
      <c r="F1811" s="5"/>
      <c r="J1811" s="5"/>
      <c r="K1811" s="5"/>
    </row>
    <row r="1812" ht="16.5" customHeight="1" spans="4:11">
      <c r="D1812" s="180">
        <v>43566</v>
      </c>
      <c r="E1812" s="181">
        <v>11596.7</v>
      </c>
      <c r="F1812" s="5"/>
      <c r="J1812" s="5"/>
      <c r="K1812" s="5"/>
    </row>
    <row r="1813" ht="16.5" customHeight="1" spans="4:11">
      <c r="D1813" s="180">
        <v>43565</v>
      </c>
      <c r="E1813" s="181">
        <v>11584.3</v>
      </c>
      <c r="F1813" s="5"/>
      <c r="J1813" s="5"/>
      <c r="K1813" s="5"/>
    </row>
    <row r="1814" ht="16.5" customHeight="1" spans="4:11">
      <c r="D1814" s="180">
        <v>43564</v>
      </c>
      <c r="E1814" s="181">
        <v>11671.95</v>
      </c>
      <c r="F1814" s="5"/>
      <c r="J1814" s="5"/>
      <c r="K1814" s="5"/>
    </row>
    <row r="1815" ht="16.5" customHeight="1" spans="4:11">
      <c r="D1815" s="180">
        <v>43563</v>
      </c>
      <c r="E1815" s="181">
        <v>11604.5</v>
      </c>
      <c r="F1815" s="5"/>
      <c r="J1815" s="5"/>
      <c r="K1815" s="5"/>
    </row>
    <row r="1816" ht="16.5" customHeight="1" spans="4:11">
      <c r="D1816" s="180">
        <v>43560</v>
      </c>
      <c r="E1816" s="181">
        <v>11665.95</v>
      </c>
      <c r="F1816" s="5"/>
      <c r="J1816" s="5"/>
      <c r="K1816" s="5"/>
    </row>
    <row r="1817" ht="16.5" customHeight="1" spans="4:11">
      <c r="D1817" s="180">
        <v>43559</v>
      </c>
      <c r="E1817" s="181">
        <v>11598</v>
      </c>
      <c r="F1817" s="5"/>
      <c r="J1817" s="5"/>
      <c r="K1817" s="5"/>
    </row>
    <row r="1818" ht="16.5" customHeight="1" spans="4:11">
      <c r="D1818" s="180">
        <v>43558</v>
      </c>
      <c r="E1818" s="181">
        <v>11643.95</v>
      </c>
      <c r="F1818" s="5"/>
      <c r="J1818" s="5"/>
      <c r="K1818" s="5"/>
    </row>
    <row r="1819" ht="16.5" customHeight="1" spans="4:11">
      <c r="D1819" s="180">
        <v>43557</v>
      </c>
      <c r="E1819" s="181">
        <v>11713.2</v>
      </c>
      <c r="F1819" s="5"/>
      <c r="J1819" s="5"/>
      <c r="K1819" s="5"/>
    </row>
    <row r="1820" ht="16.5" customHeight="1" spans="4:11">
      <c r="D1820" s="180">
        <v>43556</v>
      </c>
      <c r="E1820" s="181">
        <v>11669.15</v>
      </c>
      <c r="F1820" s="5"/>
      <c r="J1820" s="5"/>
      <c r="K1820" s="5"/>
    </row>
    <row r="1821" ht="16.5" customHeight="1" spans="4:11">
      <c r="D1821" s="180">
        <v>43553</v>
      </c>
      <c r="E1821" s="181">
        <v>11623.9</v>
      </c>
      <c r="F1821" s="5"/>
      <c r="J1821" s="5"/>
      <c r="K1821" s="5"/>
    </row>
    <row r="1822" ht="16.5" customHeight="1" spans="4:11">
      <c r="D1822" s="180">
        <v>43552</v>
      </c>
      <c r="E1822" s="181">
        <v>11570</v>
      </c>
      <c r="F1822" s="5"/>
      <c r="J1822" s="5"/>
      <c r="K1822" s="5"/>
    </row>
    <row r="1823" ht="16.5" customHeight="1" spans="4:11">
      <c r="D1823" s="180">
        <v>43551</v>
      </c>
      <c r="E1823" s="181">
        <v>11445.05</v>
      </c>
      <c r="F1823" s="5"/>
      <c r="J1823" s="5"/>
      <c r="K1823" s="5"/>
    </row>
    <row r="1824" ht="16.5" customHeight="1" spans="4:11">
      <c r="D1824" s="180">
        <v>43550</v>
      </c>
      <c r="E1824" s="181">
        <v>11483.25</v>
      </c>
      <c r="F1824" s="5"/>
      <c r="J1824" s="5"/>
      <c r="K1824" s="5"/>
    </row>
    <row r="1825" ht="16.5" customHeight="1" spans="4:11">
      <c r="D1825" s="180">
        <v>43549</v>
      </c>
      <c r="E1825" s="181">
        <v>11354.25</v>
      </c>
      <c r="F1825" s="5"/>
      <c r="J1825" s="5"/>
      <c r="K1825" s="5"/>
    </row>
    <row r="1826" ht="16.5" customHeight="1" spans="4:11">
      <c r="D1826" s="180">
        <v>43546</v>
      </c>
      <c r="E1826" s="181">
        <v>11456.9</v>
      </c>
      <c r="F1826" s="5"/>
      <c r="J1826" s="5"/>
      <c r="K1826" s="5"/>
    </row>
    <row r="1827" ht="16.5" customHeight="1" spans="4:11">
      <c r="D1827" s="180">
        <v>43544</v>
      </c>
      <c r="E1827" s="181">
        <v>11521.05</v>
      </c>
      <c r="F1827" s="5"/>
      <c r="J1827" s="5"/>
      <c r="K1827" s="5"/>
    </row>
    <row r="1828" ht="16.5" customHeight="1" spans="4:11">
      <c r="D1828" s="180">
        <v>43543</v>
      </c>
      <c r="E1828" s="181">
        <v>11532.4</v>
      </c>
      <c r="F1828" s="5"/>
      <c r="J1828" s="5"/>
      <c r="K1828" s="5"/>
    </row>
    <row r="1829" ht="16.5" customHeight="1" spans="4:11">
      <c r="D1829" s="180">
        <v>43542</v>
      </c>
      <c r="E1829" s="181">
        <v>11462.2</v>
      </c>
      <c r="F1829" s="5"/>
      <c r="J1829" s="5"/>
      <c r="K1829" s="5"/>
    </row>
    <row r="1830" ht="16.5" customHeight="1" spans="4:11">
      <c r="D1830" s="180">
        <v>43539</v>
      </c>
      <c r="E1830" s="181">
        <v>11426.85</v>
      </c>
      <c r="F1830" s="5"/>
      <c r="J1830" s="5"/>
      <c r="K1830" s="5"/>
    </row>
    <row r="1831" ht="16.5" customHeight="1" spans="4:11">
      <c r="D1831" s="180">
        <v>43538</v>
      </c>
      <c r="E1831" s="181">
        <v>11343.25</v>
      </c>
      <c r="F1831" s="5"/>
      <c r="J1831" s="5"/>
      <c r="K1831" s="5"/>
    </row>
    <row r="1832" ht="16.5" customHeight="1" spans="4:11">
      <c r="D1832" s="180">
        <v>43537</v>
      </c>
      <c r="E1832" s="181">
        <v>11341.7</v>
      </c>
      <c r="F1832" s="5"/>
      <c r="J1832" s="5"/>
      <c r="K1832" s="5"/>
    </row>
    <row r="1833" ht="16.5" customHeight="1" spans="4:11">
      <c r="D1833" s="180">
        <v>43536</v>
      </c>
      <c r="E1833" s="181">
        <v>11301.2</v>
      </c>
      <c r="F1833" s="5"/>
      <c r="J1833" s="5"/>
      <c r="K1833" s="5"/>
    </row>
    <row r="1834" ht="16.5" customHeight="1" spans="4:11">
      <c r="D1834" s="180">
        <v>43535</v>
      </c>
      <c r="E1834" s="181">
        <v>11168.05</v>
      </c>
      <c r="F1834" s="5"/>
      <c r="J1834" s="5"/>
      <c r="K1834" s="5"/>
    </row>
    <row r="1835" ht="16.5" customHeight="1" spans="4:11">
      <c r="D1835" s="180">
        <v>43532</v>
      </c>
      <c r="E1835" s="181">
        <v>11035.4</v>
      </c>
      <c r="F1835" s="5"/>
      <c r="J1835" s="5"/>
      <c r="K1835" s="5"/>
    </row>
    <row r="1836" ht="16.5" customHeight="1" spans="4:11">
      <c r="D1836" s="180">
        <v>43531</v>
      </c>
      <c r="E1836" s="181">
        <v>11058.2</v>
      </c>
      <c r="F1836" s="5"/>
      <c r="J1836" s="5"/>
      <c r="K1836" s="5"/>
    </row>
    <row r="1837" ht="16.5" customHeight="1" spans="4:11">
      <c r="D1837" s="180">
        <v>43530</v>
      </c>
      <c r="E1837" s="181">
        <v>11053</v>
      </c>
      <c r="F1837" s="5"/>
      <c r="J1837" s="5"/>
      <c r="K1837" s="5"/>
    </row>
    <row r="1838" ht="16.5" customHeight="1" spans="4:11">
      <c r="D1838" s="180">
        <v>43529</v>
      </c>
      <c r="E1838" s="181">
        <v>10987.45</v>
      </c>
      <c r="F1838" s="5"/>
      <c r="J1838" s="5"/>
      <c r="K1838" s="5"/>
    </row>
    <row r="1839" ht="16.5" customHeight="1" spans="4:11">
      <c r="D1839" s="180">
        <v>43525</v>
      </c>
      <c r="E1839" s="181">
        <v>10863.5</v>
      </c>
      <c r="F1839" s="5"/>
      <c r="J1839" s="5"/>
      <c r="K1839" s="5"/>
    </row>
    <row r="1840" ht="16.5" customHeight="1" spans="4:11">
      <c r="D1840" s="180">
        <v>43524</v>
      </c>
      <c r="E1840" s="181">
        <v>10792.5</v>
      </c>
      <c r="F1840" s="5"/>
      <c r="J1840" s="5"/>
      <c r="K1840" s="5"/>
    </row>
    <row r="1841" ht="16.5" customHeight="1" spans="4:11">
      <c r="D1841" s="180">
        <v>43523</v>
      </c>
      <c r="E1841" s="181">
        <v>10806.65</v>
      </c>
      <c r="F1841" s="5"/>
      <c r="J1841" s="5"/>
      <c r="K1841" s="5"/>
    </row>
    <row r="1842" ht="16.5" customHeight="1" spans="4:11">
      <c r="D1842" s="180">
        <v>43522</v>
      </c>
      <c r="E1842" s="181">
        <v>10835.3</v>
      </c>
      <c r="F1842" s="5"/>
      <c r="J1842" s="5"/>
      <c r="K1842" s="5"/>
    </row>
    <row r="1843" ht="16.5" customHeight="1" spans="4:11">
      <c r="D1843" s="180">
        <v>43521</v>
      </c>
      <c r="E1843" s="181">
        <v>10880.1</v>
      </c>
      <c r="F1843" s="5"/>
      <c r="J1843" s="5"/>
      <c r="K1843" s="5"/>
    </row>
    <row r="1844" ht="16.5" customHeight="1" spans="4:11">
      <c r="D1844" s="180">
        <v>43518</v>
      </c>
      <c r="E1844" s="181">
        <v>10791.65</v>
      </c>
      <c r="F1844" s="5"/>
      <c r="J1844" s="5"/>
      <c r="K1844" s="5"/>
    </row>
    <row r="1845" ht="16.5" customHeight="1" spans="4:11">
      <c r="D1845" s="180">
        <v>43517</v>
      </c>
      <c r="E1845" s="181">
        <v>10789.85</v>
      </c>
      <c r="F1845" s="5"/>
      <c r="J1845" s="5"/>
      <c r="K1845" s="5"/>
    </row>
    <row r="1846" ht="16.5" customHeight="1" spans="4:11">
      <c r="D1846" s="180">
        <v>43516</v>
      </c>
      <c r="E1846" s="181">
        <v>10735.45</v>
      </c>
      <c r="F1846" s="5"/>
      <c r="J1846" s="5"/>
      <c r="K1846" s="5"/>
    </row>
    <row r="1847" ht="16.5" customHeight="1" spans="4:11">
      <c r="D1847" s="180">
        <v>43515</v>
      </c>
      <c r="E1847" s="181">
        <v>10604.35</v>
      </c>
      <c r="F1847" s="5"/>
      <c r="J1847" s="5"/>
      <c r="K1847" s="5"/>
    </row>
    <row r="1848" ht="16.5" customHeight="1" spans="4:11">
      <c r="D1848" s="180">
        <v>43514</v>
      </c>
      <c r="E1848" s="181">
        <v>10640.95</v>
      </c>
      <c r="F1848" s="5"/>
      <c r="J1848" s="5"/>
      <c r="K1848" s="5"/>
    </row>
    <row r="1849" ht="16.5" customHeight="1" spans="4:11">
      <c r="D1849" s="180">
        <v>43511</v>
      </c>
      <c r="E1849" s="181">
        <v>10724.4</v>
      </c>
      <c r="F1849" s="5"/>
      <c r="J1849" s="5"/>
      <c r="K1849" s="5"/>
    </row>
    <row r="1850" ht="16.5" customHeight="1" spans="4:11">
      <c r="D1850" s="180">
        <v>43510</v>
      </c>
      <c r="E1850" s="181">
        <v>10746.05</v>
      </c>
      <c r="F1850" s="5"/>
      <c r="J1850" s="5"/>
      <c r="K1850" s="5"/>
    </row>
    <row r="1851" ht="16.5" customHeight="1" spans="4:11">
      <c r="D1851" s="180">
        <v>43509</v>
      </c>
      <c r="E1851" s="181">
        <v>10793.65</v>
      </c>
      <c r="F1851" s="5"/>
      <c r="J1851" s="5"/>
      <c r="K1851" s="5"/>
    </row>
    <row r="1852" ht="16.5" customHeight="1" spans="4:11">
      <c r="D1852" s="180">
        <v>43508</v>
      </c>
      <c r="E1852" s="181">
        <v>10831.4</v>
      </c>
      <c r="F1852" s="5"/>
      <c r="J1852" s="5"/>
      <c r="K1852" s="5"/>
    </row>
    <row r="1853" ht="16.5" customHeight="1" spans="4:11">
      <c r="D1853" s="180">
        <v>43507</v>
      </c>
      <c r="E1853" s="181">
        <v>10888.8</v>
      </c>
      <c r="F1853" s="5"/>
      <c r="J1853" s="5"/>
      <c r="K1853" s="5"/>
    </row>
    <row r="1854" ht="16.5" customHeight="1" spans="4:11">
      <c r="D1854" s="180">
        <v>43504</v>
      </c>
      <c r="E1854" s="181">
        <v>10943.6</v>
      </c>
      <c r="F1854" s="5"/>
      <c r="J1854" s="5"/>
      <c r="K1854" s="5"/>
    </row>
    <row r="1855" ht="16.5" customHeight="1" spans="4:11">
      <c r="D1855" s="180">
        <v>43503</v>
      </c>
      <c r="E1855" s="181">
        <v>11069.4</v>
      </c>
      <c r="F1855" s="5"/>
      <c r="J1855" s="5"/>
      <c r="K1855" s="5"/>
    </row>
    <row r="1856" ht="16.5" customHeight="1" spans="4:11">
      <c r="D1856" s="180">
        <v>43502</v>
      </c>
      <c r="E1856" s="181">
        <v>11062.45</v>
      </c>
      <c r="F1856" s="5"/>
      <c r="J1856" s="5"/>
      <c r="K1856" s="5"/>
    </row>
    <row r="1857" ht="16.5" customHeight="1" spans="4:11">
      <c r="D1857" s="180">
        <v>43501</v>
      </c>
      <c r="E1857" s="181">
        <v>10934.35</v>
      </c>
      <c r="F1857" s="5"/>
      <c r="J1857" s="5"/>
      <c r="K1857" s="5"/>
    </row>
    <row r="1858" ht="16.5" customHeight="1" spans="4:11">
      <c r="D1858" s="180">
        <v>43500</v>
      </c>
      <c r="E1858" s="181">
        <v>10912.25</v>
      </c>
      <c r="F1858" s="5"/>
      <c r="J1858" s="5"/>
      <c r="K1858" s="5"/>
    </row>
    <row r="1859" ht="16.5" customHeight="1" spans="4:11">
      <c r="D1859" s="180">
        <v>43497</v>
      </c>
      <c r="E1859" s="181">
        <v>10893.65</v>
      </c>
      <c r="F1859" s="5"/>
      <c r="J1859" s="5"/>
      <c r="K1859" s="5"/>
    </row>
    <row r="1860" ht="16.5" customHeight="1" spans="4:11">
      <c r="D1860" s="180">
        <v>43496</v>
      </c>
      <c r="E1860" s="181">
        <v>10830.95</v>
      </c>
      <c r="F1860" s="5"/>
      <c r="J1860" s="5"/>
      <c r="K1860" s="5"/>
    </row>
    <row r="1861" ht="16.5" customHeight="1" spans="4:11">
      <c r="D1861" s="180">
        <v>43495</v>
      </c>
      <c r="E1861" s="181">
        <v>10651.8</v>
      </c>
      <c r="F1861" s="5"/>
      <c r="J1861" s="5"/>
      <c r="K1861" s="5"/>
    </row>
    <row r="1862" ht="16.5" customHeight="1" spans="4:11">
      <c r="D1862" s="180">
        <v>43494</v>
      </c>
      <c r="E1862" s="181">
        <v>10652.2</v>
      </c>
      <c r="F1862" s="5"/>
      <c r="J1862" s="5"/>
      <c r="K1862" s="5"/>
    </row>
    <row r="1863" ht="16.5" customHeight="1" spans="4:11">
      <c r="D1863" s="180">
        <v>43493</v>
      </c>
      <c r="E1863" s="181">
        <v>10661.55</v>
      </c>
      <c r="F1863" s="5"/>
      <c r="J1863" s="5"/>
      <c r="K1863" s="5"/>
    </row>
    <row r="1864" ht="16.5" customHeight="1" spans="4:11">
      <c r="D1864" s="180">
        <v>43490</v>
      </c>
      <c r="E1864" s="181">
        <v>10780.55</v>
      </c>
      <c r="F1864" s="5"/>
      <c r="J1864" s="5"/>
      <c r="K1864" s="5"/>
    </row>
    <row r="1865" ht="16.5" customHeight="1" spans="4:11">
      <c r="D1865" s="180">
        <v>43489</v>
      </c>
      <c r="E1865" s="181">
        <v>10849.8</v>
      </c>
      <c r="F1865" s="5"/>
      <c r="J1865" s="5"/>
      <c r="K1865" s="5"/>
    </row>
    <row r="1866" ht="16.5" customHeight="1" spans="4:11">
      <c r="D1866" s="180">
        <v>43488</v>
      </c>
      <c r="E1866" s="181">
        <v>10831.5</v>
      </c>
      <c r="F1866" s="5"/>
      <c r="J1866" s="5"/>
      <c r="K1866" s="5"/>
    </row>
    <row r="1867" ht="16.5" customHeight="1" spans="4:11">
      <c r="D1867" s="180">
        <v>43487</v>
      </c>
      <c r="E1867" s="181">
        <v>10922.75</v>
      </c>
      <c r="F1867" s="5"/>
      <c r="J1867" s="5"/>
      <c r="K1867" s="5"/>
    </row>
    <row r="1868" ht="16.5" customHeight="1" spans="4:11">
      <c r="D1868" s="180">
        <v>43486</v>
      </c>
      <c r="E1868" s="181">
        <v>10961.85</v>
      </c>
      <c r="F1868" s="5"/>
      <c r="J1868" s="5"/>
      <c r="K1868" s="5"/>
    </row>
    <row r="1869" ht="16.5" customHeight="1" spans="4:11">
      <c r="D1869" s="180">
        <v>43483</v>
      </c>
      <c r="E1869" s="181">
        <v>10906.95</v>
      </c>
      <c r="F1869" s="5"/>
      <c r="J1869" s="5"/>
      <c r="K1869" s="5"/>
    </row>
    <row r="1870" ht="16.5" customHeight="1" spans="4:11">
      <c r="D1870" s="180">
        <v>43482</v>
      </c>
      <c r="E1870" s="181">
        <v>10905.2</v>
      </c>
      <c r="F1870" s="5"/>
      <c r="J1870" s="5"/>
      <c r="K1870" s="5"/>
    </row>
    <row r="1871" ht="16.5" customHeight="1" spans="4:11">
      <c r="D1871" s="180">
        <v>43481</v>
      </c>
      <c r="E1871" s="181">
        <v>10890.3</v>
      </c>
      <c r="F1871" s="5"/>
      <c r="J1871" s="5"/>
      <c r="K1871" s="5"/>
    </row>
    <row r="1872" ht="16.5" customHeight="1" spans="4:11">
      <c r="D1872" s="180">
        <v>43480</v>
      </c>
      <c r="E1872" s="181">
        <v>10886.8</v>
      </c>
      <c r="F1872" s="5"/>
      <c r="J1872" s="5"/>
      <c r="K1872" s="5"/>
    </row>
    <row r="1873" ht="16.5" customHeight="1" spans="4:11">
      <c r="D1873" s="180">
        <v>43479</v>
      </c>
      <c r="E1873" s="181">
        <v>10737.6</v>
      </c>
      <c r="F1873" s="5"/>
      <c r="J1873" s="5"/>
      <c r="K1873" s="5"/>
    </row>
    <row r="1874" ht="16.5" customHeight="1" spans="4:11">
      <c r="D1874" s="180">
        <v>43476</v>
      </c>
      <c r="E1874" s="181">
        <v>10794.95</v>
      </c>
      <c r="F1874" s="5"/>
      <c r="J1874" s="5"/>
      <c r="K1874" s="5"/>
    </row>
    <row r="1875" ht="16.5" customHeight="1" spans="4:11">
      <c r="D1875" s="180">
        <v>43475</v>
      </c>
      <c r="E1875" s="181">
        <v>10821.6</v>
      </c>
      <c r="F1875" s="5"/>
      <c r="J1875" s="5"/>
      <c r="K1875" s="5"/>
    </row>
    <row r="1876" ht="16.5" customHeight="1" spans="4:11">
      <c r="D1876" s="180">
        <v>43474</v>
      </c>
      <c r="E1876" s="181">
        <v>10855.15</v>
      </c>
      <c r="F1876" s="5"/>
      <c r="J1876" s="5"/>
      <c r="K1876" s="5"/>
    </row>
    <row r="1877" ht="16.5" customHeight="1" spans="4:11">
      <c r="D1877" s="180">
        <v>43473</v>
      </c>
      <c r="E1877" s="181">
        <v>10802.15</v>
      </c>
      <c r="F1877" s="5"/>
      <c r="J1877" s="5"/>
      <c r="K1877" s="5"/>
    </row>
    <row r="1878" ht="16.5" customHeight="1" spans="4:11">
      <c r="D1878" s="180">
        <v>43472</v>
      </c>
      <c r="E1878" s="181">
        <v>10771.8</v>
      </c>
      <c r="F1878" s="5"/>
      <c r="J1878" s="5"/>
      <c r="K1878" s="5"/>
    </row>
    <row r="1879" ht="16.5" customHeight="1" spans="4:11">
      <c r="D1879" s="180">
        <v>43469</v>
      </c>
      <c r="E1879" s="181">
        <v>10727.35</v>
      </c>
      <c r="F1879" s="5"/>
      <c r="J1879" s="5"/>
      <c r="K1879" s="5"/>
    </row>
    <row r="1880" ht="16.5" customHeight="1" spans="4:11">
      <c r="D1880" s="180">
        <v>43468</v>
      </c>
      <c r="E1880" s="181">
        <v>10672.25</v>
      </c>
      <c r="F1880" s="5"/>
      <c r="J1880" s="5"/>
      <c r="K1880" s="5"/>
    </row>
    <row r="1881" ht="16.5" customHeight="1" spans="4:11">
      <c r="D1881" s="180">
        <v>43467</v>
      </c>
      <c r="E1881" s="181">
        <v>10792.5</v>
      </c>
      <c r="F1881" s="5"/>
      <c r="J1881" s="5"/>
      <c r="K1881" s="5"/>
    </row>
    <row r="1882" ht="16.5" customHeight="1" spans="4:11">
      <c r="D1882" s="180">
        <v>43466</v>
      </c>
      <c r="E1882" s="181">
        <v>10910.1</v>
      </c>
      <c r="F1882" s="5"/>
      <c r="J1882" s="5"/>
      <c r="K1882" s="5"/>
    </row>
    <row r="1883" ht="16.5" customHeight="1" spans="4:11">
      <c r="D1883" s="180">
        <v>43465</v>
      </c>
      <c r="E1883" s="181">
        <v>10862.55</v>
      </c>
      <c r="F1883" s="5"/>
      <c r="J1883" s="5"/>
      <c r="K1883" s="5"/>
    </row>
    <row r="1884" ht="16.5" customHeight="1" spans="4:11">
      <c r="D1884" s="180">
        <v>43462</v>
      </c>
      <c r="E1884" s="181">
        <v>10859.9</v>
      </c>
      <c r="F1884" s="5"/>
      <c r="J1884" s="5"/>
      <c r="K1884" s="5"/>
    </row>
    <row r="1885" ht="16.5" customHeight="1" spans="4:11">
      <c r="D1885" s="180">
        <v>43461</v>
      </c>
      <c r="E1885" s="181">
        <v>10779.8</v>
      </c>
      <c r="F1885" s="5"/>
      <c r="J1885" s="5"/>
      <c r="K1885" s="5"/>
    </row>
    <row r="1886" ht="16.5" customHeight="1" spans="4:11">
      <c r="D1886" s="180">
        <v>43460</v>
      </c>
      <c r="E1886" s="181">
        <v>10729.85</v>
      </c>
      <c r="F1886" s="5"/>
      <c r="J1886" s="5"/>
      <c r="K1886" s="5"/>
    </row>
    <row r="1887" ht="16.5" customHeight="1" spans="4:11">
      <c r="D1887" s="180">
        <v>43458</v>
      </c>
      <c r="E1887" s="181">
        <v>10663.5</v>
      </c>
      <c r="F1887" s="5"/>
      <c r="J1887" s="5"/>
      <c r="K1887" s="5"/>
    </row>
    <row r="1888" ht="16.5" customHeight="1" spans="4:11">
      <c r="D1888" s="180">
        <v>43455</v>
      </c>
      <c r="E1888" s="181">
        <v>10754</v>
      </c>
      <c r="F1888" s="5"/>
      <c r="J1888" s="5"/>
      <c r="K1888" s="5"/>
    </row>
    <row r="1889" ht="16.5" customHeight="1" spans="4:11">
      <c r="D1889" s="180">
        <v>43454</v>
      </c>
      <c r="E1889" s="181">
        <v>10951.7</v>
      </c>
      <c r="F1889" s="5"/>
      <c r="J1889" s="5"/>
      <c r="K1889" s="5"/>
    </row>
    <row r="1890" ht="16.5" customHeight="1" spans="4:11">
      <c r="D1890" s="180">
        <v>43453</v>
      </c>
      <c r="E1890" s="181">
        <v>10967.3</v>
      </c>
      <c r="F1890" s="5"/>
      <c r="J1890" s="5"/>
      <c r="K1890" s="5"/>
    </row>
    <row r="1891" ht="16.5" customHeight="1" spans="4:11">
      <c r="D1891" s="180">
        <v>43452</v>
      </c>
      <c r="E1891" s="181">
        <v>10908.7</v>
      </c>
      <c r="F1891" s="5"/>
      <c r="J1891" s="5"/>
      <c r="K1891" s="5"/>
    </row>
    <row r="1892" ht="16.5" customHeight="1" spans="4:11">
      <c r="D1892" s="180">
        <v>43451</v>
      </c>
      <c r="E1892" s="181">
        <v>10888.35</v>
      </c>
      <c r="F1892" s="5"/>
      <c r="J1892" s="5"/>
      <c r="K1892" s="5"/>
    </row>
    <row r="1893" ht="16.5" customHeight="1" spans="4:11">
      <c r="D1893" s="180">
        <v>43448</v>
      </c>
      <c r="E1893" s="181">
        <v>10805.45</v>
      </c>
      <c r="F1893" s="5"/>
      <c r="J1893" s="5"/>
      <c r="K1893" s="5"/>
    </row>
    <row r="1894" ht="16.5" customHeight="1" spans="4:11">
      <c r="D1894" s="180">
        <v>43447</v>
      </c>
      <c r="E1894" s="181">
        <v>10791.55</v>
      </c>
      <c r="F1894" s="5"/>
      <c r="J1894" s="5"/>
      <c r="K1894" s="5"/>
    </row>
    <row r="1895" ht="16.5" customHeight="1" spans="4:11">
      <c r="D1895" s="180">
        <v>43446</v>
      </c>
      <c r="E1895" s="181">
        <v>10737.6</v>
      </c>
      <c r="F1895" s="5"/>
      <c r="J1895" s="5"/>
      <c r="K1895" s="5"/>
    </row>
    <row r="1896" ht="16.5" customHeight="1" spans="4:11">
      <c r="D1896" s="180">
        <v>43445</v>
      </c>
      <c r="E1896" s="181">
        <v>10549.15</v>
      </c>
      <c r="F1896" s="5"/>
      <c r="J1896" s="5"/>
      <c r="K1896" s="5"/>
    </row>
    <row r="1897" ht="16.5" customHeight="1" spans="4:11">
      <c r="D1897" s="180">
        <v>43444</v>
      </c>
      <c r="E1897" s="181">
        <v>10488.45</v>
      </c>
      <c r="F1897" s="5"/>
      <c r="J1897" s="5"/>
      <c r="K1897" s="5"/>
    </row>
    <row r="1898" ht="16.5" customHeight="1" spans="4:11">
      <c r="D1898" s="180">
        <v>43441</v>
      </c>
      <c r="E1898" s="181">
        <v>10693.7</v>
      </c>
      <c r="F1898" s="5"/>
      <c r="J1898" s="5"/>
      <c r="K1898" s="5"/>
    </row>
    <row r="1899" ht="16.5" customHeight="1" spans="4:11">
      <c r="D1899" s="180">
        <v>43440</v>
      </c>
      <c r="E1899" s="181">
        <v>10601.15</v>
      </c>
      <c r="F1899" s="5"/>
      <c r="J1899" s="5"/>
      <c r="K1899" s="5"/>
    </row>
    <row r="1900" ht="16.5" customHeight="1" spans="4:11">
      <c r="D1900" s="180">
        <v>43439</v>
      </c>
      <c r="E1900" s="181">
        <v>10782.9</v>
      </c>
      <c r="F1900" s="5"/>
      <c r="J1900" s="5"/>
      <c r="K1900" s="5"/>
    </row>
    <row r="1901" ht="16.5" customHeight="1" spans="4:11">
      <c r="D1901" s="180">
        <v>43438</v>
      </c>
      <c r="E1901" s="181">
        <v>10869.5</v>
      </c>
      <c r="F1901" s="5"/>
      <c r="J1901" s="5"/>
      <c r="K1901" s="5"/>
    </row>
    <row r="1902" ht="16.5" customHeight="1" spans="4:11">
      <c r="D1902" s="180">
        <v>43437</v>
      </c>
      <c r="E1902" s="181">
        <v>10883.75</v>
      </c>
      <c r="F1902" s="5"/>
      <c r="J1902" s="5"/>
      <c r="K1902" s="5"/>
    </row>
    <row r="1903" ht="16.5" customHeight="1" spans="4:11">
      <c r="D1903" s="180">
        <v>43434</v>
      </c>
      <c r="E1903" s="181">
        <v>10876.75</v>
      </c>
      <c r="F1903" s="5"/>
      <c r="J1903" s="5"/>
      <c r="K1903" s="5"/>
    </row>
    <row r="1904" ht="16.5" customHeight="1" spans="4:11">
      <c r="D1904" s="180">
        <v>43433</v>
      </c>
      <c r="E1904" s="181">
        <v>10858.7</v>
      </c>
      <c r="F1904" s="5"/>
      <c r="J1904" s="5"/>
      <c r="K1904" s="5"/>
    </row>
    <row r="1905" ht="16.5" customHeight="1" spans="4:11">
      <c r="D1905" s="180">
        <v>43432</v>
      </c>
      <c r="E1905" s="181">
        <v>10728.85</v>
      </c>
      <c r="F1905" s="5"/>
      <c r="J1905" s="5"/>
      <c r="K1905" s="5"/>
    </row>
    <row r="1906" ht="16.5" customHeight="1" spans="4:11">
      <c r="D1906" s="180">
        <v>43431</v>
      </c>
      <c r="E1906" s="181">
        <v>10685.6</v>
      </c>
      <c r="F1906" s="5"/>
      <c r="J1906" s="5"/>
      <c r="K1906" s="5"/>
    </row>
    <row r="1907" ht="16.5" customHeight="1" spans="4:11">
      <c r="D1907" s="180">
        <v>43430</v>
      </c>
      <c r="E1907" s="181">
        <v>10628.6</v>
      </c>
      <c r="F1907" s="5"/>
      <c r="J1907" s="5"/>
      <c r="K1907" s="5"/>
    </row>
    <row r="1908" ht="16.5" customHeight="1" spans="4:11">
      <c r="D1908" s="180">
        <v>43426</v>
      </c>
      <c r="E1908" s="181">
        <v>10526.75</v>
      </c>
      <c r="F1908" s="5"/>
      <c r="J1908" s="5"/>
      <c r="K1908" s="5"/>
    </row>
    <row r="1909" ht="16.5" customHeight="1" spans="4:11">
      <c r="D1909" s="180">
        <v>43425</v>
      </c>
      <c r="E1909" s="181">
        <v>10600.05</v>
      </c>
      <c r="F1909" s="5"/>
      <c r="J1909" s="5"/>
      <c r="K1909" s="5"/>
    </row>
    <row r="1910" ht="16.5" customHeight="1" spans="4:11">
      <c r="D1910" s="180">
        <v>43424</v>
      </c>
      <c r="E1910" s="181">
        <v>10656.2</v>
      </c>
      <c r="F1910" s="5"/>
      <c r="J1910" s="5"/>
      <c r="K1910" s="5"/>
    </row>
    <row r="1911" ht="16.5" customHeight="1" spans="4:11">
      <c r="D1911" s="180">
        <v>43423</v>
      </c>
      <c r="E1911" s="181">
        <v>10763.4</v>
      </c>
      <c r="F1911" s="5"/>
      <c r="J1911" s="5"/>
      <c r="K1911" s="5"/>
    </row>
    <row r="1912" ht="16.5" customHeight="1" spans="4:11">
      <c r="D1912" s="180">
        <v>43420</v>
      </c>
      <c r="E1912" s="181">
        <v>10682.2</v>
      </c>
      <c r="F1912" s="5"/>
      <c r="J1912" s="5"/>
      <c r="K1912" s="5"/>
    </row>
    <row r="1913" ht="16.5" customHeight="1" spans="4:11">
      <c r="D1913" s="180">
        <v>43419</v>
      </c>
      <c r="E1913" s="181">
        <v>10616.7</v>
      </c>
      <c r="F1913" s="5"/>
      <c r="J1913" s="5"/>
      <c r="K1913" s="5"/>
    </row>
    <row r="1914" ht="16.5" customHeight="1" spans="4:11">
      <c r="D1914" s="180">
        <v>43418</v>
      </c>
      <c r="E1914" s="181">
        <v>10576.3</v>
      </c>
      <c r="F1914" s="5"/>
      <c r="J1914" s="5"/>
      <c r="K1914" s="5"/>
    </row>
    <row r="1915" ht="16.5" customHeight="1" spans="4:11">
      <c r="D1915" s="180">
        <v>43417</v>
      </c>
      <c r="E1915" s="181">
        <v>10582.5</v>
      </c>
      <c r="F1915" s="5"/>
      <c r="J1915" s="5"/>
      <c r="K1915" s="5"/>
    </row>
    <row r="1916" ht="16.5" customHeight="1" spans="4:11">
      <c r="D1916" s="180">
        <v>43416</v>
      </c>
      <c r="E1916" s="181">
        <v>10482.2</v>
      </c>
      <c r="F1916" s="5"/>
      <c r="J1916" s="5"/>
      <c r="K1916" s="5"/>
    </row>
    <row r="1917" ht="16.5" customHeight="1" spans="4:11">
      <c r="D1917" s="180">
        <v>43413</v>
      </c>
      <c r="E1917" s="181">
        <v>10585.2</v>
      </c>
      <c r="F1917" s="5"/>
      <c r="J1917" s="5"/>
      <c r="K1917" s="5"/>
    </row>
    <row r="1918" ht="16.5" customHeight="1" spans="4:11">
      <c r="D1918" s="180">
        <v>43411</v>
      </c>
      <c r="E1918" s="181">
        <v>10598.4</v>
      </c>
      <c r="F1918" s="5"/>
      <c r="J1918" s="5"/>
      <c r="K1918" s="5"/>
    </row>
    <row r="1919" ht="16.5" customHeight="1" spans="4:11">
      <c r="D1919" s="180">
        <v>43410</v>
      </c>
      <c r="E1919" s="181">
        <v>10530</v>
      </c>
      <c r="F1919" s="5"/>
      <c r="J1919" s="5"/>
      <c r="K1919" s="5"/>
    </row>
    <row r="1920" ht="16.5" customHeight="1" spans="4:11">
      <c r="D1920" s="180">
        <v>43409</v>
      </c>
      <c r="E1920" s="181">
        <v>10524</v>
      </c>
      <c r="F1920" s="5"/>
      <c r="J1920" s="5"/>
      <c r="K1920" s="5"/>
    </row>
    <row r="1921" ht="16.5" customHeight="1" spans="4:11">
      <c r="D1921" s="180">
        <v>43406</v>
      </c>
      <c r="E1921" s="181">
        <v>10553</v>
      </c>
      <c r="F1921" s="5"/>
      <c r="J1921" s="5"/>
      <c r="K1921" s="5"/>
    </row>
    <row r="1922" ht="16.5" customHeight="1" spans="4:11">
      <c r="D1922" s="180">
        <v>43405</v>
      </c>
      <c r="E1922" s="181">
        <v>10380.45</v>
      </c>
      <c r="F1922" s="5"/>
      <c r="J1922" s="5"/>
      <c r="K1922" s="5"/>
    </row>
    <row r="1923" ht="16.5" customHeight="1" spans="4:11">
      <c r="D1923" s="180">
        <v>43404</v>
      </c>
      <c r="E1923" s="181">
        <v>10386.6</v>
      </c>
      <c r="F1923" s="5"/>
      <c r="J1923" s="5"/>
      <c r="K1923" s="5"/>
    </row>
    <row r="1924" ht="16.5" customHeight="1" spans="4:11">
      <c r="D1924" s="180">
        <v>43403</v>
      </c>
      <c r="E1924" s="181">
        <v>10198.4</v>
      </c>
      <c r="F1924" s="5"/>
      <c r="J1924" s="5"/>
      <c r="K1924" s="5"/>
    </row>
    <row r="1925" ht="16.5" customHeight="1" spans="4:11">
      <c r="D1925" s="180">
        <v>43402</v>
      </c>
      <c r="E1925" s="181">
        <v>10250.85</v>
      </c>
      <c r="F1925" s="5"/>
      <c r="J1925" s="5"/>
      <c r="K1925" s="5"/>
    </row>
    <row r="1926" ht="16.5" customHeight="1" spans="4:11">
      <c r="D1926" s="180">
        <v>43399</v>
      </c>
      <c r="E1926" s="181">
        <v>10030</v>
      </c>
      <c r="F1926" s="5"/>
      <c r="J1926" s="5"/>
      <c r="K1926" s="5"/>
    </row>
    <row r="1927" ht="16.5" customHeight="1" spans="4:11">
      <c r="D1927" s="180">
        <v>43398</v>
      </c>
      <c r="E1927" s="181">
        <v>10124.9</v>
      </c>
      <c r="F1927" s="5"/>
      <c r="J1927" s="5"/>
      <c r="K1927" s="5"/>
    </row>
    <row r="1928" ht="16.5" customHeight="1" spans="4:11">
      <c r="D1928" s="180">
        <v>43397</v>
      </c>
      <c r="E1928" s="181">
        <v>10224.75</v>
      </c>
      <c r="F1928" s="5"/>
      <c r="J1928" s="5"/>
      <c r="K1928" s="5"/>
    </row>
    <row r="1929" ht="16.5" customHeight="1" spans="4:11">
      <c r="D1929" s="180">
        <v>43396</v>
      </c>
      <c r="E1929" s="181">
        <v>10146.8</v>
      </c>
      <c r="F1929" s="5"/>
      <c r="J1929" s="5"/>
      <c r="K1929" s="5"/>
    </row>
    <row r="1930" ht="16.5" customHeight="1" spans="4:11">
      <c r="D1930" s="180">
        <v>43395</v>
      </c>
      <c r="E1930" s="181">
        <v>10245.25</v>
      </c>
      <c r="F1930" s="5"/>
      <c r="J1930" s="5"/>
      <c r="K1930" s="5"/>
    </row>
    <row r="1931" ht="16.5" customHeight="1" spans="4:11">
      <c r="D1931" s="180">
        <v>43392</v>
      </c>
      <c r="E1931" s="181">
        <v>10303.55</v>
      </c>
      <c r="F1931" s="5"/>
      <c r="J1931" s="5"/>
      <c r="K1931" s="5"/>
    </row>
    <row r="1932" ht="16.5" customHeight="1" spans="4:11">
      <c r="D1932" s="180">
        <v>43390</v>
      </c>
      <c r="E1932" s="181">
        <v>10453.05</v>
      </c>
      <c r="F1932" s="5"/>
      <c r="J1932" s="5"/>
      <c r="K1932" s="5"/>
    </row>
    <row r="1933" ht="16.5" customHeight="1" spans="4:11">
      <c r="D1933" s="180">
        <v>43389</v>
      </c>
      <c r="E1933" s="181">
        <v>10584.75</v>
      </c>
      <c r="F1933" s="5"/>
      <c r="J1933" s="5"/>
      <c r="K1933" s="5"/>
    </row>
    <row r="1934" ht="16.5" customHeight="1" spans="4:11">
      <c r="D1934" s="180">
        <v>43388</v>
      </c>
      <c r="E1934" s="181">
        <v>10512.5</v>
      </c>
      <c r="F1934" s="5"/>
      <c r="J1934" s="5"/>
      <c r="K1934" s="5"/>
    </row>
    <row r="1935" ht="16.5" customHeight="1" spans="4:11">
      <c r="D1935" s="180">
        <v>43385</v>
      </c>
      <c r="E1935" s="181">
        <v>10472.5</v>
      </c>
      <c r="F1935" s="5"/>
      <c r="J1935" s="5"/>
      <c r="K1935" s="5"/>
    </row>
    <row r="1936" ht="16.5" customHeight="1" spans="4:11">
      <c r="D1936" s="180">
        <v>43384</v>
      </c>
      <c r="E1936" s="181">
        <v>10234.65</v>
      </c>
      <c r="F1936" s="5"/>
      <c r="J1936" s="5"/>
      <c r="K1936" s="5"/>
    </row>
    <row r="1937" ht="16.5" customHeight="1" spans="4:11">
      <c r="D1937" s="180">
        <v>43383</v>
      </c>
      <c r="E1937" s="181">
        <v>10460.1</v>
      </c>
      <c r="F1937" s="5"/>
      <c r="J1937" s="5"/>
      <c r="K1937" s="5"/>
    </row>
    <row r="1938" ht="16.5" customHeight="1" spans="4:11">
      <c r="D1938" s="180">
        <v>43382</v>
      </c>
      <c r="E1938" s="181">
        <v>10301.05</v>
      </c>
      <c r="F1938" s="5"/>
      <c r="J1938" s="5"/>
      <c r="K1938" s="5"/>
    </row>
    <row r="1939" ht="16.5" customHeight="1" spans="4:11">
      <c r="D1939" s="180">
        <v>43381</v>
      </c>
      <c r="E1939" s="181">
        <v>10348.05</v>
      </c>
      <c r="F1939" s="5"/>
      <c r="J1939" s="5"/>
      <c r="K1939" s="5"/>
    </row>
    <row r="1940" ht="16.5" customHeight="1" spans="4:11">
      <c r="D1940" s="180">
        <v>43378</v>
      </c>
      <c r="E1940" s="181">
        <v>10316.45</v>
      </c>
      <c r="F1940" s="5"/>
      <c r="J1940" s="5"/>
      <c r="K1940" s="5"/>
    </row>
    <row r="1941" ht="16.5" customHeight="1" spans="4:11">
      <c r="D1941" s="180">
        <v>43377</v>
      </c>
      <c r="E1941" s="181">
        <v>10599.25</v>
      </c>
      <c r="F1941" s="5"/>
      <c r="J1941" s="5"/>
      <c r="K1941" s="5"/>
    </row>
    <row r="1942" ht="16.5" customHeight="1" spans="4:11">
      <c r="D1942" s="180">
        <v>43376</v>
      </c>
      <c r="E1942" s="181">
        <v>10858.25</v>
      </c>
      <c r="F1942" s="5"/>
      <c r="J1942" s="5"/>
      <c r="K1942" s="5"/>
    </row>
    <row r="1943" ht="16.5" customHeight="1" spans="4:11">
      <c r="D1943" s="180">
        <v>43374</v>
      </c>
      <c r="E1943" s="181">
        <v>11008.3</v>
      </c>
      <c r="F1943" s="5"/>
      <c r="J1943" s="5"/>
      <c r="K1943" s="5"/>
    </row>
    <row r="1944" ht="16.5" customHeight="1" spans="4:11">
      <c r="D1944" s="180">
        <v>43371</v>
      </c>
      <c r="E1944" s="181">
        <v>10930.45</v>
      </c>
      <c r="F1944" s="5"/>
      <c r="J1944" s="5"/>
      <c r="K1944" s="5"/>
    </row>
    <row r="1945" ht="16.5" customHeight="1" spans="4:11">
      <c r="D1945" s="180">
        <v>43370</v>
      </c>
      <c r="E1945" s="181">
        <v>10977.55</v>
      </c>
      <c r="F1945" s="5"/>
      <c r="J1945" s="5"/>
      <c r="K1945" s="5"/>
    </row>
    <row r="1946" ht="16.5" customHeight="1" spans="4:11">
      <c r="D1946" s="180">
        <v>43369</v>
      </c>
      <c r="E1946" s="181">
        <v>11053.8</v>
      </c>
      <c r="F1946" s="5"/>
      <c r="J1946" s="5"/>
      <c r="K1946" s="5"/>
    </row>
    <row r="1947" ht="16.5" customHeight="1" spans="4:11">
      <c r="D1947" s="180">
        <v>43368</v>
      </c>
      <c r="E1947" s="181">
        <v>11067.45</v>
      </c>
      <c r="F1947" s="5"/>
      <c r="J1947" s="5"/>
      <c r="K1947" s="5"/>
    </row>
    <row r="1948" ht="16.5" customHeight="1" spans="4:11">
      <c r="D1948" s="180">
        <v>43367</v>
      </c>
      <c r="E1948" s="181">
        <v>10967.4</v>
      </c>
      <c r="F1948" s="5"/>
      <c r="J1948" s="5"/>
      <c r="K1948" s="5"/>
    </row>
    <row r="1949" ht="16.5" customHeight="1" spans="4:11">
      <c r="D1949" s="180">
        <v>43364</v>
      </c>
      <c r="E1949" s="181">
        <v>11143.1</v>
      </c>
      <c r="F1949" s="5"/>
      <c r="J1949" s="5"/>
      <c r="K1949" s="5"/>
    </row>
    <row r="1950" ht="16.5" customHeight="1" spans="4:11">
      <c r="D1950" s="180">
        <v>43362</v>
      </c>
      <c r="E1950" s="181">
        <v>11234.35</v>
      </c>
      <c r="F1950" s="5"/>
      <c r="J1950" s="5"/>
      <c r="K1950" s="5"/>
    </row>
    <row r="1951" ht="16.5" customHeight="1" spans="4:11">
      <c r="D1951" s="180">
        <v>43361</v>
      </c>
      <c r="E1951" s="181">
        <v>11278.9</v>
      </c>
      <c r="F1951" s="5"/>
      <c r="J1951" s="5"/>
      <c r="K1951" s="5"/>
    </row>
    <row r="1952" ht="16.5" customHeight="1" spans="4:11">
      <c r="D1952" s="180">
        <v>43360</v>
      </c>
      <c r="E1952" s="181">
        <v>11377.75</v>
      </c>
      <c r="F1952" s="5"/>
      <c r="J1952" s="5"/>
      <c r="K1952" s="5"/>
    </row>
    <row r="1953" ht="16.5" customHeight="1" spans="4:11">
      <c r="D1953" s="180">
        <v>43357</v>
      </c>
      <c r="E1953" s="181">
        <v>11515.2</v>
      </c>
      <c r="F1953" s="5"/>
      <c r="J1953" s="5"/>
      <c r="K1953" s="5"/>
    </row>
    <row r="1954" ht="16.5" customHeight="1" spans="4:11">
      <c r="D1954" s="180">
        <v>43355</v>
      </c>
      <c r="E1954" s="181">
        <v>11369.9</v>
      </c>
      <c r="F1954" s="5"/>
      <c r="J1954" s="5"/>
      <c r="K1954" s="5"/>
    </row>
    <row r="1955" ht="16.5" customHeight="1" spans="4:11">
      <c r="D1955" s="180">
        <v>43354</v>
      </c>
      <c r="E1955" s="181">
        <v>11287.5</v>
      </c>
      <c r="F1955" s="5"/>
      <c r="J1955" s="5"/>
      <c r="K1955" s="5"/>
    </row>
    <row r="1956" ht="16.5" customHeight="1" spans="4:11">
      <c r="D1956" s="180">
        <v>43353</v>
      </c>
      <c r="E1956" s="181">
        <v>11438.1</v>
      </c>
      <c r="F1956" s="5"/>
      <c r="J1956" s="5"/>
      <c r="K1956" s="5"/>
    </row>
    <row r="1957" ht="16.5" customHeight="1" spans="4:11">
      <c r="D1957" s="180">
        <v>43350</v>
      </c>
      <c r="E1957" s="181">
        <v>11589.1</v>
      </c>
      <c r="F1957" s="5"/>
      <c r="J1957" s="5"/>
      <c r="K1957" s="5"/>
    </row>
    <row r="1958" ht="16.5" customHeight="1" spans="4:11">
      <c r="D1958" s="180">
        <v>43349</v>
      </c>
      <c r="E1958" s="181">
        <v>11536.9</v>
      </c>
      <c r="F1958" s="5"/>
      <c r="J1958" s="5"/>
      <c r="K1958" s="5"/>
    </row>
    <row r="1959" ht="16.5" customHeight="1" spans="4:11">
      <c r="D1959" s="180">
        <v>43348</v>
      </c>
      <c r="E1959" s="181">
        <v>11476.95</v>
      </c>
      <c r="F1959" s="5"/>
      <c r="J1959" s="5"/>
      <c r="K1959" s="5"/>
    </row>
    <row r="1960" ht="16.5" customHeight="1" spans="4:11">
      <c r="D1960" s="180">
        <v>43347</v>
      </c>
      <c r="E1960" s="181">
        <v>11520.3</v>
      </c>
      <c r="F1960" s="5"/>
      <c r="J1960" s="5"/>
      <c r="K1960" s="5"/>
    </row>
    <row r="1961" ht="16.5" customHeight="1" spans="4:11">
      <c r="D1961" s="180">
        <v>43346</v>
      </c>
      <c r="E1961" s="181">
        <v>11582.35</v>
      </c>
      <c r="F1961" s="5"/>
      <c r="J1961" s="5"/>
      <c r="K1961" s="5"/>
    </row>
    <row r="1962" ht="16.5" customHeight="1" spans="4:11">
      <c r="D1962" s="180">
        <v>43343</v>
      </c>
      <c r="E1962" s="181">
        <v>11680.5</v>
      </c>
      <c r="F1962" s="5"/>
      <c r="J1962" s="5"/>
      <c r="K1962" s="5"/>
    </row>
    <row r="1963" ht="16.5" customHeight="1" spans="4:11">
      <c r="D1963" s="180">
        <v>43342</v>
      </c>
      <c r="E1963" s="181">
        <v>11676.8</v>
      </c>
      <c r="F1963" s="5"/>
      <c r="J1963" s="5"/>
      <c r="K1963" s="5"/>
    </row>
    <row r="1964" ht="16.5" customHeight="1" spans="4:11">
      <c r="D1964" s="180">
        <v>43341</v>
      </c>
      <c r="E1964" s="181">
        <v>11691.9</v>
      </c>
      <c r="F1964" s="5"/>
      <c r="J1964" s="5"/>
      <c r="K1964" s="5"/>
    </row>
    <row r="1965" ht="16.5" customHeight="1" spans="4:11">
      <c r="D1965" s="180">
        <v>43340</v>
      </c>
      <c r="E1965" s="181">
        <v>11738.5</v>
      </c>
      <c r="F1965" s="5"/>
      <c r="J1965" s="5"/>
      <c r="K1965" s="5"/>
    </row>
    <row r="1966" ht="16.5" customHeight="1" spans="4:11">
      <c r="D1966" s="180">
        <v>43339</v>
      </c>
      <c r="E1966" s="181">
        <v>11691.95</v>
      </c>
      <c r="F1966" s="5"/>
      <c r="J1966" s="5"/>
      <c r="K1966" s="5"/>
    </row>
    <row r="1967" ht="16.5" customHeight="1" spans="4:11">
      <c r="D1967" s="180">
        <v>43336</v>
      </c>
      <c r="E1967" s="181">
        <v>11557.1</v>
      </c>
      <c r="F1967" s="5"/>
      <c r="J1967" s="5"/>
      <c r="K1967" s="5"/>
    </row>
    <row r="1968" ht="16.5" customHeight="1" spans="4:11">
      <c r="D1968" s="180">
        <v>43335</v>
      </c>
      <c r="E1968" s="181">
        <v>11582.75</v>
      </c>
      <c r="F1968" s="5"/>
      <c r="J1968" s="5"/>
      <c r="K1968" s="5"/>
    </row>
    <row r="1969" ht="16.5" customHeight="1" spans="4:11">
      <c r="D1969" s="180">
        <v>43333</v>
      </c>
      <c r="E1969" s="181">
        <v>11570.9</v>
      </c>
      <c r="F1969" s="5"/>
      <c r="J1969" s="5"/>
      <c r="K1969" s="5"/>
    </row>
    <row r="1970" ht="16.5" customHeight="1" spans="4:11">
      <c r="D1970" s="180">
        <v>43332</v>
      </c>
      <c r="E1970" s="181">
        <v>11551.75</v>
      </c>
      <c r="F1970" s="5"/>
      <c r="J1970" s="5"/>
      <c r="K1970" s="5"/>
    </row>
    <row r="1971" ht="16.5" customHeight="1" spans="4:11">
      <c r="D1971" s="180">
        <v>43329</v>
      </c>
      <c r="E1971" s="181">
        <v>11470.75</v>
      </c>
      <c r="F1971" s="5"/>
      <c r="J1971" s="5"/>
      <c r="K1971" s="5"/>
    </row>
    <row r="1972" ht="16.5" customHeight="1" spans="4:11">
      <c r="D1972" s="180">
        <v>43328</v>
      </c>
      <c r="E1972" s="181">
        <v>11385.05</v>
      </c>
      <c r="F1972" s="5"/>
      <c r="J1972" s="5"/>
      <c r="K1972" s="5"/>
    </row>
    <row r="1973" ht="16.5" customHeight="1" spans="4:11">
      <c r="D1973" s="180">
        <v>43326</v>
      </c>
      <c r="E1973" s="181">
        <v>11435.1</v>
      </c>
      <c r="F1973" s="5"/>
      <c r="J1973" s="5"/>
      <c r="K1973" s="5"/>
    </row>
    <row r="1974" ht="16.5" customHeight="1" spans="4:11">
      <c r="D1974" s="180">
        <v>43325</v>
      </c>
      <c r="E1974" s="181">
        <v>11355.75</v>
      </c>
      <c r="F1974" s="5"/>
      <c r="J1974" s="5"/>
      <c r="K1974" s="5"/>
    </row>
    <row r="1975" ht="16.5" customHeight="1" spans="4:11">
      <c r="D1975" s="180">
        <v>43322</v>
      </c>
      <c r="E1975" s="181">
        <v>11429.5</v>
      </c>
      <c r="F1975" s="5"/>
      <c r="J1975" s="5"/>
      <c r="K1975" s="5"/>
    </row>
    <row r="1976" ht="16.5" customHeight="1" spans="4:11">
      <c r="D1976" s="180">
        <v>43321</v>
      </c>
      <c r="E1976" s="181">
        <v>11470.7</v>
      </c>
      <c r="F1976" s="5"/>
      <c r="J1976" s="5"/>
      <c r="K1976" s="5"/>
    </row>
    <row r="1977" ht="16.5" customHeight="1" spans="4:11">
      <c r="D1977" s="180">
        <v>43320</v>
      </c>
      <c r="E1977" s="181">
        <v>11450</v>
      </c>
      <c r="F1977" s="5"/>
      <c r="J1977" s="5"/>
      <c r="K1977" s="5"/>
    </row>
    <row r="1978" ht="16.5" customHeight="1" spans="4:11">
      <c r="D1978" s="180">
        <v>43319</v>
      </c>
      <c r="E1978" s="181">
        <v>11389.45</v>
      </c>
      <c r="F1978" s="5"/>
      <c r="J1978" s="5"/>
      <c r="K1978" s="5"/>
    </row>
    <row r="1979" ht="16.5" customHeight="1" spans="4:11">
      <c r="D1979" s="180">
        <v>43318</v>
      </c>
      <c r="E1979" s="181">
        <v>11387.1</v>
      </c>
      <c r="F1979" s="5"/>
      <c r="J1979" s="5"/>
      <c r="K1979" s="5"/>
    </row>
    <row r="1980" ht="16.5" customHeight="1" spans="4:11">
      <c r="D1980" s="180">
        <v>43315</v>
      </c>
      <c r="E1980" s="181">
        <v>11360.8</v>
      </c>
      <c r="F1980" s="5"/>
      <c r="J1980" s="5"/>
      <c r="K1980" s="5"/>
    </row>
    <row r="1981" ht="16.5" customHeight="1" spans="4:11">
      <c r="D1981" s="180">
        <v>43314</v>
      </c>
      <c r="E1981" s="181">
        <v>11244.7</v>
      </c>
      <c r="F1981" s="5"/>
      <c r="J1981" s="5"/>
      <c r="K1981" s="5"/>
    </row>
    <row r="1982" ht="16.5" customHeight="1" spans="4:11">
      <c r="D1982" s="180">
        <v>43313</v>
      </c>
      <c r="E1982" s="181">
        <v>11346.2</v>
      </c>
      <c r="F1982" s="5"/>
      <c r="J1982" s="5"/>
      <c r="K1982" s="5"/>
    </row>
    <row r="1983" ht="16.5" customHeight="1" spans="4:11">
      <c r="D1983" s="180">
        <v>43312</v>
      </c>
      <c r="E1983" s="181">
        <v>11356.5</v>
      </c>
      <c r="F1983" s="5"/>
      <c r="J1983" s="5"/>
      <c r="K1983" s="5"/>
    </row>
    <row r="1984" ht="16.5" customHeight="1" spans="4:11">
      <c r="D1984" s="180">
        <v>43311</v>
      </c>
      <c r="E1984" s="181">
        <v>11319.55</v>
      </c>
      <c r="F1984" s="5"/>
      <c r="J1984" s="5"/>
      <c r="K1984" s="5"/>
    </row>
    <row r="1985" ht="16.5" customHeight="1" spans="4:11">
      <c r="D1985" s="180">
        <v>43308</v>
      </c>
      <c r="E1985" s="181">
        <v>11278.35</v>
      </c>
      <c r="F1985" s="5"/>
      <c r="J1985" s="5"/>
      <c r="K1985" s="5"/>
    </row>
    <row r="1986" ht="16.5" customHeight="1" spans="4:11">
      <c r="D1986" s="180">
        <v>43307</v>
      </c>
      <c r="E1986" s="181">
        <v>11167.3</v>
      </c>
      <c r="F1986" s="5"/>
      <c r="J1986" s="5"/>
      <c r="K1986" s="5"/>
    </row>
    <row r="1987" ht="16.5" customHeight="1" spans="4:11">
      <c r="D1987" s="180">
        <v>43306</v>
      </c>
      <c r="E1987" s="181">
        <v>11132</v>
      </c>
      <c r="F1987" s="5"/>
      <c r="J1987" s="5"/>
      <c r="K1987" s="5"/>
    </row>
    <row r="1988" ht="16.5" customHeight="1" spans="4:11">
      <c r="D1988" s="180">
        <v>43305</v>
      </c>
      <c r="E1988" s="181">
        <v>11134.3</v>
      </c>
      <c r="F1988" s="5"/>
      <c r="J1988" s="5"/>
      <c r="K1988" s="5"/>
    </row>
    <row r="1989" ht="16.5" customHeight="1" spans="4:11">
      <c r="D1989" s="180">
        <v>43304</v>
      </c>
      <c r="E1989" s="181">
        <v>11084.75</v>
      </c>
      <c r="F1989" s="5"/>
      <c r="J1989" s="5"/>
      <c r="K1989" s="5"/>
    </row>
    <row r="1990" ht="16.5" customHeight="1" spans="4:11">
      <c r="D1990" s="180">
        <v>43301</v>
      </c>
      <c r="E1990" s="181">
        <v>11010.2</v>
      </c>
      <c r="F1990" s="5"/>
      <c r="J1990" s="5"/>
      <c r="K1990" s="5"/>
    </row>
    <row r="1991" ht="16.5" customHeight="1" spans="4:11">
      <c r="D1991" s="180">
        <v>43300</v>
      </c>
      <c r="E1991" s="181">
        <v>10957.1</v>
      </c>
      <c r="F1991" s="5"/>
      <c r="J1991" s="5"/>
      <c r="K1991" s="5"/>
    </row>
    <row r="1992" ht="16.5" customHeight="1" spans="4:11">
      <c r="D1992" s="180">
        <v>43299</v>
      </c>
      <c r="E1992" s="181">
        <v>10980.45</v>
      </c>
      <c r="F1992" s="5"/>
      <c r="J1992" s="5"/>
      <c r="K1992" s="5"/>
    </row>
    <row r="1993" ht="16.5" customHeight="1" spans="4:11">
      <c r="D1993" s="180">
        <v>43298</v>
      </c>
      <c r="E1993" s="181">
        <v>11008.05</v>
      </c>
      <c r="F1993" s="5"/>
      <c r="J1993" s="5"/>
      <c r="K1993" s="5"/>
    </row>
    <row r="1994" ht="16.5" customHeight="1" spans="4:11">
      <c r="D1994" s="180">
        <v>43297</v>
      </c>
      <c r="E1994" s="181">
        <v>10936.85</v>
      </c>
      <c r="F1994" s="5"/>
      <c r="J1994" s="5"/>
      <c r="K1994" s="5"/>
    </row>
    <row r="1995" ht="16.5" customHeight="1" spans="4:11">
      <c r="D1995" s="180">
        <v>43294</v>
      </c>
      <c r="E1995" s="181">
        <v>11018.9</v>
      </c>
      <c r="F1995" s="5"/>
      <c r="J1995" s="5"/>
      <c r="K1995" s="5"/>
    </row>
    <row r="1996" ht="16.5" customHeight="1" spans="4:11">
      <c r="D1996" s="180">
        <v>43293</v>
      </c>
      <c r="E1996" s="181">
        <v>11023.2</v>
      </c>
      <c r="F1996" s="5"/>
      <c r="J1996" s="5"/>
      <c r="K1996" s="5"/>
    </row>
    <row r="1997" ht="16.5" customHeight="1" spans="4:11">
      <c r="D1997" s="180">
        <v>43292</v>
      </c>
      <c r="E1997" s="181">
        <v>10948.3</v>
      </c>
      <c r="F1997" s="5"/>
      <c r="J1997" s="5"/>
      <c r="K1997" s="5"/>
    </row>
    <row r="1998" ht="16.5" customHeight="1" spans="4:11">
      <c r="D1998" s="180">
        <v>43291</v>
      </c>
      <c r="E1998" s="181">
        <v>10947.25</v>
      </c>
      <c r="F1998" s="5"/>
      <c r="J1998" s="5"/>
      <c r="K1998" s="5"/>
    </row>
    <row r="1999" ht="16.5" customHeight="1" spans="4:11">
      <c r="D1999" s="180">
        <v>43290</v>
      </c>
      <c r="E1999" s="181">
        <v>10852.9</v>
      </c>
      <c r="F1999" s="5"/>
      <c r="J1999" s="5"/>
      <c r="K1999" s="5"/>
    </row>
    <row r="2000" ht="16.5" customHeight="1" spans="4:11">
      <c r="D2000" s="180">
        <v>43287</v>
      </c>
      <c r="E2000" s="181">
        <v>10772.65</v>
      </c>
      <c r="F2000" s="5"/>
      <c r="J2000" s="5"/>
      <c r="K2000" s="5"/>
    </row>
    <row r="2001" ht="16.5" customHeight="1" spans="4:11">
      <c r="D2001" s="180">
        <v>43286</v>
      </c>
      <c r="E2001" s="181">
        <v>10749.75</v>
      </c>
      <c r="F2001" s="5"/>
      <c r="J2001" s="5"/>
      <c r="K2001" s="5"/>
    </row>
    <row r="2002" ht="16.5" customHeight="1" spans="4:11">
      <c r="D2002" s="180">
        <v>43285</v>
      </c>
      <c r="E2002" s="181">
        <v>10769.9</v>
      </c>
      <c r="F2002" s="5"/>
      <c r="J2002" s="5"/>
      <c r="K2002" s="5"/>
    </row>
    <row r="2003" ht="16.5" customHeight="1" spans="4:11">
      <c r="D2003" s="180">
        <v>43284</v>
      </c>
      <c r="E2003" s="181">
        <v>10699.9</v>
      </c>
      <c r="F2003" s="5"/>
      <c r="J2003" s="5"/>
      <c r="K2003" s="5"/>
    </row>
    <row r="2004" ht="16.5" customHeight="1" spans="4:11">
      <c r="D2004" s="180">
        <v>43283</v>
      </c>
      <c r="E2004" s="181">
        <v>10657.3</v>
      </c>
      <c r="F2004" s="5"/>
      <c r="J2004" s="5"/>
      <c r="K2004" s="5"/>
    </row>
    <row r="2005" ht="16.5" customHeight="1" spans="4:11">
      <c r="D2005" s="180">
        <v>43280</v>
      </c>
      <c r="E2005" s="181">
        <v>10714.3</v>
      </c>
      <c r="F2005" s="5"/>
      <c r="J2005" s="5"/>
      <c r="K2005" s="5"/>
    </row>
    <row r="2006" ht="16.5" customHeight="1" spans="4:11">
      <c r="D2006" s="180">
        <v>43279</v>
      </c>
      <c r="E2006" s="181">
        <v>10589.1</v>
      </c>
      <c r="F2006" s="5"/>
      <c r="J2006" s="5"/>
      <c r="K2006" s="5"/>
    </row>
    <row r="2007" ht="16.5" customHeight="1" spans="4:11">
      <c r="D2007" s="180">
        <v>43278</v>
      </c>
      <c r="E2007" s="181">
        <v>10671.4</v>
      </c>
      <c r="F2007" s="5"/>
      <c r="J2007" s="5"/>
      <c r="K2007" s="5"/>
    </row>
    <row r="2008" ht="16.5" customHeight="1" spans="4:11">
      <c r="D2008" s="180">
        <v>43277</v>
      </c>
      <c r="E2008" s="181">
        <v>10769.15</v>
      </c>
      <c r="F2008" s="5"/>
      <c r="J2008" s="5"/>
      <c r="K2008" s="5"/>
    </row>
    <row r="2009" ht="16.5" customHeight="1" spans="4:11">
      <c r="D2009" s="180">
        <v>43276</v>
      </c>
      <c r="E2009" s="181">
        <v>10762.45</v>
      </c>
      <c r="F2009" s="5"/>
      <c r="J2009" s="5"/>
      <c r="K2009" s="5"/>
    </row>
    <row r="2010" ht="16.5" customHeight="1" spans="4:11">
      <c r="D2010" s="180">
        <v>43273</v>
      </c>
      <c r="E2010" s="181">
        <v>10821.85</v>
      </c>
      <c r="F2010" s="5"/>
      <c r="J2010" s="5"/>
      <c r="K2010" s="5"/>
    </row>
    <row r="2011" ht="16.5" customHeight="1" spans="4:11">
      <c r="D2011" s="180">
        <v>43272</v>
      </c>
      <c r="E2011" s="181">
        <v>10741.1</v>
      </c>
      <c r="F2011" s="5"/>
      <c r="J2011" s="5"/>
      <c r="K2011" s="5"/>
    </row>
    <row r="2012" ht="16.5" customHeight="1" spans="4:11">
      <c r="D2012" s="180">
        <v>43271</v>
      </c>
      <c r="E2012" s="181">
        <v>10772.05</v>
      </c>
      <c r="F2012" s="5"/>
      <c r="J2012" s="5"/>
      <c r="K2012" s="5"/>
    </row>
    <row r="2013" ht="16.5" customHeight="1" spans="4:11">
      <c r="D2013" s="180">
        <v>43270</v>
      </c>
      <c r="E2013" s="181">
        <v>10710.45</v>
      </c>
      <c r="F2013" s="5"/>
      <c r="J2013" s="5"/>
      <c r="K2013" s="5"/>
    </row>
    <row r="2014" ht="16.5" customHeight="1" spans="4:11">
      <c r="D2014" s="180">
        <v>43269</v>
      </c>
      <c r="E2014" s="181">
        <v>10799.85</v>
      </c>
      <c r="F2014" s="5"/>
      <c r="J2014" s="5"/>
      <c r="K2014" s="5"/>
    </row>
    <row r="2015" ht="16.5" customHeight="1" spans="4:11">
      <c r="D2015" s="180">
        <v>43266</v>
      </c>
      <c r="E2015" s="181">
        <v>10817.7</v>
      </c>
      <c r="F2015" s="5"/>
      <c r="J2015" s="5"/>
      <c r="K2015" s="5"/>
    </row>
    <row r="2016" ht="16.5" customHeight="1" spans="4:11">
      <c r="D2016" s="180">
        <v>43265</v>
      </c>
      <c r="E2016" s="181">
        <v>10808.05</v>
      </c>
      <c r="F2016" s="5"/>
      <c r="J2016" s="5"/>
      <c r="K2016" s="5"/>
    </row>
    <row r="2017" ht="16.5" customHeight="1" spans="4:11">
      <c r="D2017" s="180">
        <v>43264</v>
      </c>
      <c r="E2017" s="181">
        <v>10856.7</v>
      </c>
      <c r="F2017" s="5"/>
      <c r="J2017" s="5"/>
      <c r="K2017" s="5"/>
    </row>
    <row r="2018" ht="16.5" customHeight="1" spans="4:11">
      <c r="D2018" s="180">
        <v>43263</v>
      </c>
      <c r="E2018" s="181">
        <v>10842.85</v>
      </c>
      <c r="F2018" s="5"/>
      <c r="J2018" s="5"/>
      <c r="K2018" s="5"/>
    </row>
    <row r="2019" ht="16.5" customHeight="1" spans="4:11">
      <c r="D2019" s="180">
        <v>43262</v>
      </c>
      <c r="E2019" s="181">
        <v>10786.95</v>
      </c>
      <c r="F2019" s="5"/>
      <c r="J2019" s="5"/>
      <c r="K2019" s="5"/>
    </row>
    <row r="2020" ht="16.5" customHeight="1" spans="4:11">
      <c r="D2020" s="180">
        <v>43259</v>
      </c>
      <c r="E2020" s="181">
        <v>10767.65</v>
      </c>
      <c r="F2020" s="5"/>
      <c r="J2020" s="5"/>
      <c r="K2020" s="5"/>
    </row>
    <row r="2021" ht="16.5" customHeight="1" spans="4:11">
      <c r="D2021" s="180">
        <v>43258</v>
      </c>
      <c r="E2021" s="181">
        <v>10768.35</v>
      </c>
      <c r="F2021" s="5"/>
      <c r="J2021" s="5"/>
      <c r="K2021" s="5"/>
    </row>
    <row r="2022" ht="16.5" customHeight="1" spans="4:11">
      <c r="D2022" s="180">
        <v>43257</v>
      </c>
      <c r="E2022" s="181">
        <v>10684.65</v>
      </c>
      <c r="F2022" s="5"/>
      <c r="J2022" s="5"/>
      <c r="K2022" s="5"/>
    </row>
    <row r="2023" ht="16.5" customHeight="1" spans="4:11">
      <c r="D2023" s="180">
        <v>43256</v>
      </c>
      <c r="E2023" s="181">
        <v>10593.15</v>
      </c>
      <c r="F2023" s="5"/>
      <c r="J2023" s="5"/>
      <c r="K2023" s="5"/>
    </row>
    <row r="2024" ht="16.5" customHeight="1" spans="4:11">
      <c r="D2024" s="180">
        <v>43255</v>
      </c>
      <c r="E2024" s="181">
        <v>10628.5</v>
      </c>
      <c r="F2024" s="5"/>
      <c r="J2024" s="5"/>
      <c r="K2024" s="5"/>
    </row>
    <row r="2025" ht="16.5" customHeight="1" spans="4:11">
      <c r="D2025" s="180">
        <v>43252</v>
      </c>
      <c r="E2025" s="181">
        <v>10696.2</v>
      </c>
      <c r="F2025" s="5"/>
      <c r="J2025" s="5"/>
      <c r="K2025" s="5"/>
    </row>
    <row r="2026" ht="16.5" customHeight="1" spans="4:11">
      <c r="D2026" s="180">
        <v>43251</v>
      </c>
      <c r="E2026" s="181">
        <v>10736.15</v>
      </c>
      <c r="F2026" s="5"/>
      <c r="J2026" s="5"/>
      <c r="K2026" s="5"/>
    </row>
    <row r="2027" ht="16.5" customHeight="1" spans="4:11">
      <c r="D2027" s="180">
        <v>43250</v>
      </c>
      <c r="E2027" s="181">
        <v>10614.35</v>
      </c>
      <c r="F2027" s="5"/>
      <c r="J2027" s="5"/>
      <c r="K2027" s="5"/>
    </row>
    <row r="2028" ht="16.5" customHeight="1" spans="4:11">
      <c r="D2028" s="180">
        <v>43249</v>
      </c>
      <c r="E2028" s="181">
        <v>10633.3</v>
      </c>
      <c r="F2028" s="5"/>
      <c r="J2028" s="5"/>
      <c r="K2028" s="5"/>
    </row>
    <row r="2029" ht="16.5" customHeight="1" spans="4:11">
      <c r="D2029" s="180">
        <v>43248</v>
      </c>
      <c r="E2029" s="181">
        <v>10688.65</v>
      </c>
      <c r="F2029" s="5"/>
      <c r="J2029" s="5"/>
      <c r="K2029" s="5"/>
    </row>
    <row r="2030" ht="16.5" customHeight="1" spans="4:11">
      <c r="D2030" s="180">
        <v>43245</v>
      </c>
      <c r="E2030" s="181">
        <v>10605.15</v>
      </c>
      <c r="F2030" s="5"/>
      <c r="J2030" s="5"/>
      <c r="K2030" s="5"/>
    </row>
    <row r="2031" ht="16.5" customHeight="1" spans="4:11">
      <c r="D2031" s="180">
        <v>43244</v>
      </c>
      <c r="E2031" s="181">
        <v>10513.85</v>
      </c>
      <c r="F2031" s="5"/>
      <c r="J2031" s="5"/>
      <c r="K2031" s="5"/>
    </row>
    <row r="2032" ht="16.5" customHeight="1" spans="4:11">
      <c r="D2032" s="180">
        <v>43243</v>
      </c>
      <c r="E2032" s="181">
        <v>10430.35</v>
      </c>
      <c r="F2032" s="5"/>
      <c r="J2032" s="5"/>
      <c r="K2032" s="5"/>
    </row>
    <row r="2033" ht="16.5" customHeight="1" spans="4:11">
      <c r="D2033" s="180">
        <v>43242</v>
      </c>
      <c r="E2033" s="181">
        <v>10536.7</v>
      </c>
      <c r="F2033" s="5"/>
      <c r="J2033" s="5"/>
      <c r="K2033" s="5"/>
    </row>
    <row r="2034" ht="16.5" customHeight="1" spans="4:11">
      <c r="D2034" s="180">
        <v>43241</v>
      </c>
      <c r="E2034" s="181">
        <v>10516.7</v>
      </c>
      <c r="F2034" s="5"/>
      <c r="J2034" s="5"/>
      <c r="K2034" s="5"/>
    </row>
    <row r="2035" ht="16.5" customHeight="1" spans="4:11">
      <c r="D2035" s="180">
        <v>43238</v>
      </c>
      <c r="E2035" s="181">
        <v>10596.4</v>
      </c>
      <c r="F2035" s="5"/>
      <c r="J2035" s="5"/>
      <c r="K2035" s="5"/>
    </row>
    <row r="2036" ht="16.5" customHeight="1" spans="4:11">
      <c r="D2036" s="180">
        <v>43237</v>
      </c>
      <c r="E2036" s="181">
        <v>10682.7</v>
      </c>
      <c r="F2036" s="5"/>
      <c r="J2036" s="5"/>
      <c r="K2036" s="5"/>
    </row>
    <row r="2037" ht="16.5" customHeight="1" spans="4:11">
      <c r="D2037" s="180">
        <v>43236</v>
      </c>
      <c r="E2037" s="181">
        <v>10741.1</v>
      </c>
      <c r="F2037" s="5"/>
      <c r="J2037" s="5"/>
      <c r="K2037" s="5"/>
    </row>
    <row r="2038" ht="16.5" customHeight="1" spans="4:11">
      <c r="D2038" s="180">
        <v>43235</v>
      </c>
      <c r="E2038" s="181">
        <v>10801.85</v>
      </c>
      <c r="F2038" s="5"/>
      <c r="J2038" s="5"/>
      <c r="K2038" s="5"/>
    </row>
    <row r="2039" ht="16.5" customHeight="1" spans="4:11">
      <c r="D2039" s="180">
        <v>43234</v>
      </c>
      <c r="E2039" s="181">
        <v>10806.6</v>
      </c>
      <c r="F2039" s="5"/>
      <c r="J2039" s="5"/>
      <c r="K2039" s="5"/>
    </row>
    <row r="2040" ht="16.5" customHeight="1" spans="4:11">
      <c r="D2040" s="180">
        <v>43231</v>
      </c>
      <c r="E2040" s="181">
        <v>10806.5</v>
      </c>
      <c r="F2040" s="5"/>
      <c r="J2040" s="5"/>
      <c r="K2040" s="5"/>
    </row>
    <row r="2041" ht="16.5" customHeight="1" spans="4:11">
      <c r="D2041" s="180">
        <v>43230</v>
      </c>
      <c r="E2041" s="181">
        <v>10716.55</v>
      </c>
      <c r="F2041" s="5"/>
      <c r="J2041" s="5"/>
      <c r="K2041" s="5"/>
    </row>
    <row r="2042" ht="16.5" customHeight="1" spans="4:11">
      <c r="D2042" s="180">
        <v>43229</v>
      </c>
      <c r="E2042" s="181">
        <v>10741.7</v>
      </c>
      <c r="F2042" s="5"/>
      <c r="J2042" s="5"/>
      <c r="K2042" s="5"/>
    </row>
    <row r="2043" ht="16.5" customHeight="1" spans="4:11">
      <c r="D2043" s="180">
        <v>43228</v>
      </c>
      <c r="E2043" s="181">
        <v>10717.8</v>
      </c>
      <c r="F2043" s="5"/>
      <c r="J2043" s="5"/>
      <c r="K2043" s="5"/>
    </row>
    <row r="2044" ht="16.5" customHeight="1" spans="4:11">
      <c r="D2044" s="180">
        <v>43227</v>
      </c>
      <c r="E2044" s="181">
        <v>10715.5</v>
      </c>
      <c r="F2044" s="5"/>
      <c r="J2044" s="5"/>
      <c r="K2044" s="5"/>
    </row>
    <row r="2045" ht="16.5" customHeight="1" spans="4:11">
      <c r="D2045" s="180">
        <v>43224</v>
      </c>
      <c r="E2045" s="181">
        <v>10618.25</v>
      </c>
      <c r="F2045" s="5"/>
      <c r="J2045" s="5"/>
      <c r="K2045" s="5"/>
    </row>
    <row r="2046" ht="16.5" customHeight="1" spans="4:11">
      <c r="D2046" s="180">
        <v>43223</v>
      </c>
      <c r="E2046" s="181">
        <v>10679.65</v>
      </c>
      <c r="F2046" s="5"/>
      <c r="J2046" s="5"/>
      <c r="K2046" s="5"/>
    </row>
    <row r="2047" ht="16.5" customHeight="1" spans="4:11">
      <c r="D2047" s="180">
        <v>43222</v>
      </c>
      <c r="E2047" s="181">
        <v>10718.05</v>
      </c>
      <c r="F2047" s="5"/>
      <c r="J2047" s="5"/>
      <c r="K2047" s="5"/>
    </row>
    <row r="2048" ht="16.5" customHeight="1" spans="4:11">
      <c r="D2048" s="180">
        <v>43220</v>
      </c>
      <c r="E2048" s="181">
        <v>10739.35</v>
      </c>
      <c r="F2048" s="5"/>
      <c r="J2048" s="5"/>
      <c r="K2048" s="5"/>
    </row>
    <row r="2049" ht="16.5" customHeight="1" spans="4:11">
      <c r="D2049" s="180">
        <v>43217</v>
      </c>
      <c r="E2049" s="181">
        <v>10692.3</v>
      </c>
      <c r="F2049" s="5"/>
      <c r="J2049" s="5"/>
      <c r="K2049" s="5"/>
    </row>
    <row r="2050" ht="16.5" customHeight="1" spans="4:11">
      <c r="D2050" s="180">
        <v>43216</v>
      </c>
      <c r="E2050" s="181">
        <v>10617.8</v>
      </c>
      <c r="F2050" s="5"/>
      <c r="J2050" s="5"/>
      <c r="K2050" s="5"/>
    </row>
    <row r="2051" ht="16.5" customHeight="1" spans="4:11">
      <c r="D2051" s="180">
        <v>43215</v>
      </c>
      <c r="E2051" s="181">
        <v>10570.55</v>
      </c>
      <c r="F2051" s="5"/>
      <c r="J2051" s="5"/>
      <c r="K2051" s="5"/>
    </row>
    <row r="2052" ht="16.5" customHeight="1" spans="4:11">
      <c r="D2052" s="180">
        <v>43214</v>
      </c>
      <c r="E2052" s="181">
        <v>10614.35</v>
      </c>
      <c r="F2052" s="5"/>
      <c r="J2052" s="5"/>
      <c r="K2052" s="5"/>
    </row>
    <row r="2053" ht="16.5" customHeight="1" spans="4:11">
      <c r="D2053" s="180">
        <v>43213</v>
      </c>
      <c r="E2053" s="181">
        <v>10584.7</v>
      </c>
      <c r="F2053" s="5"/>
      <c r="J2053" s="5"/>
      <c r="K2053" s="5"/>
    </row>
    <row r="2054" ht="16.5" customHeight="1" spans="4:11">
      <c r="D2054" s="180">
        <v>43210</v>
      </c>
      <c r="E2054" s="181">
        <v>10564.05</v>
      </c>
      <c r="F2054" s="5"/>
      <c r="J2054" s="5"/>
      <c r="K2054" s="5"/>
    </row>
    <row r="2055" ht="16.5" customHeight="1" spans="4:11">
      <c r="D2055" s="180">
        <v>43209</v>
      </c>
      <c r="E2055" s="181">
        <v>10565.3</v>
      </c>
      <c r="F2055" s="5"/>
      <c r="J2055" s="5"/>
      <c r="K2055" s="5"/>
    </row>
    <row r="2056" ht="16.5" customHeight="1" spans="4:11">
      <c r="D2056" s="180">
        <v>43208</v>
      </c>
      <c r="E2056" s="181">
        <v>10526.2</v>
      </c>
      <c r="F2056" s="5"/>
      <c r="J2056" s="5"/>
      <c r="K2056" s="5"/>
    </row>
    <row r="2057" ht="16.5" customHeight="1" spans="4:11">
      <c r="D2057" s="180">
        <v>43207</v>
      </c>
      <c r="E2057" s="181">
        <v>10548.7</v>
      </c>
      <c r="F2057" s="5"/>
      <c r="J2057" s="5"/>
      <c r="K2057" s="5"/>
    </row>
    <row r="2058" ht="16.5" customHeight="1" spans="4:11">
      <c r="D2058" s="180">
        <v>43206</v>
      </c>
      <c r="E2058" s="181">
        <v>10528.35</v>
      </c>
      <c r="F2058" s="5"/>
      <c r="J2058" s="5"/>
      <c r="K2058" s="5"/>
    </row>
    <row r="2059" ht="16.5" customHeight="1" spans="4:11">
      <c r="D2059" s="180">
        <v>43203</v>
      </c>
      <c r="E2059" s="181">
        <v>10480.6</v>
      </c>
      <c r="F2059" s="5"/>
      <c r="J2059" s="5"/>
      <c r="K2059" s="5"/>
    </row>
    <row r="2060" ht="16.5" customHeight="1" spans="4:11">
      <c r="D2060" s="180">
        <v>43202</v>
      </c>
      <c r="E2060" s="181">
        <v>10458.65</v>
      </c>
      <c r="F2060" s="5"/>
      <c r="J2060" s="5"/>
      <c r="K2060" s="5"/>
    </row>
    <row r="2061" ht="16.5" customHeight="1" spans="4:11">
      <c r="D2061" s="180">
        <v>43201</v>
      </c>
      <c r="E2061" s="181">
        <v>10417.15</v>
      </c>
      <c r="F2061" s="5"/>
      <c r="J2061" s="5"/>
      <c r="K2061" s="5"/>
    </row>
    <row r="2062" ht="16.5" customHeight="1" spans="4:11">
      <c r="D2062" s="180">
        <v>43200</v>
      </c>
      <c r="E2062" s="181">
        <v>10402.25</v>
      </c>
      <c r="F2062" s="5"/>
      <c r="J2062" s="5"/>
      <c r="K2062" s="5"/>
    </row>
    <row r="2063" ht="16.5" customHeight="1" spans="4:11">
      <c r="D2063" s="180">
        <v>43199</v>
      </c>
      <c r="E2063" s="181">
        <v>10379.35</v>
      </c>
      <c r="F2063" s="5"/>
      <c r="J2063" s="5"/>
      <c r="K2063" s="5"/>
    </row>
    <row r="2064" ht="16.5" customHeight="1" spans="4:11">
      <c r="D2064" s="180">
        <v>43196</v>
      </c>
      <c r="E2064" s="181">
        <v>10331.6</v>
      </c>
      <c r="F2064" s="5"/>
      <c r="J2064" s="5"/>
      <c r="K2064" s="5"/>
    </row>
    <row r="2065" ht="16.5" customHeight="1" spans="4:11">
      <c r="D2065" s="180">
        <v>43195</v>
      </c>
      <c r="E2065" s="181">
        <v>10325.15</v>
      </c>
      <c r="F2065" s="5"/>
      <c r="J2065" s="5"/>
      <c r="K2065" s="5"/>
    </row>
    <row r="2066" ht="16.5" customHeight="1" spans="4:11">
      <c r="D2066" s="180">
        <v>43194</v>
      </c>
      <c r="E2066" s="181">
        <v>10128.4</v>
      </c>
      <c r="F2066" s="5"/>
      <c r="J2066" s="5"/>
      <c r="K2066" s="5"/>
    </row>
    <row r="2067" ht="16.5" customHeight="1" spans="4:11">
      <c r="D2067" s="180">
        <v>43193</v>
      </c>
      <c r="E2067" s="181">
        <v>10245</v>
      </c>
      <c r="F2067" s="5"/>
      <c r="J2067" s="5"/>
      <c r="K2067" s="5"/>
    </row>
    <row r="2068" ht="16.5" customHeight="1" spans="4:11">
      <c r="D2068" s="180">
        <v>43192</v>
      </c>
      <c r="E2068" s="181">
        <v>10211.8</v>
      </c>
      <c r="F2068" s="5"/>
      <c r="J2068" s="5"/>
      <c r="K2068" s="5"/>
    </row>
    <row r="2069" ht="16.5" customHeight="1" spans="4:11">
      <c r="D2069" s="180">
        <v>43187</v>
      </c>
      <c r="E2069" s="181">
        <v>10113.7</v>
      </c>
      <c r="F2069" s="5"/>
      <c r="J2069" s="5"/>
      <c r="K2069" s="5"/>
    </row>
    <row r="2070" ht="16.5" customHeight="1" spans="4:11">
      <c r="D2070" s="180">
        <v>43186</v>
      </c>
      <c r="E2070" s="181">
        <v>10184.15</v>
      </c>
      <c r="F2070" s="5"/>
      <c r="J2070" s="5"/>
      <c r="K2070" s="5"/>
    </row>
    <row r="2071" ht="16.5" customHeight="1" spans="4:11">
      <c r="D2071" s="180">
        <v>43185</v>
      </c>
      <c r="E2071" s="181">
        <v>10130.65</v>
      </c>
      <c r="F2071" s="5"/>
      <c r="J2071" s="5"/>
      <c r="K2071" s="5"/>
    </row>
    <row r="2072" ht="16.5" customHeight="1" spans="4:11">
      <c r="D2072" s="180">
        <v>43182</v>
      </c>
      <c r="E2072" s="181">
        <v>9998.05</v>
      </c>
      <c r="F2072" s="5"/>
      <c r="J2072" s="5"/>
      <c r="K2072" s="5"/>
    </row>
    <row r="2073" ht="16.5" customHeight="1" spans="4:11">
      <c r="D2073" s="180">
        <v>43181</v>
      </c>
      <c r="E2073" s="181">
        <v>10114.75</v>
      </c>
      <c r="F2073" s="5"/>
      <c r="J2073" s="5"/>
      <c r="K2073" s="5"/>
    </row>
    <row r="2074" ht="16.5" customHeight="1" spans="4:11">
      <c r="D2074" s="180">
        <v>43180</v>
      </c>
      <c r="E2074" s="181">
        <v>10155.25</v>
      </c>
      <c r="F2074" s="5"/>
      <c r="J2074" s="5"/>
      <c r="K2074" s="5"/>
    </row>
    <row r="2075" ht="16.5" customHeight="1" spans="4:11">
      <c r="D2075" s="180">
        <v>43179</v>
      </c>
      <c r="E2075" s="181">
        <v>10124.35</v>
      </c>
      <c r="F2075" s="5"/>
      <c r="J2075" s="5"/>
      <c r="K2075" s="5"/>
    </row>
    <row r="2076" ht="16.5" customHeight="1" spans="4:11">
      <c r="D2076" s="180">
        <v>43178</v>
      </c>
      <c r="E2076" s="181">
        <v>10094.25</v>
      </c>
      <c r="F2076" s="5"/>
      <c r="J2076" s="5"/>
      <c r="K2076" s="5"/>
    </row>
    <row r="2077" ht="16.5" customHeight="1" spans="4:11">
      <c r="D2077" s="180">
        <v>43175</v>
      </c>
      <c r="E2077" s="181">
        <v>10195.15</v>
      </c>
      <c r="F2077" s="5"/>
      <c r="J2077" s="5"/>
      <c r="K2077" s="5"/>
    </row>
    <row r="2078" ht="16.5" customHeight="1" spans="4:11">
      <c r="D2078" s="180">
        <v>43174</v>
      </c>
      <c r="E2078" s="181">
        <v>10360.15</v>
      </c>
      <c r="F2078" s="5"/>
      <c r="J2078" s="5"/>
      <c r="K2078" s="5"/>
    </row>
    <row r="2079" ht="16.5" customHeight="1" spans="4:11">
      <c r="D2079" s="180">
        <v>43173</v>
      </c>
      <c r="E2079" s="181">
        <v>10410.9</v>
      </c>
      <c r="F2079" s="5"/>
      <c r="J2079" s="5"/>
      <c r="K2079" s="5"/>
    </row>
    <row r="2080" ht="16.5" customHeight="1" spans="4:11">
      <c r="D2080" s="180">
        <v>43172</v>
      </c>
      <c r="E2080" s="181">
        <v>10426.85</v>
      </c>
      <c r="F2080" s="5"/>
      <c r="J2080" s="5"/>
      <c r="K2080" s="5"/>
    </row>
    <row r="2081" ht="16.5" customHeight="1" spans="4:11">
      <c r="D2081" s="180">
        <v>43171</v>
      </c>
      <c r="E2081" s="181">
        <v>10421.4</v>
      </c>
      <c r="F2081" s="5"/>
      <c r="J2081" s="5"/>
      <c r="K2081" s="5"/>
    </row>
    <row r="2082" ht="16.5" customHeight="1" spans="4:11">
      <c r="D2082" s="180">
        <v>43168</v>
      </c>
      <c r="E2082" s="181">
        <v>10226.85</v>
      </c>
      <c r="F2082" s="5"/>
      <c r="J2082" s="5"/>
      <c r="K2082" s="5"/>
    </row>
    <row r="2083" ht="16.5" customHeight="1" spans="4:11">
      <c r="D2083" s="180">
        <v>43167</v>
      </c>
      <c r="E2083" s="181">
        <v>10242.65</v>
      </c>
      <c r="F2083" s="5"/>
      <c r="J2083" s="5"/>
      <c r="K2083" s="5"/>
    </row>
    <row r="2084" ht="16.5" customHeight="1" spans="4:11">
      <c r="D2084" s="180">
        <v>43166</v>
      </c>
      <c r="E2084" s="181">
        <v>10154.2</v>
      </c>
      <c r="F2084" s="5"/>
      <c r="J2084" s="5"/>
      <c r="K2084" s="5"/>
    </row>
    <row r="2085" ht="16.5" customHeight="1" spans="4:11">
      <c r="D2085" s="180">
        <v>43165</v>
      </c>
      <c r="E2085" s="181">
        <v>10249.25</v>
      </c>
      <c r="F2085" s="5"/>
      <c r="J2085" s="5"/>
      <c r="K2085" s="5"/>
    </row>
    <row r="2086" ht="16.5" customHeight="1" spans="4:11">
      <c r="D2086" s="180">
        <v>43164</v>
      </c>
      <c r="E2086" s="181">
        <v>10358.85</v>
      </c>
      <c r="F2086" s="5"/>
      <c r="J2086" s="5"/>
      <c r="K2086" s="5"/>
    </row>
    <row r="2087" ht="16.5" customHeight="1" spans="4:11">
      <c r="D2087" s="180">
        <v>43160</v>
      </c>
      <c r="E2087" s="181">
        <v>10458.35</v>
      </c>
      <c r="F2087" s="5"/>
      <c r="J2087" s="5"/>
      <c r="K2087" s="5"/>
    </row>
    <row r="2088" ht="16.5" customHeight="1" spans="4:11">
      <c r="D2088" s="180">
        <v>43159</v>
      </c>
      <c r="E2088" s="181">
        <v>10492.85</v>
      </c>
      <c r="F2088" s="5"/>
      <c r="J2088" s="5"/>
      <c r="K2088" s="5"/>
    </row>
    <row r="2089" ht="16.5" customHeight="1" spans="4:11">
      <c r="D2089" s="180">
        <v>43158</v>
      </c>
      <c r="E2089" s="181">
        <v>10554.3</v>
      </c>
      <c r="F2089" s="5"/>
      <c r="J2089" s="5"/>
      <c r="K2089" s="5"/>
    </row>
    <row r="2090" ht="16.5" customHeight="1" spans="4:11">
      <c r="D2090" s="180">
        <v>43157</v>
      </c>
      <c r="E2090" s="181">
        <v>10582.6</v>
      </c>
      <c r="F2090" s="5"/>
      <c r="J2090" s="5"/>
      <c r="K2090" s="5"/>
    </row>
    <row r="2091" ht="16.5" customHeight="1" spans="4:11">
      <c r="D2091" s="180">
        <v>43154</v>
      </c>
      <c r="E2091" s="181">
        <v>10491.05</v>
      </c>
      <c r="F2091" s="5"/>
      <c r="J2091" s="5"/>
      <c r="K2091" s="5"/>
    </row>
    <row r="2092" ht="16.5" customHeight="1" spans="4:11">
      <c r="D2092" s="180">
        <v>43153</v>
      </c>
      <c r="E2092" s="181">
        <v>10382.7</v>
      </c>
      <c r="F2092" s="5"/>
      <c r="J2092" s="5"/>
      <c r="K2092" s="5"/>
    </row>
    <row r="2093" ht="16.5" customHeight="1" spans="4:11">
      <c r="D2093" s="180">
        <v>43152</v>
      </c>
      <c r="E2093" s="181">
        <v>10397.45</v>
      </c>
      <c r="F2093" s="5"/>
      <c r="J2093" s="5"/>
      <c r="K2093" s="5"/>
    </row>
    <row r="2094" ht="16.5" customHeight="1" spans="4:11">
      <c r="D2094" s="180">
        <v>43151</v>
      </c>
      <c r="E2094" s="181">
        <v>10360.4</v>
      </c>
      <c r="F2094" s="5"/>
      <c r="J2094" s="5"/>
      <c r="K2094" s="5"/>
    </row>
    <row r="2095" ht="16.5" customHeight="1" spans="4:11">
      <c r="D2095" s="180">
        <v>43150</v>
      </c>
      <c r="E2095" s="181">
        <v>10378.4</v>
      </c>
      <c r="F2095" s="5"/>
      <c r="J2095" s="5"/>
      <c r="K2095" s="5"/>
    </row>
    <row r="2096" ht="16.5" customHeight="1" spans="4:11">
      <c r="D2096" s="180">
        <v>43147</v>
      </c>
      <c r="E2096" s="181">
        <v>10452.3</v>
      </c>
      <c r="F2096" s="5"/>
      <c r="J2096" s="5"/>
      <c r="K2096" s="5"/>
    </row>
    <row r="2097" ht="16.5" customHeight="1" spans="4:11">
      <c r="D2097" s="180">
        <v>43146</v>
      </c>
      <c r="E2097" s="181">
        <v>10545.5</v>
      </c>
      <c r="F2097" s="5"/>
      <c r="J2097" s="5"/>
      <c r="K2097" s="5"/>
    </row>
    <row r="2098" ht="16.5" customHeight="1" spans="4:11">
      <c r="D2098" s="180">
        <v>43145</v>
      </c>
      <c r="E2098" s="181">
        <v>10500.9</v>
      </c>
      <c r="F2098" s="5"/>
      <c r="J2098" s="5"/>
      <c r="K2098" s="5"/>
    </row>
    <row r="2099" ht="16.5" customHeight="1" spans="4:11">
      <c r="D2099" s="180">
        <v>43143</v>
      </c>
      <c r="E2099" s="181">
        <v>10539.75</v>
      </c>
      <c r="F2099" s="5"/>
      <c r="J2099" s="5"/>
      <c r="K2099" s="5"/>
    </row>
    <row r="2100" ht="16.5" customHeight="1" spans="4:11">
      <c r="D2100" s="180">
        <v>43140</v>
      </c>
      <c r="E2100" s="181">
        <v>10454.95</v>
      </c>
      <c r="F2100" s="5"/>
      <c r="J2100" s="5"/>
      <c r="K2100" s="5"/>
    </row>
    <row r="2101" ht="16.5" customHeight="1" spans="4:11">
      <c r="D2101" s="180">
        <v>43139</v>
      </c>
      <c r="E2101" s="181">
        <v>10576.85</v>
      </c>
      <c r="F2101" s="5"/>
      <c r="J2101" s="5"/>
      <c r="K2101" s="5"/>
    </row>
    <row r="2102" ht="16.5" customHeight="1" spans="4:11">
      <c r="D2102" s="180">
        <v>43138</v>
      </c>
      <c r="E2102" s="181">
        <v>10476.7</v>
      </c>
      <c r="F2102" s="5"/>
      <c r="J2102" s="5"/>
      <c r="K2102" s="5"/>
    </row>
    <row r="2103" ht="16.5" customHeight="1" spans="4:11">
      <c r="D2103" s="180">
        <v>43137</v>
      </c>
      <c r="E2103" s="181">
        <v>10498.25</v>
      </c>
      <c r="F2103" s="5"/>
      <c r="J2103" s="5"/>
      <c r="K2103" s="5"/>
    </row>
    <row r="2104" ht="16.5" customHeight="1" spans="4:11">
      <c r="D2104" s="180">
        <v>43136</v>
      </c>
      <c r="E2104" s="181">
        <v>10666.55</v>
      </c>
      <c r="F2104" s="5"/>
      <c r="J2104" s="5"/>
      <c r="K2104" s="5"/>
    </row>
    <row r="2105" ht="16.5" customHeight="1" spans="4:11">
      <c r="D2105" s="180">
        <v>43133</v>
      </c>
      <c r="E2105" s="181">
        <v>10760.6</v>
      </c>
      <c r="F2105" s="5"/>
      <c r="J2105" s="5"/>
      <c r="K2105" s="5"/>
    </row>
    <row r="2106" ht="16.5" customHeight="1" spans="4:11">
      <c r="D2106" s="180">
        <v>43132</v>
      </c>
      <c r="E2106" s="181">
        <v>11016.9</v>
      </c>
      <c r="F2106" s="5"/>
      <c r="J2106" s="5"/>
      <c r="K2106" s="5"/>
    </row>
    <row r="2107" ht="16.5" customHeight="1" spans="4:11">
      <c r="D2107" s="180">
        <v>43131</v>
      </c>
      <c r="E2107" s="181">
        <v>11027.7</v>
      </c>
      <c r="F2107" s="5"/>
      <c r="J2107" s="5"/>
      <c r="K2107" s="5"/>
    </row>
    <row r="2108" ht="16.5" customHeight="1" spans="4:11">
      <c r="D2108" s="180">
        <v>43130</v>
      </c>
      <c r="E2108" s="181">
        <v>11049.65</v>
      </c>
      <c r="F2108" s="5"/>
      <c r="J2108" s="5"/>
      <c r="K2108" s="5"/>
    </row>
    <row r="2109" ht="16.5" customHeight="1" spans="4:11">
      <c r="D2109" s="180">
        <v>43129</v>
      </c>
      <c r="E2109" s="181">
        <v>11130.4</v>
      </c>
      <c r="F2109" s="5"/>
      <c r="J2109" s="5"/>
      <c r="K2109" s="5"/>
    </row>
    <row r="2110" ht="16.5" customHeight="1" spans="4:11">
      <c r="D2110" s="180">
        <v>43125</v>
      </c>
      <c r="E2110" s="181">
        <v>11069.65</v>
      </c>
      <c r="F2110" s="5"/>
      <c r="J2110" s="5"/>
      <c r="K2110" s="5"/>
    </row>
    <row r="2111" ht="16.5" customHeight="1" spans="4:11">
      <c r="D2111" s="180">
        <v>43124</v>
      </c>
      <c r="E2111" s="181">
        <v>11086</v>
      </c>
      <c r="F2111" s="5"/>
      <c r="J2111" s="5"/>
      <c r="K2111" s="5"/>
    </row>
    <row r="2112" ht="16.5" customHeight="1" spans="4:11">
      <c r="D2112" s="180">
        <v>43123</v>
      </c>
      <c r="E2112" s="181">
        <v>11083.7</v>
      </c>
      <c r="F2112" s="5"/>
      <c r="J2112" s="5"/>
      <c r="K2112" s="5"/>
    </row>
    <row r="2113" ht="16.5" customHeight="1" spans="4:11">
      <c r="D2113" s="180">
        <v>43122</v>
      </c>
      <c r="E2113" s="181">
        <v>10966.2</v>
      </c>
      <c r="F2113" s="5"/>
      <c r="J2113" s="5"/>
      <c r="K2113" s="5"/>
    </row>
    <row r="2114" ht="16.5" customHeight="1" spans="4:11">
      <c r="D2114" s="180">
        <v>43119</v>
      </c>
      <c r="E2114" s="181">
        <v>10894.7</v>
      </c>
      <c r="F2114" s="5"/>
      <c r="J2114" s="5"/>
      <c r="K2114" s="5"/>
    </row>
    <row r="2115" ht="16.5" customHeight="1" spans="4:11">
      <c r="D2115" s="180">
        <v>43118</v>
      </c>
      <c r="E2115" s="181">
        <v>10817</v>
      </c>
      <c r="F2115" s="5"/>
      <c r="J2115" s="5"/>
      <c r="K2115" s="5"/>
    </row>
    <row r="2116" ht="16.5" customHeight="1" spans="4:11">
      <c r="D2116" s="180">
        <v>43117</v>
      </c>
      <c r="E2116" s="181">
        <v>10788.55</v>
      </c>
      <c r="F2116" s="5"/>
      <c r="J2116" s="5"/>
      <c r="K2116" s="5"/>
    </row>
    <row r="2117" ht="16.5" customHeight="1" spans="4:11">
      <c r="D2117" s="180">
        <v>43116</v>
      </c>
      <c r="E2117" s="181">
        <v>10700.45</v>
      </c>
      <c r="F2117" s="5"/>
      <c r="J2117" s="5"/>
      <c r="K2117" s="5"/>
    </row>
    <row r="2118" ht="16.5" customHeight="1" spans="4:11">
      <c r="D2118" s="180">
        <v>43115</v>
      </c>
      <c r="E2118" s="181">
        <v>10741.55</v>
      </c>
      <c r="F2118" s="5"/>
      <c r="J2118" s="5"/>
      <c r="K2118" s="5"/>
    </row>
    <row r="2119" ht="16.5" customHeight="1" spans="4:11">
      <c r="D2119" s="180">
        <v>43112</v>
      </c>
      <c r="E2119" s="181">
        <v>10681.25</v>
      </c>
      <c r="F2119" s="5"/>
      <c r="J2119" s="5"/>
      <c r="K2119" s="5"/>
    </row>
    <row r="2120" ht="16.5" customHeight="1" spans="4:11">
      <c r="D2120" s="180">
        <v>43111</v>
      </c>
      <c r="E2120" s="181">
        <v>10651.2</v>
      </c>
      <c r="F2120" s="5"/>
      <c r="J2120" s="5"/>
      <c r="K2120" s="5"/>
    </row>
    <row r="2121" ht="16.5" customHeight="1" spans="4:11">
      <c r="D2121" s="180">
        <v>43110</v>
      </c>
      <c r="E2121" s="181">
        <v>10632.2</v>
      </c>
      <c r="F2121" s="5"/>
      <c r="J2121" s="5"/>
      <c r="K2121" s="5"/>
    </row>
    <row r="2122" ht="16.5" customHeight="1" spans="4:11">
      <c r="D2122" s="180">
        <v>43109</v>
      </c>
      <c r="E2122" s="181">
        <v>10637</v>
      </c>
      <c r="F2122" s="5"/>
      <c r="J2122" s="5"/>
      <c r="K2122" s="5"/>
    </row>
    <row r="2123" ht="16.5" customHeight="1" spans="4:11">
      <c r="D2123" s="180">
        <v>43108</v>
      </c>
      <c r="E2123" s="181">
        <v>10623.6</v>
      </c>
      <c r="F2123" s="5"/>
      <c r="J2123" s="5"/>
      <c r="K2123" s="5"/>
    </row>
    <row r="2124" ht="16.5" customHeight="1" spans="4:11">
      <c r="D2124" s="180">
        <v>43105</v>
      </c>
      <c r="E2124" s="181">
        <v>10558.85</v>
      </c>
      <c r="F2124" s="5"/>
      <c r="J2124" s="5"/>
      <c r="K2124" s="5"/>
    </row>
    <row r="2125" ht="16.5" customHeight="1" spans="4:11">
      <c r="D2125" s="180">
        <v>43104</v>
      </c>
      <c r="E2125" s="181">
        <v>10504.8</v>
      </c>
      <c r="F2125" s="5"/>
      <c r="J2125" s="5"/>
      <c r="K2125" s="5"/>
    </row>
    <row r="2126" ht="16.5" customHeight="1" spans="4:11">
      <c r="D2126" s="180">
        <v>43103</v>
      </c>
      <c r="E2126" s="181">
        <v>10443.2</v>
      </c>
      <c r="F2126" s="5"/>
      <c r="J2126" s="5"/>
      <c r="K2126" s="5"/>
    </row>
    <row r="2127" ht="16.5" customHeight="1" spans="4:11">
      <c r="D2127" s="180">
        <v>43102</v>
      </c>
      <c r="E2127" s="181">
        <v>10442.2</v>
      </c>
      <c r="F2127" s="5"/>
      <c r="J2127" s="5"/>
      <c r="K2127" s="5"/>
    </row>
    <row r="2128" ht="16.5" customHeight="1" spans="4:11">
      <c r="D2128" s="180">
        <v>43101</v>
      </c>
      <c r="E2128" s="181">
        <v>10435.55</v>
      </c>
      <c r="F2128" s="5"/>
      <c r="J2128" s="5"/>
      <c r="K2128" s="5"/>
    </row>
    <row r="2129" ht="16.5" customHeight="1" spans="4:11">
      <c r="D2129" s="180">
        <v>43098</v>
      </c>
      <c r="E2129" s="181">
        <v>10530.7</v>
      </c>
      <c r="F2129" s="5"/>
      <c r="J2129" s="5"/>
      <c r="K2129" s="5"/>
    </row>
    <row r="2130" ht="16.5" customHeight="1" spans="4:11">
      <c r="D2130" s="180">
        <v>43097</v>
      </c>
      <c r="E2130" s="181">
        <v>10477.9</v>
      </c>
      <c r="F2130" s="5"/>
      <c r="J2130" s="5"/>
      <c r="K2130" s="5"/>
    </row>
    <row r="2131" ht="16.5" customHeight="1" spans="4:11">
      <c r="D2131" s="180">
        <v>43096</v>
      </c>
      <c r="E2131" s="181">
        <v>10490.75</v>
      </c>
      <c r="F2131" s="5"/>
      <c r="J2131" s="5"/>
      <c r="K2131" s="5"/>
    </row>
    <row r="2132" ht="16.5" customHeight="1" spans="4:11">
      <c r="D2132" s="180">
        <v>43095</v>
      </c>
      <c r="E2132" s="181">
        <v>10531.5</v>
      </c>
      <c r="F2132" s="5"/>
      <c r="J2132" s="5"/>
      <c r="K2132" s="5"/>
    </row>
    <row r="2133" ht="16.5" customHeight="1" spans="4:11">
      <c r="D2133" s="180">
        <v>43091</v>
      </c>
      <c r="E2133" s="181">
        <v>10493</v>
      </c>
      <c r="F2133" s="5"/>
      <c r="J2133" s="5"/>
      <c r="K2133" s="5"/>
    </row>
    <row r="2134" ht="16.5" customHeight="1" spans="4:11">
      <c r="D2134" s="180">
        <v>43090</v>
      </c>
      <c r="E2134" s="181">
        <v>10440.3</v>
      </c>
      <c r="F2134" s="5"/>
      <c r="J2134" s="5"/>
      <c r="K2134" s="5"/>
    </row>
    <row r="2135" ht="16.5" customHeight="1" spans="4:11">
      <c r="D2135" s="180">
        <v>43089</v>
      </c>
      <c r="E2135" s="181">
        <v>10444.2</v>
      </c>
      <c r="F2135" s="5"/>
      <c r="J2135" s="5"/>
      <c r="K2135" s="5"/>
    </row>
    <row r="2136" ht="16.5" customHeight="1" spans="4:11">
      <c r="D2136" s="180">
        <v>43088</v>
      </c>
      <c r="E2136" s="181">
        <v>10463.2</v>
      </c>
      <c r="F2136" s="5"/>
      <c r="J2136" s="5"/>
      <c r="K2136" s="5"/>
    </row>
    <row r="2137" ht="16.5" customHeight="1" spans="4:11">
      <c r="D2137" s="180">
        <v>43087</v>
      </c>
      <c r="E2137" s="181">
        <v>10388.75</v>
      </c>
      <c r="F2137" s="5"/>
      <c r="J2137" s="5"/>
      <c r="K2137" s="5"/>
    </row>
    <row r="2138" ht="16.5" customHeight="1" spans="4:11">
      <c r="D2138" s="180">
        <v>43084</v>
      </c>
      <c r="E2138" s="181">
        <v>10333.25</v>
      </c>
      <c r="F2138" s="5"/>
      <c r="J2138" s="5"/>
      <c r="K2138" s="5"/>
    </row>
    <row r="2139" ht="16.5" customHeight="1" spans="4:11">
      <c r="D2139" s="180">
        <v>43083</v>
      </c>
      <c r="E2139" s="181">
        <v>10252.1</v>
      </c>
      <c r="F2139" s="5"/>
      <c r="J2139" s="5"/>
      <c r="K2139" s="5"/>
    </row>
    <row r="2140" ht="16.5" customHeight="1" spans="4:11">
      <c r="D2140" s="180">
        <v>43082</v>
      </c>
      <c r="E2140" s="181">
        <v>10192.95</v>
      </c>
      <c r="F2140" s="5"/>
      <c r="J2140" s="5"/>
      <c r="K2140" s="5"/>
    </row>
    <row r="2141" ht="16.5" customHeight="1" spans="4:11">
      <c r="D2141" s="180">
        <v>43081</v>
      </c>
      <c r="E2141" s="181">
        <v>10240.15</v>
      </c>
      <c r="F2141" s="5"/>
      <c r="J2141" s="5"/>
      <c r="K2141" s="5"/>
    </row>
    <row r="2142" ht="16.5" customHeight="1" spans="4:11">
      <c r="D2142" s="180">
        <v>43080</v>
      </c>
      <c r="E2142" s="181">
        <v>10322.25</v>
      </c>
      <c r="F2142" s="5"/>
      <c r="J2142" s="5"/>
      <c r="K2142" s="5"/>
    </row>
    <row r="2143" ht="16.5" customHeight="1" spans="4:11">
      <c r="D2143" s="180">
        <v>43077</v>
      </c>
      <c r="E2143" s="181">
        <v>10265.65</v>
      </c>
      <c r="F2143" s="5"/>
      <c r="J2143" s="5"/>
      <c r="K2143" s="5"/>
    </row>
    <row r="2144" ht="16.5" customHeight="1" spans="4:11">
      <c r="D2144" s="180">
        <v>43076</v>
      </c>
      <c r="E2144" s="181">
        <v>10166.7</v>
      </c>
      <c r="F2144" s="5"/>
      <c r="J2144" s="5"/>
      <c r="K2144" s="5"/>
    </row>
    <row r="2145" ht="16.5" customHeight="1" spans="4:11">
      <c r="D2145" s="180">
        <v>43075</v>
      </c>
      <c r="E2145" s="181">
        <v>10044.1</v>
      </c>
      <c r="F2145" s="5"/>
      <c r="J2145" s="5"/>
      <c r="K2145" s="5"/>
    </row>
    <row r="2146" ht="16.5" customHeight="1" spans="4:11">
      <c r="D2146" s="180">
        <v>43074</v>
      </c>
      <c r="E2146" s="181">
        <v>10118.25</v>
      </c>
      <c r="F2146" s="5"/>
      <c r="J2146" s="5"/>
      <c r="K2146" s="5"/>
    </row>
    <row r="2147" ht="16.5" customHeight="1" spans="4:11">
      <c r="D2147" s="180">
        <v>43073</v>
      </c>
      <c r="E2147" s="181">
        <v>10127.75</v>
      </c>
      <c r="F2147" s="5"/>
      <c r="J2147" s="5"/>
      <c r="K2147" s="5"/>
    </row>
    <row r="2148" ht="16.5" customHeight="1" spans="4:11">
      <c r="D2148" s="180">
        <v>43070</v>
      </c>
      <c r="E2148" s="181">
        <v>10121.8</v>
      </c>
      <c r="F2148" s="5"/>
      <c r="J2148" s="5"/>
      <c r="K2148" s="5"/>
    </row>
    <row r="2149" ht="16.5" customHeight="1" spans="4:11">
      <c r="D2149" s="180">
        <v>43069</v>
      </c>
      <c r="E2149" s="181">
        <v>10226.55</v>
      </c>
      <c r="F2149" s="5"/>
      <c r="J2149" s="5"/>
      <c r="K2149" s="5"/>
    </row>
    <row r="2150" ht="16.5" customHeight="1" spans="4:11">
      <c r="D2150" s="180">
        <v>43068</v>
      </c>
      <c r="E2150" s="181">
        <v>10361.3</v>
      </c>
      <c r="F2150" s="5"/>
      <c r="J2150" s="5"/>
      <c r="K2150" s="5"/>
    </row>
    <row r="2151" ht="16.5" customHeight="1" spans="4:11">
      <c r="D2151" s="180">
        <v>43067</v>
      </c>
      <c r="E2151" s="181">
        <v>10370.25</v>
      </c>
      <c r="F2151" s="5"/>
      <c r="J2151" s="5"/>
      <c r="K2151" s="5"/>
    </row>
    <row r="2152" ht="16.5" customHeight="1" spans="4:11">
      <c r="D2152" s="180">
        <v>43066</v>
      </c>
      <c r="E2152" s="181">
        <v>10399.55</v>
      </c>
      <c r="F2152" s="5"/>
      <c r="J2152" s="5"/>
      <c r="K2152" s="5"/>
    </row>
    <row r="2153" ht="16.5" customHeight="1" spans="4:11">
      <c r="D2153" s="180">
        <v>43063</v>
      </c>
      <c r="E2153" s="181">
        <v>10389.7</v>
      </c>
      <c r="F2153" s="5"/>
      <c r="J2153" s="5"/>
      <c r="K2153" s="5"/>
    </row>
    <row r="2154" ht="16.5" customHeight="1" spans="4:11">
      <c r="D2154" s="180">
        <v>43062</v>
      </c>
      <c r="E2154" s="181">
        <v>10348.75</v>
      </c>
      <c r="F2154" s="5"/>
      <c r="J2154" s="5"/>
      <c r="K2154" s="5"/>
    </row>
    <row r="2155" ht="16.5" customHeight="1" spans="4:11">
      <c r="D2155" s="180">
        <v>43061</v>
      </c>
      <c r="E2155" s="181">
        <v>10342.3</v>
      </c>
      <c r="F2155" s="5"/>
      <c r="J2155" s="5"/>
      <c r="K2155" s="5"/>
    </row>
    <row r="2156" ht="16.5" customHeight="1" spans="4:11">
      <c r="D2156" s="180">
        <v>43060</v>
      </c>
      <c r="E2156" s="181">
        <v>10326.9</v>
      </c>
      <c r="F2156" s="5"/>
      <c r="J2156" s="5"/>
      <c r="K2156" s="5"/>
    </row>
    <row r="2157" ht="16.5" customHeight="1" spans="4:11">
      <c r="D2157" s="180">
        <v>43059</v>
      </c>
      <c r="E2157" s="181">
        <v>10298.75</v>
      </c>
      <c r="F2157" s="5"/>
      <c r="J2157" s="5"/>
      <c r="K2157" s="5"/>
    </row>
    <row r="2158" ht="16.5" customHeight="1" spans="4:11">
      <c r="D2158" s="180">
        <v>43056</v>
      </c>
      <c r="E2158" s="181">
        <v>10283.6</v>
      </c>
      <c r="F2158" s="5"/>
      <c r="J2158" s="5"/>
      <c r="K2158" s="5"/>
    </row>
    <row r="2159" ht="16.5" customHeight="1" spans="4:11">
      <c r="D2159" s="180">
        <v>43055</v>
      </c>
      <c r="E2159" s="181">
        <v>10214.75</v>
      </c>
      <c r="F2159" s="5"/>
      <c r="J2159" s="5"/>
      <c r="K2159" s="5"/>
    </row>
    <row r="2160" ht="16.5" customHeight="1" spans="4:11">
      <c r="D2160" s="180">
        <v>43054</v>
      </c>
      <c r="E2160" s="181">
        <v>10118.05</v>
      </c>
      <c r="F2160" s="5"/>
      <c r="J2160" s="5"/>
      <c r="K2160" s="5"/>
    </row>
    <row r="2161" ht="16.5" customHeight="1" spans="4:11">
      <c r="D2161" s="180">
        <v>43053</v>
      </c>
      <c r="E2161" s="181">
        <v>10186.6</v>
      </c>
      <c r="F2161" s="5"/>
      <c r="J2161" s="5"/>
      <c r="K2161" s="5"/>
    </row>
    <row r="2162" ht="16.5" customHeight="1" spans="4:11">
      <c r="D2162" s="180">
        <v>43052</v>
      </c>
      <c r="E2162" s="181">
        <v>10224.95</v>
      </c>
      <c r="F2162" s="5"/>
      <c r="J2162" s="5"/>
      <c r="K2162" s="5"/>
    </row>
    <row r="2163" ht="16.5" customHeight="1" spans="4:11">
      <c r="D2163" s="180">
        <v>43049</v>
      </c>
      <c r="E2163" s="181">
        <v>10321.75</v>
      </c>
      <c r="F2163" s="5"/>
      <c r="J2163" s="5"/>
      <c r="K2163" s="5"/>
    </row>
    <row r="2164" ht="16.5" customHeight="1" spans="4:11">
      <c r="D2164" s="180">
        <v>43048</v>
      </c>
      <c r="E2164" s="181">
        <v>10308.95</v>
      </c>
      <c r="F2164" s="5"/>
      <c r="J2164" s="5"/>
      <c r="K2164" s="5"/>
    </row>
    <row r="2165" ht="16.5" customHeight="1" spans="4:11">
      <c r="D2165" s="180">
        <v>43047</v>
      </c>
      <c r="E2165" s="181">
        <v>10303.15</v>
      </c>
      <c r="F2165" s="5"/>
      <c r="J2165" s="5"/>
      <c r="K2165" s="5"/>
    </row>
    <row r="2166" ht="16.5" customHeight="1" spans="4:11">
      <c r="D2166" s="180">
        <v>43046</v>
      </c>
      <c r="E2166" s="181">
        <v>10350.15</v>
      </c>
      <c r="F2166" s="5"/>
      <c r="J2166" s="5"/>
      <c r="K2166" s="5"/>
    </row>
    <row r="2167" ht="16.5" customHeight="1" spans="4:11">
      <c r="D2167" s="180">
        <v>43045</v>
      </c>
      <c r="E2167" s="181">
        <v>10451.8</v>
      </c>
      <c r="F2167" s="5"/>
      <c r="J2167" s="5"/>
      <c r="K2167" s="5"/>
    </row>
    <row r="2168" ht="16.5" customHeight="1" spans="4:11">
      <c r="D2168" s="180">
        <v>43042</v>
      </c>
      <c r="E2168" s="181">
        <v>10452.5</v>
      </c>
      <c r="F2168" s="5"/>
      <c r="J2168" s="5"/>
      <c r="K2168" s="5"/>
    </row>
    <row r="2169" ht="16.5" customHeight="1" spans="4:11">
      <c r="D2169" s="180">
        <v>43041</v>
      </c>
      <c r="E2169" s="181">
        <v>10423.8</v>
      </c>
      <c r="F2169" s="5"/>
      <c r="J2169" s="5"/>
      <c r="K2169" s="5"/>
    </row>
    <row r="2170" ht="16.5" customHeight="1" spans="4:11">
      <c r="D2170" s="180">
        <v>43040</v>
      </c>
      <c r="E2170" s="181">
        <v>10440.5</v>
      </c>
      <c r="F2170" s="5"/>
      <c r="J2170" s="5"/>
      <c r="K2170" s="5"/>
    </row>
    <row r="2171" ht="16.5" customHeight="1" spans="4:11">
      <c r="D2171" s="180">
        <v>43039</v>
      </c>
      <c r="E2171" s="181">
        <v>10335.3</v>
      </c>
      <c r="F2171" s="5"/>
      <c r="J2171" s="5"/>
      <c r="K2171" s="5"/>
    </row>
    <row r="2172" ht="16.5" customHeight="1" spans="4:11">
      <c r="D2172" s="180">
        <v>43038</v>
      </c>
      <c r="E2172" s="181">
        <v>10363.65</v>
      </c>
      <c r="F2172" s="5"/>
      <c r="J2172" s="5"/>
      <c r="K2172" s="5"/>
    </row>
    <row r="2173" ht="16.5" customHeight="1" spans="4:11">
      <c r="D2173" s="180">
        <v>43035</v>
      </c>
      <c r="E2173" s="181">
        <v>10323.05</v>
      </c>
      <c r="F2173" s="5"/>
      <c r="J2173" s="5"/>
      <c r="K2173" s="5"/>
    </row>
    <row r="2174" ht="16.5" customHeight="1" spans="4:11">
      <c r="D2174" s="180">
        <v>43034</v>
      </c>
      <c r="E2174" s="181">
        <v>10343.8</v>
      </c>
      <c r="F2174" s="5"/>
      <c r="J2174" s="5"/>
      <c r="K2174" s="5"/>
    </row>
    <row r="2175" ht="16.5" customHeight="1" spans="4:11">
      <c r="D2175" s="180">
        <v>43033</v>
      </c>
      <c r="E2175" s="181">
        <v>10295.35</v>
      </c>
      <c r="F2175" s="5"/>
      <c r="J2175" s="5"/>
      <c r="K2175" s="5"/>
    </row>
    <row r="2176" ht="16.5" customHeight="1" spans="4:11">
      <c r="D2176" s="180">
        <v>43032</v>
      </c>
      <c r="E2176" s="181">
        <v>10207.7</v>
      </c>
      <c r="F2176" s="5"/>
      <c r="J2176" s="5"/>
      <c r="K2176" s="5"/>
    </row>
    <row r="2177" ht="16.5" customHeight="1" spans="4:11">
      <c r="D2177" s="180">
        <v>43031</v>
      </c>
      <c r="E2177" s="181">
        <v>10184.85</v>
      </c>
      <c r="F2177" s="5"/>
      <c r="J2177" s="5"/>
      <c r="K2177" s="5"/>
    </row>
    <row r="2178" ht="16.5" customHeight="1" spans="4:11">
      <c r="D2178" s="180">
        <v>43027</v>
      </c>
      <c r="E2178" s="181">
        <v>10146.55</v>
      </c>
      <c r="F2178" s="5"/>
      <c r="J2178" s="5"/>
      <c r="K2178" s="5"/>
    </row>
    <row r="2179" ht="16.5" customHeight="1" spans="4:11">
      <c r="D2179" s="180">
        <v>43026</v>
      </c>
      <c r="E2179" s="181">
        <v>10210.85</v>
      </c>
      <c r="F2179" s="5"/>
      <c r="J2179" s="5"/>
      <c r="K2179" s="5"/>
    </row>
    <row r="2180" ht="16.5" customHeight="1" spans="4:11">
      <c r="D2180" s="180">
        <v>43025</v>
      </c>
      <c r="E2180" s="181">
        <v>10234.45</v>
      </c>
      <c r="F2180" s="5"/>
      <c r="J2180" s="5"/>
      <c r="K2180" s="5"/>
    </row>
    <row r="2181" ht="16.5" customHeight="1" spans="4:11">
      <c r="D2181" s="180">
        <v>43024</v>
      </c>
      <c r="E2181" s="181">
        <v>10230.85</v>
      </c>
      <c r="F2181" s="5"/>
      <c r="J2181" s="5"/>
      <c r="K2181" s="5"/>
    </row>
    <row r="2182" ht="16.5" customHeight="1" spans="4:11">
      <c r="D2182" s="180">
        <v>43021</v>
      </c>
      <c r="E2182" s="181">
        <v>10167.45</v>
      </c>
      <c r="F2182" s="5"/>
      <c r="J2182" s="5"/>
      <c r="K2182" s="5"/>
    </row>
    <row r="2183" ht="16.5" customHeight="1" spans="4:11">
      <c r="D2183" s="180">
        <v>43020</v>
      </c>
      <c r="E2183" s="181">
        <v>10096.4</v>
      </c>
      <c r="F2183" s="5"/>
      <c r="J2183" s="5"/>
      <c r="K2183" s="5"/>
    </row>
    <row r="2184" ht="16.5" customHeight="1" spans="4:11">
      <c r="D2184" s="180">
        <v>43019</v>
      </c>
      <c r="E2184" s="181">
        <v>9984.8</v>
      </c>
      <c r="F2184" s="5"/>
      <c r="J2184" s="5"/>
      <c r="K2184" s="5"/>
    </row>
    <row r="2185" ht="16.5" customHeight="1" spans="4:11">
      <c r="D2185" s="180">
        <v>43018</v>
      </c>
      <c r="E2185" s="181">
        <v>10016.95</v>
      </c>
      <c r="F2185" s="5"/>
      <c r="J2185" s="5"/>
      <c r="K2185" s="5"/>
    </row>
    <row r="2186" ht="16.5" customHeight="1" spans="4:11">
      <c r="D2186" s="180">
        <v>43017</v>
      </c>
      <c r="E2186" s="181">
        <v>9988.75</v>
      </c>
      <c r="F2186" s="5"/>
      <c r="J2186" s="5"/>
      <c r="K2186" s="5"/>
    </row>
    <row r="2187" ht="16.5" customHeight="1" spans="4:11">
      <c r="D2187" s="180">
        <v>43014</v>
      </c>
      <c r="E2187" s="181">
        <v>9979.7</v>
      </c>
      <c r="F2187" s="5"/>
      <c r="J2187" s="5"/>
      <c r="K2187" s="5"/>
    </row>
    <row r="2188" ht="16.5" customHeight="1" spans="4:11">
      <c r="D2188" s="180">
        <v>43013</v>
      </c>
      <c r="E2188" s="181">
        <v>9888.7</v>
      </c>
      <c r="F2188" s="5"/>
      <c r="J2188" s="5"/>
      <c r="K2188" s="5"/>
    </row>
    <row r="2189" ht="16.5" customHeight="1" spans="4:11">
      <c r="D2189" s="180">
        <v>43012</v>
      </c>
      <c r="E2189" s="181">
        <v>9914.9</v>
      </c>
      <c r="F2189" s="5"/>
      <c r="J2189" s="5"/>
      <c r="K2189" s="5"/>
    </row>
    <row r="2190" ht="16.5" customHeight="1" spans="4:11">
      <c r="D2190" s="180">
        <v>43011</v>
      </c>
      <c r="E2190" s="181">
        <v>9859.5</v>
      </c>
      <c r="F2190" s="5"/>
      <c r="J2190" s="5"/>
      <c r="K2190" s="5"/>
    </row>
    <row r="2191" ht="16.5" customHeight="1" spans="4:11">
      <c r="D2191" s="180">
        <v>43007</v>
      </c>
      <c r="E2191" s="181">
        <v>9788.6</v>
      </c>
      <c r="F2191" s="5"/>
      <c r="J2191" s="5"/>
      <c r="K2191" s="5"/>
    </row>
    <row r="2192" ht="16.5" customHeight="1" spans="4:11">
      <c r="D2192" s="180">
        <v>43006</v>
      </c>
      <c r="E2192" s="181">
        <v>9768.95</v>
      </c>
      <c r="F2192" s="5"/>
      <c r="J2192" s="5"/>
      <c r="K2192" s="5"/>
    </row>
    <row r="2193" ht="16.5" customHeight="1" spans="4:11">
      <c r="D2193" s="180">
        <v>43005</v>
      </c>
      <c r="E2193" s="181">
        <v>9735.75</v>
      </c>
      <c r="F2193" s="5"/>
      <c r="J2193" s="5"/>
      <c r="K2193" s="5"/>
    </row>
    <row r="2194" ht="16.5" customHeight="1" spans="4:11">
      <c r="D2194" s="180">
        <v>43004</v>
      </c>
      <c r="E2194" s="181">
        <v>9871.5</v>
      </c>
      <c r="F2194" s="5"/>
      <c r="J2194" s="5"/>
      <c r="K2194" s="5"/>
    </row>
    <row r="2195" ht="16.5" customHeight="1" spans="4:11">
      <c r="D2195" s="180">
        <v>43003</v>
      </c>
      <c r="E2195" s="181">
        <v>9872.6</v>
      </c>
      <c r="F2195" s="5"/>
      <c r="J2195" s="5"/>
      <c r="K2195" s="5"/>
    </row>
    <row r="2196" ht="16.5" customHeight="1" spans="4:11">
      <c r="D2196" s="180">
        <v>43000</v>
      </c>
      <c r="E2196" s="181">
        <v>9964.4</v>
      </c>
      <c r="F2196" s="5"/>
      <c r="J2196" s="5"/>
      <c r="K2196" s="5"/>
    </row>
    <row r="2197" ht="16.5" customHeight="1" spans="4:11">
      <c r="D2197" s="180">
        <v>42999</v>
      </c>
      <c r="E2197" s="181">
        <v>10121.9</v>
      </c>
      <c r="F2197" s="5"/>
      <c r="J2197" s="5"/>
      <c r="K2197" s="5"/>
    </row>
    <row r="2198" ht="16.5" customHeight="1" spans="4:11">
      <c r="D2198" s="180">
        <v>42998</v>
      </c>
      <c r="E2198" s="181">
        <v>10141.15</v>
      </c>
      <c r="F2198" s="5"/>
      <c r="J2198" s="5"/>
      <c r="K2198" s="5"/>
    </row>
    <row r="2199" ht="16.5" customHeight="1" spans="4:11">
      <c r="D2199" s="180">
        <v>42997</v>
      </c>
      <c r="E2199" s="181">
        <v>10147.55</v>
      </c>
      <c r="F2199" s="5"/>
      <c r="J2199" s="5"/>
      <c r="K2199" s="5"/>
    </row>
    <row r="2200" ht="16.5" customHeight="1" spans="4:11">
      <c r="D2200" s="180">
        <v>42996</v>
      </c>
      <c r="E2200" s="181">
        <v>10153.1</v>
      </c>
      <c r="F2200" s="5"/>
      <c r="J2200" s="5"/>
      <c r="K2200" s="5"/>
    </row>
    <row r="2201" ht="16.5" customHeight="1" spans="4:11">
      <c r="D2201" s="180">
        <v>42993</v>
      </c>
      <c r="E2201" s="181">
        <v>10085.4</v>
      </c>
      <c r="F2201" s="5"/>
      <c r="J2201" s="5"/>
      <c r="K2201" s="5"/>
    </row>
    <row r="2202" ht="16.5" customHeight="1" spans="4:11">
      <c r="D2202" s="180">
        <v>42992</v>
      </c>
      <c r="E2202" s="181">
        <v>10086.6</v>
      </c>
      <c r="F2202" s="5"/>
      <c r="J2202" s="5"/>
      <c r="K2202" s="5"/>
    </row>
    <row r="2203" ht="16.5" customHeight="1" spans="4:11">
      <c r="D2203" s="180">
        <v>42991</v>
      </c>
      <c r="E2203" s="181">
        <v>10079.3</v>
      </c>
      <c r="F2203" s="5"/>
      <c r="J2203" s="5"/>
      <c r="K2203" s="5"/>
    </row>
    <row r="2204" ht="16.5" customHeight="1" spans="4:11">
      <c r="D2204" s="180">
        <v>42990</v>
      </c>
      <c r="E2204" s="181">
        <v>10093.05</v>
      </c>
      <c r="F2204" s="5"/>
      <c r="J2204" s="5"/>
      <c r="K2204" s="5"/>
    </row>
    <row r="2205" ht="16.5" customHeight="1" spans="4:11">
      <c r="D2205" s="180">
        <v>42989</v>
      </c>
      <c r="E2205" s="181">
        <v>10006.05</v>
      </c>
      <c r="F2205" s="5"/>
      <c r="J2205" s="5"/>
      <c r="K2205" s="5"/>
    </row>
    <row r="2206" ht="16.5" customHeight="1" spans="4:11">
      <c r="D2206" s="180">
        <v>42986</v>
      </c>
      <c r="E2206" s="181">
        <v>9934.8</v>
      </c>
      <c r="F2206" s="5"/>
      <c r="J2206" s="5"/>
      <c r="K2206" s="5"/>
    </row>
    <row r="2207" ht="16.5" customHeight="1" spans="4:11">
      <c r="D2207" s="180">
        <v>42985</v>
      </c>
      <c r="E2207" s="181">
        <v>9929.9</v>
      </c>
      <c r="F2207" s="5"/>
      <c r="J2207" s="5"/>
      <c r="K2207" s="5"/>
    </row>
    <row r="2208" ht="16.5" customHeight="1" spans="4:11">
      <c r="D2208" s="180">
        <v>42984</v>
      </c>
      <c r="E2208" s="181">
        <v>9916.2</v>
      </c>
      <c r="F2208" s="5"/>
      <c r="J2208" s="5"/>
      <c r="K2208" s="5"/>
    </row>
    <row r="2209" ht="16.5" customHeight="1" spans="4:11">
      <c r="D2209" s="180">
        <v>42983</v>
      </c>
      <c r="E2209" s="181">
        <v>9952.2</v>
      </c>
      <c r="F2209" s="5"/>
      <c r="J2209" s="5"/>
      <c r="K2209" s="5"/>
    </row>
    <row r="2210" ht="16.5" customHeight="1" spans="4:11">
      <c r="D2210" s="180">
        <v>42982</v>
      </c>
      <c r="E2210" s="181">
        <v>9912.85</v>
      </c>
      <c r="F2210" s="5"/>
      <c r="J2210" s="5"/>
      <c r="K2210" s="5"/>
    </row>
    <row r="2211" ht="16.5" customHeight="1" spans="4:11">
      <c r="D2211" s="180">
        <v>42979</v>
      </c>
      <c r="E2211" s="181">
        <v>9974.4</v>
      </c>
      <c r="F2211" s="5"/>
      <c r="J2211" s="5"/>
      <c r="K2211" s="5"/>
    </row>
    <row r="2212" ht="16.5" customHeight="1" spans="4:11">
      <c r="D2212" s="180">
        <v>42978</v>
      </c>
      <c r="E2212" s="181">
        <v>9917.9</v>
      </c>
      <c r="F2212" s="5"/>
      <c r="J2212" s="5"/>
      <c r="K2212" s="5"/>
    </row>
    <row r="2213" ht="16.5" customHeight="1" spans="4:11">
      <c r="D2213" s="180">
        <v>42977</v>
      </c>
      <c r="E2213" s="181">
        <v>9884.4</v>
      </c>
      <c r="F2213" s="5"/>
      <c r="J2213" s="5"/>
      <c r="K2213" s="5"/>
    </row>
    <row r="2214" ht="16.5" customHeight="1" spans="4:11">
      <c r="D2214" s="180">
        <v>42976</v>
      </c>
      <c r="E2214" s="181">
        <v>9796.05</v>
      </c>
      <c r="F2214" s="5"/>
      <c r="J2214" s="5"/>
      <c r="K2214" s="5"/>
    </row>
    <row r="2215" ht="16.5" customHeight="1" spans="4:11">
      <c r="D2215" s="180">
        <v>42975</v>
      </c>
      <c r="E2215" s="181">
        <v>9912.8</v>
      </c>
      <c r="F2215" s="5"/>
      <c r="J2215" s="5"/>
      <c r="K2215" s="5"/>
    </row>
    <row r="2216" ht="16.5" customHeight="1" spans="4:11">
      <c r="D2216" s="180">
        <v>42971</v>
      </c>
      <c r="E2216" s="181">
        <v>9857.05</v>
      </c>
      <c r="F2216" s="5"/>
      <c r="J2216" s="5"/>
      <c r="K2216" s="5"/>
    </row>
    <row r="2217" ht="16.5" customHeight="1" spans="4:11">
      <c r="D2217" s="180">
        <v>42970</v>
      </c>
      <c r="E2217" s="181">
        <v>9852.5</v>
      </c>
      <c r="F2217" s="5"/>
      <c r="J2217" s="5"/>
      <c r="K2217" s="5"/>
    </row>
    <row r="2218" ht="16.5" customHeight="1" spans="4:11">
      <c r="D2218" s="180">
        <v>42969</v>
      </c>
      <c r="E2218" s="181">
        <v>9765.55</v>
      </c>
      <c r="F2218" s="5"/>
      <c r="J2218" s="5"/>
      <c r="K2218" s="5"/>
    </row>
    <row r="2219" ht="16.5" customHeight="1" spans="4:11">
      <c r="D2219" s="180">
        <v>42968</v>
      </c>
      <c r="E2219" s="181">
        <v>9754.35</v>
      </c>
      <c r="F2219" s="5"/>
      <c r="J2219" s="5"/>
      <c r="K2219" s="5"/>
    </row>
    <row r="2220" ht="16.5" customHeight="1" spans="4:11">
      <c r="D2220" s="180">
        <v>42965</v>
      </c>
      <c r="E2220" s="181">
        <v>9837.4</v>
      </c>
      <c r="F2220" s="5"/>
      <c r="J2220" s="5"/>
      <c r="K2220" s="5"/>
    </row>
    <row r="2221" ht="16.5" customHeight="1" spans="4:11">
      <c r="D2221" s="180">
        <v>42964</v>
      </c>
      <c r="E2221" s="181">
        <v>9904.15</v>
      </c>
      <c r="F2221" s="5"/>
      <c r="J2221" s="5"/>
      <c r="K2221" s="5"/>
    </row>
    <row r="2222" ht="16.5" customHeight="1" spans="4:11">
      <c r="D2222" s="180">
        <v>42963</v>
      </c>
      <c r="E2222" s="181">
        <v>9897.3</v>
      </c>
      <c r="F2222" s="5"/>
      <c r="J2222" s="5"/>
      <c r="K2222" s="5"/>
    </row>
    <row r="2223" ht="16.5" customHeight="1" spans="4:11">
      <c r="D2223" s="180">
        <v>42961</v>
      </c>
      <c r="E2223" s="181">
        <v>9794.15</v>
      </c>
      <c r="F2223" s="5"/>
      <c r="J2223" s="5"/>
      <c r="K2223" s="5"/>
    </row>
    <row r="2224" ht="16.5" customHeight="1" spans="4:11">
      <c r="D2224" s="180">
        <v>42958</v>
      </c>
      <c r="E2224" s="181">
        <v>9710.8</v>
      </c>
      <c r="F2224" s="5"/>
      <c r="J2224" s="5"/>
      <c r="K2224" s="5"/>
    </row>
    <row r="2225" ht="16.5" customHeight="1" spans="4:11">
      <c r="D2225" s="180">
        <v>42957</v>
      </c>
      <c r="E2225" s="181">
        <v>9820.25</v>
      </c>
      <c r="F2225" s="5"/>
      <c r="J2225" s="5"/>
      <c r="K2225" s="5"/>
    </row>
    <row r="2226" ht="16.5" customHeight="1" spans="4:11">
      <c r="D2226" s="180">
        <v>42956</v>
      </c>
      <c r="E2226" s="181">
        <v>9908.05</v>
      </c>
      <c r="F2226" s="5"/>
      <c r="J2226" s="5"/>
      <c r="K2226" s="5"/>
    </row>
    <row r="2227" ht="16.5" customHeight="1" spans="4:11">
      <c r="D2227" s="180">
        <v>42955</v>
      </c>
      <c r="E2227" s="181">
        <v>9978.55</v>
      </c>
      <c r="F2227" s="5"/>
      <c r="J2227" s="5"/>
      <c r="K2227" s="5"/>
    </row>
    <row r="2228" ht="16.5" customHeight="1" spans="4:11">
      <c r="D2228" s="180">
        <v>42954</v>
      </c>
      <c r="E2228" s="181">
        <v>10057.4</v>
      </c>
      <c r="F2228" s="5"/>
      <c r="J2228" s="5"/>
      <c r="K2228" s="5"/>
    </row>
    <row r="2229" ht="16.5" customHeight="1" spans="4:11">
      <c r="D2229" s="180">
        <v>42951</v>
      </c>
      <c r="E2229" s="181">
        <v>10066.4</v>
      </c>
      <c r="F2229" s="5"/>
      <c r="J2229" s="5"/>
      <c r="K2229" s="5"/>
    </row>
    <row r="2230" ht="16.5" customHeight="1" spans="4:11">
      <c r="D2230" s="180">
        <v>42950</v>
      </c>
      <c r="E2230" s="181">
        <v>10013.65</v>
      </c>
      <c r="F2230" s="5"/>
      <c r="J2230" s="5"/>
      <c r="K2230" s="5"/>
    </row>
    <row r="2231" ht="16.5" customHeight="1" spans="4:11">
      <c r="D2231" s="180">
        <v>42949</v>
      </c>
      <c r="E2231" s="181">
        <v>10081.5</v>
      </c>
      <c r="F2231" s="5"/>
      <c r="J2231" s="5"/>
      <c r="K2231" s="5"/>
    </row>
    <row r="2232" ht="16.5" customHeight="1" spans="4:11">
      <c r="D2232" s="180">
        <v>42948</v>
      </c>
      <c r="E2232" s="181">
        <v>10114.65</v>
      </c>
      <c r="F2232" s="5"/>
      <c r="J2232" s="5"/>
      <c r="K2232" s="5"/>
    </row>
    <row r="2233" ht="16.5" customHeight="1" spans="4:11">
      <c r="D2233" s="180">
        <v>42947</v>
      </c>
      <c r="E2233" s="181">
        <v>10077.1</v>
      </c>
      <c r="F2233" s="5"/>
      <c r="J2233" s="5"/>
      <c r="K2233" s="5"/>
    </row>
    <row r="2234" ht="16.5" customHeight="1" spans="4:11">
      <c r="D2234" s="180">
        <v>42944</v>
      </c>
      <c r="E2234" s="181">
        <v>10014.5</v>
      </c>
      <c r="F2234" s="5"/>
      <c r="J2234" s="5"/>
      <c r="K2234" s="5"/>
    </row>
    <row r="2235" ht="16.5" customHeight="1" spans="4:11">
      <c r="D2235" s="180">
        <v>42943</v>
      </c>
      <c r="E2235" s="181">
        <v>10020.55</v>
      </c>
      <c r="F2235" s="5"/>
      <c r="J2235" s="5"/>
      <c r="K2235" s="5"/>
    </row>
    <row r="2236" ht="16.5" customHeight="1" spans="4:11">
      <c r="D2236" s="180">
        <v>42942</v>
      </c>
      <c r="E2236" s="181">
        <v>10020.65</v>
      </c>
      <c r="F2236" s="5"/>
      <c r="J2236" s="5"/>
      <c r="K2236" s="5"/>
    </row>
    <row r="2237" ht="16.5" customHeight="1" spans="4:11">
      <c r="D2237" s="180">
        <v>42941</v>
      </c>
      <c r="E2237" s="181">
        <v>9964.55</v>
      </c>
      <c r="F2237" s="5"/>
      <c r="J2237" s="5"/>
      <c r="K2237" s="5"/>
    </row>
    <row r="2238" ht="16.5" customHeight="1" spans="4:11">
      <c r="D2238" s="180">
        <v>42940</v>
      </c>
      <c r="E2238" s="181">
        <v>9966.4</v>
      </c>
      <c r="F2238" s="5"/>
      <c r="J2238" s="5"/>
      <c r="K2238" s="5"/>
    </row>
    <row r="2239" ht="16.5" customHeight="1" spans="4:11">
      <c r="D2239" s="180">
        <v>42937</v>
      </c>
      <c r="E2239" s="181">
        <v>9915.25</v>
      </c>
      <c r="F2239" s="5"/>
      <c r="J2239" s="5"/>
      <c r="K2239" s="5"/>
    </row>
    <row r="2240" ht="16.5" customHeight="1" spans="4:11">
      <c r="D2240" s="180">
        <v>42936</v>
      </c>
      <c r="E2240" s="181">
        <v>9873.3</v>
      </c>
      <c r="F2240" s="5"/>
      <c r="J2240" s="5"/>
      <c r="K2240" s="5"/>
    </row>
    <row r="2241" ht="16.5" customHeight="1" spans="4:11">
      <c r="D2241" s="180">
        <v>42935</v>
      </c>
      <c r="E2241" s="181">
        <v>9899.6</v>
      </c>
      <c r="F2241" s="5"/>
      <c r="J2241" s="5"/>
      <c r="K2241" s="5"/>
    </row>
    <row r="2242" ht="16.5" customHeight="1" spans="4:11">
      <c r="D2242" s="180">
        <v>42934</v>
      </c>
      <c r="E2242" s="181">
        <v>9827.15</v>
      </c>
      <c r="F2242" s="5"/>
      <c r="J2242" s="5"/>
      <c r="K2242" s="5"/>
    </row>
    <row r="2243" ht="16.5" customHeight="1" spans="4:11">
      <c r="D2243" s="180">
        <v>42933</v>
      </c>
      <c r="E2243" s="181">
        <v>9915.95</v>
      </c>
      <c r="F2243" s="5"/>
      <c r="J2243" s="5"/>
      <c r="K2243" s="5"/>
    </row>
    <row r="2244" ht="16.5" customHeight="1" spans="4:11">
      <c r="D2244" s="180">
        <v>42930</v>
      </c>
      <c r="E2244" s="181">
        <v>9886.35</v>
      </c>
      <c r="F2244" s="5"/>
      <c r="J2244" s="5"/>
      <c r="K2244" s="5"/>
    </row>
    <row r="2245" ht="16.5" customHeight="1" spans="4:11">
      <c r="D2245" s="180">
        <v>42929</v>
      </c>
      <c r="E2245" s="181">
        <v>9891.7</v>
      </c>
      <c r="F2245" s="5"/>
      <c r="J2245" s="5"/>
      <c r="K2245" s="5"/>
    </row>
    <row r="2246" ht="16.5" customHeight="1" spans="4:11">
      <c r="D2246" s="180">
        <v>42928</v>
      </c>
      <c r="E2246" s="181">
        <v>9816.1</v>
      </c>
      <c r="F2246" s="5"/>
      <c r="J2246" s="5"/>
      <c r="K2246" s="5"/>
    </row>
    <row r="2247" ht="16.5" customHeight="1" spans="4:11">
      <c r="D2247" s="180">
        <v>42927</v>
      </c>
      <c r="E2247" s="181">
        <v>9786.05</v>
      </c>
      <c r="F2247" s="5"/>
      <c r="J2247" s="5"/>
      <c r="K2247" s="5"/>
    </row>
    <row r="2248" ht="16.5" customHeight="1" spans="4:11">
      <c r="D2248" s="180">
        <v>42926</v>
      </c>
      <c r="E2248" s="181">
        <v>9771.05</v>
      </c>
      <c r="F2248" s="5"/>
      <c r="J2248" s="5"/>
      <c r="K2248" s="5"/>
    </row>
    <row r="2249" ht="16.5" customHeight="1" spans="4:11">
      <c r="D2249" s="180">
        <v>42923</v>
      </c>
      <c r="E2249" s="181">
        <v>9665.8</v>
      </c>
      <c r="F2249" s="5"/>
      <c r="J2249" s="5"/>
      <c r="K2249" s="5"/>
    </row>
    <row r="2250" ht="16.5" customHeight="1" spans="4:11">
      <c r="D2250" s="180">
        <v>42922</v>
      </c>
      <c r="E2250" s="181">
        <v>9674.55</v>
      </c>
      <c r="F2250" s="5"/>
      <c r="J2250" s="5"/>
      <c r="K2250" s="5"/>
    </row>
    <row r="2251" ht="16.5" customHeight="1" spans="4:11">
      <c r="D2251" s="180">
        <v>42921</v>
      </c>
      <c r="E2251" s="181">
        <v>9637.6</v>
      </c>
      <c r="F2251" s="5"/>
      <c r="J2251" s="5"/>
      <c r="K2251" s="5"/>
    </row>
    <row r="2252" ht="16.5" customHeight="1" spans="4:11">
      <c r="D2252" s="180">
        <v>42920</v>
      </c>
      <c r="E2252" s="181">
        <v>9613.3</v>
      </c>
      <c r="F2252" s="5"/>
      <c r="J2252" s="5"/>
      <c r="K2252" s="5"/>
    </row>
    <row r="2253" ht="16.5" customHeight="1" spans="4:11">
      <c r="D2253" s="180">
        <v>42919</v>
      </c>
      <c r="E2253" s="181">
        <v>9615</v>
      </c>
      <c r="F2253" s="5"/>
      <c r="J2253" s="5"/>
      <c r="K2253" s="5"/>
    </row>
    <row r="2254" ht="16.5" customHeight="1" spans="4:11">
      <c r="D2254" s="180">
        <v>42916</v>
      </c>
      <c r="E2254" s="181">
        <v>9520.9</v>
      </c>
      <c r="F2254" s="5"/>
      <c r="J2254" s="5"/>
      <c r="K2254" s="5"/>
    </row>
    <row r="2255" ht="16.5" customHeight="1" spans="4:11">
      <c r="D2255" s="180">
        <v>42915</v>
      </c>
      <c r="E2255" s="181">
        <v>9504.1</v>
      </c>
      <c r="F2255" s="5"/>
      <c r="J2255" s="5"/>
      <c r="K2255" s="5"/>
    </row>
    <row r="2256" ht="16.5" customHeight="1" spans="4:11">
      <c r="D2256" s="180">
        <v>42914</v>
      </c>
      <c r="E2256" s="181">
        <v>9491.25</v>
      </c>
      <c r="F2256" s="5"/>
      <c r="J2256" s="5"/>
      <c r="K2256" s="5"/>
    </row>
    <row r="2257" ht="16.5" customHeight="1" spans="4:11">
      <c r="D2257" s="180">
        <v>42913</v>
      </c>
      <c r="E2257" s="181">
        <v>9511.4</v>
      </c>
      <c r="F2257" s="5"/>
      <c r="J2257" s="5"/>
      <c r="K2257" s="5"/>
    </row>
    <row r="2258" ht="16.5" customHeight="1" spans="4:11">
      <c r="D2258" s="180">
        <v>42909</v>
      </c>
      <c r="E2258" s="181">
        <v>9574.95</v>
      </c>
      <c r="F2258" s="5"/>
      <c r="J2258" s="5"/>
      <c r="K2258" s="5"/>
    </row>
    <row r="2259" ht="16.5" customHeight="1" spans="4:11">
      <c r="D2259" s="180">
        <v>42908</v>
      </c>
      <c r="E2259" s="181">
        <v>9630</v>
      </c>
      <c r="F2259" s="5"/>
      <c r="J2259" s="5"/>
      <c r="K2259" s="5"/>
    </row>
    <row r="2260" ht="16.5" customHeight="1" spans="4:11">
      <c r="D2260" s="180">
        <v>42907</v>
      </c>
      <c r="E2260" s="181">
        <v>9633.6</v>
      </c>
      <c r="F2260" s="5"/>
      <c r="J2260" s="5"/>
      <c r="K2260" s="5"/>
    </row>
    <row r="2261" ht="16.5" customHeight="1" spans="4:11">
      <c r="D2261" s="180">
        <v>42906</v>
      </c>
      <c r="E2261" s="181">
        <v>9653.5</v>
      </c>
      <c r="F2261" s="5"/>
      <c r="J2261" s="5"/>
      <c r="K2261" s="5"/>
    </row>
    <row r="2262" ht="16.5" customHeight="1" spans="4:11">
      <c r="D2262" s="180">
        <v>42905</v>
      </c>
      <c r="E2262" s="181">
        <v>9657.55</v>
      </c>
      <c r="F2262" s="5"/>
      <c r="J2262" s="5"/>
      <c r="K2262" s="5"/>
    </row>
    <row r="2263" ht="16.5" customHeight="1" spans="4:11">
      <c r="D2263" s="180">
        <v>42902</v>
      </c>
      <c r="E2263" s="181">
        <v>9588.05</v>
      </c>
      <c r="F2263" s="5"/>
      <c r="J2263" s="5"/>
      <c r="K2263" s="5"/>
    </row>
    <row r="2264" ht="16.5" customHeight="1" spans="4:11">
      <c r="D2264" s="180">
        <v>42901</v>
      </c>
      <c r="E2264" s="181">
        <v>9578.05</v>
      </c>
      <c r="F2264" s="5"/>
      <c r="J2264" s="5"/>
      <c r="K2264" s="5"/>
    </row>
    <row r="2265" ht="16.5" customHeight="1" spans="4:11">
      <c r="D2265" s="180">
        <v>42900</v>
      </c>
      <c r="E2265" s="181">
        <v>9618.15</v>
      </c>
      <c r="F2265" s="5"/>
      <c r="J2265" s="5"/>
      <c r="K2265" s="5"/>
    </row>
    <row r="2266" ht="16.5" customHeight="1" spans="4:11">
      <c r="D2266" s="180">
        <v>42899</v>
      </c>
      <c r="E2266" s="181">
        <v>9606.9</v>
      </c>
      <c r="F2266" s="5"/>
      <c r="J2266" s="5"/>
      <c r="K2266" s="5"/>
    </row>
    <row r="2267" ht="16.5" customHeight="1" spans="4:11">
      <c r="D2267" s="180">
        <v>42898</v>
      </c>
      <c r="E2267" s="181">
        <v>9616.4</v>
      </c>
      <c r="F2267" s="5"/>
      <c r="J2267" s="5"/>
      <c r="K2267" s="5"/>
    </row>
    <row r="2268" ht="16.5" customHeight="1" spans="4:11">
      <c r="D2268" s="180">
        <v>42895</v>
      </c>
      <c r="E2268" s="181">
        <v>9668.25</v>
      </c>
      <c r="F2268" s="5"/>
      <c r="J2268" s="5"/>
      <c r="K2268" s="5"/>
    </row>
    <row r="2269" ht="16.5" customHeight="1" spans="4:11">
      <c r="D2269" s="180">
        <v>42894</v>
      </c>
      <c r="E2269" s="181">
        <v>9647.25</v>
      </c>
      <c r="F2269" s="5"/>
      <c r="J2269" s="5"/>
      <c r="K2269" s="5"/>
    </row>
    <row r="2270" ht="16.5" customHeight="1" spans="4:11">
      <c r="D2270" s="180">
        <v>42893</v>
      </c>
      <c r="E2270" s="181">
        <v>9663.9</v>
      </c>
      <c r="F2270" s="5"/>
      <c r="J2270" s="5"/>
      <c r="K2270" s="5"/>
    </row>
    <row r="2271" ht="16.5" customHeight="1" spans="4:11">
      <c r="D2271" s="180">
        <v>42892</v>
      </c>
      <c r="E2271" s="181">
        <v>9637.15</v>
      </c>
      <c r="F2271" s="5"/>
      <c r="J2271" s="5"/>
      <c r="K2271" s="5"/>
    </row>
    <row r="2272" ht="16.5" customHeight="1" spans="4:11">
      <c r="D2272" s="180">
        <v>42891</v>
      </c>
      <c r="E2272" s="181">
        <v>9675.1</v>
      </c>
      <c r="F2272" s="5"/>
      <c r="J2272" s="5"/>
      <c r="K2272" s="5"/>
    </row>
    <row r="2273" ht="16.5" customHeight="1" spans="4:11">
      <c r="D2273" s="180">
        <v>42888</v>
      </c>
      <c r="E2273" s="181">
        <v>9653.5</v>
      </c>
      <c r="F2273" s="5"/>
      <c r="J2273" s="5"/>
      <c r="K2273" s="5"/>
    </row>
    <row r="2274" ht="16.5" customHeight="1" spans="4:11">
      <c r="D2274" s="180">
        <v>42887</v>
      </c>
      <c r="E2274" s="181">
        <v>9616.1</v>
      </c>
      <c r="F2274" s="5"/>
      <c r="J2274" s="5"/>
      <c r="K2274" s="5"/>
    </row>
    <row r="2275" ht="16.5" customHeight="1" spans="4:11">
      <c r="D2275" s="180">
        <v>42886</v>
      </c>
      <c r="E2275" s="181">
        <v>9621.25</v>
      </c>
      <c r="F2275" s="5"/>
      <c r="J2275" s="5"/>
      <c r="K2275" s="5"/>
    </row>
    <row r="2276" ht="16.5" customHeight="1" spans="4:11">
      <c r="D2276" s="180">
        <v>42885</v>
      </c>
      <c r="E2276" s="181">
        <v>9624.55</v>
      </c>
      <c r="F2276" s="5"/>
      <c r="J2276" s="5"/>
      <c r="K2276" s="5"/>
    </row>
    <row r="2277" ht="16.5" customHeight="1" spans="4:11">
      <c r="D2277" s="180">
        <v>42884</v>
      </c>
      <c r="E2277" s="181">
        <v>9604.9</v>
      </c>
      <c r="F2277" s="5"/>
      <c r="J2277" s="5"/>
      <c r="K2277" s="5"/>
    </row>
    <row r="2278" ht="16.5" customHeight="1" spans="4:11">
      <c r="D2278" s="180">
        <v>42881</v>
      </c>
      <c r="E2278" s="181">
        <v>9595.1</v>
      </c>
      <c r="F2278" s="5"/>
      <c r="J2278" s="5"/>
      <c r="K2278" s="5"/>
    </row>
    <row r="2279" ht="16.5" customHeight="1" spans="4:11">
      <c r="D2279" s="180">
        <v>42880</v>
      </c>
      <c r="E2279" s="181">
        <v>9509.75</v>
      </c>
      <c r="F2279" s="5"/>
      <c r="J2279" s="5"/>
      <c r="K2279" s="5"/>
    </row>
    <row r="2280" ht="16.5" customHeight="1" spans="4:11">
      <c r="D2280" s="180">
        <v>42879</v>
      </c>
      <c r="E2280" s="181">
        <v>9360.55</v>
      </c>
      <c r="F2280" s="5"/>
      <c r="J2280" s="5"/>
      <c r="K2280" s="5"/>
    </row>
    <row r="2281" ht="16.5" customHeight="1" spans="4:11">
      <c r="D2281" s="180">
        <v>42878</v>
      </c>
      <c r="E2281" s="181">
        <v>9386.15</v>
      </c>
      <c r="F2281" s="5"/>
      <c r="J2281" s="5"/>
      <c r="K2281" s="5"/>
    </row>
    <row r="2282" ht="16.5" customHeight="1" spans="4:11">
      <c r="D2282" s="180">
        <v>42877</v>
      </c>
      <c r="E2282" s="181">
        <v>9438.25</v>
      </c>
      <c r="F2282" s="5"/>
      <c r="J2282" s="5"/>
      <c r="K2282" s="5"/>
    </row>
    <row r="2283" ht="16.5" customHeight="1" spans="4:11">
      <c r="D2283" s="180">
        <v>42874</v>
      </c>
      <c r="E2283" s="181">
        <v>9427.9</v>
      </c>
      <c r="F2283" s="5"/>
      <c r="J2283" s="5"/>
      <c r="K2283" s="5"/>
    </row>
    <row r="2284" ht="16.5" customHeight="1" spans="4:11">
      <c r="D2284" s="180">
        <v>42873</v>
      </c>
      <c r="E2284" s="181">
        <v>9429.45</v>
      </c>
      <c r="F2284" s="5"/>
      <c r="J2284" s="5"/>
      <c r="K2284" s="5"/>
    </row>
    <row r="2285" ht="16.5" customHeight="1" spans="4:11">
      <c r="D2285" s="180">
        <v>42872</v>
      </c>
      <c r="E2285" s="181">
        <v>9525.75</v>
      </c>
      <c r="F2285" s="5"/>
      <c r="J2285" s="5"/>
      <c r="K2285" s="5"/>
    </row>
    <row r="2286" ht="16.5" customHeight="1" spans="4:11">
      <c r="D2286" s="180">
        <v>42871</v>
      </c>
      <c r="E2286" s="181">
        <v>9512.25</v>
      </c>
      <c r="F2286" s="5"/>
      <c r="J2286" s="5"/>
      <c r="K2286" s="5"/>
    </row>
    <row r="2287" ht="16.5" customHeight="1" spans="4:11">
      <c r="D2287" s="180">
        <v>42870</v>
      </c>
      <c r="E2287" s="181">
        <v>9445.4</v>
      </c>
      <c r="F2287" s="5"/>
      <c r="J2287" s="5"/>
      <c r="K2287" s="5"/>
    </row>
    <row r="2288" ht="16.5" customHeight="1" spans="4:11">
      <c r="D2288" s="180">
        <v>42867</v>
      </c>
      <c r="E2288" s="181">
        <v>9400.9</v>
      </c>
      <c r="F2288" s="5"/>
      <c r="J2288" s="5"/>
      <c r="K2288" s="5"/>
    </row>
    <row r="2289" ht="16.5" customHeight="1" spans="4:11">
      <c r="D2289" s="180">
        <v>42866</v>
      </c>
      <c r="E2289" s="181">
        <v>9422.4</v>
      </c>
      <c r="F2289" s="5"/>
      <c r="J2289" s="5"/>
      <c r="K2289" s="5"/>
    </row>
    <row r="2290" ht="16.5" customHeight="1" spans="4:11">
      <c r="D2290" s="180">
        <v>42865</v>
      </c>
      <c r="E2290" s="181">
        <v>9407.3</v>
      </c>
      <c r="F2290" s="5"/>
      <c r="J2290" s="5"/>
      <c r="K2290" s="5"/>
    </row>
    <row r="2291" ht="16.5" customHeight="1" spans="4:11">
      <c r="D2291" s="180">
        <v>42864</v>
      </c>
      <c r="E2291" s="181">
        <v>9316.85</v>
      </c>
      <c r="F2291" s="5"/>
      <c r="J2291" s="5"/>
      <c r="K2291" s="5"/>
    </row>
    <row r="2292" ht="16.5" customHeight="1" spans="4:11">
      <c r="D2292" s="180">
        <v>42863</v>
      </c>
      <c r="E2292" s="181">
        <v>9314.05</v>
      </c>
      <c r="F2292" s="5"/>
      <c r="J2292" s="5"/>
      <c r="K2292" s="5"/>
    </row>
    <row r="2293" ht="16.5" customHeight="1" spans="4:11">
      <c r="D2293" s="180">
        <v>42860</v>
      </c>
      <c r="E2293" s="181">
        <v>9285.3</v>
      </c>
      <c r="F2293" s="5"/>
      <c r="J2293" s="5"/>
      <c r="K2293" s="5"/>
    </row>
    <row r="2294" ht="16.5" customHeight="1" spans="4:11">
      <c r="D2294" s="180">
        <v>42859</v>
      </c>
      <c r="E2294" s="181">
        <v>9359.9</v>
      </c>
      <c r="F2294" s="5"/>
      <c r="J2294" s="5"/>
      <c r="K2294" s="5"/>
    </row>
    <row r="2295" ht="16.5" customHeight="1" spans="4:11">
      <c r="D2295" s="180">
        <v>42858</v>
      </c>
      <c r="E2295" s="181">
        <v>9311.95</v>
      </c>
      <c r="F2295" s="5"/>
      <c r="J2295" s="5"/>
      <c r="K2295" s="5"/>
    </row>
    <row r="2296" ht="16.5" customHeight="1" spans="4:11">
      <c r="D2296" s="180">
        <v>42857</v>
      </c>
      <c r="E2296" s="181">
        <v>9313.8</v>
      </c>
      <c r="F2296" s="5"/>
      <c r="J2296" s="5"/>
      <c r="K2296" s="5"/>
    </row>
    <row r="2297" ht="16.5" customHeight="1" spans="4:11">
      <c r="D2297" s="180">
        <v>42853</v>
      </c>
      <c r="E2297" s="181">
        <v>9304.05</v>
      </c>
      <c r="F2297" s="5"/>
      <c r="J2297" s="5"/>
      <c r="K2297" s="5"/>
    </row>
    <row r="2298" ht="16.5" customHeight="1" spans="4:11">
      <c r="D2298" s="180">
        <v>42852</v>
      </c>
      <c r="E2298" s="181">
        <v>9342.15</v>
      </c>
      <c r="F2298" s="5"/>
      <c r="J2298" s="5"/>
      <c r="K2298" s="5"/>
    </row>
    <row r="2299" ht="16.5" customHeight="1" spans="4:11">
      <c r="D2299" s="180">
        <v>42851</v>
      </c>
      <c r="E2299" s="181">
        <v>9351.85</v>
      </c>
      <c r="F2299" s="5"/>
      <c r="J2299" s="5"/>
      <c r="K2299" s="5"/>
    </row>
    <row r="2300" ht="16.5" customHeight="1" spans="4:11">
      <c r="D2300" s="180">
        <v>42850</v>
      </c>
      <c r="E2300" s="181">
        <v>9306.6</v>
      </c>
      <c r="F2300" s="5"/>
      <c r="J2300" s="5"/>
      <c r="K2300" s="5"/>
    </row>
    <row r="2301" ht="16.5" customHeight="1" spans="4:11">
      <c r="D2301" s="180">
        <v>42849</v>
      </c>
      <c r="E2301" s="181">
        <v>9217.95</v>
      </c>
      <c r="F2301" s="5"/>
      <c r="J2301" s="5"/>
      <c r="K2301" s="5"/>
    </row>
    <row r="2302" ht="16.5" customHeight="1" spans="4:11">
      <c r="D2302" s="180">
        <v>42846</v>
      </c>
      <c r="E2302" s="181">
        <v>9119.4</v>
      </c>
      <c r="F2302" s="5"/>
      <c r="J2302" s="5"/>
      <c r="K2302" s="5"/>
    </row>
    <row r="2303" ht="16.5" customHeight="1" spans="4:11">
      <c r="D2303" s="180">
        <v>42845</v>
      </c>
      <c r="E2303" s="181">
        <v>9136.4</v>
      </c>
      <c r="F2303" s="5"/>
      <c r="J2303" s="5"/>
      <c r="K2303" s="5"/>
    </row>
    <row r="2304" ht="16.5" customHeight="1" spans="4:11">
      <c r="D2304" s="180">
        <v>42844</v>
      </c>
      <c r="E2304" s="181">
        <v>9103.5</v>
      </c>
      <c r="F2304" s="5"/>
      <c r="J2304" s="5"/>
      <c r="K2304" s="5"/>
    </row>
    <row r="2305" ht="16.5" customHeight="1" spans="4:11">
      <c r="D2305" s="180">
        <v>42843</v>
      </c>
      <c r="E2305" s="181">
        <v>9105.15</v>
      </c>
      <c r="F2305" s="5"/>
      <c r="J2305" s="5"/>
      <c r="K2305" s="5"/>
    </row>
    <row r="2306" ht="16.5" customHeight="1" spans="4:11">
      <c r="D2306" s="180">
        <v>42842</v>
      </c>
      <c r="E2306" s="181">
        <v>9139.3</v>
      </c>
      <c r="F2306" s="5"/>
      <c r="J2306" s="5"/>
      <c r="K2306" s="5"/>
    </row>
    <row r="2307" ht="16.5" customHeight="1" spans="4:11">
      <c r="D2307" s="180">
        <v>42838</v>
      </c>
      <c r="E2307" s="181">
        <v>9150.8</v>
      </c>
      <c r="F2307" s="5"/>
      <c r="J2307" s="5"/>
      <c r="K2307" s="5"/>
    </row>
    <row r="2308" ht="16.5" customHeight="1" spans="4:11">
      <c r="D2308" s="180">
        <v>42837</v>
      </c>
      <c r="E2308" s="181">
        <v>9203.45</v>
      </c>
      <c r="F2308" s="5"/>
      <c r="J2308" s="5"/>
      <c r="K2308" s="5"/>
    </row>
    <row r="2309" ht="16.5" customHeight="1" spans="4:11">
      <c r="D2309" s="180">
        <v>42836</v>
      </c>
      <c r="E2309" s="181">
        <v>9237</v>
      </c>
      <c r="F2309" s="5"/>
      <c r="J2309" s="5"/>
      <c r="K2309" s="5"/>
    </row>
    <row r="2310" ht="16.5" customHeight="1" spans="4:11">
      <c r="D2310" s="180">
        <v>42835</v>
      </c>
      <c r="E2310" s="181">
        <v>9181.45</v>
      </c>
      <c r="F2310" s="5"/>
      <c r="J2310" s="5"/>
      <c r="K2310" s="5"/>
    </row>
    <row r="2311" ht="16.5" customHeight="1" spans="4:11">
      <c r="D2311" s="180">
        <v>42832</v>
      </c>
      <c r="E2311" s="181">
        <v>9198.3</v>
      </c>
      <c r="F2311" s="5"/>
      <c r="J2311" s="5"/>
      <c r="K2311" s="5"/>
    </row>
    <row r="2312" ht="16.5" customHeight="1" spans="4:11">
      <c r="D2312" s="180">
        <v>42831</v>
      </c>
      <c r="E2312" s="181">
        <v>9261.95</v>
      </c>
      <c r="F2312" s="5"/>
      <c r="J2312" s="5"/>
      <c r="K2312" s="5"/>
    </row>
    <row r="2313" ht="16.5" customHeight="1" spans="4:11">
      <c r="D2313" s="180">
        <v>42830</v>
      </c>
      <c r="E2313" s="181">
        <v>9265.15</v>
      </c>
      <c r="F2313" s="5"/>
      <c r="J2313" s="5"/>
      <c r="K2313" s="5"/>
    </row>
    <row r="2314" ht="16.5" customHeight="1" spans="4:11">
      <c r="D2314" s="180">
        <v>42828</v>
      </c>
      <c r="E2314" s="181">
        <v>9237.85</v>
      </c>
      <c r="F2314" s="5"/>
      <c r="J2314" s="5"/>
      <c r="K2314" s="5"/>
    </row>
    <row r="2315" ht="16.5" customHeight="1" spans="4:11">
      <c r="D2315" s="180">
        <v>42825</v>
      </c>
      <c r="E2315" s="181">
        <v>9173.75</v>
      </c>
      <c r="F2315" s="5"/>
      <c r="J2315" s="5"/>
      <c r="K2315" s="5"/>
    </row>
    <row r="2316" ht="16.5" customHeight="1" spans="4:11">
      <c r="D2316" s="180">
        <v>42824</v>
      </c>
      <c r="E2316" s="181">
        <v>9173.75</v>
      </c>
      <c r="F2316" s="5"/>
      <c r="J2316" s="5"/>
      <c r="K2316" s="5"/>
    </row>
    <row r="2317" ht="16.5" customHeight="1" spans="4:11">
      <c r="D2317" s="180">
        <v>42823</v>
      </c>
      <c r="E2317" s="181">
        <v>9143.8</v>
      </c>
      <c r="F2317" s="5"/>
      <c r="J2317" s="5"/>
      <c r="K2317" s="5"/>
    </row>
    <row r="2318" ht="16.5" customHeight="1" spans="4:11">
      <c r="D2318" s="180">
        <v>42822</v>
      </c>
      <c r="E2318" s="181">
        <v>9100.8</v>
      </c>
      <c r="F2318" s="5"/>
      <c r="J2318" s="5"/>
      <c r="K2318" s="5"/>
    </row>
    <row r="2319" ht="16.5" customHeight="1" spans="4:11">
      <c r="D2319" s="180">
        <v>42821</v>
      </c>
      <c r="E2319" s="181">
        <v>9045.2</v>
      </c>
      <c r="F2319" s="5"/>
      <c r="J2319" s="5"/>
      <c r="K2319" s="5"/>
    </row>
    <row r="2320" ht="16.5" customHeight="1" spans="4:11">
      <c r="D2320" s="180">
        <v>42818</v>
      </c>
      <c r="E2320" s="181">
        <v>9108</v>
      </c>
      <c r="F2320" s="5"/>
      <c r="J2320" s="5"/>
      <c r="K2320" s="5"/>
    </row>
    <row r="2321" ht="16.5" customHeight="1" spans="4:11">
      <c r="D2321" s="180">
        <v>42817</v>
      </c>
      <c r="E2321" s="181">
        <v>9086.3</v>
      </c>
      <c r="F2321" s="5"/>
      <c r="J2321" s="5"/>
      <c r="K2321" s="5"/>
    </row>
    <row r="2322" ht="16.5" customHeight="1" spans="4:11">
      <c r="D2322" s="180">
        <v>42816</v>
      </c>
      <c r="E2322" s="181">
        <v>9030.45</v>
      </c>
      <c r="F2322" s="5"/>
      <c r="J2322" s="5"/>
      <c r="K2322" s="5"/>
    </row>
    <row r="2323" ht="16.5" customHeight="1" spans="4:11">
      <c r="D2323" s="180">
        <v>42815</v>
      </c>
      <c r="E2323" s="181">
        <v>9121.5</v>
      </c>
      <c r="F2323" s="5"/>
      <c r="J2323" s="5"/>
      <c r="K2323" s="5"/>
    </row>
    <row r="2324" ht="16.5" customHeight="1" spans="4:11">
      <c r="D2324" s="180">
        <v>42814</v>
      </c>
      <c r="E2324" s="181">
        <v>9126.85</v>
      </c>
      <c r="F2324" s="5"/>
      <c r="J2324" s="5"/>
      <c r="K2324" s="5"/>
    </row>
    <row r="2325" ht="16.5" customHeight="1" spans="4:11">
      <c r="D2325" s="180">
        <v>42811</v>
      </c>
      <c r="E2325" s="181">
        <v>9160.05</v>
      </c>
      <c r="F2325" s="5"/>
      <c r="J2325" s="5"/>
      <c r="K2325" s="5"/>
    </row>
    <row r="2326" ht="16.5" customHeight="1" spans="4:11">
      <c r="D2326" s="180">
        <v>42810</v>
      </c>
      <c r="E2326" s="181">
        <v>9153.7</v>
      </c>
      <c r="F2326" s="5"/>
      <c r="J2326" s="5"/>
      <c r="K2326" s="5"/>
    </row>
    <row r="2327" ht="16.5" customHeight="1" spans="4:11">
      <c r="D2327" s="180">
        <v>42809</v>
      </c>
      <c r="E2327" s="181">
        <v>9084.8</v>
      </c>
      <c r="F2327" s="5"/>
      <c r="J2327" s="5"/>
      <c r="K2327" s="5"/>
    </row>
    <row r="2328" ht="16.5" customHeight="1" spans="4:11">
      <c r="D2328" s="180">
        <v>42808</v>
      </c>
      <c r="E2328" s="181">
        <v>9087</v>
      </c>
      <c r="F2328" s="5"/>
      <c r="J2328" s="5"/>
      <c r="K2328" s="5"/>
    </row>
    <row r="2329" ht="16.5" customHeight="1" spans="4:11">
      <c r="D2329" s="180">
        <v>42804</v>
      </c>
      <c r="E2329" s="181">
        <v>8934.55</v>
      </c>
      <c r="F2329" s="5"/>
      <c r="J2329" s="5"/>
      <c r="K2329" s="5"/>
    </row>
    <row r="2330" ht="16.5" customHeight="1" spans="4:11">
      <c r="D2330" s="180">
        <v>42803</v>
      </c>
      <c r="E2330" s="181">
        <v>8927</v>
      </c>
      <c r="F2330" s="5"/>
      <c r="J2330" s="5"/>
      <c r="K2330" s="5"/>
    </row>
    <row r="2331" ht="16.5" customHeight="1" spans="4:11">
      <c r="D2331" s="180">
        <v>42802</v>
      </c>
      <c r="E2331" s="181">
        <v>8924.3</v>
      </c>
      <c r="F2331" s="5"/>
      <c r="J2331" s="5"/>
      <c r="K2331" s="5"/>
    </row>
    <row r="2332" ht="16.5" customHeight="1" spans="4:11">
      <c r="D2332" s="180">
        <v>42801</v>
      </c>
      <c r="E2332" s="181">
        <v>8946.9</v>
      </c>
      <c r="F2332" s="5"/>
      <c r="J2332" s="5"/>
      <c r="K2332" s="5"/>
    </row>
    <row r="2333" ht="16.5" customHeight="1" spans="4:11">
      <c r="D2333" s="180">
        <v>42800</v>
      </c>
      <c r="E2333" s="181">
        <v>8963.45</v>
      </c>
      <c r="F2333" s="5"/>
      <c r="J2333" s="5"/>
      <c r="K2333" s="5"/>
    </row>
    <row r="2334" ht="16.5" customHeight="1" spans="4:11">
      <c r="D2334" s="180">
        <v>42797</v>
      </c>
      <c r="E2334" s="181">
        <v>8897.55</v>
      </c>
      <c r="F2334" s="5"/>
      <c r="J2334" s="5"/>
      <c r="K2334" s="5"/>
    </row>
    <row r="2335" ht="16.5" customHeight="1" spans="4:11">
      <c r="D2335" s="180">
        <v>42796</v>
      </c>
      <c r="E2335" s="181">
        <v>8899.75</v>
      </c>
      <c r="F2335" s="5"/>
      <c r="J2335" s="5"/>
      <c r="K2335" s="5"/>
    </row>
    <row r="2336" ht="16.5" customHeight="1" spans="4:11">
      <c r="D2336" s="180">
        <v>42795</v>
      </c>
      <c r="E2336" s="181">
        <v>8945.8</v>
      </c>
      <c r="F2336" s="5"/>
      <c r="J2336" s="5"/>
      <c r="K2336" s="5"/>
    </row>
    <row r="2337" ht="16.5" customHeight="1" spans="4:11">
      <c r="D2337" s="180">
        <v>42794</v>
      </c>
      <c r="E2337" s="181">
        <v>8879.6</v>
      </c>
      <c r="F2337" s="5"/>
      <c r="J2337" s="5"/>
      <c r="K2337" s="5"/>
    </row>
    <row r="2338" ht="16.5" customHeight="1" spans="4:11">
      <c r="D2338" s="180">
        <v>42793</v>
      </c>
      <c r="E2338" s="181">
        <v>8896.7</v>
      </c>
      <c r="F2338" s="5"/>
      <c r="J2338" s="5"/>
      <c r="K2338" s="5"/>
    </row>
    <row r="2339" ht="16.5" customHeight="1" spans="4:11">
      <c r="D2339" s="180">
        <v>42789</v>
      </c>
      <c r="E2339" s="181">
        <v>8939.5</v>
      </c>
      <c r="F2339" s="5"/>
      <c r="J2339" s="5"/>
      <c r="K2339" s="5"/>
    </row>
    <row r="2340" ht="16.5" customHeight="1" spans="4:11">
      <c r="D2340" s="180">
        <v>42788</v>
      </c>
      <c r="E2340" s="181">
        <v>8926.9</v>
      </c>
      <c r="F2340" s="5"/>
      <c r="J2340" s="5"/>
      <c r="K2340" s="5"/>
    </row>
    <row r="2341" ht="16.5" customHeight="1" spans="4:11">
      <c r="D2341" s="180">
        <v>42787</v>
      </c>
      <c r="E2341" s="181">
        <v>8907.85</v>
      </c>
      <c r="F2341" s="5"/>
      <c r="J2341" s="5"/>
      <c r="K2341" s="5"/>
    </row>
    <row r="2342" ht="16.5" customHeight="1" spans="4:11">
      <c r="D2342" s="180">
        <v>42786</v>
      </c>
      <c r="E2342" s="181">
        <v>8879.2</v>
      </c>
      <c r="F2342" s="5"/>
      <c r="J2342" s="5"/>
      <c r="K2342" s="5"/>
    </row>
    <row r="2343" ht="16.5" customHeight="1" spans="4:11">
      <c r="D2343" s="180">
        <v>42783</v>
      </c>
      <c r="E2343" s="181">
        <v>8821.7</v>
      </c>
      <c r="F2343" s="5"/>
      <c r="J2343" s="5"/>
      <c r="K2343" s="5"/>
    </row>
    <row r="2344" ht="16.5" customHeight="1" spans="4:11">
      <c r="D2344" s="180">
        <v>42782</v>
      </c>
      <c r="E2344" s="181">
        <v>8778</v>
      </c>
      <c r="F2344" s="5"/>
      <c r="J2344" s="5"/>
      <c r="K2344" s="5"/>
    </row>
    <row r="2345" ht="16.5" customHeight="1" spans="4:11">
      <c r="D2345" s="180">
        <v>42781</v>
      </c>
      <c r="E2345" s="181">
        <v>8724.7</v>
      </c>
      <c r="F2345" s="5"/>
      <c r="J2345" s="5"/>
      <c r="K2345" s="5"/>
    </row>
    <row r="2346" ht="16.5" customHeight="1" spans="4:11">
      <c r="D2346" s="180">
        <v>42780</v>
      </c>
      <c r="E2346" s="181">
        <v>8792.3</v>
      </c>
      <c r="F2346" s="5"/>
      <c r="J2346" s="5"/>
      <c r="K2346" s="5"/>
    </row>
    <row r="2347" ht="16.5" customHeight="1" spans="4:11">
      <c r="D2347" s="180">
        <v>42779</v>
      </c>
      <c r="E2347" s="181">
        <v>8805.05</v>
      </c>
      <c r="F2347" s="5"/>
      <c r="J2347" s="5"/>
      <c r="K2347" s="5"/>
    </row>
    <row r="2348" ht="16.5" customHeight="1" spans="4:11">
      <c r="D2348" s="180">
        <v>42776</v>
      </c>
      <c r="E2348" s="181">
        <v>8793.55</v>
      </c>
      <c r="F2348" s="5"/>
      <c r="J2348" s="5"/>
      <c r="K2348" s="5"/>
    </row>
    <row r="2349" ht="16.5" customHeight="1" spans="4:11">
      <c r="D2349" s="180">
        <v>42775</v>
      </c>
      <c r="E2349" s="181">
        <v>8778.4</v>
      </c>
      <c r="F2349" s="5"/>
      <c r="J2349" s="5"/>
      <c r="K2349" s="5"/>
    </row>
    <row r="2350" ht="16.5" customHeight="1" spans="4:11">
      <c r="D2350" s="180">
        <v>42774</v>
      </c>
      <c r="E2350" s="181">
        <v>8769.05</v>
      </c>
      <c r="F2350" s="5"/>
      <c r="J2350" s="5"/>
      <c r="K2350" s="5"/>
    </row>
    <row r="2351" ht="16.5" customHeight="1" spans="4:11">
      <c r="D2351" s="180">
        <v>42773</v>
      </c>
      <c r="E2351" s="181">
        <v>8768.3</v>
      </c>
      <c r="F2351" s="5"/>
      <c r="J2351" s="5"/>
      <c r="K2351" s="5"/>
    </row>
    <row r="2352" ht="16.5" customHeight="1" spans="4:11">
      <c r="D2352" s="180">
        <v>42772</v>
      </c>
      <c r="E2352" s="181">
        <v>8801.05</v>
      </c>
      <c r="F2352" s="5"/>
      <c r="J2352" s="5"/>
      <c r="K2352" s="5"/>
    </row>
    <row r="2353" ht="16.5" customHeight="1" spans="4:11">
      <c r="D2353" s="180">
        <v>42769</v>
      </c>
      <c r="E2353" s="181">
        <v>8740.95</v>
      </c>
      <c r="F2353" s="5"/>
      <c r="J2353" s="5"/>
      <c r="K2353" s="5"/>
    </row>
    <row r="2354" ht="16.5" customHeight="1" spans="4:11">
      <c r="D2354" s="180">
        <v>42768</v>
      </c>
      <c r="E2354" s="181">
        <v>8734.25</v>
      </c>
      <c r="F2354" s="5"/>
      <c r="J2354" s="5"/>
      <c r="K2354" s="5"/>
    </row>
    <row r="2355" ht="16.5" customHeight="1" spans="4:11">
      <c r="D2355" s="180">
        <v>42767</v>
      </c>
      <c r="E2355" s="181">
        <v>8716.4</v>
      </c>
      <c r="F2355" s="5"/>
      <c r="J2355" s="5"/>
      <c r="K2355" s="5"/>
    </row>
    <row r="2356" ht="16.5" customHeight="1" spans="4:11">
      <c r="D2356" s="180">
        <v>42766</v>
      </c>
      <c r="E2356" s="181">
        <v>8561.3</v>
      </c>
      <c r="F2356" s="5"/>
      <c r="J2356" s="5"/>
      <c r="K2356" s="5"/>
    </row>
    <row r="2357" ht="16.5" customHeight="1" spans="4:11">
      <c r="D2357" s="180">
        <v>42765</v>
      </c>
      <c r="E2357" s="181">
        <v>8632.75</v>
      </c>
      <c r="F2357" s="5"/>
      <c r="J2357" s="5"/>
      <c r="K2357" s="5"/>
    </row>
    <row r="2358" ht="16.5" customHeight="1" spans="4:11">
      <c r="D2358" s="180">
        <v>42762</v>
      </c>
      <c r="E2358" s="181">
        <v>8641.25</v>
      </c>
      <c r="F2358" s="5"/>
      <c r="J2358" s="5"/>
      <c r="K2358" s="5"/>
    </row>
    <row r="2359" ht="16.5" customHeight="1" spans="4:11">
      <c r="D2359" s="180">
        <v>42760</v>
      </c>
      <c r="E2359" s="181">
        <v>8602.75</v>
      </c>
      <c r="F2359" s="5"/>
      <c r="J2359" s="5"/>
      <c r="K2359" s="5"/>
    </row>
    <row r="2360" ht="16.5" customHeight="1" spans="4:11">
      <c r="D2360" s="180">
        <v>42759</v>
      </c>
      <c r="E2360" s="181">
        <v>8475.8</v>
      </c>
      <c r="F2360" s="5"/>
      <c r="J2360" s="5"/>
      <c r="K2360" s="5"/>
    </row>
    <row r="2361" ht="16.5" customHeight="1" spans="4:11">
      <c r="D2361" s="180">
        <v>42758</v>
      </c>
      <c r="E2361" s="181">
        <v>8391.5</v>
      </c>
      <c r="F2361" s="5"/>
      <c r="J2361" s="5"/>
      <c r="K2361" s="5"/>
    </row>
    <row r="2362" ht="16.5" customHeight="1" spans="4:11">
      <c r="D2362" s="180">
        <v>42755</v>
      </c>
      <c r="E2362" s="181">
        <v>8349.35</v>
      </c>
      <c r="F2362" s="5"/>
      <c r="J2362" s="5"/>
      <c r="K2362" s="5"/>
    </row>
    <row r="2363" ht="16.5" customHeight="1" spans="4:11">
      <c r="D2363" s="180">
        <v>42754</v>
      </c>
      <c r="E2363" s="181">
        <v>8435.1</v>
      </c>
      <c r="F2363" s="5"/>
      <c r="J2363" s="5"/>
      <c r="K2363" s="5"/>
    </row>
    <row r="2364" ht="16.5" customHeight="1" spans="4:11">
      <c r="D2364" s="180">
        <v>42753</v>
      </c>
      <c r="E2364" s="181">
        <v>8417</v>
      </c>
      <c r="F2364" s="5"/>
      <c r="J2364" s="5"/>
      <c r="K2364" s="5"/>
    </row>
    <row r="2365" ht="16.5" customHeight="1" spans="4:11">
      <c r="D2365" s="180">
        <v>42752</v>
      </c>
      <c r="E2365" s="181">
        <v>8398</v>
      </c>
      <c r="F2365" s="5"/>
      <c r="J2365" s="5"/>
      <c r="K2365" s="5"/>
    </row>
    <row r="2366" ht="16.5" customHeight="1" spans="4:11">
      <c r="D2366" s="180">
        <v>42751</v>
      </c>
      <c r="E2366" s="181">
        <v>8412.8</v>
      </c>
      <c r="F2366" s="5"/>
      <c r="J2366" s="5"/>
      <c r="K2366" s="5"/>
    </row>
    <row r="2367" ht="16.5" customHeight="1" spans="4:11">
      <c r="D2367" s="180">
        <v>42748</v>
      </c>
      <c r="E2367" s="181">
        <v>8400.35</v>
      </c>
      <c r="F2367" s="5"/>
      <c r="J2367" s="5"/>
      <c r="K2367" s="5"/>
    </row>
    <row r="2368" ht="16.5" customHeight="1" spans="4:11">
      <c r="D2368" s="180">
        <v>42747</v>
      </c>
      <c r="E2368" s="181">
        <v>8407.2</v>
      </c>
      <c r="F2368" s="5"/>
      <c r="J2368" s="5"/>
      <c r="K2368" s="5"/>
    </row>
    <row r="2369" ht="16.5" customHeight="1" spans="4:11">
      <c r="D2369" s="180">
        <v>42746</v>
      </c>
      <c r="E2369" s="181">
        <v>8380.65</v>
      </c>
      <c r="F2369" s="5"/>
      <c r="J2369" s="5"/>
      <c r="K2369" s="5"/>
    </row>
    <row r="2370" ht="16.5" customHeight="1" spans="4:11">
      <c r="D2370" s="180">
        <v>42745</v>
      </c>
      <c r="E2370" s="181">
        <v>8288.6</v>
      </c>
      <c r="F2370" s="5"/>
      <c r="J2370" s="5"/>
      <c r="K2370" s="5"/>
    </row>
    <row r="2371" ht="16.5" customHeight="1" spans="4:11">
      <c r="D2371" s="180">
        <v>42744</v>
      </c>
      <c r="E2371" s="181">
        <v>8236.05</v>
      </c>
      <c r="F2371" s="5"/>
      <c r="J2371" s="5"/>
      <c r="K2371" s="5"/>
    </row>
    <row r="2372" ht="16.5" customHeight="1" spans="4:11">
      <c r="D2372" s="180">
        <v>42741</v>
      </c>
      <c r="E2372" s="181">
        <v>8243.8</v>
      </c>
      <c r="F2372" s="5"/>
      <c r="J2372" s="5"/>
      <c r="K2372" s="5"/>
    </row>
    <row r="2373" ht="16.5" customHeight="1" spans="4:11">
      <c r="D2373" s="180">
        <v>42740</v>
      </c>
      <c r="E2373" s="181">
        <v>8273.8</v>
      </c>
      <c r="F2373" s="5"/>
      <c r="J2373" s="5"/>
      <c r="K2373" s="5"/>
    </row>
    <row r="2374" ht="16.5" customHeight="1" spans="4:11">
      <c r="D2374" s="180">
        <v>42739</v>
      </c>
      <c r="E2374" s="181">
        <v>8190.5</v>
      </c>
      <c r="F2374" s="5"/>
      <c r="J2374" s="5"/>
      <c r="K2374" s="5"/>
    </row>
    <row r="2375" ht="16.5" customHeight="1" spans="4:11">
      <c r="D2375" s="180">
        <v>42738</v>
      </c>
      <c r="E2375" s="181">
        <v>8192.25</v>
      </c>
      <c r="F2375" s="5"/>
      <c r="J2375" s="5"/>
      <c r="K2375" s="5"/>
    </row>
    <row r="2376" ht="16.5" customHeight="1" spans="4:11">
      <c r="D2376" s="180">
        <v>42737</v>
      </c>
      <c r="E2376" s="181">
        <v>8179.5</v>
      </c>
      <c r="F2376" s="5"/>
      <c r="J2376" s="5"/>
      <c r="K2376" s="5"/>
    </row>
    <row r="2377" ht="16.5" customHeight="1" spans="4:11">
      <c r="D2377" s="180">
        <v>42734</v>
      </c>
      <c r="E2377" s="181">
        <v>8185.8</v>
      </c>
      <c r="F2377" s="5"/>
      <c r="J2377" s="5"/>
      <c r="K2377" s="5"/>
    </row>
    <row r="2378" ht="16.5" customHeight="1" spans="4:11">
      <c r="D2378" s="180">
        <v>42733</v>
      </c>
      <c r="E2378" s="181">
        <v>8103.6</v>
      </c>
      <c r="F2378" s="5"/>
      <c r="J2378" s="5"/>
      <c r="K2378" s="5"/>
    </row>
    <row r="2379" ht="16.5" customHeight="1" spans="4:11">
      <c r="D2379" s="180">
        <v>42732</v>
      </c>
      <c r="E2379" s="181">
        <v>8034.85</v>
      </c>
      <c r="F2379" s="5"/>
      <c r="J2379" s="5"/>
      <c r="K2379" s="5"/>
    </row>
    <row r="2380" ht="16.5" customHeight="1" spans="4:11">
      <c r="D2380" s="180">
        <v>42731</v>
      </c>
      <c r="E2380" s="181">
        <v>8032.85</v>
      </c>
      <c r="F2380" s="5"/>
      <c r="J2380" s="5"/>
      <c r="K2380" s="5"/>
    </row>
    <row r="2381" ht="16.5" customHeight="1" spans="4:11">
      <c r="D2381" s="180">
        <v>42730</v>
      </c>
      <c r="E2381" s="181">
        <v>7908.25</v>
      </c>
      <c r="F2381" s="5"/>
      <c r="J2381" s="5"/>
      <c r="K2381" s="5"/>
    </row>
    <row r="2382" ht="16.5" customHeight="1" spans="4:11">
      <c r="D2382" s="180">
        <v>42727</v>
      </c>
      <c r="E2382" s="181">
        <v>7985.75</v>
      </c>
      <c r="F2382" s="5"/>
      <c r="J2382" s="5"/>
      <c r="K2382" s="5"/>
    </row>
    <row r="2383" ht="16.5" customHeight="1" spans="4:11">
      <c r="D2383" s="180">
        <v>42726</v>
      </c>
      <c r="E2383" s="181">
        <v>7979.1</v>
      </c>
      <c r="F2383" s="5"/>
      <c r="J2383" s="5"/>
      <c r="K2383" s="5"/>
    </row>
    <row r="2384" ht="16.5" customHeight="1" spans="4:11">
      <c r="D2384" s="180">
        <v>42725</v>
      </c>
      <c r="E2384" s="181">
        <v>8061.3</v>
      </c>
      <c r="F2384" s="5"/>
      <c r="J2384" s="5"/>
      <c r="K2384" s="5"/>
    </row>
    <row r="2385" ht="16.5" customHeight="1" spans="4:11">
      <c r="D2385" s="180">
        <v>42724</v>
      </c>
      <c r="E2385" s="181">
        <v>8082.4</v>
      </c>
      <c r="F2385" s="5"/>
      <c r="J2385" s="5"/>
      <c r="K2385" s="5"/>
    </row>
    <row r="2386" ht="16.5" customHeight="1" spans="4:11">
      <c r="D2386" s="180">
        <v>42723</v>
      </c>
      <c r="E2386" s="181">
        <v>8104.35</v>
      </c>
      <c r="F2386" s="5"/>
      <c r="J2386" s="5"/>
      <c r="K2386" s="5"/>
    </row>
    <row r="2387" ht="16.5" customHeight="1" spans="4:11">
      <c r="D2387" s="180">
        <v>42720</v>
      </c>
      <c r="E2387" s="181">
        <v>8139.45</v>
      </c>
      <c r="F2387" s="5"/>
      <c r="J2387" s="5"/>
      <c r="K2387" s="5"/>
    </row>
    <row r="2388" ht="16.5" customHeight="1" spans="4:11">
      <c r="D2388" s="180">
        <v>42719</v>
      </c>
      <c r="E2388" s="181">
        <v>8153.6</v>
      </c>
      <c r="F2388" s="5"/>
      <c r="J2388" s="5"/>
      <c r="K2388" s="5"/>
    </row>
    <row r="2389" ht="16.5" customHeight="1" spans="4:11">
      <c r="D2389" s="180">
        <v>42718</v>
      </c>
      <c r="E2389" s="181">
        <v>8182.45</v>
      </c>
      <c r="F2389" s="5"/>
      <c r="J2389" s="5"/>
      <c r="K2389" s="5"/>
    </row>
    <row r="2390" ht="16.5" customHeight="1" spans="4:11">
      <c r="D2390" s="180">
        <v>42717</v>
      </c>
      <c r="E2390" s="181">
        <v>8221.8</v>
      </c>
      <c r="F2390" s="5"/>
      <c r="J2390" s="5"/>
      <c r="K2390" s="5"/>
    </row>
    <row r="2391" ht="16.5" customHeight="1" spans="4:11">
      <c r="D2391" s="180">
        <v>42716</v>
      </c>
      <c r="E2391" s="181">
        <v>8170.8</v>
      </c>
      <c r="F2391" s="5"/>
      <c r="J2391" s="5"/>
      <c r="K2391" s="5"/>
    </row>
    <row r="2392" ht="16.5" customHeight="1" spans="4:11">
      <c r="D2392" s="180">
        <v>42713</v>
      </c>
      <c r="E2392" s="181">
        <v>8261.75</v>
      </c>
      <c r="F2392" s="5"/>
      <c r="J2392" s="5"/>
      <c r="K2392" s="5"/>
    </row>
    <row r="2393" ht="16.5" customHeight="1" spans="4:11">
      <c r="D2393" s="180">
        <v>42712</v>
      </c>
      <c r="E2393" s="181">
        <v>8246.85</v>
      </c>
      <c r="F2393" s="5"/>
      <c r="J2393" s="5"/>
      <c r="K2393" s="5"/>
    </row>
    <row r="2394" ht="16.5" customHeight="1" spans="4:11">
      <c r="D2394" s="180">
        <v>42711</v>
      </c>
      <c r="E2394" s="181">
        <v>8102.05</v>
      </c>
      <c r="F2394" s="5"/>
      <c r="J2394" s="5"/>
      <c r="K2394" s="5"/>
    </row>
    <row r="2395" ht="16.5" customHeight="1" spans="4:11">
      <c r="D2395" s="180">
        <v>42710</v>
      </c>
      <c r="E2395" s="181">
        <v>8143.15</v>
      </c>
      <c r="F2395" s="5"/>
      <c r="J2395" s="5"/>
      <c r="K2395" s="5"/>
    </row>
    <row r="2396" ht="16.5" customHeight="1" spans="4:11">
      <c r="D2396" s="180">
        <v>42709</v>
      </c>
      <c r="E2396" s="181">
        <v>8128.75</v>
      </c>
      <c r="F2396" s="5"/>
      <c r="J2396" s="5"/>
      <c r="K2396" s="5"/>
    </row>
    <row r="2397" ht="16.5" customHeight="1" spans="4:11">
      <c r="D2397" s="180">
        <v>42706</v>
      </c>
      <c r="E2397" s="181">
        <v>8086.8</v>
      </c>
      <c r="F2397" s="5"/>
      <c r="J2397" s="5"/>
      <c r="K2397" s="5"/>
    </row>
    <row r="2398" ht="16.5" customHeight="1" spans="4:11">
      <c r="D2398" s="180">
        <v>42705</v>
      </c>
      <c r="E2398" s="181">
        <v>8192.9</v>
      </c>
      <c r="F2398" s="5"/>
      <c r="J2398" s="5"/>
      <c r="K2398" s="5"/>
    </row>
    <row r="2399" ht="16.5" customHeight="1" spans="4:11">
      <c r="D2399" s="180">
        <v>42704</v>
      </c>
      <c r="E2399" s="181">
        <v>8224.5</v>
      </c>
      <c r="F2399" s="5"/>
      <c r="J2399" s="5"/>
      <c r="K2399" s="5"/>
    </row>
    <row r="2400" ht="16.5" customHeight="1" spans="4:11">
      <c r="D2400" s="180">
        <v>42703</v>
      </c>
      <c r="E2400" s="181">
        <v>8142.15</v>
      </c>
      <c r="F2400" s="5"/>
      <c r="J2400" s="5"/>
      <c r="K2400" s="5"/>
    </row>
    <row r="2401" ht="16.5" customHeight="1" spans="4:11">
      <c r="D2401" s="180">
        <v>42702</v>
      </c>
      <c r="E2401" s="181">
        <v>8126.9</v>
      </c>
      <c r="F2401" s="5"/>
      <c r="J2401" s="5"/>
      <c r="K2401" s="5"/>
    </row>
    <row r="2402" ht="16.5" customHeight="1" spans="4:11">
      <c r="D2402" s="180">
        <v>42699</v>
      </c>
      <c r="E2402" s="181">
        <v>8114.3</v>
      </c>
      <c r="F2402" s="5"/>
      <c r="J2402" s="5"/>
      <c r="K2402" s="5"/>
    </row>
    <row r="2403" ht="16.5" customHeight="1" spans="4:11">
      <c r="D2403" s="180">
        <v>42698</v>
      </c>
      <c r="E2403" s="181">
        <v>7965.5</v>
      </c>
      <c r="F2403" s="5"/>
      <c r="J2403" s="5"/>
      <c r="K2403" s="5"/>
    </row>
    <row r="2404" ht="16.5" customHeight="1" spans="4:11">
      <c r="D2404" s="180">
        <v>42697</v>
      </c>
      <c r="E2404" s="181">
        <v>8033.3</v>
      </c>
      <c r="F2404" s="5"/>
      <c r="J2404" s="5"/>
      <c r="K2404" s="5"/>
    </row>
    <row r="2405" ht="16.5" customHeight="1" spans="4:11">
      <c r="D2405" s="180">
        <v>42696</v>
      </c>
      <c r="E2405" s="181">
        <v>8002.3</v>
      </c>
      <c r="F2405" s="5"/>
      <c r="J2405" s="5"/>
      <c r="K2405" s="5"/>
    </row>
    <row r="2406" ht="16.5" customHeight="1" spans="4:11">
      <c r="D2406" s="180">
        <v>42695</v>
      </c>
      <c r="E2406" s="181">
        <v>7929.1</v>
      </c>
      <c r="F2406" s="5"/>
      <c r="J2406" s="5"/>
      <c r="K2406" s="5"/>
    </row>
    <row r="2407" ht="16.5" customHeight="1" spans="4:11">
      <c r="D2407" s="180">
        <v>42692</v>
      </c>
      <c r="E2407" s="181">
        <v>8074.1</v>
      </c>
      <c r="F2407" s="5"/>
      <c r="J2407" s="5"/>
      <c r="K2407" s="5"/>
    </row>
    <row r="2408" ht="16.5" customHeight="1" spans="4:11">
      <c r="D2408" s="180">
        <v>42691</v>
      </c>
      <c r="E2408" s="181">
        <v>8079.95</v>
      </c>
      <c r="F2408" s="5"/>
      <c r="J2408" s="5"/>
      <c r="K2408" s="5"/>
    </row>
    <row r="2409" ht="16.5" customHeight="1" spans="4:11">
      <c r="D2409" s="180">
        <v>42690</v>
      </c>
      <c r="E2409" s="181">
        <v>8111.6</v>
      </c>
      <c r="F2409" s="5"/>
      <c r="J2409" s="5"/>
      <c r="K2409" s="5"/>
    </row>
    <row r="2410" ht="16.5" customHeight="1" spans="4:11">
      <c r="D2410" s="180">
        <v>42689</v>
      </c>
      <c r="E2410" s="181">
        <v>8108.45</v>
      </c>
      <c r="F2410" s="5"/>
      <c r="J2410" s="5"/>
      <c r="K2410" s="5"/>
    </row>
    <row r="2411" ht="16.5" customHeight="1" spans="4:11">
      <c r="D2411" s="180">
        <v>42685</v>
      </c>
      <c r="E2411" s="181">
        <v>8296.3</v>
      </c>
      <c r="F2411" s="5"/>
      <c r="J2411" s="5"/>
      <c r="K2411" s="5"/>
    </row>
    <row r="2412" ht="16.5" customHeight="1" spans="4:11">
      <c r="D2412" s="180">
        <v>42684</v>
      </c>
      <c r="E2412" s="181">
        <v>8525.75</v>
      </c>
      <c r="F2412" s="5"/>
      <c r="J2412" s="5"/>
      <c r="K2412" s="5"/>
    </row>
    <row r="2413" ht="16.5" customHeight="1" spans="4:11">
      <c r="D2413" s="180">
        <v>42683</v>
      </c>
      <c r="E2413" s="181">
        <v>8432</v>
      </c>
      <c r="F2413" s="5"/>
      <c r="J2413" s="5"/>
      <c r="K2413" s="5"/>
    </row>
    <row r="2414" ht="16.5" customHeight="1" spans="4:11">
      <c r="D2414" s="180">
        <v>42682</v>
      </c>
      <c r="E2414" s="181">
        <v>8543.55</v>
      </c>
      <c r="F2414" s="5"/>
      <c r="J2414" s="5"/>
      <c r="K2414" s="5"/>
    </row>
    <row r="2415" ht="16.5" customHeight="1" spans="4:11">
      <c r="D2415" s="180">
        <v>42681</v>
      </c>
      <c r="E2415" s="181">
        <v>8497.05</v>
      </c>
      <c r="F2415" s="5"/>
      <c r="J2415" s="5"/>
      <c r="K2415" s="5"/>
    </row>
    <row r="2416" ht="16.5" customHeight="1" spans="4:11">
      <c r="D2416" s="180">
        <v>42678</v>
      </c>
      <c r="E2416" s="181">
        <v>8433.75</v>
      </c>
      <c r="F2416" s="5"/>
      <c r="J2416" s="5"/>
      <c r="K2416" s="5"/>
    </row>
    <row r="2417" ht="16.5" customHeight="1" spans="4:11">
      <c r="D2417" s="180">
        <v>42677</v>
      </c>
      <c r="E2417" s="181">
        <v>8484.95</v>
      </c>
      <c r="F2417" s="5"/>
      <c r="J2417" s="5"/>
      <c r="K2417" s="5"/>
    </row>
    <row r="2418" ht="16.5" customHeight="1" spans="4:11">
      <c r="D2418" s="180">
        <v>42676</v>
      </c>
      <c r="E2418" s="181">
        <v>8514</v>
      </c>
      <c r="F2418" s="5"/>
      <c r="J2418" s="5"/>
      <c r="K2418" s="5"/>
    </row>
    <row r="2419" ht="16.5" customHeight="1" spans="4:11">
      <c r="D2419" s="180">
        <v>42675</v>
      </c>
      <c r="E2419" s="181">
        <v>8626.25</v>
      </c>
      <c r="F2419" s="5"/>
      <c r="J2419" s="5"/>
      <c r="K2419" s="5"/>
    </row>
    <row r="2420" ht="16.5" customHeight="1" spans="4:11">
      <c r="D2420" s="180">
        <v>42673</v>
      </c>
      <c r="E2420" s="181">
        <v>8625.7</v>
      </c>
      <c r="F2420" s="5"/>
      <c r="J2420" s="5"/>
      <c r="K2420" s="5"/>
    </row>
    <row r="2421" ht="16.5" customHeight="1" spans="4:11">
      <c r="D2421" s="180">
        <v>42671</v>
      </c>
      <c r="E2421" s="181">
        <v>8638</v>
      </c>
      <c r="F2421" s="5"/>
      <c r="J2421" s="5"/>
      <c r="K2421" s="5"/>
    </row>
    <row r="2422" ht="16.5" customHeight="1" spans="4:11">
      <c r="D2422" s="180">
        <v>42670</v>
      </c>
      <c r="E2422" s="181">
        <v>8615.25</v>
      </c>
      <c r="F2422" s="5"/>
      <c r="J2422" s="5"/>
      <c r="K2422" s="5"/>
    </row>
    <row r="2423" ht="16.5" customHeight="1" spans="4:11">
      <c r="D2423" s="180">
        <v>42669</v>
      </c>
      <c r="E2423" s="181">
        <v>8615.25</v>
      </c>
      <c r="F2423" s="5"/>
      <c r="J2423" s="5"/>
      <c r="K2423" s="5"/>
    </row>
    <row r="2424" ht="16.5" customHeight="1" spans="4:11">
      <c r="D2424" s="180">
        <v>42668</v>
      </c>
      <c r="E2424" s="181">
        <v>8691.3</v>
      </c>
      <c r="F2424" s="5"/>
      <c r="J2424" s="5"/>
      <c r="K2424" s="5"/>
    </row>
    <row r="2425" ht="16.5" customHeight="1" spans="4:11">
      <c r="D2425" s="180">
        <v>42667</v>
      </c>
      <c r="E2425" s="181">
        <v>8708.95</v>
      </c>
      <c r="F2425" s="5"/>
      <c r="J2425" s="5"/>
      <c r="K2425" s="5"/>
    </row>
    <row r="2426" ht="16.5" customHeight="1" spans="4:11">
      <c r="D2426" s="180">
        <v>42664</v>
      </c>
      <c r="E2426" s="181">
        <v>8693.05</v>
      </c>
      <c r="F2426" s="5"/>
      <c r="J2426" s="5"/>
      <c r="K2426" s="5"/>
    </row>
    <row r="2427" ht="16.5" customHeight="1" spans="4:11">
      <c r="D2427" s="180">
        <v>42663</v>
      </c>
      <c r="E2427" s="181">
        <v>8699.4</v>
      </c>
      <c r="F2427" s="5"/>
      <c r="J2427" s="5"/>
      <c r="K2427" s="5"/>
    </row>
    <row r="2428" ht="16.5" customHeight="1" spans="4:11">
      <c r="D2428" s="180">
        <v>42662</v>
      </c>
      <c r="E2428" s="181">
        <v>8659.1</v>
      </c>
      <c r="F2428" s="5"/>
      <c r="J2428" s="5"/>
      <c r="K2428" s="5"/>
    </row>
    <row r="2429" ht="16.5" customHeight="1" spans="4:11">
      <c r="D2429" s="180">
        <v>42661</v>
      </c>
      <c r="E2429" s="181">
        <v>8677.9</v>
      </c>
      <c r="F2429" s="5"/>
      <c r="J2429" s="5"/>
      <c r="K2429" s="5"/>
    </row>
    <row r="2430" ht="16.5" customHeight="1" spans="4:11">
      <c r="D2430" s="180">
        <v>42660</v>
      </c>
      <c r="E2430" s="181">
        <v>8520.4</v>
      </c>
      <c r="F2430" s="5"/>
      <c r="J2430" s="5"/>
      <c r="K2430" s="5"/>
    </row>
    <row r="2431" ht="16.5" customHeight="1" spans="4:11">
      <c r="D2431" s="180">
        <v>42657</v>
      </c>
      <c r="E2431" s="181">
        <v>8583.4</v>
      </c>
      <c r="F2431" s="5"/>
      <c r="J2431" s="5"/>
      <c r="K2431" s="5"/>
    </row>
    <row r="2432" ht="16.5" customHeight="1" spans="4:11">
      <c r="D2432" s="180">
        <v>42656</v>
      </c>
      <c r="E2432" s="181">
        <v>8573.35</v>
      </c>
      <c r="F2432" s="5"/>
      <c r="J2432" s="5"/>
      <c r="K2432" s="5"/>
    </row>
    <row r="2433" ht="16.5" customHeight="1" spans="4:11">
      <c r="D2433" s="180">
        <v>42653</v>
      </c>
      <c r="E2433" s="181">
        <v>8708.8</v>
      </c>
      <c r="F2433" s="5"/>
      <c r="J2433" s="5"/>
      <c r="K2433" s="5"/>
    </row>
    <row r="2434" ht="16.5" customHeight="1" spans="4:11">
      <c r="D2434" s="180">
        <v>42650</v>
      </c>
      <c r="E2434" s="181">
        <v>8697.6</v>
      </c>
      <c r="F2434" s="5"/>
      <c r="J2434" s="5"/>
      <c r="K2434" s="5"/>
    </row>
    <row r="2435" ht="16.5" customHeight="1" spans="4:11">
      <c r="D2435" s="180">
        <v>42649</v>
      </c>
      <c r="E2435" s="181">
        <v>8709.55</v>
      </c>
      <c r="F2435" s="5"/>
      <c r="J2435" s="5"/>
      <c r="K2435" s="5"/>
    </row>
    <row r="2436" ht="16.5" customHeight="1" spans="4:11">
      <c r="D2436" s="180">
        <v>42648</v>
      </c>
      <c r="E2436" s="181">
        <v>8743.95</v>
      </c>
      <c r="F2436" s="5"/>
      <c r="J2436" s="5"/>
      <c r="K2436" s="5"/>
    </row>
    <row r="2437" ht="16.5" customHeight="1" spans="4:11">
      <c r="D2437" s="180">
        <v>42647</v>
      </c>
      <c r="E2437" s="181">
        <v>8769.15</v>
      </c>
      <c r="F2437" s="5"/>
      <c r="J2437" s="5"/>
      <c r="K2437" s="5"/>
    </row>
    <row r="2438" ht="16.5" customHeight="1" spans="4:11">
      <c r="D2438" s="180">
        <v>42646</v>
      </c>
      <c r="E2438" s="181">
        <v>8738.1</v>
      </c>
      <c r="F2438" s="5"/>
      <c r="J2438" s="5"/>
      <c r="K2438" s="5"/>
    </row>
    <row r="2439" ht="16.5" customHeight="1" spans="4:11">
      <c r="D2439" s="180">
        <v>42643</v>
      </c>
      <c r="E2439" s="181">
        <v>8611.15</v>
      </c>
      <c r="F2439" s="5"/>
      <c r="J2439" s="5"/>
      <c r="K2439" s="5"/>
    </row>
    <row r="2440" ht="16.5" customHeight="1" spans="4:11">
      <c r="D2440" s="180">
        <v>42642</v>
      </c>
      <c r="E2440" s="181">
        <v>8591.25</v>
      </c>
      <c r="F2440" s="5"/>
      <c r="J2440" s="5"/>
      <c r="K2440" s="5"/>
    </row>
    <row r="2441" ht="16.5" customHeight="1" spans="4:11">
      <c r="D2441" s="180">
        <v>42641</v>
      </c>
      <c r="E2441" s="181">
        <v>8745.15</v>
      </c>
      <c r="F2441" s="5"/>
      <c r="J2441" s="5"/>
      <c r="K2441" s="5"/>
    </row>
    <row r="2442" ht="16.5" customHeight="1" spans="4:11">
      <c r="D2442" s="180">
        <v>42640</v>
      </c>
      <c r="E2442" s="181">
        <v>8706.4</v>
      </c>
      <c r="F2442" s="5"/>
      <c r="J2442" s="5"/>
      <c r="K2442" s="5"/>
    </row>
    <row r="2443" ht="16.5" customHeight="1" spans="4:11">
      <c r="D2443" s="180">
        <v>42639</v>
      </c>
      <c r="E2443" s="181">
        <v>8723.05</v>
      </c>
      <c r="F2443" s="5"/>
      <c r="J2443" s="5"/>
      <c r="K2443" s="5"/>
    </row>
    <row r="2444" ht="16.5" customHeight="1" spans="4:11">
      <c r="D2444" s="180">
        <v>42636</v>
      </c>
      <c r="E2444" s="181">
        <v>8831.55</v>
      </c>
      <c r="F2444" s="5"/>
      <c r="J2444" s="5"/>
      <c r="K2444" s="5"/>
    </row>
    <row r="2445" ht="16.5" customHeight="1" spans="4:11">
      <c r="D2445" s="180">
        <v>42635</v>
      </c>
      <c r="E2445" s="181">
        <v>8867.45</v>
      </c>
      <c r="F2445" s="5"/>
      <c r="J2445" s="5"/>
      <c r="K2445" s="5"/>
    </row>
    <row r="2446" ht="16.5" customHeight="1" spans="4:11">
      <c r="D2446" s="180">
        <v>42634</v>
      </c>
      <c r="E2446" s="181">
        <v>8777.15</v>
      </c>
      <c r="F2446" s="5"/>
      <c r="J2446" s="5"/>
      <c r="K2446" s="5"/>
    </row>
    <row r="2447" ht="16.5" customHeight="1" spans="4:11">
      <c r="D2447" s="180">
        <v>42633</v>
      </c>
      <c r="E2447" s="181">
        <v>8775.9</v>
      </c>
      <c r="F2447" s="5"/>
      <c r="J2447" s="5"/>
      <c r="K2447" s="5"/>
    </row>
    <row r="2448" ht="16.5" customHeight="1" spans="4:11">
      <c r="D2448" s="180">
        <v>42632</v>
      </c>
      <c r="E2448" s="181">
        <v>8808.4</v>
      </c>
      <c r="F2448" s="5"/>
      <c r="J2448" s="5"/>
      <c r="K2448" s="5"/>
    </row>
    <row r="2449" ht="16.5" customHeight="1" spans="4:11">
      <c r="D2449" s="180">
        <v>42629</v>
      </c>
      <c r="E2449" s="181">
        <v>8779.85</v>
      </c>
      <c r="F2449" s="5"/>
      <c r="J2449" s="5"/>
      <c r="K2449" s="5"/>
    </row>
    <row r="2450" ht="16.5" customHeight="1" spans="4:11">
      <c r="D2450" s="180">
        <v>42628</v>
      </c>
      <c r="E2450" s="181">
        <v>8742.55</v>
      </c>
      <c r="F2450" s="5"/>
      <c r="J2450" s="5"/>
      <c r="K2450" s="5"/>
    </row>
    <row r="2451" ht="16.5" customHeight="1" spans="4:11">
      <c r="D2451" s="180">
        <v>42627</v>
      </c>
      <c r="E2451" s="181">
        <v>8726.6</v>
      </c>
      <c r="F2451" s="5"/>
      <c r="J2451" s="5"/>
      <c r="K2451" s="5"/>
    </row>
    <row r="2452" ht="16.5" customHeight="1" spans="4:11">
      <c r="D2452" s="180">
        <v>42625</v>
      </c>
      <c r="E2452" s="181">
        <v>8715.6</v>
      </c>
      <c r="F2452" s="5"/>
      <c r="J2452" s="5"/>
      <c r="K2452" s="5"/>
    </row>
    <row r="2453" ht="16.5" customHeight="1" spans="4:11">
      <c r="D2453" s="180">
        <v>42622</v>
      </c>
      <c r="E2453" s="181">
        <v>8866.7</v>
      </c>
      <c r="F2453" s="5"/>
      <c r="J2453" s="5"/>
      <c r="K2453" s="5"/>
    </row>
    <row r="2454" ht="16.5" customHeight="1" spans="4:11">
      <c r="D2454" s="180">
        <v>42621</v>
      </c>
      <c r="E2454" s="181">
        <v>8952.5</v>
      </c>
      <c r="F2454" s="5"/>
      <c r="J2454" s="5"/>
      <c r="K2454" s="5"/>
    </row>
    <row r="2455" ht="16.5" customHeight="1" spans="4:11">
      <c r="D2455" s="180">
        <v>42620</v>
      </c>
      <c r="E2455" s="181">
        <v>8917.95</v>
      </c>
      <c r="F2455" s="5"/>
      <c r="J2455" s="5"/>
      <c r="K2455" s="5"/>
    </row>
    <row r="2456" ht="16.5" customHeight="1" spans="4:11">
      <c r="D2456" s="180">
        <v>42619</v>
      </c>
      <c r="E2456" s="181">
        <v>8943</v>
      </c>
      <c r="F2456" s="5"/>
      <c r="J2456" s="5"/>
      <c r="K2456" s="5"/>
    </row>
    <row r="2457" ht="16.5" customHeight="1" spans="4:11">
      <c r="D2457" s="180">
        <v>42615</v>
      </c>
      <c r="E2457" s="181">
        <v>8809.65</v>
      </c>
      <c r="F2457" s="5"/>
      <c r="J2457" s="5"/>
      <c r="K2457" s="5"/>
    </row>
    <row r="2458" ht="16.5" customHeight="1" spans="4:11">
      <c r="D2458" s="180">
        <v>42614</v>
      </c>
      <c r="E2458" s="181">
        <v>8774.65</v>
      </c>
      <c r="F2458" s="5"/>
      <c r="J2458" s="5"/>
      <c r="K2458" s="5"/>
    </row>
    <row r="2459" ht="16.5" customHeight="1" spans="4:11">
      <c r="D2459" s="180">
        <v>42613</v>
      </c>
      <c r="E2459" s="181">
        <v>8786.2</v>
      </c>
      <c r="F2459" s="5"/>
      <c r="J2459" s="5"/>
      <c r="K2459" s="5"/>
    </row>
    <row r="2460" ht="16.5" customHeight="1" spans="4:11">
      <c r="D2460" s="180">
        <v>42612</v>
      </c>
      <c r="E2460" s="181">
        <v>8744.35</v>
      </c>
      <c r="F2460" s="5"/>
      <c r="J2460" s="5"/>
      <c r="K2460" s="5"/>
    </row>
    <row r="2461" ht="16.5" customHeight="1" spans="4:11">
      <c r="D2461" s="180">
        <v>42611</v>
      </c>
      <c r="E2461" s="181">
        <v>8607.45</v>
      </c>
      <c r="F2461" s="5"/>
      <c r="J2461" s="5"/>
      <c r="K2461" s="5"/>
    </row>
    <row r="2462" ht="16.5" customHeight="1" spans="4:11">
      <c r="D2462" s="180">
        <v>42608</v>
      </c>
      <c r="E2462" s="181">
        <v>8572.55</v>
      </c>
      <c r="F2462" s="5"/>
      <c r="J2462" s="5"/>
      <c r="K2462" s="5"/>
    </row>
    <row r="2463" ht="16.5" customHeight="1" spans="4:11">
      <c r="D2463" s="180">
        <v>42607</v>
      </c>
      <c r="E2463" s="181">
        <v>8592.2</v>
      </c>
      <c r="F2463" s="5"/>
      <c r="J2463" s="5"/>
      <c r="K2463" s="5"/>
    </row>
    <row r="2464" ht="16.5" customHeight="1" spans="4:11">
      <c r="D2464" s="180">
        <v>42606</v>
      </c>
      <c r="E2464" s="181">
        <v>8650.3</v>
      </c>
      <c r="F2464" s="5"/>
      <c r="J2464" s="5"/>
      <c r="K2464" s="5"/>
    </row>
    <row r="2465" ht="16.5" customHeight="1" spans="4:11">
      <c r="D2465" s="180">
        <v>42605</v>
      </c>
      <c r="E2465" s="181">
        <v>8632.6</v>
      </c>
      <c r="F2465" s="5"/>
      <c r="J2465" s="5"/>
      <c r="K2465" s="5"/>
    </row>
    <row r="2466" ht="16.5" customHeight="1" spans="4:11">
      <c r="D2466" s="180">
        <v>42604</v>
      </c>
      <c r="E2466" s="181">
        <v>8629.15</v>
      </c>
      <c r="F2466" s="5"/>
      <c r="J2466" s="5"/>
      <c r="K2466" s="5"/>
    </row>
    <row r="2467" ht="16.5" customHeight="1" spans="4:11">
      <c r="D2467" s="180">
        <v>42601</v>
      </c>
      <c r="E2467" s="181">
        <v>8666.9</v>
      </c>
      <c r="F2467" s="5"/>
      <c r="J2467" s="5"/>
      <c r="K2467" s="5"/>
    </row>
    <row r="2468" ht="16.5" customHeight="1" spans="4:11">
      <c r="D2468" s="180">
        <v>42600</v>
      </c>
      <c r="E2468" s="181">
        <v>8673.25</v>
      </c>
      <c r="F2468" s="5"/>
      <c r="J2468" s="5"/>
      <c r="K2468" s="5"/>
    </row>
    <row r="2469" ht="16.5" customHeight="1" spans="4:11">
      <c r="D2469" s="180">
        <v>42599</v>
      </c>
      <c r="E2469" s="181">
        <v>8624.05</v>
      </c>
      <c r="F2469" s="5"/>
      <c r="J2469" s="5"/>
      <c r="K2469" s="5"/>
    </row>
    <row r="2470" ht="16.5" customHeight="1" spans="4:11">
      <c r="D2470" s="180">
        <v>42598</v>
      </c>
      <c r="E2470" s="181">
        <v>8642.55</v>
      </c>
      <c r="F2470" s="5"/>
      <c r="J2470" s="5"/>
      <c r="K2470" s="5"/>
    </row>
    <row r="2471" ht="16.5" customHeight="1" spans="4:11">
      <c r="D2471" s="180">
        <v>42594</v>
      </c>
      <c r="E2471" s="181">
        <v>8672.15</v>
      </c>
      <c r="F2471" s="5"/>
      <c r="J2471" s="5"/>
      <c r="K2471" s="5"/>
    </row>
    <row r="2472" ht="16.5" customHeight="1" spans="4:11">
      <c r="D2472" s="180">
        <v>42593</v>
      </c>
      <c r="E2472" s="181">
        <v>8592.15</v>
      </c>
      <c r="F2472" s="5"/>
      <c r="J2472" s="5"/>
      <c r="K2472" s="5"/>
    </row>
    <row r="2473" ht="16.5" customHeight="1" spans="4:11">
      <c r="D2473" s="180">
        <v>42592</v>
      </c>
      <c r="E2473" s="181">
        <v>8575.3</v>
      </c>
      <c r="F2473" s="5"/>
      <c r="J2473" s="5"/>
      <c r="K2473" s="5"/>
    </row>
    <row r="2474" ht="16.5" customHeight="1" spans="4:11">
      <c r="D2474" s="180">
        <v>42591</v>
      </c>
      <c r="E2474" s="181">
        <v>8678.25</v>
      </c>
      <c r="F2474" s="5"/>
      <c r="J2474" s="5"/>
      <c r="K2474" s="5"/>
    </row>
    <row r="2475" ht="16.5" customHeight="1" spans="4:11">
      <c r="D2475" s="180">
        <v>42590</v>
      </c>
      <c r="E2475" s="181">
        <v>8711.35</v>
      </c>
      <c r="F2475" s="5"/>
      <c r="J2475" s="5"/>
      <c r="K2475" s="5"/>
    </row>
    <row r="2476" ht="16.5" customHeight="1" spans="4:11">
      <c r="D2476" s="180">
        <v>42587</v>
      </c>
      <c r="E2476" s="181">
        <v>8683.15</v>
      </c>
      <c r="F2476" s="5"/>
      <c r="J2476" s="5"/>
      <c r="K2476" s="5"/>
    </row>
    <row r="2477" ht="16.5" customHeight="1" spans="4:11">
      <c r="D2477" s="180">
        <v>42586</v>
      </c>
      <c r="E2477" s="181">
        <v>8551.1</v>
      </c>
      <c r="F2477" s="5"/>
      <c r="J2477" s="5"/>
      <c r="K2477" s="5"/>
    </row>
    <row r="2478" ht="16.5" customHeight="1" spans="4:11">
      <c r="D2478" s="180">
        <v>42585</v>
      </c>
      <c r="E2478" s="181">
        <v>8544.85</v>
      </c>
      <c r="F2478" s="5"/>
      <c r="J2478" s="5"/>
      <c r="K2478" s="5"/>
    </row>
    <row r="2479" ht="16.5" customHeight="1" spans="4:11">
      <c r="D2479" s="180">
        <v>42584</v>
      </c>
      <c r="E2479" s="181">
        <v>8622.9</v>
      </c>
      <c r="F2479" s="5"/>
      <c r="J2479" s="5"/>
      <c r="K2479" s="5"/>
    </row>
    <row r="2480" ht="16.5" customHeight="1" spans="4:11">
      <c r="D2480" s="180">
        <v>42583</v>
      </c>
      <c r="E2480" s="181">
        <v>8636.55</v>
      </c>
      <c r="F2480" s="5"/>
      <c r="J2480" s="5"/>
      <c r="K2480" s="5"/>
    </row>
    <row r="2481" ht="16.5" customHeight="1" spans="4:11">
      <c r="D2481" s="180">
        <v>42580</v>
      </c>
      <c r="E2481" s="181">
        <v>8638.5</v>
      </c>
      <c r="F2481" s="5"/>
      <c r="J2481" s="5"/>
      <c r="K2481" s="5"/>
    </row>
    <row r="2482" ht="16.5" customHeight="1" spans="4:11">
      <c r="D2482" s="180">
        <v>42579</v>
      </c>
      <c r="E2482" s="181">
        <v>8666.3</v>
      </c>
      <c r="F2482" s="5"/>
      <c r="J2482" s="5"/>
      <c r="K2482" s="5"/>
    </row>
    <row r="2483" ht="16.5" customHeight="1" spans="4:11">
      <c r="D2483" s="180">
        <v>42578</v>
      </c>
      <c r="E2483" s="181">
        <v>8615.8</v>
      </c>
      <c r="F2483" s="5"/>
      <c r="J2483" s="5"/>
      <c r="K2483" s="5"/>
    </row>
    <row r="2484" ht="16.5" customHeight="1" spans="4:11">
      <c r="D2484" s="180">
        <v>42577</v>
      </c>
      <c r="E2484" s="181">
        <v>8590.65</v>
      </c>
      <c r="F2484" s="5"/>
      <c r="J2484" s="5"/>
      <c r="K2484" s="5"/>
    </row>
    <row r="2485" ht="16.5" customHeight="1" spans="4:11">
      <c r="D2485" s="180">
        <v>42576</v>
      </c>
      <c r="E2485" s="181">
        <v>8635.65</v>
      </c>
      <c r="F2485" s="5"/>
      <c r="J2485" s="5"/>
      <c r="K2485" s="5"/>
    </row>
    <row r="2486" ht="16.5" customHeight="1" spans="4:11">
      <c r="D2486" s="180">
        <v>42573</v>
      </c>
      <c r="E2486" s="181">
        <v>8541.2</v>
      </c>
      <c r="F2486" s="5"/>
      <c r="J2486" s="5"/>
      <c r="K2486" s="5"/>
    </row>
    <row r="2487" ht="16.5" customHeight="1" spans="4:11">
      <c r="D2487" s="180">
        <v>42572</v>
      </c>
      <c r="E2487" s="181">
        <v>8510.1</v>
      </c>
      <c r="F2487" s="5"/>
      <c r="J2487" s="5"/>
      <c r="K2487" s="5"/>
    </row>
    <row r="2488" ht="16.5" customHeight="1" spans="4:11">
      <c r="D2488" s="180">
        <v>42571</v>
      </c>
      <c r="E2488" s="181">
        <v>8565.85</v>
      </c>
      <c r="F2488" s="5"/>
      <c r="J2488" s="5"/>
      <c r="K2488" s="5"/>
    </row>
    <row r="2489" ht="16.5" customHeight="1" spans="4:11">
      <c r="D2489" s="180">
        <v>42570</v>
      </c>
      <c r="E2489" s="181">
        <v>8528.55</v>
      </c>
      <c r="F2489" s="5"/>
      <c r="J2489" s="5"/>
      <c r="K2489" s="5"/>
    </row>
    <row r="2490" ht="16.5" customHeight="1" spans="4:11">
      <c r="D2490" s="180">
        <v>42569</v>
      </c>
      <c r="E2490" s="181">
        <v>8508.7</v>
      </c>
      <c r="F2490" s="5"/>
      <c r="J2490" s="5"/>
      <c r="K2490" s="5"/>
    </row>
    <row r="2491" ht="16.5" customHeight="1" spans="4:11">
      <c r="D2491" s="180">
        <v>42566</v>
      </c>
      <c r="E2491" s="181">
        <v>8541.4</v>
      </c>
      <c r="F2491" s="5"/>
      <c r="J2491" s="5"/>
      <c r="K2491" s="5"/>
    </row>
    <row r="2492" ht="16.5" customHeight="1" spans="4:11">
      <c r="D2492" s="180">
        <v>42565</v>
      </c>
      <c r="E2492" s="181">
        <v>8565</v>
      </c>
      <c r="F2492" s="5"/>
      <c r="J2492" s="5"/>
      <c r="K2492" s="5"/>
    </row>
    <row r="2493" ht="16.5" customHeight="1" spans="4:11">
      <c r="D2493" s="180">
        <v>42564</v>
      </c>
      <c r="E2493" s="181">
        <v>8519.5</v>
      </c>
      <c r="F2493" s="5"/>
      <c r="J2493" s="5"/>
      <c r="K2493" s="5"/>
    </row>
    <row r="2494" ht="16.5" customHeight="1" spans="4:11">
      <c r="D2494" s="180">
        <v>42563</v>
      </c>
      <c r="E2494" s="181">
        <v>8521.05</v>
      </c>
      <c r="F2494" s="5"/>
      <c r="J2494" s="5"/>
      <c r="K2494" s="5"/>
    </row>
    <row r="2495" ht="16.5" customHeight="1" spans="4:11">
      <c r="D2495" s="180">
        <v>42562</v>
      </c>
      <c r="E2495" s="181">
        <v>8467.9</v>
      </c>
      <c r="F2495" s="5"/>
      <c r="J2495" s="5"/>
      <c r="K2495" s="5"/>
    </row>
    <row r="2496" ht="16.5" customHeight="1" spans="4:11">
      <c r="D2496" s="180">
        <v>42559</v>
      </c>
      <c r="E2496" s="181">
        <v>8323.2</v>
      </c>
      <c r="F2496" s="5"/>
      <c r="J2496" s="5"/>
      <c r="K2496" s="5"/>
    </row>
    <row r="2497" ht="16.5" customHeight="1" spans="4:11">
      <c r="D2497" s="180">
        <v>42558</v>
      </c>
      <c r="E2497" s="181">
        <v>8337.9</v>
      </c>
      <c r="F2497" s="5"/>
      <c r="J2497" s="5"/>
      <c r="K2497" s="5"/>
    </row>
    <row r="2498" ht="16.5" customHeight="1" spans="4:11">
      <c r="D2498" s="180">
        <v>42556</v>
      </c>
      <c r="E2498" s="181">
        <v>8335.95</v>
      </c>
      <c r="F2498" s="5"/>
      <c r="J2498" s="5"/>
      <c r="K2498" s="5"/>
    </row>
    <row r="2499" ht="16.5" customHeight="1" spans="4:11">
      <c r="D2499" s="180">
        <v>42555</v>
      </c>
      <c r="E2499" s="181">
        <v>8370.7</v>
      </c>
      <c r="F2499" s="5"/>
      <c r="J2499" s="5"/>
      <c r="K2499" s="5"/>
    </row>
    <row r="2500" ht="16.5" customHeight="1" spans="4:11">
      <c r="D2500" s="180">
        <v>42552</v>
      </c>
      <c r="E2500" s="181">
        <v>8328.35</v>
      </c>
      <c r="F2500" s="5"/>
      <c r="J2500" s="5"/>
      <c r="K2500" s="5"/>
    </row>
    <row r="2501" ht="16.5" customHeight="1" spans="4:11">
      <c r="D2501" s="180">
        <v>42551</v>
      </c>
      <c r="E2501" s="181">
        <v>8287.75</v>
      </c>
      <c r="F2501" s="5"/>
      <c r="J2501" s="5"/>
      <c r="K2501" s="5"/>
    </row>
    <row r="2502" ht="16.5" customHeight="1" spans="4:11">
      <c r="D2502" s="180">
        <v>42550</v>
      </c>
      <c r="E2502" s="181">
        <v>8204</v>
      </c>
      <c r="F2502" s="5"/>
      <c r="J2502" s="5"/>
      <c r="K2502" s="5"/>
    </row>
    <row r="2503" ht="16.5" customHeight="1" spans="4:11">
      <c r="D2503" s="180">
        <v>42549</v>
      </c>
      <c r="E2503" s="181">
        <v>8127.85</v>
      </c>
      <c r="F2503" s="5"/>
      <c r="J2503" s="5"/>
      <c r="K2503" s="5"/>
    </row>
    <row r="2504" ht="16.5" customHeight="1" spans="4:11">
      <c r="D2504" s="180">
        <v>42548</v>
      </c>
      <c r="E2504" s="181">
        <v>8094.7</v>
      </c>
      <c r="F2504" s="5"/>
      <c r="J2504" s="5"/>
      <c r="K2504" s="5"/>
    </row>
    <row r="2505" ht="16.5" customHeight="1" spans="4:11">
      <c r="D2505" s="180">
        <v>42545</v>
      </c>
      <c r="E2505" s="181">
        <v>8088.6</v>
      </c>
      <c r="F2505" s="5"/>
      <c r="J2505" s="5"/>
      <c r="K2505" s="5"/>
    </row>
    <row r="2506" ht="16.5" customHeight="1" spans="4:11">
      <c r="D2506" s="180">
        <v>42544</v>
      </c>
      <c r="E2506" s="181">
        <v>8270.45</v>
      </c>
      <c r="F2506" s="5"/>
      <c r="J2506" s="5"/>
      <c r="K2506" s="5"/>
    </row>
    <row r="2507" ht="16.5" customHeight="1" spans="4:11">
      <c r="D2507" s="180">
        <v>42543</v>
      </c>
      <c r="E2507" s="181">
        <v>8203.7</v>
      </c>
      <c r="F2507" s="5"/>
      <c r="J2507" s="5"/>
      <c r="K2507" s="5"/>
    </row>
    <row r="2508" ht="16.5" customHeight="1" spans="4:11">
      <c r="D2508" s="180">
        <v>42542</v>
      </c>
      <c r="E2508" s="181">
        <v>8219.9</v>
      </c>
      <c r="F2508" s="5"/>
      <c r="J2508" s="5"/>
      <c r="K2508" s="5"/>
    </row>
    <row r="2509" ht="16.5" customHeight="1" spans="4:11">
      <c r="D2509" s="180">
        <v>42541</v>
      </c>
      <c r="E2509" s="181">
        <v>8238.5</v>
      </c>
      <c r="F2509" s="5"/>
      <c r="J2509" s="5"/>
      <c r="K2509" s="5"/>
    </row>
    <row r="2510" ht="16.5" customHeight="1" spans="4:11">
      <c r="D2510" s="180">
        <v>42538</v>
      </c>
      <c r="E2510" s="181">
        <v>8170.2</v>
      </c>
      <c r="F2510" s="5"/>
      <c r="J2510" s="5"/>
      <c r="K2510" s="5"/>
    </row>
    <row r="2511" ht="16.5" customHeight="1" spans="4:11">
      <c r="D2511" s="180">
        <v>42537</v>
      </c>
      <c r="E2511" s="181">
        <v>8140.75</v>
      </c>
      <c r="F2511" s="5"/>
      <c r="J2511" s="5"/>
      <c r="K2511" s="5"/>
    </row>
    <row r="2512" ht="16.5" customHeight="1" spans="4:11">
      <c r="D2512" s="180">
        <v>42536</v>
      </c>
      <c r="E2512" s="181">
        <v>8206.6</v>
      </c>
      <c r="F2512" s="5"/>
      <c r="J2512" s="5"/>
      <c r="K2512" s="5"/>
    </row>
    <row r="2513" ht="16.5" customHeight="1" spans="4:11">
      <c r="D2513" s="180">
        <v>42535</v>
      </c>
      <c r="E2513" s="181">
        <v>8108.85</v>
      </c>
      <c r="F2513" s="5"/>
      <c r="J2513" s="5"/>
      <c r="K2513" s="5"/>
    </row>
    <row r="2514" ht="16.5" customHeight="1" spans="4:11">
      <c r="D2514" s="180">
        <v>42534</v>
      </c>
      <c r="E2514" s="181">
        <v>8110.6</v>
      </c>
      <c r="F2514" s="5"/>
      <c r="J2514" s="5"/>
      <c r="K2514" s="5"/>
    </row>
    <row r="2515" ht="16.5" customHeight="1" spans="4:11">
      <c r="D2515" s="180">
        <v>42531</v>
      </c>
      <c r="E2515" s="181">
        <v>8170.05</v>
      </c>
      <c r="F2515" s="5"/>
      <c r="J2515" s="5"/>
      <c r="K2515" s="5"/>
    </row>
    <row r="2516" ht="16.5" customHeight="1" spans="4:11">
      <c r="D2516" s="180">
        <v>42530</v>
      </c>
      <c r="E2516" s="181">
        <v>8203.6</v>
      </c>
      <c r="F2516" s="5"/>
      <c r="J2516" s="5"/>
      <c r="K2516" s="5"/>
    </row>
    <row r="2517" ht="16.5" customHeight="1" spans="4:11">
      <c r="D2517" s="180">
        <v>42529</v>
      </c>
      <c r="E2517" s="181">
        <v>8273.05</v>
      </c>
      <c r="F2517" s="5"/>
      <c r="J2517" s="5"/>
      <c r="K2517" s="5"/>
    </row>
    <row r="2518" ht="16.5" customHeight="1" spans="4:11">
      <c r="D2518" s="180">
        <v>42528</v>
      </c>
      <c r="E2518" s="181">
        <v>8266.45</v>
      </c>
      <c r="F2518" s="5"/>
      <c r="J2518" s="5"/>
      <c r="K2518" s="5"/>
    </row>
    <row r="2519" ht="16.5" customHeight="1" spans="4:11">
      <c r="D2519" s="180">
        <v>42527</v>
      </c>
      <c r="E2519" s="181">
        <v>8201.05</v>
      </c>
      <c r="F2519" s="5"/>
      <c r="J2519" s="5"/>
      <c r="K2519" s="5"/>
    </row>
    <row r="2520" ht="16.5" customHeight="1" spans="4:11">
      <c r="D2520" s="180">
        <v>42524</v>
      </c>
      <c r="E2520" s="181">
        <v>8220.8</v>
      </c>
      <c r="F2520" s="5"/>
      <c r="J2520" s="5"/>
      <c r="K2520" s="5"/>
    </row>
    <row r="2521" ht="16.5" customHeight="1" spans="4:11">
      <c r="D2521" s="180">
        <v>42523</v>
      </c>
      <c r="E2521" s="181">
        <v>8218.95</v>
      </c>
      <c r="F2521" s="5"/>
      <c r="J2521" s="5"/>
      <c r="K2521" s="5"/>
    </row>
    <row r="2522" ht="16.5" customHeight="1" spans="4:11">
      <c r="D2522" s="180">
        <v>42522</v>
      </c>
      <c r="E2522" s="181">
        <v>8179.95</v>
      </c>
      <c r="F2522" s="5"/>
      <c r="J2522" s="5"/>
      <c r="K2522" s="5"/>
    </row>
    <row r="2523" ht="16.5" customHeight="1" spans="4:11">
      <c r="D2523" s="180">
        <v>42521</v>
      </c>
      <c r="E2523" s="181">
        <v>8160.1</v>
      </c>
      <c r="F2523" s="5"/>
      <c r="J2523" s="5"/>
      <c r="K2523" s="5"/>
    </row>
    <row r="2524" ht="16.5" customHeight="1" spans="4:11">
      <c r="D2524" s="180">
        <v>42520</v>
      </c>
      <c r="E2524" s="181">
        <v>8178.5</v>
      </c>
      <c r="F2524" s="5"/>
      <c r="J2524" s="5"/>
      <c r="K2524" s="5"/>
    </row>
    <row r="2525" ht="16.5" customHeight="1" spans="4:11">
      <c r="D2525" s="180">
        <v>42517</v>
      </c>
      <c r="E2525" s="181">
        <v>8156.65</v>
      </c>
      <c r="F2525" s="5"/>
      <c r="J2525" s="5"/>
      <c r="K2525" s="5"/>
    </row>
    <row r="2526" ht="16.5" customHeight="1" spans="4:11">
      <c r="D2526" s="180">
        <v>42516</v>
      </c>
      <c r="E2526" s="181">
        <v>8069.65</v>
      </c>
      <c r="F2526" s="5"/>
      <c r="J2526" s="5"/>
      <c r="K2526" s="5"/>
    </row>
    <row r="2527" ht="16.5" customHeight="1" spans="4:11">
      <c r="D2527" s="180">
        <v>42515</v>
      </c>
      <c r="E2527" s="181">
        <v>7934.9</v>
      </c>
      <c r="F2527" s="5"/>
      <c r="J2527" s="5"/>
      <c r="K2527" s="5"/>
    </row>
    <row r="2528" ht="16.5" customHeight="1" spans="4:11">
      <c r="D2528" s="180">
        <v>42514</v>
      </c>
      <c r="E2528" s="181">
        <v>7748.85</v>
      </c>
      <c r="F2528" s="5"/>
      <c r="J2528" s="5"/>
      <c r="K2528" s="5"/>
    </row>
    <row r="2529" ht="16.5" customHeight="1" spans="4:11">
      <c r="D2529" s="180">
        <v>42513</v>
      </c>
      <c r="E2529" s="181">
        <v>7731.05</v>
      </c>
      <c r="F2529" s="5"/>
      <c r="J2529" s="5"/>
      <c r="K2529" s="5"/>
    </row>
    <row r="2530" ht="16.5" customHeight="1" spans="4:11">
      <c r="D2530" s="180">
        <v>42510</v>
      </c>
      <c r="E2530" s="181">
        <v>7749.7</v>
      </c>
      <c r="F2530" s="5"/>
      <c r="J2530" s="5"/>
      <c r="K2530" s="5"/>
    </row>
    <row r="2531" ht="16.5" customHeight="1" spans="4:11">
      <c r="D2531" s="180">
        <v>42509</v>
      </c>
      <c r="E2531" s="181">
        <v>7783.4</v>
      </c>
      <c r="F2531" s="5"/>
      <c r="J2531" s="5"/>
      <c r="K2531" s="5"/>
    </row>
    <row r="2532" ht="16.5" customHeight="1" spans="4:11">
      <c r="D2532" s="180">
        <v>42508</v>
      </c>
      <c r="E2532" s="181">
        <v>7870.15</v>
      </c>
      <c r="F2532" s="5"/>
      <c r="J2532" s="5"/>
      <c r="K2532" s="5"/>
    </row>
    <row r="2533" ht="16.5" customHeight="1" spans="4:11">
      <c r="D2533" s="180">
        <v>42507</v>
      </c>
      <c r="E2533" s="181">
        <v>7890.75</v>
      </c>
      <c r="F2533" s="5"/>
      <c r="J2533" s="5"/>
      <c r="K2533" s="5"/>
    </row>
    <row r="2534" ht="16.5" customHeight="1" spans="4:11">
      <c r="D2534" s="180">
        <v>42506</v>
      </c>
      <c r="E2534" s="181">
        <v>7860.75</v>
      </c>
      <c r="F2534" s="5"/>
      <c r="J2534" s="5"/>
      <c r="K2534" s="5"/>
    </row>
    <row r="2535" ht="16.5" customHeight="1" spans="4:11">
      <c r="D2535" s="180">
        <v>42503</v>
      </c>
      <c r="E2535" s="181">
        <v>7814.9</v>
      </c>
      <c r="F2535" s="5"/>
      <c r="J2535" s="5"/>
      <c r="K2535" s="5"/>
    </row>
    <row r="2536" ht="16.5" customHeight="1" spans="4:11">
      <c r="D2536" s="180">
        <v>42502</v>
      </c>
      <c r="E2536" s="181">
        <v>7900.4</v>
      </c>
      <c r="F2536" s="5"/>
      <c r="J2536" s="5"/>
      <c r="K2536" s="5"/>
    </row>
    <row r="2537" ht="16.5" customHeight="1" spans="4:11">
      <c r="D2537" s="180">
        <v>42501</v>
      </c>
      <c r="E2537" s="181">
        <v>7848.85</v>
      </c>
      <c r="F2537" s="5"/>
      <c r="J2537" s="5"/>
      <c r="K2537" s="5"/>
    </row>
    <row r="2538" ht="16.5" customHeight="1" spans="4:11">
      <c r="D2538" s="180">
        <v>42500</v>
      </c>
      <c r="E2538" s="181">
        <v>7887.8</v>
      </c>
      <c r="F2538" s="5"/>
      <c r="J2538" s="5"/>
      <c r="K2538" s="5"/>
    </row>
    <row r="2539" ht="16.5" customHeight="1" spans="4:11">
      <c r="D2539" s="180">
        <v>42499</v>
      </c>
      <c r="E2539" s="181">
        <v>7866.05</v>
      </c>
      <c r="F2539" s="5"/>
      <c r="J2539" s="5"/>
      <c r="K2539" s="5"/>
    </row>
    <row r="2540" ht="16.5" customHeight="1" spans="4:11">
      <c r="D2540" s="180">
        <v>42496</v>
      </c>
      <c r="E2540" s="181">
        <v>7733.45</v>
      </c>
      <c r="F2540" s="5"/>
      <c r="J2540" s="5"/>
      <c r="K2540" s="5"/>
    </row>
    <row r="2541" ht="16.5" customHeight="1" spans="4:11">
      <c r="D2541" s="180">
        <v>42495</v>
      </c>
      <c r="E2541" s="181">
        <v>7735.5</v>
      </c>
      <c r="F2541" s="5"/>
      <c r="J2541" s="5"/>
      <c r="K2541" s="5"/>
    </row>
    <row r="2542" ht="16.5" customHeight="1" spans="4:11">
      <c r="D2542" s="180">
        <v>42494</v>
      </c>
      <c r="E2542" s="181">
        <v>7706.55</v>
      </c>
      <c r="F2542" s="5"/>
      <c r="J2542" s="5"/>
      <c r="K2542" s="5"/>
    </row>
    <row r="2543" ht="16.5" customHeight="1" spans="4:11">
      <c r="D2543" s="180">
        <v>42493</v>
      </c>
      <c r="E2543" s="181">
        <v>7747</v>
      </c>
      <c r="F2543" s="5"/>
      <c r="J2543" s="5"/>
      <c r="K2543" s="5"/>
    </row>
    <row r="2544" ht="16.5" customHeight="1" spans="4:11">
      <c r="D2544" s="180">
        <v>42492</v>
      </c>
      <c r="E2544" s="181">
        <v>7805.9</v>
      </c>
      <c r="F2544" s="5"/>
      <c r="J2544" s="5"/>
      <c r="K2544" s="5"/>
    </row>
    <row r="2545" ht="16.5" customHeight="1" spans="4:11">
      <c r="D2545" s="180">
        <v>42489</v>
      </c>
      <c r="E2545" s="181">
        <v>7849.8</v>
      </c>
      <c r="F2545" s="5"/>
      <c r="J2545" s="5"/>
      <c r="K2545" s="5"/>
    </row>
    <row r="2546" ht="16.5" customHeight="1" spans="4:11">
      <c r="D2546" s="180">
        <v>42488</v>
      </c>
      <c r="E2546" s="181">
        <v>7847.25</v>
      </c>
      <c r="F2546" s="5"/>
      <c r="J2546" s="5"/>
      <c r="K2546" s="5"/>
    </row>
    <row r="2547" ht="16.5" customHeight="1" spans="4:11">
      <c r="D2547" s="180">
        <v>42487</v>
      </c>
      <c r="E2547" s="181">
        <v>7979.9</v>
      </c>
      <c r="F2547" s="5"/>
      <c r="J2547" s="5"/>
      <c r="K2547" s="5"/>
    </row>
    <row r="2548" ht="16.5" customHeight="1" spans="4:11">
      <c r="D2548" s="180">
        <v>42486</v>
      </c>
      <c r="E2548" s="181">
        <v>7962.65</v>
      </c>
      <c r="F2548" s="5"/>
      <c r="J2548" s="5"/>
      <c r="K2548" s="5"/>
    </row>
    <row r="2549" ht="16.5" customHeight="1" spans="4:11">
      <c r="D2549" s="180">
        <v>42485</v>
      </c>
      <c r="E2549" s="181">
        <v>7855.05</v>
      </c>
      <c r="F2549" s="5"/>
      <c r="J2549" s="5"/>
      <c r="K2549" s="5"/>
    </row>
    <row r="2550" ht="16.5" customHeight="1" spans="4:11">
      <c r="D2550" s="180">
        <v>42482</v>
      </c>
      <c r="E2550" s="181">
        <v>7899.3</v>
      </c>
      <c r="F2550" s="5"/>
      <c r="J2550" s="5"/>
      <c r="K2550" s="5"/>
    </row>
    <row r="2551" ht="16.5" customHeight="1" spans="4:11">
      <c r="D2551" s="180">
        <v>42481</v>
      </c>
      <c r="E2551" s="181">
        <v>7912.05</v>
      </c>
      <c r="F2551" s="5"/>
      <c r="J2551" s="5"/>
      <c r="K2551" s="5"/>
    </row>
    <row r="2552" ht="16.5" customHeight="1" spans="4:11">
      <c r="D2552" s="180">
        <v>42480</v>
      </c>
      <c r="E2552" s="181">
        <v>7914.75</v>
      </c>
      <c r="F2552" s="5"/>
      <c r="J2552" s="5"/>
      <c r="K2552" s="5"/>
    </row>
    <row r="2553" ht="16.5" customHeight="1" spans="4:11">
      <c r="D2553" s="180">
        <v>42478</v>
      </c>
      <c r="E2553" s="181">
        <v>7914.7</v>
      </c>
      <c r="F2553" s="5"/>
      <c r="J2553" s="5"/>
      <c r="K2553" s="5"/>
    </row>
    <row r="2554" ht="16.5" customHeight="1" spans="4:11">
      <c r="D2554" s="180">
        <v>42473</v>
      </c>
      <c r="E2554" s="181">
        <v>7850.45</v>
      </c>
      <c r="F2554" s="5"/>
      <c r="J2554" s="5"/>
      <c r="K2554" s="5"/>
    </row>
    <row r="2555" ht="16.5" customHeight="1" spans="4:11">
      <c r="D2555" s="180">
        <v>42472</v>
      </c>
      <c r="E2555" s="181">
        <v>7708.95</v>
      </c>
      <c r="F2555" s="5"/>
      <c r="J2555" s="5"/>
      <c r="K2555" s="5"/>
    </row>
    <row r="2556" ht="16.5" customHeight="1" spans="4:11">
      <c r="D2556" s="180">
        <v>42471</v>
      </c>
      <c r="E2556" s="181">
        <v>7671.4</v>
      </c>
      <c r="F2556" s="5"/>
      <c r="J2556" s="5"/>
      <c r="K2556" s="5"/>
    </row>
    <row r="2557" ht="16.5" customHeight="1" spans="4:11">
      <c r="D2557" s="180">
        <v>42468</v>
      </c>
      <c r="E2557" s="181">
        <v>7555.2</v>
      </c>
      <c r="F2557" s="5"/>
      <c r="J2557" s="5"/>
      <c r="K2557" s="5"/>
    </row>
    <row r="2558" ht="16.5" customHeight="1" spans="4:11">
      <c r="D2558" s="180">
        <v>42467</v>
      </c>
      <c r="E2558" s="181">
        <v>7546.45</v>
      </c>
      <c r="F2558" s="5"/>
      <c r="J2558" s="5"/>
      <c r="K2558" s="5"/>
    </row>
    <row r="2559" ht="16.5" customHeight="1" spans="4:11">
      <c r="D2559" s="180">
        <v>42466</v>
      </c>
      <c r="E2559" s="181">
        <v>7614.35</v>
      </c>
      <c r="F2559" s="5"/>
      <c r="J2559" s="5"/>
      <c r="K2559" s="5"/>
    </row>
    <row r="2560" ht="16.5" customHeight="1" spans="4:11">
      <c r="D2560" s="180">
        <v>42465</v>
      </c>
      <c r="E2560" s="181">
        <v>7603.2</v>
      </c>
      <c r="F2560" s="5"/>
      <c r="J2560" s="5"/>
      <c r="K2560" s="5"/>
    </row>
    <row r="2561" ht="16.5" customHeight="1" spans="4:11">
      <c r="D2561" s="180">
        <v>42464</v>
      </c>
      <c r="E2561" s="181">
        <v>7758.8</v>
      </c>
      <c r="F2561" s="5"/>
      <c r="J2561" s="5"/>
      <c r="K2561" s="5"/>
    </row>
    <row r="2562" ht="16.5" customHeight="1" spans="4:11">
      <c r="D2562" s="180">
        <v>42461</v>
      </c>
      <c r="E2562" s="181">
        <v>7713.05</v>
      </c>
      <c r="F2562" s="5"/>
      <c r="J2562" s="5"/>
      <c r="K2562" s="5"/>
    </row>
    <row r="2563" ht="16.5" customHeight="1" spans="4:11">
      <c r="D2563" s="180">
        <v>42460</v>
      </c>
      <c r="E2563" s="181">
        <v>7738.4</v>
      </c>
      <c r="F2563" s="5"/>
      <c r="J2563" s="5"/>
      <c r="K2563" s="5"/>
    </row>
    <row r="2564" ht="16.5" customHeight="1" spans="4:11">
      <c r="D2564" s="180">
        <v>42459</v>
      </c>
      <c r="E2564" s="181">
        <v>7735.2</v>
      </c>
      <c r="F2564" s="5"/>
      <c r="J2564" s="5"/>
      <c r="K2564" s="5"/>
    </row>
    <row r="2565" ht="16.5" customHeight="1" spans="4:11">
      <c r="D2565" s="180">
        <v>42458</v>
      </c>
      <c r="E2565" s="181">
        <v>7597</v>
      </c>
      <c r="F2565" s="5"/>
      <c r="J2565" s="5"/>
      <c r="K2565" s="5"/>
    </row>
    <row r="2566" ht="16.5" customHeight="1" spans="4:11">
      <c r="D2566" s="180">
        <v>42457</v>
      </c>
      <c r="E2566" s="181">
        <v>7615.1</v>
      </c>
      <c r="F2566" s="5"/>
      <c r="J2566" s="5"/>
      <c r="K2566" s="5"/>
    </row>
    <row r="2567" ht="16.5" customHeight="1" spans="4:11">
      <c r="D2567" s="180">
        <v>42452</v>
      </c>
      <c r="E2567" s="181">
        <v>7716.5</v>
      </c>
      <c r="F2567" s="5"/>
      <c r="J2567" s="5"/>
      <c r="K2567" s="5"/>
    </row>
    <row r="2568" ht="16.5" customHeight="1" spans="4:11">
      <c r="D2568" s="180">
        <v>42451</v>
      </c>
      <c r="E2568" s="181">
        <v>7714.9</v>
      </c>
      <c r="F2568" s="5"/>
      <c r="J2568" s="5"/>
      <c r="K2568" s="5"/>
    </row>
    <row r="2569" ht="16.5" customHeight="1" spans="4:11">
      <c r="D2569" s="180">
        <v>42450</v>
      </c>
      <c r="E2569" s="181">
        <v>7704.25</v>
      </c>
      <c r="F2569" s="5"/>
      <c r="J2569" s="5"/>
      <c r="K2569" s="5"/>
    </row>
    <row r="2570" ht="16.5" customHeight="1" spans="4:11">
      <c r="D2570" s="180">
        <v>42447</v>
      </c>
      <c r="E2570" s="181">
        <v>7604.35</v>
      </c>
      <c r="F2570" s="5"/>
      <c r="J2570" s="5"/>
      <c r="K2570" s="5"/>
    </row>
    <row r="2571" ht="16.5" customHeight="1" spans="4:11">
      <c r="D2571" s="180">
        <v>42446</v>
      </c>
      <c r="E2571" s="181">
        <v>7512.55</v>
      </c>
      <c r="F2571" s="5"/>
      <c r="J2571" s="5"/>
      <c r="K2571" s="5"/>
    </row>
    <row r="2572" ht="16.5" customHeight="1" spans="4:11">
      <c r="D2572" s="180">
        <v>42445</v>
      </c>
      <c r="E2572" s="181">
        <v>7498.75</v>
      </c>
      <c r="F2572" s="5"/>
      <c r="J2572" s="5"/>
      <c r="K2572" s="5"/>
    </row>
    <row r="2573" ht="16.5" customHeight="1" spans="4:11">
      <c r="D2573" s="180">
        <v>42444</v>
      </c>
      <c r="E2573" s="181">
        <v>7460.6</v>
      </c>
      <c r="F2573" s="5"/>
      <c r="J2573" s="5"/>
      <c r="K2573" s="5"/>
    </row>
    <row r="2574" ht="16.5" customHeight="1" spans="4:11">
      <c r="D2574" s="180">
        <v>42443</v>
      </c>
      <c r="E2574" s="181">
        <v>7538.75</v>
      </c>
      <c r="F2574" s="5"/>
      <c r="J2574" s="5"/>
      <c r="K2574" s="5"/>
    </row>
    <row r="2575" ht="16.5" customHeight="1" spans="4:11">
      <c r="D2575" s="180">
        <v>42440</v>
      </c>
      <c r="E2575" s="181">
        <v>7510.2</v>
      </c>
      <c r="F2575" s="5"/>
      <c r="J2575" s="5"/>
      <c r="K2575" s="5"/>
    </row>
    <row r="2576" ht="16.5" customHeight="1" spans="4:11">
      <c r="D2576" s="180">
        <v>42439</v>
      </c>
      <c r="E2576" s="181">
        <v>7486.15</v>
      </c>
      <c r="F2576" s="5"/>
      <c r="J2576" s="5"/>
      <c r="K2576" s="5"/>
    </row>
    <row r="2577" ht="16.5" customHeight="1" spans="4:11">
      <c r="D2577" s="180">
        <v>42438</v>
      </c>
      <c r="E2577" s="181">
        <v>7531.8</v>
      </c>
      <c r="F2577" s="5"/>
      <c r="J2577" s="5"/>
      <c r="K2577" s="5"/>
    </row>
    <row r="2578" ht="16.5" customHeight="1" spans="4:11">
      <c r="D2578" s="180">
        <v>42437</v>
      </c>
      <c r="E2578" s="181">
        <v>7485.3</v>
      </c>
      <c r="F2578" s="5"/>
      <c r="J2578" s="5"/>
      <c r="K2578" s="5"/>
    </row>
    <row r="2579" ht="16.5" customHeight="1" spans="4:11">
      <c r="D2579" s="180">
        <v>42433</v>
      </c>
      <c r="E2579" s="181">
        <v>7485.35</v>
      </c>
      <c r="F2579" s="5"/>
      <c r="J2579" s="5"/>
      <c r="K2579" s="5"/>
    </row>
    <row r="2580" ht="16.5" customHeight="1" spans="4:11">
      <c r="D2580" s="180">
        <v>42432</v>
      </c>
      <c r="E2580" s="181">
        <v>7475.6</v>
      </c>
      <c r="F2580" s="5"/>
      <c r="J2580" s="5"/>
      <c r="K2580" s="5"/>
    </row>
    <row r="2581" ht="16.5" customHeight="1" spans="4:11">
      <c r="D2581" s="180">
        <v>42431</v>
      </c>
      <c r="E2581" s="181">
        <v>7368.85</v>
      </c>
      <c r="F2581" s="5"/>
      <c r="J2581" s="5"/>
      <c r="K2581" s="5"/>
    </row>
    <row r="2582" ht="16.5" customHeight="1" spans="4:11">
      <c r="D2582" s="180">
        <v>42430</v>
      </c>
      <c r="E2582" s="181">
        <v>7222.3</v>
      </c>
      <c r="F2582" s="5"/>
      <c r="J2582" s="5"/>
      <c r="K2582" s="5"/>
    </row>
    <row r="2583" ht="16.5" customHeight="1" spans="4:11">
      <c r="D2583" s="180">
        <v>42429</v>
      </c>
      <c r="E2583" s="181">
        <v>6987.05</v>
      </c>
      <c r="F2583" s="5"/>
      <c r="J2583" s="5"/>
      <c r="K2583" s="5"/>
    </row>
    <row r="2584" ht="16.5" customHeight="1" spans="4:11">
      <c r="D2584" s="180">
        <v>42426</v>
      </c>
      <c r="E2584" s="181">
        <v>7029.75</v>
      </c>
      <c r="F2584" s="5"/>
      <c r="J2584" s="5"/>
      <c r="K2584" s="5"/>
    </row>
    <row r="2585" ht="16.5" customHeight="1" spans="4:11">
      <c r="D2585" s="180">
        <v>42425</v>
      </c>
      <c r="E2585" s="181">
        <v>6970.6</v>
      </c>
      <c r="F2585" s="5"/>
      <c r="J2585" s="5"/>
      <c r="K2585" s="5"/>
    </row>
    <row r="2586" ht="16.5" customHeight="1" spans="4:11">
      <c r="D2586" s="180">
        <v>42424</v>
      </c>
      <c r="E2586" s="181">
        <v>7018.7</v>
      </c>
      <c r="F2586" s="5"/>
      <c r="J2586" s="5"/>
      <c r="K2586" s="5"/>
    </row>
    <row r="2587" ht="16.5" customHeight="1" spans="4:11">
      <c r="D2587" s="180">
        <v>42423</v>
      </c>
      <c r="E2587" s="181">
        <v>7109.55</v>
      </c>
      <c r="F2587" s="5"/>
      <c r="J2587" s="5"/>
      <c r="K2587" s="5"/>
    </row>
    <row r="2588" ht="16.5" customHeight="1" spans="4:11">
      <c r="D2588" s="180">
        <v>42422</v>
      </c>
      <c r="E2588" s="181">
        <v>7234.55</v>
      </c>
      <c r="F2588" s="5"/>
      <c r="J2588" s="5"/>
      <c r="K2588" s="5"/>
    </row>
    <row r="2589" ht="16.5" customHeight="1" spans="4:11">
      <c r="D2589" s="180">
        <v>42419</v>
      </c>
      <c r="E2589" s="181">
        <v>7210.75</v>
      </c>
      <c r="F2589" s="5"/>
      <c r="J2589" s="5"/>
      <c r="K2589" s="5"/>
    </row>
    <row r="2590" ht="16.5" customHeight="1" spans="4:11">
      <c r="D2590" s="180">
        <v>42418</v>
      </c>
      <c r="E2590" s="181">
        <v>7191.75</v>
      </c>
      <c r="F2590" s="5"/>
      <c r="J2590" s="5"/>
      <c r="K2590" s="5"/>
    </row>
    <row r="2591" ht="16.5" customHeight="1" spans="4:11">
      <c r="D2591" s="180">
        <v>42417</v>
      </c>
      <c r="E2591" s="181">
        <v>7108.45</v>
      </c>
      <c r="F2591" s="5"/>
      <c r="J2591" s="5"/>
      <c r="K2591" s="5"/>
    </row>
    <row r="2592" ht="16.5" customHeight="1" spans="4:11">
      <c r="D2592" s="180">
        <v>42416</v>
      </c>
      <c r="E2592" s="181">
        <v>7048.25</v>
      </c>
      <c r="F2592" s="5"/>
      <c r="J2592" s="5"/>
      <c r="K2592" s="5"/>
    </row>
    <row r="2593" ht="16.5" customHeight="1" spans="4:11">
      <c r="D2593" s="180">
        <v>42415</v>
      </c>
      <c r="E2593" s="181">
        <v>7162.95</v>
      </c>
      <c r="F2593" s="5"/>
      <c r="J2593" s="5"/>
      <c r="K2593" s="5"/>
    </row>
    <row r="2594" ht="16.5" customHeight="1" spans="4:11">
      <c r="D2594" s="180">
        <v>42412</v>
      </c>
      <c r="E2594" s="181">
        <v>6980.95</v>
      </c>
      <c r="F2594" s="5"/>
      <c r="J2594" s="5"/>
      <c r="K2594" s="5"/>
    </row>
    <row r="2595" ht="16.5" customHeight="1" spans="4:11">
      <c r="D2595" s="180">
        <v>42411</v>
      </c>
      <c r="E2595" s="181">
        <v>6976.35</v>
      </c>
      <c r="F2595" s="5"/>
      <c r="J2595" s="5"/>
      <c r="K2595" s="5"/>
    </row>
    <row r="2596" ht="16.5" customHeight="1" spans="4:11">
      <c r="D2596" s="180">
        <v>42410</v>
      </c>
      <c r="E2596" s="181">
        <v>7215.7</v>
      </c>
      <c r="F2596" s="5"/>
      <c r="J2596" s="5"/>
      <c r="K2596" s="5"/>
    </row>
    <row r="2597" ht="16.5" customHeight="1" spans="4:11">
      <c r="D2597" s="180">
        <v>42409</v>
      </c>
      <c r="E2597" s="181">
        <v>7298.2</v>
      </c>
      <c r="F2597" s="5"/>
      <c r="J2597" s="5"/>
      <c r="K2597" s="5"/>
    </row>
    <row r="2598" ht="16.5" customHeight="1" spans="4:11">
      <c r="D2598" s="180">
        <v>42408</v>
      </c>
      <c r="E2598" s="181">
        <v>7387.25</v>
      </c>
      <c r="F2598" s="5"/>
      <c r="J2598" s="5"/>
      <c r="K2598" s="5"/>
    </row>
    <row r="2599" ht="16.5" customHeight="1" spans="4:11">
      <c r="D2599" s="180">
        <v>42405</v>
      </c>
      <c r="E2599" s="181">
        <v>7489.1</v>
      </c>
      <c r="F2599" s="5"/>
      <c r="J2599" s="5"/>
      <c r="K2599" s="5"/>
    </row>
    <row r="2600" ht="16.5" customHeight="1" spans="4:11">
      <c r="D2600" s="180">
        <v>42404</v>
      </c>
      <c r="E2600" s="181">
        <v>7404</v>
      </c>
      <c r="F2600" s="5"/>
      <c r="J2600" s="5"/>
      <c r="K2600" s="5"/>
    </row>
    <row r="2601" ht="16.5" customHeight="1" spans="4:11">
      <c r="D2601" s="180">
        <v>42403</v>
      </c>
      <c r="E2601" s="181">
        <v>7361.8</v>
      </c>
      <c r="F2601" s="5"/>
      <c r="J2601" s="5"/>
      <c r="K2601" s="5"/>
    </row>
    <row r="2602" ht="16.5" customHeight="1" spans="4:11">
      <c r="D2602" s="180">
        <v>42402</v>
      </c>
      <c r="E2602" s="181">
        <v>7455.55</v>
      </c>
      <c r="F2602" s="5"/>
      <c r="J2602" s="5"/>
      <c r="K2602" s="5"/>
    </row>
    <row r="2603" ht="16.5" customHeight="1" spans="4:11">
      <c r="D2603" s="180">
        <v>42401</v>
      </c>
      <c r="E2603" s="181">
        <v>7555.95</v>
      </c>
      <c r="F2603" s="5"/>
      <c r="J2603" s="5"/>
      <c r="K2603" s="5"/>
    </row>
    <row r="2604" ht="16.5" customHeight="1" spans="4:11">
      <c r="D2604" s="180">
        <v>42398</v>
      </c>
      <c r="E2604" s="181">
        <v>7563.55</v>
      </c>
      <c r="F2604" s="5"/>
      <c r="J2604" s="5"/>
      <c r="K2604" s="5"/>
    </row>
    <row r="2605" ht="16.5" customHeight="1" spans="4:11">
      <c r="D2605" s="180">
        <v>42397</v>
      </c>
      <c r="E2605" s="181">
        <v>7424.65</v>
      </c>
      <c r="F2605" s="5"/>
      <c r="J2605" s="5"/>
      <c r="K2605" s="5"/>
    </row>
    <row r="2606" ht="16.5" customHeight="1" spans="4:11">
      <c r="D2606" s="180">
        <v>42396</v>
      </c>
      <c r="E2606" s="181">
        <v>7437.75</v>
      </c>
      <c r="F2606" s="5"/>
      <c r="J2606" s="5"/>
      <c r="K2606" s="5"/>
    </row>
    <row r="2607" ht="16.5" customHeight="1" spans="4:11">
      <c r="D2607" s="180">
        <v>42394</v>
      </c>
      <c r="E2607" s="181">
        <v>7436.15</v>
      </c>
      <c r="F2607" s="5"/>
      <c r="J2607" s="5"/>
      <c r="K2607" s="5"/>
    </row>
    <row r="2608" ht="16.5" customHeight="1" spans="4:11">
      <c r="D2608" s="180">
        <v>42391</v>
      </c>
      <c r="E2608" s="181">
        <v>7422.45</v>
      </c>
      <c r="F2608" s="5"/>
      <c r="J2608" s="5"/>
      <c r="K2608" s="5"/>
    </row>
    <row r="2609" ht="16.5" customHeight="1" spans="4:11">
      <c r="D2609" s="180">
        <v>42390</v>
      </c>
      <c r="E2609" s="181">
        <v>7276.8</v>
      </c>
      <c r="F2609" s="5"/>
      <c r="J2609" s="5"/>
      <c r="K2609" s="5"/>
    </row>
    <row r="2610" ht="16.5" customHeight="1" spans="4:11">
      <c r="D2610" s="180">
        <v>42389</v>
      </c>
      <c r="E2610" s="181">
        <v>7309.3</v>
      </c>
      <c r="F2610" s="5"/>
      <c r="J2610" s="5"/>
      <c r="K2610" s="5"/>
    </row>
    <row r="2611" ht="16.5" customHeight="1" spans="4:11">
      <c r="D2611" s="180">
        <v>42388</v>
      </c>
      <c r="E2611" s="181">
        <v>7435.1</v>
      </c>
      <c r="F2611" s="5"/>
      <c r="J2611" s="5"/>
      <c r="K2611" s="5"/>
    </row>
    <row r="2612" ht="16.5" customHeight="1" spans="4:11">
      <c r="D2612" s="180">
        <v>42387</v>
      </c>
      <c r="E2612" s="181">
        <v>7351</v>
      </c>
      <c r="F2612" s="5"/>
      <c r="J2612" s="5"/>
      <c r="K2612" s="5"/>
    </row>
    <row r="2613" ht="16.5" customHeight="1" spans="4:11">
      <c r="D2613" s="180">
        <v>42384</v>
      </c>
      <c r="E2613" s="181">
        <v>7437.8</v>
      </c>
      <c r="F2613" s="5"/>
      <c r="J2613" s="5"/>
      <c r="K2613" s="5"/>
    </row>
    <row r="2614" ht="16.5" customHeight="1" spans="4:11">
      <c r="D2614" s="180">
        <v>42383</v>
      </c>
      <c r="E2614" s="181">
        <v>7536.8</v>
      </c>
      <c r="F2614" s="5"/>
      <c r="J2614" s="5"/>
      <c r="K2614" s="5"/>
    </row>
    <row r="2615" ht="16.5" customHeight="1" spans="4:11">
      <c r="D2615" s="180">
        <v>42382</v>
      </c>
      <c r="E2615" s="181">
        <v>7562.4</v>
      </c>
      <c r="F2615" s="5"/>
      <c r="J2615" s="5"/>
      <c r="K2615" s="5"/>
    </row>
    <row r="2616" ht="16.5" customHeight="1" spans="4:11">
      <c r="D2616" s="180">
        <v>42381</v>
      </c>
      <c r="E2616" s="181">
        <v>7510.3</v>
      </c>
      <c r="F2616" s="5"/>
      <c r="J2616" s="5"/>
      <c r="K2616" s="5"/>
    </row>
    <row r="2617" ht="16.5" customHeight="1" spans="4:11">
      <c r="D2617" s="180">
        <v>42380</v>
      </c>
      <c r="E2617" s="181">
        <v>7563.85</v>
      </c>
      <c r="F2617" s="5"/>
      <c r="J2617" s="5"/>
      <c r="K2617" s="5"/>
    </row>
    <row r="2618" ht="16.5" customHeight="1" spans="4:11">
      <c r="D2618" s="180">
        <v>42377</v>
      </c>
      <c r="E2618" s="181">
        <v>7601.35</v>
      </c>
      <c r="F2618" s="5"/>
      <c r="J2618" s="5"/>
      <c r="K2618" s="5"/>
    </row>
    <row r="2619" ht="16.5" customHeight="1" spans="4:11">
      <c r="D2619" s="180">
        <v>42376</v>
      </c>
      <c r="E2619" s="181">
        <v>7568.3</v>
      </c>
      <c r="F2619" s="5"/>
      <c r="J2619" s="5"/>
      <c r="K2619" s="5"/>
    </row>
    <row r="2620" ht="16.5" customHeight="1" spans="4:11">
      <c r="D2620" s="180">
        <v>42375</v>
      </c>
      <c r="E2620" s="181">
        <v>7741</v>
      </c>
      <c r="F2620" s="5"/>
      <c r="J2620" s="5"/>
      <c r="K2620" s="5"/>
    </row>
    <row r="2621" ht="16.5" customHeight="1" spans="4:11">
      <c r="D2621" s="180">
        <v>42374</v>
      </c>
      <c r="E2621" s="181">
        <v>7784.65</v>
      </c>
      <c r="F2621" s="5"/>
      <c r="J2621" s="5"/>
      <c r="K2621" s="5"/>
    </row>
    <row r="2622" ht="16.5" customHeight="1" spans="4:11">
      <c r="D2622" s="180">
        <v>42373</v>
      </c>
      <c r="E2622" s="181">
        <v>7791.3</v>
      </c>
      <c r="F2622" s="5"/>
      <c r="J2622" s="5"/>
      <c r="K2622" s="5"/>
    </row>
    <row r="2623" ht="16.5" customHeight="1" spans="4:11">
      <c r="D2623" s="180">
        <v>42370</v>
      </c>
      <c r="E2623" s="181">
        <v>7963.2</v>
      </c>
      <c r="F2623" s="5"/>
      <c r="J2623" s="5"/>
      <c r="K2623" s="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49"/>
  <sheetViews>
    <sheetView showGridLines="0" zoomScale="90" zoomScaleNormal="90" workbookViewId="0">
      <selection activeCell="I43" sqref="I43"/>
    </sheetView>
  </sheetViews>
  <sheetFormatPr defaultColWidth="9.16071428571429" defaultRowHeight="16.8"/>
  <cols>
    <col min="1" max="3" width="1.24107142857143" style="1" customWidth="1"/>
    <col min="4" max="4" width="38" style="1" customWidth="1"/>
    <col min="5" max="6" width="12.6428571428571" style="1" customWidth="1"/>
    <col min="7" max="7" width="2.64285714285714" style="1" customWidth="1"/>
    <col min="8" max="15" width="12.6428571428571" style="1" customWidth="1"/>
  </cols>
  <sheetData>
    <row r="1" ht="33.75" customHeight="1" spans="1:15">
      <c r="A1" s="119" t="s">
        <v>0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</row>
    <row r="2" ht="16.5" customHeight="1" spans="1:15">
      <c r="A2" s="121" t="s">
        <v>305</v>
      </c>
      <c r="B2" s="122"/>
      <c r="C2" s="122"/>
      <c r="D2" s="122"/>
      <c r="E2" s="122"/>
      <c r="F2" s="122"/>
      <c r="G2" s="122"/>
      <c r="H2" s="120"/>
      <c r="I2" s="120"/>
      <c r="J2" s="120"/>
      <c r="K2" s="120"/>
      <c r="L2" s="8"/>
      <c r="M2" s="120"/>
      <c r="N2" s="120"/>
      <c r="O2" s="120"/>
    </row>
    <row r="3" ht="16.5" customHeight="1" spans="1:15">
      <c r="A3" s="123" t="s">
        <v>306</v>
      </c>
      <c r="B3" s="124"/>
      <c r="C3" s="124"/>
      <c r="D3" s="124"/>
      <c r="E3" s="4"/>
      <c r="F3" s="4"/>
      <c r="G3" s="124"/>
      <c r="H3" s="124"/>
      <c r="I3" s="124"/>
      <c r="J3" s="124"/>
      <c r="K3" s="124"/>
      <c r="L3" s="124"/>
      <c r="M3" s="124"/>
      <c r="N3" s="124"/>
      <c r="O3" s="4"/>
    </row>
    <row r="5" ht="16.5" customHeight="1" spans="1:15">
      <c r="A5" s="124"/>
      <c r="B5" s="125" t="s">
        <v>307</v>
      </c>
      <c r="C5" s="126"/>
      <c r="D5" s="126"/>
      <c r="E5" s="120"/>
      <c r="F5" s="120"/>
      <c r="G5" s="126"/>
      <c r="H5" s="126"/>
      <c r="I5" s="126"/>
      <c r="J5" s="126"/>
      <c r="K5" s="126"/>
      <c r="L5" s="126"/>
      <c r="M5" s="126"/>
      <c r="N5" s="126"/>
      <c r="O5" s="120"/>
    </row>
    <row r="6" ht="17.25" customHeight="1" spans="1:15">
      <c r="H6" s="127" t="s">
        <v>62</v>
      </c>
      <c r="I6" s="127" t="s">
        <v>222</v>
      </c>
      <c r="J6" s="127" t="s">
        <v>308</v>
      </c>
      <c r="K6" s="127" t="s">
        <v>308</v>
      </c>
      <c r="L6" s="127" t="s">
        <v>309</v>
      </c>
      <c r="M6" s="127" t="s">
        <v>310</v>
      </c>
      <c r="N6" s="127" t="s">
        <v>311</v>
      </c>
    </row>
    <row r="7" ht="17.25" customHeight="1" spans="1:15">
      <c r="D7" s="128" t="s">
        <v>312</v>
      </c>
      <c r="H7" s="129" t="s">
        <v>313</v>
      </c>
      <c r="I7" s="129" t="s">
        <v>193</v>
      </c>
      <c r="J7" s="129" t="s">
        <v>62</v>
      </c>
      <c r="K7" s="129" t="s">
        <v>314</v>
      </c>
      <c r="L7" s="129" t="s">
        <v>315</v>
      </c>
      <c r="M7" s="129" t="s">
        <v>316</v>
      </c>
      <c r="N7" s="129" t="s">
        <v>316</v>
      </c>
    </row>
    <row r="8" ht="16.5" customHeight="1" spans="1:15">
      <c r="D8" s="130" t="s">
        <v>317</v>
      </c>
      <c r="E8" s="131"/>
      <c r="F8" s="131"/>
      <c r="G8" s="132"/>
      <c r="H8" s="133">
        <f>Comp!J7</f>
        <v>495169.2</v>
      </c>
      <c r="I8" s="133">
        <f>Comp!K7</f>
        <v>1478</v>
      </c>
      <c r="J8" s="134">
        <f t="shared" ref="J8:J17" si="0">I8/H8</f>
        <v>0.00298483831385312</v>
      </c>
      <c r="K8" s="134">
        <f t="shared" ref="K8:K17" si="1">I8/(H8+I8)</f>
        <v>0.00297595556765446</v>
      </c>
      <c r="L8" s="134">
        <v>0.2517</v>
      </c>
      <c r="M8" s="135">
        <v>0.35</v>
      </c>
      <c r="N8" s="136">
        <f t="shared" ref="N8:N17" si="2">M8/(1+(1-L8)*J8)</f>
        <v>0.349219998098176</v>
      </c>
    </row>
    <row r="9" ht="16.5" customHeight="1" spans="1:15">
      <c r="D9" s="137" t="s">
        <v>318</v>
      </c>
      <c r="G9" s="138"/>
      <c r="H9" s="139">
        <f>Comp!J8</f>
        <v>277246.4</v>
      </c>
      <c r="I9" s="139">
        <f>Comp!K8</f>
        <v>444</v>
      </c>
      <c r="J9" s="140">
        <f t="shared" si="0"/>
        <v>0.00160146353568522</v>
      </c>
      <c r="K9" s="140">
        <f t="shared" si="1"/>
        <v>0.00159890295091224</v>
      </c>
      <c r="L9" s="140">
        <f t="shared" ref="L9:L17" si="3">L8</f>
        <v>0.2517</v>
      </c>
      <c r="M9" s="141">
        <v>0.3</v>
      </c>
      <c r="N9" s="142">
        <f t="shared" si="2"/>
        <v>0.299640917766105</v>
      </c>
    </row>
    <row r="10" ht="16.5" customHeight="1" spans="1:15">
      <c r="D10" s="137" t="s">
        <v>319</v>
      </c>
      <c r="G10" s="138"/>
      <c r="H10" s="139">
        <f>Comp!J9</f>
        <v>124621.1</v>
      </c>
      <c r="I10" s="139">
        <f>Comp!K9</f>
        <v>1380</v>
      </c>
      <c r="J10" s="140">
        <f t="shared" si="0"/>
        <v>0.0110735661938468</v>
      </c>
      <c r="K10" s="140">
        <f t="shared" si="1"/>
        <v>0.0109522853371915</v>
      </c>
      <c r="L10" s="140">
        <f t="shared" si="3"/>
        <v>0.2517</v>
      </c>
      <c r="M10" s="141">
        <v>0.4</v>
      </c>
      <c r="N10" s="142">
        <f t="shared" si="2"/>
        <v>0.396712699884796</v>
      </c>
    </row>
    <row r="11" ht="16.5" customHeight="1" spans="1:15">
      <c r="D11" s="137" t="s">
        <v>320</v>
      </c>
      <c r="G11" s="138"/>
      <c r="H11" s="139">
        <f>Comp!J10</f>
        <v>106128.3</v>
      </c>
      <c r="I11" s="139">
        <f>Comp!K10</f>
        <v>557</v>
      </c>
      <c r="J11" s="140">
        <f t="shared" si="0"/>
        <v>0.00524836447959686</v>
      </c>
      <c r="K11" s="140">
        <f t="shared" si="1"/>
        <v>0.0052209629630324</v>
      </c>
      <c r="L11" s="140">
        <f t="shared" si="3"/>
        <v>0.2517</v>
      </c>
      <c r="M11" s="141">
        <v>0.45</v>
      </c>
      <c r="N11" s="142">
        <f t="shared" si="2"/>
        <v>0.448239605673628</v>
      </c>
    </row>
    <row r="12" ht="16.5" customHeight="1" spans="1:15">
      <c r="D12" s="137" t="s">
        <v>321</v>
      </c>
      <c r="G12" s="138"/>
      <c r="H12" s="139">
        <f>Comp!J11</f>
        <v>109568</v>
      </c>
      <c r="I12" s="139">
        <f>Comp!K11</f>
        <v>4421</v>
      </c>
      <c r="J12" s="140">
        <f t="shared" si="0"/>
        <v>0.0403493720794393</v>
      </c>
      <c r="K12" s="140">
        <f t="shared" si="1"/>
        <v>0.0387844441130284</v>
      </c>
      <c r="L12" s="140">
        <f t="shared" si="3"/>
        <v>0.2517</v>
      </c>
      <c r="M12" s="141">
        <v>0.42</v>
      </c>
      <c r="N12" s="142">
        <f t="shared" si="2"/>
        <v>0.407690425583235</v>
      </c>
    </row>
    <row r="13" ht="16.5" customHeight="1" spans="1:15">
      <c r="D13" s="137" t="s">
        <v>322</v>
      </c>
      <c r="G13" s="138"/>
      <c r="H13" s="139">
        <f>Comp!J12</f>
        <v>75395</v>
      </c>
      <c r="I13" s="139">
        <f>Comp!K12</f>
        <v>1287</v>
      </c>
      <c r="J13" s="140">
        <f t="shared" si="0"/>
        <v>0.0170700974865707</v>
      </c>
      <c r="K13" s="140">
        <f t="shared" si="1"/>
        <v>0.0167835998017788</v>
      </c>
      <c r="L13" s="140">
        <f t="shared" si="3"/>
        <v>0.2517</v>
      </c>
      <c r="M13" s="141">
        <v>0.28</v>
      </c>
      <c r="N13" s="142">
        <f t="shared" si="2"/>
        <v>0.276468514514592</v>
      </c>
    </row>
    <row r="14" ht="16.5" customHeight="1" spans="1:15">
      <c r="D14" s="137" t="s">
        <v>323</v>
      </c>
      <c r="G14" s="138"/>
      <c r="H14" s="139">
        <f>Comp!J13</f>
        <v>107195.34</v>
      </c>
      <c r="I14" s="139">
        <f>Comp!K13</f>
        <v>2820</v>
      </c>
      <c r="J14" s="140">
        <f t="shared" si="0"/>
        <v>0.0263071137234137</v>
      </c>
      <c r="K14" s="140">
        <f t="shared" si="1"/>
        <v>0.0256327890274211</v>
      </c>
      <c r="L14" s="140">
        <f t="shared" si="3"/>
        <v>0.2517</v>
      </c>
      <c r="M14" s="141">
        <v>0.38</v>
      </c>
      <c r="N14" s="142">
        <f t="shared" si="2"/>
        <v>0.372663882946982</v>
      </c>
    </row>
    <row r="15" ht="16.5" customHeight="1" spans="1:15">
      <c r="D15" s="137" t="s">
        <v>324</v>
      </c>
      <c r="G15" s="138"/>
      <c r="H15" s="139">
        <f>Comp!J14</f>
        <v>58115.52</v>
      </c>
      <c r="I15" s="139">
        <f>Comp!K14</f>
        <v>47.4</v>
      </c>
      <c r="J15" s="140">
        <f t="shared" si="0"/>
        <v>0.000815616895452368</v>
      </c>
      <c r="K15" s="140">
        <f t="shared" si="1"/>
        <v>0.000814952206663627</v>
      </c>
      <c r="L15" s="140">
        <f t="shared" si="3"/>
        <v>0.2517</v>
      </c>
      <c r="M15" s="141">
        <v>0.32</v>
      </c>
      <c r="N15" s="142">
        <f t="shared" si="2"/>
        <v>0.319804814767329</v>
      </c>
    </row>
    <row r="16" ht="16.5" customHeight="1" spans="1:15">
      <c r="D16" s="137" t="s">
        <v>325</v>
      </c>
      <c r="G16" s="138"/>
      <c r="H16" s="139">
        <f>Comp!J15</f>
        <v>34999.55</v>
      </c>
      <c r="I16" s="139">
        <f>Comp!K15</f>
        <v>234</v>
      </c>
      <c r="J16" s="140">
        <f t="shared" si="0"/>
        <v>0.00668580024600316</v>
      </c>
      <c r="K16" s="140">
        <f t="shared" si="1"/>
        <v>0.00664139719102957</v>
      </c>
      <c r="L16" s="140">
        <f t="shared" si="3"/>
        <v>0.2517</v>
      </c>
      <c r="M16" s="141">
        <v>0.55</v>
      </c>
      <c r="N16" s="142">
        <f t="shared" si="2"/>
        <v>0.547262056510114</v>
      </c>
    </row>
    <row r="17" ht="16.5" customHeight="1" spans="1:28">
      <c r="D17" s="137" t="s">
        <v>326</v>
      </c>
      <c r="G17" s="138"/>
      <c r="H17" s="139">
        <f>Comp!J16</f>
        <v>4618.56</v>
      </c>
      <c r="I17" s="139">
        <f>Comp!K16</f>
        <v>0</v>
      </c>
      <c r="J17" s="140">
        <f t="shared" si="0"/>
        <v>0</v>
      </c>
      <c r="K17" s="140">
        <f t="shared" si="1"/>
        <v>0</v>
      </c>
      <c r="L17" s="140">
        <f t="shared" si="3"/>
        <v>0.2517</v>
      </c>
      <c r="M17" s="141">
        <v>0.5</v>
      </c>
      <c r="N17" s="142">
        <f t="shared" si="2"/>
        <v>0.5</v>
      </c>
    </row>
    <row r="18" ht="16.5" customHeight="1" spans="1:28">
      <c r="D18" s="143" t="s">
        <v>247</v>
      </c>
      <c r="E18" s="144"/>
      <c r="F18" s="144"/>
      <c r="G18" s="145"/>
      <c r="H18" s="145"/>
      <c r="I18" s="145"/>
      <c r="J18" s="146">
        <f>AVERAGE(J8:J17)</f>
        <v>0.0112136232953861</v>
      </c>
      <c r="K18" s="146">
        <f>AVERAGE(K8:K17)</f>
        <v>0.0109405289158712</v>
      </c>
      <c r="L18" s="146">
        <f>AVERAGE(L8:L17)</f>
        <v>0.2517</v>
      </c>
      <c r="M18" s="147">
        <f>AVERAGE(M8:M17)</f>
        <v>0.395</v>
      </c>
      <c r="N18" s="147">
        <f>AVERAGE(N8:N17)</f>
        <v>0.391770291574496</v>
      </c>
      <c r="O18" s="148"/>
    </row>
    <row r="19" ht="16.5" customHeight="1" spans="1:28">
      <c r="D19" s="149" t="s">
        <v>327</v>
      </c>
      <c r="E19" s="150"/>
      <c r="F19" s="150"/>
      <c r="G19" s="151"/>
      <c r="H19" s="151"/>
      <c r="I19" s="151"/>
      <c r="J19" s="152">
        <f>MEDIAN(J8:J17)</f>
        <v>0.00596708236280001</v>
      </c>
      <c r="K19" s="152">
        <f>MEDIAN(K8:K17)</f>
        <v>0.00593118007703098</v>
      </c>
      <c r="L19" s="152">
        <f>MEDIAN(L8:L17)</f>
        <v>0.2517</v>
      </c>
      <c r="M19" s="153">
        <f>MEDIAN(M8:M17)</f>
        <v>0.39</v>
      </c>
      <c r="N19" s="153">
        <f>MEDIAN(N8:N17)</f>
        <v>0.384688291415889</v>
      </c>
      <c r="O19" s="154"/>
    </row>
    <row r="20" ht="16.5" customHeight="1"/>
    <row r="21" ht="16.5" customHeight="1" spans="1:28">
      <c r="D21" s="155" t="s">
        <v>0</v>
      </c>
      <c r="E21" s="156"/>
      <c r="F21" s="156"/>
      <c r="G21" s="157"/>
      <c r="H21" s="158">
        <f>Comp!J21</f>
        <v>361856.9</v>
      </c>
      <c r="I21" s="158">
        <f>Comp!K21</f>
        <v>200.86</v>
      </c>
      <c r="J21" s="159"/>
      <c r="K21" s="159"/>
      <c r="L21" s="159"/>
      <c r="M21" s="159"/>
      <c r="N21" s="159"/>
      <c r="O21" s="70"/>
    </row>
    <row r="23" ht="16.5" customHeight="1" spans="1:28">
      <c r="A23" s="124"/>
      <c r="B23" s="125" t="s">
        <v>328</v>
      </c>
      <c r="C23" s="124"/>
      <c r="D23" s="124"/>
      <c r="E23" s="4"/>
      <c r="F23" s="4"/>
      <c r="G23" s="124"/>
      <c r="H23" s="124"/>
      <c r="I23" s="124"/>
    </row>
    <row r="24" ht="16.5" customHeight="1" spans="1:28"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 ht="16.5" customHeight="1" spans="1:28">
      <c r="C25" s="160" t="s">
        <v>329</v>
      </c>
      <c r="D25" s="151"/>
      <c r="E25" s="150"/>
      <c r="F25" s="150"/>
      <c r="G25" s="151"/>
      <c r="H25" s="151"/>
      <c r="I25" s="151"/>
      <c r="L25" s="161"/>
      <c r="M25" s="162"/>
      <c r="N25" s="163"/>
      <c r="O25" s="163"/>
      <c r="P25" s="163"/>
      <c r="Q25" s="163"/>
      <c r="R25" s="127"/>
      <c r="S25" s="127"/>
      <c r="T25" s="127"/>
      <c r="U25" s="127"/>
      <c r="V25" s="127"/>
      <c r="W25" s="127"/>
      <c r="X25" s="127"/>
      <c r="Y25" s="5"/>
      <c r="Z25" s="5"/>
      <c r="AA25" s="5"/>
      <c r="AB25" s="5"/>
    </row>
    <row r="26" ht="17.25" customHeight="1" spans="1:28">
      <c r="L26" s="163"/>
      <c r="M26" s="162"/>
      <c r="N26" s="164"/>
      <c r="O26" s="163"/>
      <c r="P26" s="163"/>
      <c r="Q26" s="163"/>
      <c r="R26" s="127"/>
      <c r="S26" s="127"/>
      <c r="T26" s="127"/>
      <c r="U26" s="127"/>
      <c r="V26" s="127"/>
      <c r="W26" s="127"/>
      <c r="X26" s="127"/>
      <c r="Y26" s="5"/>
      <c r="Z26" s="5"/>
      <c r="AA26" s="5"/>
      <c r="AB26" s="5"/>
    </row>
    <row r="27" ht="16.5" customHeight="1" spans="1:28">
      <c r="D27" s="130" t="s">
        <v>330</v>
      </c>
      <c r="E27" s="131"/>
      <c r="F27" s="131"/>
      <c r="G27" s="165"/>
      <c r="H27" s="165"/>
      <c r="I27" s="166">
        <f>K19</f>
        <v>0.00593118007703098</v>
      </c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 ht="16.5" customHeight="1" spans="1:28">
      <c r="D28" s="137" t="s">
        <v>331</v>
      </c>
      <c r="I28" s="167">
        <f>1-I27</f>
        <v>0.994068819922969</v>
      </c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ht="16.5" customHeight="1" spans="1:28">
      <c r="C29" s="149" t="s">
        <v>332</v>
      </c>
      <c r="D29" s="151"/>
      <c r="E29" s="150"/>
      <c r="F29" s="150"/>
      <c r="G29" s="151"/>
      <c r="H29" s="151"/>
      <c r="I29" s="151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ht="16.5" customHeight="1" spans="1:28">
      <c r="D30" s="137" t="s">
        <v>333</v>
      </c>
      <c r="I30" s="168">
        <f>H21</f>
        <v>361856.9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ht="16.5" customHeight="1" spans="1:28">
      <c r="D31" s="137" t="s">
        <v>334</v>
      </c>
      <c r="I31" s="168">
        <f>I21</f>
        <v>200.86</v>
      </c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ht="16.5" customHeight="1" spans="1:28">
      <c r="D32" s="137" t="s">
        <v>335</v>
      </c>
      <c r="I32" s="167">
        <f>I31/I30</f>
        <v>0.000555081304239328</v>
      </c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ht="16.5" customHeight="1" spans="3:28"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ht="16.5" customHeight="1" spans="3:28">
      <c r="C34" s="169" t="s">
        <v>336</v>
      </c>
      <c r="D34" s="65"/>
      <c r="E34" s="65"/>
      <c r="F34" s="104"/>
      <c r="G34" s="104"/>
      <c r="H34" s="65"/>
      <c r="I34" s="6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 ht="16.5" customHeight="1" spans="3:28">
      <c r="D35" s="137" t="s">
        <v>337</v>
      </c>
      <c r="I35" s="170">
        <f>Models!M11</f>
        <v>0.269538090885091</v>
      </c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ht="16.5" customHeight="1" spans="3:28">
      <c r="D36" s="137" t="s">
        <v>234</v>
      </c>
      <c r="I36" s="170">
        <f>Models!M13</f>
        <v>0.230175982303325</v>
      </c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 ht="16.5" customHeight="1" spans="3:28">
      <c r="D37" s="130" t="s">
        <v>338</v>
      </c>
      <c r="E37" s="131"/>
      <c r="F37" s="131"/>
      <c r="G37" s="165"/>
      <c r="H37" s="165"/>
      <c r="I37" s="166">
        <f>I35*(1-I36)</f>
        <v>0.207496896047452</v>
      </c>
    </row>
    <row r="38" ht="16.5" customHeight="1"/>
    <row r="39" ht="16.5" customHeight="1" spans="3:28">
      <c r="C39" s="149" t="s">
        <v>339</v>
      </c>
      <c r="D39" s="151"/>
      <c r="E39" s="150"/>
      <c r="F39" s="150"/>
      <c r="G39" s="151"/>
      <c r="H39" s="151"/>
      <c r="I39" s="151"/>
    </row>
    <row r="40" ht="16.5" customHeight="1" spans="3:28">
      <c r="D40" s="137" t="s">
        <v>340</v>
      </c>
      <c r="I40" s="171">
        <v>0.065</v>
      </c>
    </row>
    <row r="41" ht="16.5" customHeight="1" spans="3:28">
      <c r="D41" s="137" t="s">
        <v>300</v>
      </c>
      <c r="I41" s="170">
        <f>Market_Data!J9</f>
        <v>0.130388716842143</v>
      </c>
    </row>
    <row r="42" ht="16.5" customHeight="1" spans="3:28">
      <c r="D42" s="137" t="s">
        <v>341</v>
      </c>
      <c r="I42" s="167">
        <f>I41-I40</f>
        <v>0.0653887168421429</v>
      </c>
    </row>
    <row r="43" ht="16.5" customHeight="1" spans="3:28">
      <c r="D43" s="137" t="s">
        <v>342</v>
      </c>
      <c r="I43" s="172">
        <f>N19*(1+I32*(1-I36))</f>
        <v>0.384852674462275</v>
      </c>
    </row>
    <row r="44" ht="16.5" customHeight="1" spans="3:28">
      <c r="D44" s="130" t="s">
        <v>339</v>
      </c>
      <c r="E44" s="131"/>
      <c r="F44" s="131"/>
      <c r="G44" s="165"/>
      <c r="H44" s="165"/>
      <c r="I44" s="166">
        <f>I40+I43*I42</f>
        <v>0.0901650225563551</v>
      </c>
    </row>
    <row r="45" ht="16.5" customHeight="1"/>
    <row r="46" ht="16.5" customHeight="1" spans="3:28">
      <c r="D46" s="173" t="s">
        <v>343</v>
      </c>
      <c r="E46" s="131"/>
      <c r="F46" s="131"/>
      <c r="G46" s="165"/>
      <c r="H46" s="165"/>
      <c r="I46" s="174">
        <f>(I27*I37)+(I44*I28)</f>
        <v>0.0908609390268062</v>
      </c>
    </row>
    <row r="47" ht="16.5" customHeight="1"/>
    <row r="49" ht="16.5" customHeight="1"/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65"/>
  <sheetViews>
    <sheetView showGridLines="0" zoomScale="76" zoomScaleNormal="76" workbookViewId="0">
      <selection activeCell="H26" sqref="H26"/>
    </sheetView>
  </sheetViews>
  <sheetFormatPr defaultColWidth="9.16071428571429" defaultRowHeight="16.8"/>
  <cols>
    <col min="1" max="2" width="1.24107142857143" style="1" customWidth="1"/>
    <col min="3" max="3" width="1.24107142857143" style="2" customWidth="1"/>
    <col min="4" max="4" width="40.6428571428571" style="2" customWidth="1"/>
    <col min="5" max="5" width="12.7589285714286" style="2" customWidth="1"/>
    <col min="6" max="6" width="14.4285714285714" style="2" customWidth="1"/>
    <col min="7" max="7" width="2.64285714285714" style="2" customWidth="1"/>
    <col min="8" max="12" width="12.6428571428571" style="16" customWidth="1"/>
    <col min="13" max="13" width="10.5714285714286" style="16" customWidth="1"/>
    <col min="14" max="14" width="9.14285714285714" style="16"/>
    <col min="15" max="17" width="9.57142857142857" style="16" customWidth="1"/>
    <col min="18" max="18" width="9.14285714285714" style="16"/>
    <col min="19" max="21" width="12.7589285714286" style="16" customWidth="1"/>
  </cols>
  <sheetData>
    <row r="1" ht="33.75" customHeight="1" spans="1:21">
      <c r="A1" s="3" t="s">
        <v>0</v>
      </c>
      <c r="B1" s="4"/>
      <c r="C1" s="4"/>
      <c r="D1" s="4"/>
      <c r="E1" s="4"/>
      <c r="F1" s="4"/>
      <c r="G1" s="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</row>
    <row r="2" ht="17.25" customHeight="1" spans="1:21">
      <c r="A2" s="75" t="s">
        <v>344</v>
      </c>
      <c r="B2" s="7"/>
      <c r="C2" s="7"/>
      <c r="D2" s="7"/>
      <c r="E2" s="7"/>
      <c r="F2" s="7"/>
      <c r="G2" s="7"/>
      <c r="H2" s="74"/>
      <c r="I2" s="74"/>
      <c r="J2" s="74"/>
      <c r="K2" s="74"/>
      <c r="L2" s="76"/>
      <c r="M2" s="74"/>
      <c r="N2" s="74"/>
      <c r="O2" s="74"/>
      <c r="P2" s="74"/>
      <c r="Q2" s="74"/>
      <c r="R2" s="74"/>
      <c r="S2" s="74"/>
      <c r="T2" s="74"/>
      <c r="U2" s="74"/>
    </row>
    <row r="3" ht="16.5" customHeight="1" spans="1:21">
      <c r="D3" s="5"/>
      <c r="E3" s="5"/>
      <c r="F3" s="5"/>
      <c r="G3" s="5"/>
    </row>
    <row r="4" ht="17.25" customHeight="1" spans="1:21">
      <c r="C4" s="64"/>
      <c r="D4" s="77"/>
      <c r="E4" s="78"/>
      <c r="F4" s="78"/>
      <c r="G4" s="78"/>
      <c r="H4" s="79" t="s">
        <v>345</v>
      </c>
      <c r="I4" s="79"/>
      <c r="J4" s="79"/>
      <c r="K4" s="79"/>
      <c r="L4" s="79"/>
      <c r="M4" s="79"/>
      <c r="N4" s="80"/>
      <c r="O4" s="79" t="s">
        <v>346</v>
      </c>
      <c r="P4" s="79"/>
      <c r="Q4" s="79"/>
      <c r="R4" s="80"/>
      <c r="S4" s="79" t="s">
        <v>347</v>
      </c>
      <c r="T4" s="79"/>
      <c r="U4" s="79"/>
    </row>
    <row r="5" ht="17.25" customHeight="1" spans="1:21">
      <c r="D5" s="77"/>
      <c r="E5" s="78"/>
      <c r="F5" s="78"/>
      <c r="G5" s="78"/>
      <c r="H5" s="80" t="s">
        <v>348</v>
      </c>
      <c r="I5" s="80" t="s">
        <v>349</v>
      </c>
      <c r="J5" s="80" t="s">
        <v>333</v>
      </c>
      <c r="K5" s="80" t="s">
        <v>193</v>
      </c>
      <c r="L5" s="80" t="s">
        <v>350</v>
      </c>
      <c r="M5" s="80" t="s">
        <v>351</v>
      </c>
      <c r="N5" s="80"/>
      <c r="O5" s="80" t="s">
        <v>352</v>
      </c>
      <c r="P5" s="80" t="s">
        <v>167</v>
      </c>
      <c r="Q5" s="80" t="s">
        <v>353</v>
      </c>
      <c r="R5" s="80"/>
      <c r="S5" s="80" t="s">
        <v>354</v>
      </c>
      <c r="T5" s="80" t="s">
        <v>235</v>
      </c>
      <c r="U5" s="80" t="s">
        <v>355</v>
      </c>
    </row>
    <row r="6" ht="18" customHeight="1" spans="1:21">
      <c r="D6" s="77" t="s">
        <v>312</v>
      </c>
      <c r="E6" s="78"/>
      <c r="F6" s="80" t="s">
        <v>356</v>
      </c>
      <c r="G6" s="78"/>
      <c r="H6" s="80" t="s">
        <v>357</v>
      </c>
      <c r="I6" s="80"/>
      <c r="J6" s="80"/>
      <c r="K6" s="80"/>
      <c r="L6" s="80" t="s">
        <v>358</v>
      </c>
      <c r="M6" s="80"/>
      <c r="N6" s="80"/>
      <c r="O6" s="80"/>
      <c r="P6" s="80"/>
      <c r="Q6" s="80"/>
      <c r="R6" s="80"/>
      <c r="S6" s="80" t="s">
        <v>359</v>
      </c>
      <c r="T6" s="80" t="s">
        <v>359</v>
      </c>
      <c r="U6" s="80" t="s">
        <v>359</v>
      </c>
    </row>
    <row r="7" ht="17.25" customHeight="1" spans="1:21">
      <c r="D7" s="81" t="s">
        <v>317</v>
      </c>
      <c r="E7" s="54"/>
      <c r="F7" s="17" t="s">
        <v>360</v>
      </c>
      <c r="G7" s="54"/>
      <c r="H7" s="82">
        <f>Comp_Data!I7</f>
        <v>2108</v>
      </c>
      <c r="I7" s="82">
        <f>Comp_Data!J7</f>
        <v>234.9</v>
      </c>
      <c r="J7" s="18">
        <f t="shared" ref="J7:J16" si="0">H7*I7</f>
        <v>495169.2</v>
      </c>
      <c r="K7" s="82">
        <f>Comp_Data!K7</f>
        <v>1478</v>
      </c>
      <c r="L7" s="82">
        <f>Comp_Data!L7</f>
        <v>3248</v>
      </c>
      <c r="M7" s="16">
        <f t="shared" ref="M7:M16" si="1">J7+K7-L7</f>
        <v>493399.2</v>
      </c>
      <c r="O7" s="83">
        <f>Comp_Data!M7</f>
        <v>66052</v>
      </c>
      <c r="P7" s="83">
        <f>Comp_Data!N7</f>
        <v>15347</v>
      </c>
      <c r="Q7" s="83">
        <f>Comp_Data!O7</f>
        <v>14971</v>
      </c>
      <c r="S7" s="84">
        <f t="shared" ref="S7:S16" si="2">M7/O7</f>
        <v>7.46986011021619</v>
      </c>
      <c r="T7" s="84">
        <f t="shared" ref="T7:T16" si="3">M7/P7</f>
        <v>32.1495536586955</v>
      </c>
      <c r="U7" s="84">
        <f t="shared" ref="U7:U16" si="4">J7/Q7</f>
        <v>33.0752254358426</v>
      </c>
    </row>
    <row r="8" ht="17.25" customHeight="1" spans="1:21">
      <c r="D8" s="85" t="s">
        <v>318</v>
      </c>
      <c r="F8" s="17" t="s">
        <v>361</v>
      </c>
      <c r="H8" s="82">
        <f>Comp_Data!I8</f>
        <v>1438</v>
      </c>
      <c r="I8" s="82">
        <f>Comp_Data!J8</f>
        <v>192.8</v>
      </c>
      <c r="J8" s="18">
        <f t="shared" si="0"/>
        <v>277246.4</v>
      </c>
      <c r="K8" s="82">
        <f>Comp_Data!K8</f>
        <v>444</v>
      </c>
      <c r="L8" s="82">
        <f>Comp_Data!L8</f>
        <v>1341</v>
      </c>
      <c r="M8" s="16">
        <f t="shared" si="1"/>
        <v>276349.4</v>
      </c>
      <c r="O8" s="83">
        <f>Comp_Data!M8</f>
        <v>23155</v>
      </c>
      <c r="P8" s="83">
        <f>Comp_Data!N8</f>
        <v>5307</v>
      </c>
      <c r="Q8" s="83">
        <f>Comp_Data!O8</f>
        <v>3545</v>
      </c>
      <c r="S8" s="84">
        <f t="shared" si="2"/>
        <v>11.9347613906284</v>
      </c>
      <c r="T8" s="84">
        <f t="shared" si="3"/>
        <v>52.0726210665159</v>
      </c>
      <c r="U8" s="84">
        <f t="shared" si="4"/>
        <v>78.2077291960508</v>
      </c>
    </row>
    <row r="9" ht="17.25" customHeight="1" spans="1:21">
      <c r="C9" s="34"/>
      <c r="D9" s="86" t="s">
        <v>319</v>
      </c>
      <c r="F9" s="17" t="s">
        <v>362</v>
      </c>
      <c r="H9" s="82">
        <f>Comp_Data!I9</f>
        <v>5171</v>
      </c>
      <c r="I9" s="82">
        <f>Comp_Data!J9</f>
        <v>24.1</v>
      </c>
      <c r="J9" s="18">
        <f t="shared" si="0"/>
        <v>124621.1</v>
      </c>
      <c r="K9" s="82">
        <f>Comp_Data!K9</f>
        <v>1380</v>
      </c>
      <c r="L9" s="82">
        <f>Comp_Data!L9</f>
        <v>352</v>
      </c>
      <c r="M9" s="16">
        <f t="shared" si="1"/>
        <v>125649.1</v>
      </c>
      <c r="O9" s="83">
        <f>Comp_Data!M9</f>
        <v>19152</v>
      </c>
      <c r="P9" s="83">
        <f>Comp_Data!N9</f>
        <v>3514</v>
      </c>
      <c r="Q9" s="83">
        <f>Comp_Data!O9</f>
        <v>2537</v>
      </c>
      <c r="S9" s="84">
        <f t="shared" si="2"/>
        <v>6.56062552213868</v>
      </c>
      <c r="T9" s="84">
        <f t="shared" si="3"/>
        <v>35.7567159931702</v>
      </c>
      <c r="U9" s="84">
        <f t="shared" si="4"/>
        <v>49.1214426487978</v>
      </c>
    </row>
    <row r="10" ht="17.25" customHeight="1" spans="1:21">
      <c r="D10" s="81" t="s">
        <v>320</v>
      </c>
      <c r="F10" s="87" t="s">
        <v>363</v>
      </c>
      <c r="H10" s="82">
        <f>Comp_Data!I10</f>
        <v>817</v>
      </c>
      <c r="I10" s="82">
        <f>Comp_Data!J10</f>
        <v>129.9</v>
      </c>
      <c r="J10" s="18">
        <f t="shared" si="0"/>
        <v>106128.3</v>
      </c>
      <c r="K10" s="82">
        <f>Comp_Data!K10</f>
        <v>557</v>
      </c>
      <c r="L10" s="82">
        <f>Comp_Data!L10</f>
        <v>493</v>
      </c>
      <c r="M10" s="16">
        <f t="shared" si="1"/>
        <v>106192.3</v>
      </c>
      <c r="O10" s="83">
        <f>Comp_Data!M10</f>
        <v>13611</v>
      </c>
      <c r="P10" s="83">
        <f>Comp_Data!N10</f>
        <v>2328</v>
      </c>
      <c r="Q10" s="83">
        <f>Comp_Data!O10</f>
        <v>1813</v>
      </c>
      <c r="S10" s="84">
        <f t="shared" si="2"/>
        <v>7.80194695466902</v>
      </c>
      <c r="T10" s="84">
        <f t="shared" si="3"/>
        <v>45.6152491408935</v>
      </c>
      <c r="U10" s="84">
        <f t="shared" si="4"/>
        <v>58.5373965802537</v>
      </c>
    </row>
    <row r="11" ht="17.25" customHeight="1" spans="1:21">
      <c r="D11" s="81" t="s">
        <v>321</v>
      </c>
      <c r="F11" s="18" t="s">
        <v>364</v>
      </c>
      <c r="H11" s="82">
        <f>Comp_Data!I11</f>
        <v>1070</v>
      </c>
      <c r="I11" s="82">
        <f>Comp_Data!J11</f>
        <v>102.4</v>
      </c>
      <c r="J11" s="18">
        <f t="shared" si="0"/>
        <v>109568</v>
      </c>
      <c r="K11" s="82">
        <f>Comp_Data!K11</f>
        <v>4421</v>
      </c>
      <c r="L11" s="82">
        <f>Comp_Data!L11</f>
        <v>1005</v>
      </c>
      <c r="M11" s="16">
        <f t="shared" si="1"/>
        <v>112984</v>
      </c>
      <c r="O11" s="83">
        <f>Comp_Data!M11</f>
        <v>15178</v>
      </c>
      <c r="P11" s="83">
        <f>Comp_Data!N11</f>
        <v>3169</v>
      </c>
      <c r="Q11" s="83">
        <f>Comp_Data!O11</f>
        <v>1861</v>
      </c>
      <c r="S11" s="84">
        <f t="shared" si="2"/>
        <v>7.44393200685202</v>
      </c>
      <c r="T11" s="84">
        <f t="shared" si="3"/>
        <v>35.652887346166</v>
      </c>
      <c r="U11" s="84">
        <f t="shared" si="4"/>
        <v>58.8758731864589</v>
      </c>
    </row>
    <row r="12" ht="17.25" customHeight="1" spans="1:21">
      <c r="D12" s="44" t="s">
        <v>322</v>
      </c>
      <c r="F12" s="88" t="s">
        <v>365</v>
      </c>
      <c r="H12" s="82">
        <f>Comp_Data!I12</f>
        <v>425</v>
      </c>
      <c r="I12" s="82">
        <f>Comp_Data!J12</f>
        <v>177.4</v>
      </c>
      <c r="J12" s="18">
        <f t="shared" si="0"/>
        <v>75395</v>
      </c>
      <c r="K12" s="82">
        <f>Comp_Data!K12</f>
        <v>1287</v>
      </c>
      <c r="L12" s="82">
        <f>Comp_Data!L12</f>
        <v>8947</v>
      </c>
      <c r="M12" s="16">
        <f t="shared" si="1"/>
        <v>67735</v>
      </c>
      <c r="O12" s="83">
        <f>Comp_Data!M12</f>
        <v>13193</v>
      </c>
      <c r="P12" s="83">
        <f>Comp_Data!N12</f>
        <v>2450</v>
      </c>
      <c r="Q12" s="83">
        <f>Comp_Data!O12</f>
        <v>1869</v>
      </c>
      <c r="S12" s="84">
        <f t="shared" si="2"/>
        <v>5.13416205563556</v>
      </c>
      <c r="T12" s="84">
        <f t="shared" si="3"/>
        <v>27.6469387755102</v>
      </c>
      <c r="U12" s="84">
        <f t="shared" si="4"/>
        <v>40.3397538790797</v>
      </c>
    </row>
    <row r="13" ht="17.25" customHeight="1" spans="1:21">
      <c r="D13" s="44" t="s">
        <v>323</v>
      </c>
      <c r="F13" s="89" t="s">
        <v>366</v>
      </c>
      <c r="H13" s="82">
        <f>Comp_Data!I13</f>
        <v>1083</v>
      </c>
      <c r="I13" s="82">
        <f>Comp_Data!J13</f>
        <v>98.98</v>
      </c>
      <c r="J13" s="18">
        <f t="shared" si="0"/>
        <v>107195.34</v>
      </c>
      <c r="K13" s="82">
        <f>Comp_Data!K13</f>
        <v>2820</v>
      </c>
      <c r="L13" s="82">
        <f>Comp_Data!L13</f>
        <v>1443</v>
      </c>
      <c r="M13" s="16">
        <f t="shared" si="1"/>
        <v>108572.34</v>
      </c>
      <c r="O13" s="83">
        <f>Comp_Data!M13</f>
        <v>20290</v>
      </c>
      <c r="P13" s="90">
        <f>Comp_Data!N13</f>
        <v>2792</v>
      </c>
      <c r="Q13" s="90">
        <f>Comp_Data!O13</f>
        <v>1547</v>
      </c>
      <c r="S13" s="84">
        <f t="shared" si="2"/>
        <v>5.35102710694924</v>
      </c>
      <c r="T13" s="84">
        <f t="shared" si="3"/>
        <v>38.886941260745</v>
      </c>
      <c r="U13" s="84">
        <f t="shared" si="4"/>
        <v>69.2923981900453</v>
      </c>
    </row>
    <row r="14" ht="16.5" customHeight="1" spans="1:21">
      <c r="D14" s="15" t="s">
        <v>324</v>
      </c>
      <c r="F14" s="18" t="s">
        <v>367</v>
      </c>
      <c r="H14" s="82">
        <f>Comp_Data!I14</f>
        <v>2136.6</v>
      </c>
      <c r="I14" s="82">
        <f>Comp_Data!J14</f>
        <v>27.2</v>
      </c>
      <c r="J14" s="18">
        <f t="shared" si="0"/>
        <v>58115.52</v>
      </c>
      <c r="K14" s="82">
        <f>Comp_Data!K14</f>
        <v>47.4</v>
      </c>
      <c r="L14" s="82">
        <f>Comp_Data!L14</f>
        <v>1426</v>
      </c>
      <c r="M14" s="16">
        <f t="shared" si="1"/>
        <v>56736.92</v>
      </c>
      <c r="O14" s="83">
        <f>Comp_Data!M14</f>
        <v>6035</v>
      </c>
      <c r="P14" s="83">
        <f>Comp_Data!N14</f>
        <v>1870</v>
      </c>
      <c r="Q14" s="83">
        <f>Comp_Data!O14</f>
        <v>1325</v>
      </c>
      <c r="S14" s="84">
        <f t="shared" si="2"/>
        <v>9.40131234465617</v>
      </c>
      <c r="T14" s="84">
        <f t="shared" si="3"/>
        <v>30.3405989304813</v>
      </c>
      <c r="U14" s="84">
        <f t="shared" si="4"/>
        <v>43.8607698113208</v>
      </c>
    </row>
    <row r="15" ht="16.5" customHeight="1" spans="1:21">
      <c r="D15" s="91" t="s">
        <v>325</v>
      </c>
      <c r="F15" s="92" t="s">
        <v>368</v>
      </c>
      <c r="H15" s="93">
        <f>Comp_Data!I15</f>
        <v>2245</v>
      </c>
      <c r="I15" s="93">
        <f>Comp_Data!J15</f>
        <v>15.59</v>
      </c>
      <c r="J15" s="94">
        <f t="shared" si="0"/>
        <v>34999.55</v>
      </c>
      <c r="K15" s="93">
        <f>Comp_Data!K15</f>
        <v>234</v>
      </c>
      <c r="L15" s="93">
        <f>Comp_Data!L15</f>
        <v>3299</v>
      </c>
      <c r="M15" s="95">
        <f t="shared" si="1"/>
        <v>31934.55</v>
      </c>
      <c r="O15" s="96">
        <f>Comp_Data!M15</f>
        <v>6391</v>
      </c>
      <c r="P15" s="96">
        <f>Comp_Data!N15</f>
        <v>1585</v>
      </c>
      <c r="Q15" s="96">
        <f>Comp_Data!O15</f>
        <v>1526</v>
      </c>
      <c r="S15" s="97">
        <f t="shared" si="2"/>
        <v>4.99680018776404</v>
      </c>
      <c r="T15" s="97">
        <f t="shared" si="3"/>
        <v>20.1479810725552</v>
      </c>
      <c r="U15" s="97">
        <f t="shared" si="4"/>
        <v>22.9354849279161</v>
      </c>
    </row>
    <row r="16" ht="17.25" customHeight="1" spans="1:21">
      <c r="D16" s="91" t="s">
        <v>326</v>
      </c>
      <c r="F16" s="92" t="s">
        <v>369</v>
      </c>
      <c r="H16" s="93">
        <f>Comp_Data!I16</f>
        <v>272</v>
      </c>
      <c r="I16" s="93">
        <f>Comp_Data!J16</f>
        <v>16.98</v>
      </c>
      <c r="J16" s="94">
        <f t="shared" si="0"/>
        <v>4618.56</v>
      </c>
      <c r="K16" s="93">
        <f>Comp_Data!K16</f>
        <v>0</v>
      </c>
      <c r="L16" s="93">
        <f>Comp_Data!L16</f>
        <v>559</v>
      </c>
      <c r="M16" s="95">
        <f t="shared" si="1"/>
        <v>4059.56</v>
      </c>
      <c r="O16" s="96">
        <f>Comp_Data!M16</f>
        <v>1465</v>
      </c>
      <c r="P16" s="96">
        <f>Comp_Data!N16</f>
        <v>450</v>
      </c>
      <c r="Q16" s="96">
        <f>Comp_Data!O16</f>
        <v>292</v>
      </c>
      <c r="S16" s="97">
        <f t="shared" si="2"/>
        <v>2.77103071672355</v>
      </c>
      <c r="T16" s="97">
        <f t="shared" si="3"/>
        <v>9.02124444444445</v>
      </c>
      <c r="U16" s="97">
        <f t="shared" si="4"/>
        <v>15.8169863013699</v>
      </c>
    </row>
    <row r="17" ht="17.25" customHeight="1" spans="4:21">
      <c r="D17" s="98"/>
      <c r="H17" s="18"/>
      <c r="I17" s="18"/>
      <c r="J17" s="18"/>
      <c r="K17" s="18"/>
      <c r="L17" s="18"/>
      <c r="S17" s="99"/>
      <c r="T17" s="99"/>
      <c r="U17" s="99"/>
    </row>
    <row r="18" ht="16.5" customHeight="1" spans="4:21">
      <c r="D18" s="100" t="s">
        <v>247</v>
      </c>
      <c r="E18" s="101"/>
      <c r="F18" s="101"/>
      <c r="G18" s="101"/>
      <c r="H18" s="102"/>
      <c r="I18" s="102"/>
      <c r="J18" s="102"/>
      <c r="K18" s="102"/>
      <c r="L18" s="102"/>
      <c r="M18" s="66"/>
      <c r="N18" s="66"/>
      <c r="O18" s="66"/>
      <c r="P18" s="66"/>
      <c r="Q18" s="66"/>
      <c r="R18" s="66"/>
      <c r="S18" s="103">
        <f>AVERAGE(S7:S16)</f>
        <v>6.88654583962329</v>
      </c>
      <c r="T18" s="103">
        <f>AVERAGE(T7:T16)</f>
        <v>32.7290731689177</v>
      </c>
      <c r="U18" s="103">
        <f>AVERAGE(U7:U16)</f>
        <v>47.0063060157135</v>
      </c>
    </row>
    <row r="19" ht="16.5" customHeight="1" spans="4:21">
      <c r="D19" s="100" t="s">
        <v>327</v>
      </c>
      <c r="E19" s="104"/>
      <c r="F19" s="104"/>
      <c r="G19" s="104"/>
      <c r="H19" s="105"/>
      <c r="I19" s="105"/>
      <c r="J19" s="105"/>
      <c r="K19" s="105"/>
      <c r="L19" s="105"/>
      <c r="M19" s="66"/>
      <c r="N19" s="66"/>
      <c r="O19" s="66"/>
      <c r="P19" s="66"/>
      <c r="Q19" s="66"/>
      <c r="R19" s="66"/>
      <c r="S19" s="103">
        <f>MEDIAN(S7:S16)</f>
        <v>7.00227876449535</v>
      </c>
      <c r="T19" s="103">
        <f>MEDIAN(T7:T16)</f>
        <v>33.9012205024307</v>
      </c>
      <c r="U19" s="103">
        <f>MEDIAN(U7:U16)</f>
        <v>46.4911062300593</v>
      </c>
    </row>
    <row r="20" ht="16.5" customHeight="1" spans="4:21">
      <c r="D20" s="51"/>
      <c r="H20" s="18"/>
      <c r="I20" s="18"/>
      <c r="J20" s="18"/>
      <c r="K20" s="18"/>
      <c r="L20" s="18"/>
    </row>
    <row r="21" ht="17.25" customHeight="1" spans="4:21">
      <c r="D21" s="106" t="str">
        <f>Comp_Data!D5</f>
        <v>ITC</v>
      </c>
      <c r="E21" s="107"/>
      <c r="F21" s="106" t="str">
        <f>Comp_Data!H5</f>
        <v>ITC</v>
      </c>
      <c r="G21" s="108"/>
      <c r="H21" s="93">
        <f>Comp_Data!I5</f>
        <v>289</v>
      </c>
      <c r="I21" s="93">
        <f>Comp_Data!J5</f>
        <v>1252.1</v>
      </c>
      <c r="J21" s="94">
        <f>H21*I21</f>
        <v>361856.9</v>
      </c>
      <c r="K21" s="93">
        <f>Comp_Data!K5</f>
        <v>200.86</v>
      </c>
      <c r="L21" s="93">
        <f>Comp_Data!L5</f>
        <v>3008.79</v>
      </c>
      <c r="M21" s="95">
        <f>J21+K21-L21</f>
        <v>359048.97</v>
      </c>
      <c r="O21" s="96">
        <f>Comp_Data!M5</f>
        <v>89913.33</v>
      </c>
      <c r="P21" s="96">
        <f>Comp_Data!N5</f>
        <v>27317.91</v>
      </c>
      <c r="Q21" s="96">
        <f>Comp_Data!O5</f>
        <v>21018.15</v>
      </c>
    </row>
    <row r="22" ht="16.5" customHeight="1" spans="4:21">
      <c r="E22" s="109"/>
      <c r="H22" s="110"/>
      <c r="I22" s="110"/>
      <c r="J22" s="110"/>
      <c r="K22" s="18"/>
      <c r="L22" s="18"/>
    </row>
    <row r="23" ht="16.5" customHeight="1" spans="4:21">
      <c r="D23" s="111" t="s">
        <v>370</v>
      </c>
      <c r="E23" s="112" t="s">
        <v>371</v>
      </c>
      <c r="F23" s="101"/>
      <c r="G23" s="101"/>
      <c r="H23" s="113" t="s">
        <v>351</v>
      </c>
      <c r="I23" s="113" t="s">
        <v>372</v>
      </c>
      <c r="J23" s="113" t="s">
        <v>262</v>
      </c>
      <c r="K23" s="114" t="s">
        <v>349</v>
      </c>
      <c r="L23" s="114" t="s">
        <v>373</v>
      </c>
    </row>
    <row r="24" ht="16.5" customHeight="1" spans="4:21">
      <c r="D24" s="91" t="s">
        <v>354</v>
      </c>
      <c r="E24" s="115">
        <f>S19</f>
        <v>7.00227876449535</v>
      </c>
      <c r="H24" s="94">
        <f>$O$21*E24</f>
        <v>629598.201304063</v>
      </c>
      <c r="I24" s="94">
        <f>$K$21</f>
        <v>200.86</v>
      </c>
      <c r="J24" s="94">
        <f>H24-I24</f>
        <v>629397.341304063</v>
      </c>
      <c r="K24" s="94">
        <f>$I$21</f>
        <v>1252.1</v>
      </c>
      <c r="L24" s="94">
        <f>J24/K24</f>
        <v>502.67338176189</v>
      </c>
    </row>
    <row r="25" ht="16.5" customHeight="1" spans="4:21">
      <c r="D25" s="91" t="s">
        <v>235</v>
      </c>
      <c r="E25" s="115">
        <f>T19</f>
        <v>33.9012205024307</v>
      </c>
      <c r="H25" s="94">
        <f>$P$21*E25</f>
        <v>926110.490575557</v>
      </c>
      <c r="I25" s="94">
        <f>$K$21</f>
        <v>200.86</v>
      </c>
      <c r="J25" s="94">
        <f>H25-I25</f>
        <v>925909.630575557</v>
      </c>
      <c r="K25" s="94">
        <f>$I$21</f>
        <v>1252.1</v>
      </c>
      <c r="L25" s="94">
        <f>J25/K25</f>
        <v>739.485369040457</v>
      </c>
    </row>
    <row r="26" ht="16.5" customHeight="1" spans="4:21">
      <c r="D26" s="106" t="s">
        <v>355</v>
      </c>
      <c r="E26" s="115">
        <f>U19</f>
        <v>46.4911062300593</v>
      </c>
      <c r="H26" s="94">
        <f>$Q$21*E26</f>
        <v>977157.044409321</v>
      </c>
      <c r="I26" s="94">
        <f>$K$21</f>
        <v>200.86</v>
      </c>
      <c r="J26" s="94">
        <f>H26-I26</f>
        <v>976956.184409321</v>
      </c>
      <c r="K26" s="94">
        <f>$I$21</f>
        <v>1252.1</v>
      </c>
      <c r="L26" s="94">
        <f>J26/K26</f>
        <v>780.254120604841</v>
      </c>
    </row>
    <row r="28" ht="16.5" customHeight="1" spans="4:21">
      <c r="D28" s="57"/>
      <c r="E28" s="56"/>
      <c r="F28" s="56"/>
      <c r="G28" s="56"/>
      <c r="H28" s="116"/>
      <c r="I28" s="116"/>
      <c r="J28" s="116"/>
    </row>
    <row r="29" ht="16.5" customHeight="1" spans="4:21">
      <c r="D29" s="51"/>
      <c r="H29" s="18"/>
      <c r="I29" s="18"/>
      <c r="J29" s="18"/>
      <c r="K29" s="18"/>
      <c r="L29" s="18"/>
    </row>
    <row r="30" ht="16.5" customHeight="1" spans="4:21">
      <c r="D30" s="51"/>
      <c r="H30" s="18"/>
      <c r="I30" s="18"/>
      <c r="J30" s="18"/>
      <c r="K30" s="18"/>
      <c r="L30" s="18"/>
    </row>
    <row r="31" ht="16.5" customHeight="1" spans="4:21">
      <c r="D31" s="51"/>
      <c r="H31" s="18"/>
      <c r="I31" s="18"/>
      <c r="J31" s="18"/>
      <c r="K31" s="18"/>
      <c r="L31" s="18"/>
    </row>
    <row r="32" ht="16.5" customHeight="1" spans="4:21">
      <c r="D32" s="57"/>
      <c r="H32" s="18"/>
      <c r="I32" s="18"/>
      <c r="J32" s="18"/>
      <c r="K32" s="18"/>
      <c r="L32" s="18"/>
    </row>
    <row r="33" ht="16.5" customHeight="1" spans="3:12">
      <c r="D33" s="56"/>
      <c r="H33" s="116"/>
      <c r="I33" s="116"/>
      <c r="J33" s="116"/>
      <c r="K33" s="116"/>
      <c r="L33" s="116"/>
    </row>
    <row r="34" ht="16.5" customHeight="1" spans="3:12">
      <c r="D34" s="57"/>
      <c r="H34" s="18"/>
      <c r="I34" s="18"/>
      <c r="J34" s="18"/>
      <c r="K34" s="18"/>
      <c r="L34" s="18"/>
    </row>
    <row r="36" ht="16.5" customHeight="1" spans="3:12">
      <c r="C36" s="58"/>
    </row>
    <row r="38" ht="16.5" customHeight="1" spans="3:12">
      <c r="C38" s="34"/>
    </row>
    <row r="39" ht="16.5" customHeight="1" spans="3:12">
      <c r="D39" s="53"/>
    </row>
    <row r="40" ht="16.5" customHeight="1" spans="3:12">
      <c r="D40" s="51"/>
      <c r="H40" s="18"/>
      <c r="I40" s="18"/>
      <c r="J40" s="18"/>
      <c r="K40" s="18"/>
      <c r="L40" s="18"/>
    </row>
    <row r="41" ht="16.5" customHeight="1" spans="3:12">
      <c r="D41" s="51"/>
      <c r="H41" s="18"/>
      <c r="I41" s="18"/>
      <c r="J41" s="18"/>
      <c r="K41" s="18"/>
      <c r="L41" s="18"/>
    </row>
    <row r="42" ht="16.5" customHeight="1" spans="3:12">
      <c r="D42" s="51"/>
      <c r="H42" s="18"/>
      <c r="I42" s="18"/>
      <c r="J42" s="18"/>
      <c r="K42" s="18"/>
      <c r="L42" s="18"/>
    </row>
    <row r="43" ht="16.5" customHeight="1" spans="3:12">
      <c r="D43" s="51"/>
      <c r="H43" s="18"/>
      <c r="I43" s="18"/>
      <c r="J43" s="18"/>
      <c r="K43" s="18"/>
      <c r="L43" s="18"/>
    </row>
    <row r="44" ht="16.5" customHeight="1" spans="3:12">
      <c r="D44" s="51"/>
      <c r="H44" s="18"/>
      <c r="I44" s="18"/>
      <c r="J44" s="18"/>
      <c r="K44" s="18"/>
      <c r="L44" s="18"/>
    </row>
    <row r="45" ht="16.5" customHeight="1" spans="3:12">
      <c r="D45" s="51"/>
      <c r="H45" s="18"/>
      <c r="I45" s="18"/>
      <c r="J45" s="18"/>
      <c r="K45" s="18"/>
      <c r="L45" s="18"/>
    </row>
    <row r="46" ht="16.5" customHeight="1" spans="3:12">
      <c r="D46" s="51"/>
      <c r="H46" s="18"/>
      <c r="I46" s="18"/>
      <c r="J46" s="18"/>
      <c r="K46" s="18"/>
      <c r="L46" s="18"/>
    </row>
    <row r="47" ht="16.5" customHeight="1" spans="3:12">
      <c r="D47" s="51"/>
      <c r="H47" s="18"/>
      <c r="I47" s="18"/>
      <c r="J47" s="18"/>
      <c r="K47" s="18"/>
      <c r="L47" s="18"/>
    </row>
    <row r="48" ht="16.5" customHeight="1" spans="3:12">
      <c r="H48" s="18"/>
      <c r="I48" s="18"/>
      <c r="J48" s="18"/>
      <c r="K48" s="18"/>
      <c r="L48" s="18"/>
    </row>
    <row r="49" ht="16.5" customHeight="1" spans="3:12">
      <c r="D49" s="59"/>
      <c r="E49" s="60"/>
      <c r="H49" s="18"/>
      <c r="I49" s="18"/>
      <c r="J49" s="18"/>
      <c r="K49" s="18"/>
      <c r="L49" s="18"/>
    </row>
    <row r="50" ht="16.5" customHeight="1" spans="3:12">
      <c r="D50" s="59"/>
      <c r="E50" s="60"/>
      <c r="H50" s="18"/>
      <c r="I50" s="18"/>
      <c r="J50" s="18"/>
      <c r="K50" s="18"/>
      <c r="L50" s="18"/>
    </row>
    <row r="51" ht="16.5" customHeight="1" spans="3:12">
      <c r="D51" s="59"/>
      <c r="E51" s="60"/>
      <c r="H51" s="18"/>
      <c r="I51" s="18"/>
      <c r="J51" s="18"/>
      <c r="K51" s="18"/>
      <c r="L51" s="18"/>
    </row>
    <row r="52" ht="16.5" customHeight="1" spans="3:12">
      <c r="D52" s="51"/>
      <c r="H52" s="18"/>
      <c r="I52" s="18"/>
      <c r="J52" s="18"/>
      <c r="K52" s="18"/>
      <c r="L52" s="18"/>
    </row>
    <row r="53" ht="16.5" customHeight="1" spans="3:12">
      <c r="D53" s="51"/>
      <c r="H53" s="18"/>
      <c r="I53" s="18"/>
      <c r="J53" s="18"/>
      <c r="K53" s="18"/>
      <c r="L53" s="18"/>
    </row>
    <row r="54" ht="16.5" customHeight="1" spans="3:12">
      <c r="D54" s="51"/>
      <c r="H54" s="18"/>
      <c r="I54" s="18"/>
      <c r="J54" s="18"/>
      <c r="K54" s="18"/>
      <c r="L54" s="18"/>
    </row>
    <row r="55" ht="16.5" customHeight="1" spans="3:12">
      <c r="D55" s="53"/>
      <c r="E55" s="54"/>
      <c r="F55" s="54"/>
      <c r="G55" s="54"/>
      <c r="H55" s="117"/>
      <c r="I55" s="117"/>
      <c r="J55" s="117"/>
      <c r="K55" s="117"/>
      <c r="L55" s="117"/>
    </row>
    <row r="56" ht="16.5" customHeight="1" spans="3:12">
      <c r="D56" s="56"/>
      <c r="H56" s="116"/>
      <c r="I56" s="116"/>
      <c r="J56" s="116"/>
      <c r="K56" s="116"/>
      <c r="L56" s="116"/>
    </row>
    <row r="57" ht="16.5" customHeight="1" spans="3:12">
      <c r="C57" s="34"/>
      <c r="H57" s="116"/>
      <c r="I57" s="116"/>
      <c r="J57" s="116"/>
      <c r="K57" s="116"/>
      <c r="L57" s="116"/>
    </row>
    <row r="58" ht="16.5" customHeight="1" spans="3:12">
      <c r="D58" s="51"/>
      <c r="H58" s="18"/>
      <c r="I58" s="18"/>
      <c r="J58" s="18"/>
      <c r="K58" s="18"/>
      <c r="L58" s="18"/>
    </row>
    <row r="59" ht="16.5" customHeight="1" spans="3:12">
      <c r="D59" s="51"/>
      <c r="H59" s="18"/>
      <c r="I59" s="18"/>
      <c r="J59" s="18"/>
      <c r="K59" s="18"/>
      <c r="L59" s="18"/>
    </row>
    <row r="61" ht="16.5" customHeight="1" spans="3:12">
      <c r="D61" s="61"/>
      <c r="H61" s="18"/>
      <c r="I61" s="18"/>
      <c r="J61" s="18"/>
      <c r="K61" s="18"/>
      <c r="L61" s="18"/>
    </row>
    <row r="62" ht="16.5" customHeight="1" spans="3:12">
      <c r="D62" s="61"/>
      <c r="H62" s="18"/>
      <c r="I62" s="18"/>
      <c r="J62" s="18"/>
      <c r="K62" s="18"/>
      <c r="L62" s="18"/>
    </row>
    <row r="63" ht="16.5" customHeight="1" spans="3:12">
      <c r="D63" s="61"/>
      <c r="H63" s="18"/>
      <c r="I63" s="18"/>
      <c r="J63" s="18"/>
      <c r="K63" s="18"/>
      <c r="L63" s="18"/>
    </row>
    <row r="64" ht="16.5" customHeight="1" spans="3:12">
      <c r="D64" s="61"/>
      <c r="H64" s="18"/>
      <c r="I64" s="18"/>
      <c r="J64" s="18"/>
      <c r="K64" s="18"/>
      <c r="L64" s="18"/>
    </row>
    <row r="65" ht="16.5" customHeight="1" spans="3:12">
      <c r="D65" s="61"/>
      <c r="H65" s="18"/>
      <c r="I65" s="18"/>
      <c r="J65" s="18"/>
      <c r="K65" s="18"/>
      <c r="L65" s="18"/>
    </row>
    <row r="66" ht="16.5" customHeight="1" spans="3:12">
      <c r="D66" s="61"/>
      <c r="H66" s="18"/>
      <c r="I66" s="18"/>
      <c r="J66" s="18"/>
      <c r="K66" s="18"/>
      <c r="L66" s="18"/>
    </row>
    <row r="67" ht="16.5" customHeight="1" spans="3:12">
      <c r="D67" s="51"/>
      <c r="H67" s="18"/>
      <c r="I67" s="18"/>
      <c r="J67" s="18"/>
      <c r="K67" s="18"/>
      <c r="L67" s="18"/>
    </row>
    <row r="68" ht="16.5" customHeight="1" spans="3:12">
      <c r="D68" s="53"/>
      <c r="E68" s="54"/>
      <c r="F68" s="54"/>
      <c r="G68" s="54"/>
      <c r="H68" s="117"/>
      <c r="I68" s="117"/>
      <c r="J68" s="117"/>
      <c r="K68" s="117"/>
      <c r="L68" s="117"/>
    </row>
    <row r="69" ht="16.5" customHeight="1" spans="3:12">
      <c r="D69" s="56"/>
      <c r="H69" s="116"/>
      <c r="I69" s="116"/>
      <c r="J69" s="116"/>
      <c r="K69" s="116"/>
      <c r="L69" s="116"/>
    </row>
    <row r="70" ht="16.5" customHeight="1" spans="3:12">
      <c r="D70" s="57"/>
      <c r="H70" s="18"/>
      <c r="I70" s="18"/>
      <c r="J70" s="18"/>
      <c r="K70" s="18"/>
      <c r="L70" s="18"/>
    </row>
    <row r="71" ht="16.5" customHeight="1" spans="3:12">
      <c r="D71" s="56"/>
      <c r="H71" s="116"/>
      <c r="I71" s="116"/>
      <c r="J71" s="116"/>
      <c r="K71" s="116"/>
      <c r="L71" s="116"/>
    </row>
    <row r="72" ht="16.5" customHeight="1" spans="3:12">
      <c r="C72" s="34"/>
      <c r="H72" s="116"/>
      <c r="I72" s="116"/>
      <c r="J72" s="116"/>
      <c r="K72" s="116"/>
      <c r="L72" s="116"/>
    </row>
    <row r="73" ht="16.5" customHeight="1" spans="3:12">
      <c r="C73" s="34"/>
      <c r="H73" s="116"/>
      <c r="I73" s="116"/>
      <c r="J73" s="116"/>
      <c r="K73" s="116"/>
      <c r="L73" s="116"/>
    </row>
    <row r="74" ht="16.5" customHeight="1" spans="3:12">
      <c r="D74" s="53"/>
      <c r="H74" s="116"/>
      <c r="I74" s="116"/>
      <c r="J74" s="116"/>
      <c r="K74" s="116"/>
      <c r="L74" s="116"/>
    </row>
    <row r="75" ht="16.5" customHeight="1" spans="3:12">
      <c r="D75" s="51"/>
      <c r="H75" s="18"/>
      <c r="I75" s="18"/>
      <c r="J75" s="18"/>
      <c r="K75" s="18"/>
      <c r="L75" s="18"/>
    </row>
    <row r="76" ht="16.5" customHeight="1" spans="3:12">
      <c r="D76" s="51"/>
      <c r="H76" s="18"/>
      <c r="I76" s="18"/>
      <c r="J76" s="18"/>
      <c r="K76" s="18"/>
      <c r="L76" s="18"/>
    </row>
    <row r="77" ht="16.5" customHeight="1" spans="3:12">
      <c r="D77" s="57"/>
      <c r="H77" s="18"/>
      <c r="I77" s="18"/>
      <c r="J77" s="18"/>
      <c r="K77" s="18"/>
      <c r="L77" s="18"/>
    </row>
    <row r="78" ht="16.5" customHeight="1" spans="3:12">
      <c r="D78" s="51"/>
      <c r="H78" s="18"/>
      <c r="I78" s="18"/>
      <c r="J78" s="18"/>
      <c r="K78" s="18"/>
      <c r="L78" s="18"/>
    </row>
    <row r="79" ht="16.5" customHeight="1" spans="3:12">
      <c r="D79" s="53"/>
      <c r="E79" s="54"/>
      <c r="F79" s="54"/>
      <c r="G79" s="54"/>
      <c r="H79" s="117"/>
      <c r="I79" s="117"/>
      <c r="J79" s="117"/>
      <c r="K79" s="117"/>
      <c r="L79" s="117"/>
    </row>
    <row r="80" ht="16.5" customHeight="1" spans="3:12">
      <c r="D80" s="56"/>
      <c r="H80" s="116"/>
      <c r="I80" s="116"/>
      <c r="J80" s="116"/>
      <c r="K80" s="116"/>
      <c r="L80" s="116"/>
    </row>
    <row r="81" ht="16.5" customHeight="1" spans="3:12">
      <c r="C81" s="34"/>
      <c r="H81" s="116"/>
      <c r="I81" s="116"/>
      <c r="J81" s="116"/>
      <c r="K81" s="116"/>
      <c r="L81" s="116"/>
    </row>
    <row r="82" ht="16.5" customHeight="1" spans="3:12">
      <c r="C82" s="34"/>
      <c r="H82" s="116"/>
      <c r="I82" s="116"/>
      <c r="J82" s="116"/>
      <c r="K82" s="116"/>
      <c r="L82" s="116"/>
    </row>
    <row r="83" ht="16.5" customHeight="1" spans="3:12">
      <c r="D83" s="61"/>
      <c r="H83" s="18"/>
      <c r="I83" s="18"/>
      <c r="J83" s="18"/>
      <c r="K83" s="18"/>
      <c r="L83" s="18"/>
    </row>
    <row r="84" ht="16.5" customHeight="1" spans="3:12">
      <c r="D84" s="61"/>
      <c r="H84" s="18"/>
      <c r="I84" s="18"/>
      <c r="J84" s="18"/>
      <c r="K84" s="18"/>
      <c r="L84" s="18"/>
    </row>
    <row r="85" ht="16.5" customHeight="1" spans="3:12">
      <c r="D85" s="61"/>
      <c r="H85" s="18"/>
      <c r="I85" s="18"/>
      <c r="J85" s="18"/>
      <c r="K85" s="18"/>
      <c r="L85" s="18"/>
    </row>
    <row r="86" ht="16.5" customHeight="1" spans="3:12">
      <c r="D86" s="51"/>
      <c r="H86" s="18"/>
      <c r="I86" s="18"/>
      <c r="J86" s="18"/>
      <c r="K86" s="18"/>
      <c r="L86" s="18"/>
    </row>
    <row r="87" ht="16.5" customHeight="1" spans="3:12">
      <c r="D87" s="51"/>
      <c r="H87" s="18"/>
      <c r="I87" s="18"/>
      <c r="J87" s="18"/>
      <c r="K87" s="18"/>
      <c r="L87" s="18"/>
    </row>
    <row r="88" ht="16.5" customHeight="1" spans="3:12">
      <c r="D88" s="51"/>
      <c r="H88" s="18"/>
      <c r="I88" s="18"/>
      <c r="J88" s="18"/>
      <c r="K88" s="18"/>
      <c r="L88" s="18"/>
    </row>
    <row r="89" ht="16.5" customHeight="1" spans="3:12">
      <c r="D89" s="53"/>
      <c r="E89" s="54"/>
      <c r="F89" s="54"/>
      <c r="G89" s="54"/>
      <c r="H89" s="117"/>
      <c r="I89" s="117"/>
      <c r="J89" s="117"/>
      <c r="K89" s="117"/>
      <c r="L89" s="117"/>
    </row>
    <row r="90" ht="16.5" customHeight="1" spans="3:12">
      <c r="D90" s="56"/>
      <c r="H90" s="116"/>
      <c r="I90" s="116"/>
      <c r="J90" s="116"/>
      <c r="K90" s="116"/>
      <c r="L90" s="116"/>
    </row>
    <row r="91" ht="16.5" customHeight="1" spans="3:12">
      <c r="C91" s="34"/>
      <c r="H91" s="116"/>
      <c r="I91" s="116"/>
      <c r="J91" s="116"/>
      <c r="K91" s="116"/>
      <c r="L91" s="116"/>
    </row>
    <row r="92" ht="16.5" customHeight="1" spans="3:12">
      <c r="C92" s="34"/>
      <c r="H92" s="116"/>
      <c r="I92" s="116"/>
      <c r="J92" s="116"/>
      <c r="K92" s="116"/>
      <c r="L92" s="116"/>
    </row>
    <row r="93" ht="16.5" customHeight="1" spans="3:12">
      <c r="D93" s="61"/>
      <c r="H93" s="18"/>
      <c r="I93" s="18"/>
      <c r="J93" s="18"/>
      <c r="K93" s="18"/>
      <c r="L93" s="18"/>
    </row>
    <row r="94" ht="16.5" customHeight="1" spans="3:12">
      <c r="D94" s="61"/>
      <c r="H94" s="18"/>
      <c r="I94" s="18"/>
      <c r="J94" s="18"/>
      <c r="K94" s="18"/>
      <c r="L94" s="18"/>
    </row>
    <row r="95" ht="16.5" customHeight="1" spans="3:12">
      <c r="D95" s="61"/>
      <c r="H95" s="18"/>
      <c r="I95" s="18"/>
      <c r="J95" s="18"/>
      <c r="K95" s="18"/>
      <c r="L95" s="18"/>
    </row>
    <row r="96" ht="16.5" customHeight="1" spans="3:12">
      <c r="D96" s="61"/>
      <c r="H96" s="18"/>
      <c r="I96" s="18"/>
      <c r="J96" s="18"/>
      <c r="K96" s="18"/>
      <c r="L96" s="18"/>
    </row>
    <row r="97" ht="16.5" customHeight="1" spans="3:12">
      <c r="D97" s="61"/>
      <c r="H97" s="18"/>
      <c r="I97" s="18"/>
      <c r="J97" s="18"/>
      <c r="K97" s="18"/>
      <c r="L97" s="18"/>
    </row>
    <row r="98" ht="16.5" customHeight="1" spans="3:12">
      <c r="D98" s="51"/>
      <c r="H98" s="18"/>
      <c r="I98" s="18"/>
      <c r="J98" s="18"/>
      <c r="K98" s="18"/>
      <c r="L98" s="18"/>
    </row>
    <row r="99" ht="16.5" customHeight="1" spans="3:12">
      <c r="D99" s="51"/>
      <c r="H99" s="18"/>
      <c r="I99" s="18"/>
      <c r="J99" s="18"/>
      <c r="K99" s="18"/>
      <c r="L99" s="18"/>
    </row>
    <row r="100" ht="16.5" customHeight="1" spans="3:12">
      <c r="D100" s="51"/>
      <c r="H100" s="18"/>
      <c r="I100" s="18"/>
      <c r="J100" s="18"/>
      <c r="K100" s="18"/>
      <c r="L100" s="18"/>
    </row>
    <row r="101" ht="16.5" customHeight="1" spans="3:12">
      <c r="D101" s="53"/>
      <c r="E101" s="54"/>
      <c r="F101" s="54"/>
      <c r="G101" s="54"/>
      <c r="H101" s="117"/>
      <c r="I101" s="117"/>
      <c r="J101" s="117"/>
      <c r="K101" s="117"/>
      <c r="L101" s="117"/>
    </row>
    <row r="102" ht="16.5" customHeight="1" spans="3:12">
      <c r="D102" s="56"/>
      <c r="H102" s="116"/>
      <c r="I102" s="116"/>
      <c r="J102" s="116"/>
      <c r="K102" s="116"/>
      <c r="L102" s="116"/>
    </row>
    <row r="103" ht="16.5" customHeight="1" spans="3:12">
      <c r="D103" s="57"/>
      <c r="H103" s="18"/>
      <c r="I103" s="18"/>
      <c r="J103" s="18"/>
      <c r="K103" s="18"/>
      <c r="L103" s="18"/>
    </row>
    <row r="105" ht="16.5" customHeight="1" spans="3:12">
      <c r="C105" s="62"/>
    </row>
    <row r="107" ht="16.5" customHeight="1" spans="3:12">
      <c r="D107" s="53"/>
      <c r="H107" s="18"/>
      <c r="I107" s="18"/>
      <c r="J107" s="18"/>
      <c r="K107" s="18"/>
      <c r="L107" s="18"/>
    </row>
    <row r="108" ht="16.5" customHeight="1" spans="3:12">
      <c r="D108" s="51"/>
      <c r="H108" s="18"/>
      <c r="I108" s="18"/>
      <c r="J108" s="18"/>
      <c r="K108" s="18"/>
      <c r="L108" s="18"/>
    </row>
    <row r="109" ht="16.5" customHeight="1" spans="3:12">
      <c r="D109" s="51"/>
      <c r="H109" s="18"/>
      <c r="I109" s="18"/>
      <c r="J109" s="18"/>
      <c r="K109" s="18"/>
      <c r="L109" s="18"/>
    </row>
    <row r="110" ht="16.5" customHeight="1" spans="3:12">
      <c r="D110" s="51"/>
      <c r="H110" s="18"/>
      <c r="I110" s="18"/>
      <c r="J110" s="18"/>
      <c r="K110" s="18"/>
      <c r="L110" s="18"/>
    </row>
    <row r="111" ht="16.5" customHeight="1" spans="3:12">
      <c r="D111" s="51"/>
      <c r="H111" s="18"/>
      <c r="I111" s="18"/>
      <c r="J111" s="18"/>
      <c r="K111" s="18"/>
      <c r="L111" s="18"/>
    </row>
    <row r="112" ht="16.5" customHeight="1" spans="3:12">
      <c r="D112" s="51"/>
      <c r="H112" s="18"/>
      <c r="I112" s="18"/>
      <c r="J112" s="18"/>
      <c r="K112" s="18"/>
      <c r="L112" s="18"/>
    </row>
    <row r="113" ht="16.5" customHeight="1" spans="4:12">
      <c r="D113" s="51"/>
      <c r="H113" s="18"/>
      <c r="I113" s="18"/>
      <c r="J113" s="18"/>
      <c r="K113" s="18"/>
      <c r="L113" s="18"/>
    </row>
    <row r="114" ht="16.5" customHeight="1" spans="4:12">
      <c r="D114" s="51"/>
      <c r="H114" s="18"/>
      <c r="I114" s="18"/>
      <c r="J114" s="18"/>
      <c r="K114" s="18"/>
      <c r="L114" s="18"/>
    </row>
    <row r="115" ht="16.5" customHeight="1" spans="4:12">
      <c r="D115" s="51"/>
      <c r="H115" s="18"/>
      <c r="I115" s="18"/>
      <c r="J115" s="18"/>
      <c r="K115" s="18"/>
      <c r="L115" s="18"/>
    </row>
    <row r="116" ht="16.5" customHeight="1" spans="4:12">
      <c r="D116" s="53"/>
      <c r="H116" s="117"/>
      <c r="I116" s="117"/>
      <c r="J116" s="117"/>
      <c r="K116" s="117"/>
      <c r="L116" s="117"/>
    </row>
    <row r="117" ht="16.5" customHeight="1" spans="4:12">
      <c r="D117" s="56"/>
      <c r="H117" s="116"/>
      <c r="I117" s="116"/>
      <c r="J117" s="116"/>
      <c r="K117" s="116"/>
      <c r="L117" s="116"/>
    </row>
    <row r="118" ht="16.5" customHeight="1" spans="4:12">
      <c r="D118" s="51"/>
      <c r="H118" s="18"/>
      <c r="I118" s="18"/>
      <c r="J118" s="18"/>
      <c r="K118" s="18"/>
      <c r="L118" s="18"/>
    </row>
    <row r="119" ht="16.5" customHeight="1" spans="4:12">
      <c r="D119" s="51"/>
      <c r="H119" s="18"/>
      <c r="I119" s="18"/>
      <c r="J119" s="18"/>
      <c r="K119" s="18"/>
      <c r="L119" s="18"/>
    </row>
    <row r="120" ht="16.5" customHeight="1" spans="4:12">
      <c r="D120" s="51"/>
      <c r="H120" s="18"/>
      <c r="I120" s="18"/>
      <c r="J120" s="18"/>
      <c r="K120" s="18"/>
      <c r="L120" s="18"/>
    </row>
    <row r="121" ht="16.5" customHeight="1" spans="4:12">
      <c r="D121" s="53"/>
      <c r="H121" s="117"/>
      <c r="I121" s="117"/>
      <c r="J121" s="117"/>
      <c r="K121" s="117"/>
      <c r="L121" s="117"/>
    </row>
    <row r="122" ht="16.5" customHeight="1" spans="4:12">
      <c r="D122" s="51"/>
      <c r="H122" s="18"/>
      <c r="I122" s="18"/>
      <c r="J122" s="18"/>
      <c r="K122" s="18"/>
      <c r="L122" s="18"/>
    </row>
    <row r="123" ht="16.5" customHeight="1" spans="4:12">
      <c r="D123" s="53"/>
      <c r="H123" s="118"/>
      <c r="I123" s="118"/>
      <c r="J123" s="118"/>
      <c r="K123" s="118"/>
      <c r="L123" s="118"/>
    </row>
    <row r="124" ht="16.5" customHeight="1" spans="4:12">
      <c r="D124" s="56"/>
      <c r="H124" s="116"/>
      <c r="I124" s="116"/>
      <c r="J124" s="116"/>
      <c r="K124" s="116"/>
      <c r="L124" s="116"/>
    </row>
    <row r="125" ht="16.5" customHeight="1" spans="4:12">
      <c r="D125" s="53"/>
      <c r="H125" s="116"/>
      <c r="I125" s="116"/>
      <c r="J125" s="116"/>
      <c r="K125" s="116"/>
      <c r="L125" s="116"/>
    </row>
    <row r="126" ht="16.5" customHeight="1" spans="4:12">
      <c r="D126" s="51"/>
      <c r="H126" s="18"/>
      <c r="I126" s="18"/>
      <c r="J126" s="18"/>
      <c r="K126" s="18"/>
      <c r="L126" s="18"/>
    </row>
    <row r="127" ht="16.5" customHeight="1" spans="4:12">
      <c r="D127" s="51"/>
      <c r="H127" s="18"/>
      <c r="I127" s="18"/>
      <c r="J127" s="18"/>
      <c r="K127" s="18"/>
      <c r="L127" s="18"/>
    </row>
    <row r="128" ht="16.5" customHeight="1" spans="4:12">
      <c r="D128" s="51"/>
      <c r="H128" s="18"/>
      <c r="I128" s="18"/>
      <c r="J128" s="18"/>
      <c r="K128" s="18"/>
      <c r="L128" s="18"/>
    </row>
    <row r="129" ht="16.5" customHeight="1" spans="4:12">
      <c r="D129" s="51"/>
      <c r="H129" s="18"/>
      <c r="I129" s="18"/>
      <c r="J129" s="18"/>
      <c r="K129" s="18"/>
      <c r="L129" s="18"/>
    </row>
    <row r="130" ht="16.5" customHeight="1" spans="4:12">
      <c r="D130" s="51"/>
      <c r="H130" s="18"/>
      <c r="I130" s="18"/>
      <c r="J130" s="18"/>
      <c r="K130" s="18"/>
      <c r="L130" s="18"/>
    </row>
    <row r="131" ht="16.5" customHeight="1" spans="4:12">
      <c r="D131" s="51"/>
      <c r="H131" s="18"/>
      <c r="I131" s="18"/>
      <c r="J131" s="18"/>
      <c r="K131" s="18"/>
      <c r="L131" s="18"/>
    </row>
    <row r="132" ht="16.5" customHeight="1" spans="4:12">
      <c r="D132" s="51"/>
      <c r="H132" s="18"/>
      <c r="I132" s="18"/>
      <c r="J132" s="18"/>
      <c r="K132" s="18"/>
      <c r="L132" s="18"/>
    </row>
    <row r="133" ht="16.5" customHeight="1" spans="4:12">
      <c r="D133" s="51"/>
      <c r="H133" s="18"/>
      <c r="I133" s="18"/>
      <c r="J133" s="18"/>
      <c r="K133" s="18"/>
      <c r="L133" s="18"/>
    </row>
    <row r="134" ht="16.5" customHeight="1" spans="4:12">
      <c r="D134" s="51"/>
      <c r="H134" s="18"/>
      <c r="I134" s="18"/>
      <c r="J134" s="18"/>
      <c r="K134" s="18"/>
      <c r="L134" s="18"/>
    </row>
    <row r="135" ht="16.5" customHeight="1" spans="4:12">
      <c r="D135" s="51"/>
      <c r="H135" s="18"/>
      <c r="I135" s="18"/>
      <c r="J135" s="18"/>
      <c r="K135" s="18"/>
      <c r="L135" s="18"/>
    </row>
    <row r="136" ht="16.5" customHeight="1" spans="4:12">
      <c r="D136" s="51"/>
      <c r="H136" s="18"/>
      <c r="I136" s="18"/>
      <c r="J136" s="18"/>
      <c r="K136" s="18"/>
      <c r="L136" s="18"/>
    </row>
    <row r="137" ht="16.5" customHeight="1" spans="4:12">
      <c r="D137" s="51"/>
      <c r="H137" s="18"/>
      <c r="I137" s="18"/>
      <c r="J137" s="18"/>
      <c r="K137" s="18"/>
      <c r="L137" s="18"/>
    </row>
    <row r="138" ht="16.5" customHeight="1" spans="4:12">
      <c r="D138" s="51"/>
      <c r="H138" s="18"/>
      <c r="I138" s="18"/>
      <c r="J138" s="18"/>
      <c r="K138" s="18"/>
      <c r="L138" s="18"/>
    </row>
    <row r="139" ht="16.5" customHeight="1" spans="4:12">
      <c r="D139" s="51"/>
      <c r="H139" s="18"/>
      <c r="I139" s="18"/>
      <c r="J139" s="18"/>
      <c r="K139" s="18"/>
      <c r="L139" s="18"/>
    </row>
    <row r="140" ht="16.5" customHeight="1" spans="4:12">
      <c r="D140" s="51"/>
      <c r="H140" s="18"/>
      <c r="I140" s="18"/>
      <c r="J140" s="18"/>
      <c r="K140" s="18"/>
      <c r="L140" s="18"/>
    </row>
    <row r="141" ht="16.5" customHeight="1" spans="4:12">
      <c r="D141" s="51"/>
      <c r="H141" s="18"/>
      <c r="I141" s="18"/>
      <c r="J141" s="18"/>
      <c r="K141" s="18"/>
      <c r="L141" s="18"/>
    </row>
    <row r="142" ht="16.5" customHeight="1" spans="4:12">
      <c r="D142" s="51"/>
      <c r="H142" s="18"/>
      <c r="I142" s="18"/>
      <c r="J142" s="18"/>
      <c r="K142" s="18"/>
      <c r="L142" s="18"/>
    </row>
    <row r="143" ht="16.5" customHeight="1" spans="4:12">
      <c r="D143" s="51"/>
      <c r="H143" s="18"/>
      <c r="I143" s="18"/>
      <c r="J143" s="18"/>
      <c r="K143" s="18"/>
      <c r="L143" s="18"/>
    </row>
    <row r="144" ht="16.5" customHeight="1" spans="4:12">
      <c r="D144" s="53"/>
      <c r="H144" s="118"/>
      <c r="I144" s="118"/>
      <c r="J144" s="118"/>
      <c r="K144" s="118"/>
      <c r="L144" s="118"/>
    </row>
    <row r="145" ht="16.5" customHeight="1" spans="4:12">
      <c r="D145" s="56"/>
      <c r="H145" s="116"/>
      <c r="I145" s="116"/>
      <c r="J145" s="116"/>
      <c r="K145" s="116"/>
      <c r="L145" s="116"/>
    </row>
    <row r="146" ht="16.5" customHeight="1" spans="4:12">
      <c r="D146" s="53"/>
      <c r="H146" s="116"/>
      <c r="I146" s="116"/>
      <c r="J146" s="116"/>
      <c r="K146" s="116"/>
      <c r="L146" s="116"/>
    </row>
    <row r="147" ht="16.5" customHeight="1" spans="4:12">
      <c r="D147" s="51"/>
      <c r="H147" s="18"/>
      <c r="I147" s="18"/>
      <c r="J147" s="18"/>
      <c r="K147" s="18"/>
      <c r="L147" s="18"/>
    </row>
    <row r="148" ht="16.5" customHeight="1" spans="4:12">
      <c r="D148" s="51"/>
      <c r="H148" s="18"/>
      <c r="I148" s="18"/>
      <c r="J148" s="18"/>
      <c r="K148" s="18"/>
      <c r="L148" s="18"/>
    </row>
    <row r="149" ht="16.5" customHeight="1" spans="4:12">
      <c r="D149" s="51"/>
      <c r="H149" s="18"/>
      <c r="I149" s="18"/>
      <c r="J149" s="18"/>
      <c r="K149" s="18"/>
      <c r="L149" s="18"/>
    </row>
    <row r="150" ht="16.5" customHeight="1" spans="4:12">
      <c r="D150" s="51"/>
      <c r="H150" s="18"/>
      <c r="I150" s="18"/>
      <c r="J150" s="18"/>
      <c r="K150" s="18"/>
      <c r="L150" s="18"/>
    </row>
    <row r="151" ht="16.5" customHeight="1" spans="4:12">
      <c r="D151" s="51"/>
      <c r="H151" s="18"/>
      <c r="I151" s="18"/>
      <c r="J151" s="18"/>
      <c r="K151" s="18"/>
      <c r="L151" s="18"/>
    </row>
    <row r="152" ht="16.5" customHeight="1" spans="4:12">
      <c r="D152" s="51"/>
      <c r="H152" s="18"/>
      <c r="I152" s="18"/>
      <c r="J152" s="18"/>
      <c r="K152" s="18"/>
      <c r="L152" s="18"/>
    </row>
    <row r="153" ht="16.5" customHeight="1" spans="4:12">
      <c r="D153" s="51"/>
      <c r="H153" s="18"/>
      <c r="I153" s="18"/>
      <c r="J153" s="18"/>
      <c r="K153" s="18"/>
      <c r="L153" s="18"/>
    </row>
    <row r="154" ht="16.5" customHeight="1" spans="4:12">
      <c r="D154" s="51"/>
      <c r="H154" s="18"/>
      <c r="I154" s="18"/>
      <c r="J154" s="18"/>
      <c r="K154" s="18"/>
      <c r="L154" s="18"/>
    </row>
    <row r="155" ht="16.5" customHeight="1" spans="4:12">
      <c r="D155" s="51"/>
      <c r="H155" s="18"/>
      <c r="I155" s="18"/>
      <c r="J155" s="18"/>
      <c r="K155" s="18"/>
      <c r="L155" s="18"/>
    </row>
    <row r="156" ht="16.5" customHeight="1" spans="4:12">
      <c r="D156" s="51"/>
      <c r="H156" s="18"/>
      <c r="I156" s="18"/>
      <c r="J156" s="18"/>
      <c r="K156" s="18"/>
      <c r="L156" s="18"/>
    </row>
    <row r="157" ht="16.5" customHeight="1" spans="4:12">
      <c r="D157" s="51"/>
      <c r="H157" s="18"/>
      <c r="I157" s="18"/>
      <c r="J157" s="18"/>
      <c r="K157" s="18"/>
      <c r="L157" s="18"/>
    </row>
    <row r="158" ht="16.5" customHeight="1" spans="4:12">
      <c r="D158" s="51"/>
      <c r="H158" s="18"/>
      <c r="I158" s="18"/>
      <c r="J158" s="18"/>
      <c r="K158" s="18"/>
      <c r="L158" s="18"/>
    </row>
    <row r="159" ht="16.5" customHeight="1" spans="4:12">
      <c r="D159" s="53"/>
      <c r="H159" s="118"/>
      <c r="I159" s="118"/>
      <c r="J159" s="118"/>
      <c r="K159" s="118"/>
      <c r="L159" s="118"/>
    </row>
    <row r="160" ht="16.5" customHeight="1" spans="4:12">
      <c r="D160" s="56"/>
      <c r="H160" s="116"/>
      <c r="I160" s="116"/>
      <c r="J160" s="116"/>
      <c r="K160" s="116"/>
      <c r="L160" s="116"/>
    </row>
    <row r="161" ht="16.5" customHeight="1" spans="4:12">
      <c r="D161" s="53"/>
      <c r="H161" s="117"/>
      <c r="I161" s="117"/>
      <c r="J161" s="117"/>
      <c r="K161" s="117"/>
      <c r="L161" s="117"/>
    </row>
    <row r="162" ht="16.5" customHeight="1" spans="4:12">
      <c r="D162" s="51"/>
      <c r="H162" s="18"/>
      <c r="I162" s="18"/>
      <c r="J162" s="18"/>
      <c r="K162" s="18"/>
      <c r="L162" s="18"/>
    </row>
    <row r="163" ht="16.5" customHeight="1" spans="4:12">
      <c r="D163" s="51"/>
      <c r="H163" s="18"/>
      <c r="I163" s="18"/>
      <c r="J163" s="18"/>
      <c r="K163" s="18"/>
      <c r="L163" s="18"/>
    </row>
    <row r="164" ht="16.5" customHeight="1" spans="4:12">
      <c r="D164" s="51"/>
      <c r="H164" s="18"/>
      <c r="I164" s="18"/>
      <c r="J164" s="18"/>
      <c r="K164" s="18"/>
      <c r="L164" s="18"/>
    </row>
    <row r="165" ht="16.5" customHeight="1" spans="4:12">
      <c r="D165" s="53"/>
      <c r="H165" s="118"/>
      <c r="I165" s="118"/>
      <c r="J165" s="118"/>
      <c r="K165" s="118"/>
      <c r="L165" s="118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65"/>
  <sheetViews>
    <sheetView showGridLines="0" zoomScale="90" zoomScaleNormal="90" workbookViewId="0">
      <selection activeCell="J20" sqref="J20"/>
    </sheetView>
  </sheetViews>
  <sheetFormatPr defaultColWidth="9.16071428571429" defaultRowHeight="16.8"/>
  <cols>
    <col min="1" max="2" width="1.24107142857143" style="1" customWidth="1"/>
    <col min="3" max="3" width="1.24107142857143" style="2" customWidth="1"/>
    <col min="4" max="4" width="40.6428571428571" style="2" customWidth="1"/>
    <col min="5" max="5" width="9.57142857142857" style="2" customWidth="1"/>
    <col min="6" max="6" width="9.14285714285714" style="2"/>
    <col min="7" max="7" width="2.64285714285714" style="2" customWidth="1"/>
    <col min="8" max="13" width="12.6428571428571" style="2" customWidth="1"/>
    <col min="14" max="15" width="12.6428571428571" style="1" customWidth="1"/>
  </cols>
  <sheetData>
    <row r="1" ht="33.75" customHeight="1" spans="1:17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5"/>
      <c r="Q1" s="5"/>
    </row>
    <row r="2" ht="16.5" customHeight="1" spans="1:17">
      <c r="A2" s="6" t="s">
        <v>294</v>
      </c>
      <c r="B2" s="7"/>
      <c r="C2" s="7"/>
      <c r="D2" s="7"/>
      <c r="E2" s="7"/>
      <c r="F2" s="7"/>
      <c r="G2" s="7"/>
      <c r="H2" s="4"/>
      <c r="I2" s="4"/>
      <c r="J2" s="4"/>
      <c r="K2" s="4"/>
      <c r="L2" s="8"/>
      <c r="M2" s="4"/>
      <c r="N2" s="4"/>
      <c r="O2" s="4"/>
      <c r="P2" s="5"/>
      <c r="Q2" s="5"/>
    </row>
    <row r="3" ht="16.5" customHeight="1" spans="1:17"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</row>
    <row r="4" ht="16.5" customHeight="1" spans="1:17">
      <c r="A4" s="5"/>
      <c r="B4" s="5"/>
      <c r="C4" s="64"/>
      <c r="D4" s="65" t="s">
        <v>374</v>
      </c>
      <c r="E4" s="65"/>
      <c r="F4" s="65"/>
      <c r="G4" s="65"/>
      <c r="H4" s="66" t="s">
        <v>356</v>
      </c>
      <c r="I4" s="66" t="s">
        <v>348</v>
      </c>
      <c r="J4" s="66" t="s">
        <v>349</v>
      </c>
      <c r="K4" s="66" t="s">
        <v>193</v>
      </c>
      <c r="L4" s="66" t="s">
        <v>350</v>
      </c>
      <c r="M4" s="66" t="s">
        <v>352</v>
      </c>
      <c r="N4" s="66" t="s">
        <v>167</v>
      </c>
      <c r="O4" s="66" t="s">
        <v>375</v>
      </c>
    </row>
    <row r="5" ht="16.5" customHeight="1" spans="1:17">
      <c r="D5" s="15" t="s">
        <v>376</v>
      </c>
      <c r="E5" s="16"/>
      <c r="F5" s="16"/>
      <c r="G5" s="16"/>
      <c r="H5" s="17" t="s">
        <v>376</v>
      </c>
      <c r="I5" s="18">
        <v>289</v>
      </c>
      <c r="J5" s="18">
        <v>1252.1</v>
      </c>
      <c r="K5" s="18">
        <f>Models!L115</f>
        <v>200.86</v>
      </c>
      <c r="L5" s="18">
        <f>Models!L39</f>
        <v>3008.79</v>
      </c>
      <c r="M5" s="19">
        <f>Models!L22</f>
        <v>89913.33</v>
      </c>
      <c r="N5" s="19">
        <f>Models!L26</f>
        <v>27317.91</v>
      </c>
      <c r="O5" s="19">
        <f>Models!L33</f>
        <v>21018.15</v>
      </c>
    </row>
    <row r="6" ht="16.5" customHeight="1" spans="1:17">
      <c r="D6" s="67"/>
      <c r="E6" s="68"/>
      <c r="F6" s="68"/>
      <c r="G6" s="68"/>
      <c r="H6" s="69"/>
      <c r="I6" s="69"/>
      <c r="J6" s="69"/>
      <c r="K6" s="69"/>
      <c r="L6" s="69"/>
      <c r="M6" s="68"/>
      <c r="N6" s="70"/>
      <c r="O6" s="70"/>
    </row>
    <row r="7" ht="16.5" customHeight="1" spans="1:17">
      <c r="D7" s="15" t="s">
        <v>317</v>
      </c>
      <c r="G7" s="37"/>
      <c r="H7" s="32" t="s">
        <v>360</v>
      </c>
      <c r="I7" s="26">
        <v>2108</v>
      </c>
      <c r="J7" s="26">
        <v>234.9</v>
      </c>
      <c r="K7" s="26">
        <v>1478</v>
      </c>
      <c r="L7" s="27">
        <v>3248</v>
      </c>
      <c r="M7" s="27">
        <v>66052</v>
      </c>
      <c r="N7" s="27">
        <v>15347</v>
      </c>
      <c r="O7" s="27">
        <v>14971</v>
      </c>
    </row>
    <row r="8" ht="16.5" customHeight="1" spans="1:17">
      <c r="D8" s="71" t="s">
        <v>318</v>
      </c>
      <c r="G8" s="37"/>
      <c r="H8" s="32" t="s">
        <v>361</v>
      </c>
      <c r="I8" s="33">
        <v>1438</v>
      </c>
      <c r="J8" s="32">
        <v>192.8</v>
      </c>
      <c r="K8" s="32">
        <v>444</v>
      </c>
      <c r="L8" s="33">
        <v>1341</v>
      </c>
      <c r="M8" s="27">
        <v>23155</v>
      </c>
      <c r="N8" s="27">
        <v>5307</v>
      </c>
      <c r="O8" s="27">
        <v>3545</v>
      </c>
    </row>
    <row r="9" ht="16.5" customHeight="1" spans="1:17">
      <c r="C9" s="34"/>
      <c r="D9" s="72" t="s">
        <v>319</v>
      </c>
      <c r="G9" s="37"/>
      <c r="H9" s="32" t="s">
        <v>362</v>
      </c>
      <c r="I9" s="33">
        <v>5171</v>
      </c>
      <c r="J9" s="32">
        <v>24.1</v>
      </c>
      <c r="K9" s="33">
        <v>1380</v>
      </c>
      <c r="L9" s="32">
        <v>352</v>
      </c>
      <c r="M9" s="27">
        <v>19152</v>
      </c>
      <c r="N9" s="27">
        <v>3514</v>
      </c>
      <c r="O9" s="27">
        <v>2537</v>
      </c>
    </row>
    <row r="10" ht="16.5" customHeight="1" spans="1:17">
      <c r="D10" s="15" t="s">
        <v>320</v>
      </c>
      <c r="G10" s="37"/>
      <c r="H10" s="45" t="s">
        <v>363</v>
      </c>
      <c r="I10" s="45">
        <v>817</v>
      </c>
      <c r="J10" s="26">
        <v>129.9</v>
      </c>
      <c r="K10" s="26">
        <v>557</v>
      </c>
      <c r="L10" s="26">
        <v>493</v>
      </c>
      <c r="M10" s="27">
        <v>13611</v>
      </c>
      <c r="N10" s="27">
        <v>2328</v>
      </c>
      <c r="O10" s="27">
        <v>1813</v>
      </c>
    </row>
    <row r="11" ht="16.5" customHeight="1" spans="1:17">
      <c r="D11" s="15" t="s">
        <v>321</v>
      </c>
      <c r="G11" s="37"/>
      <c r="H11" s="26" t="s">
        <v>364</v>
      </c>
      <c r="I11" s="26">
        <v>1070</v>
      </c>
      <c r="J11" s="26">
        <v>102.4</v>
      </c>
      <c r="K11" s="26">
        <v>4421</v>
      </c>
      <c r="L11" s="26">
        <v>1005</v>
      </c>
      <c r="M11" s="27">
        <v>15178</v>
      </c>
      <c r="N11" s="27">
        <v>3169</v>
      </c>
      <c r="O11" s="27">
        <v>1861</v>
      </c>
    </row>
    <row r="12" ht="16.5" customHeight="1" spans="1:17">
      <c r="D12" s="44" t="s">
        <v>322</v>
      </c>
      <c r="G12" s="37"/>
      <c r="H12" s="73" t="s">
        <v>365</v>
      </c>
      <c r="I12" s="73">
        <v>425</v>
      </c>
      <c r="J12" s="73">
        <v>177.4</v>
      </c>
      <c r="K12" s="73">
        <v>1287</v>
      </c>
      <c r="L12" s="73">
        <v>8947</v>
      </c>
      <c r="M12" s="48">
        <v>13193</v>
      </c>
      <c r="N12" s="48">
        <v>2450</v>
      </c>
      <c r="O12" s="48">
        <v>1869</v>
      </c>
    </row>
    <row r="13" ht="16.5" customHeight="1" spans="1:17">
      <c r="D13" s="44" t="s">
        <v>323</v>
      </c>
      <c r="E13" s="16"/>
      <c r="F13" s="16"/>
      <c r="G13" s="45"/>
      <c r="H13" s="46" t="s">
        <v>366</v>
      </c>
      <c r="I13" s="47">
        <v>1083</v>
      </c>
      <c r="J13" s="47">
        <v>98.98</v>
      </c>
      <c r="K13" s="47">
        <v>2820</v>
      </c>
      <c r="L13" s="47">
        <v>1443</v>
      </c>
      <c r="M13" s="48">
        <v>20290</v>
      </c>
      <c r="N13" s="49">
        <v>2792</v>
      </c>
      <c r="O13" s="49">
        <v>1547</v>
      </c>
    </row>
    <row r="14" ht="16.5" customHeight="1" spans="1:17">
      <c r="D14" s="15" t="s">
        <v>324</v>
      </c>
      <c r="G14" s="37"/>
      <c r="H14" s="26" t="s">
        <v>367</v>
      </c>
      <c r="I14" s="26">
        <v>2136.6</v>
      </c>
      <c r="J14" s="26">
        <v>27.2</v>
      </c>
      <c r="K14" s="26">
        <v>47.4</v>
      </c>
      <c r="L14" s="26">
        <v>1426</v>
      </c>
      <c r="M14" s="27">
        <v>6035</v>
      </c>
      <c r="N14" s="27">
        <v>1870</v>
      </c>
      <c r="O14" s="27">
        <v>1325</v>
      </c>
    </row>
    <row r="15" ht="16.5" customHeight="1" spans="1:17">
      <c r="D15" s="44" t="s">
        <v>325</v>
      </c>
      <c r="G15" s="37"/>
      <c r="H15" s="47" t="s">
        <v>368</v>
      </c>
      <c r="I15" s="47">
        <v>2245</v>
      </c>
      <c r="J15" s="47">
        <v>15.59</v>
      </c>
      <c r="K15" s="47">
        <v>234</v>
      </c>
      <c r="L15" s="47">
        <v>3299</v>
      </c>
      <c r="M15" s="49">
        <v>6391</v>
      </c>
      <c r="N15" s="49">
        <v>1585</v>
      </c>
      <c r="O15" s="49">
        <v>1526</v>
      </c>
    </row>
    <row r="16" ht="16.5" customHeight="1" spans="1:17">
      <c r="C16" s="50"/>
      <c r="D16" s="44" t="s">
        <v>326</v>
      </c>
      <c r="G16" s="37"/>
      <c r="H16" s="47" t="s">
        <v>369</v>
      </c>
      <c r="I16" s="47">
        <v>272</v>
      </c>
      <c r="J16" s="47">
        <v>16.98</v>
      </c>
      <c r="K16" s="47">
        <v>0</v>
      </c>
      <c r="L16" s="47">
        <v>559</v>
      </c>
      <c r="M16" s="49">
        <v>1465</v>
      </c>
      <c r="N16" s="49">
        <v>450</v>
      </c>
      <c r="O16" s="49">
        <v>292</v>
      </c>
    </row>
    <row r="17" ht="16.5" customHeight="1" spans="3:15">
      <c r="D17" s="51"/>
      <c r="H17" s="21"/>
      <c r="I17" s="21"/>
      <c r="J17" s="21"/>
      <c r="K17" s="21"/>
      <c r="L17" s="21"/>
      <c r="N17" s="5"/>
      <c r="O17" s="5"/>
    </row>
    <row r="18" ht="16.5" customHeight="1" spans="3:15">
      <c r="C18" s="52" t="s">
        <v>377</v>
      </c>
      <c r="D18" s="53"/>
      <c r="E18" s="54"/>
      <c r="F18" s="54"/>
      <c r="G18" s="54"/>
      <c r="H18" s="55"/>
      <c r="I18" s="55"/>
      <c r="J18" s="55"/>
      <c r="K18" s="55"/>
      <c r="L18" s="55"/>
      <c r="N18" s="5"/>
      <c r="O18" s="5"/>
    </row>
    <row r="19" ht="16.5" customHeight="1" spans="3:15">
      <c r="D19" s="56"/>
      <c r="H19" s="56"/>
      <c r="I19" s="56"/>
      <c r="J19" s="56"/>
      <c r="K19" s="56"/>
      <c r="L19" s="56"/>
      <c r="N19" s="5"/>
      <c r="O19" s="5"/>
    </row>
    <row r="20" ht="16.5" customHeight="1" spans="3:15">
      <c r="D20" s="51"/>
      <c r="H20" s="21"/>
      <c r="I20" s="21"/>
      <c r="J20" s="21"/>
      <c r="K20" s="21"/>
      <c r="L20" s="21"/>
      <c r="N20" s="5"/>
      <c r="O20" s="5"/>
    </row>
    <row r="21" ht="16.5" customHeight="1" spans="3:15">
      <c r="D21" s="57"/>
      <c r="H21" s="21"/>
      <c r="I21" s="21"/>
      <c r="J21" s="21"/>
      <c r="K21" s="21"/>
      <c r="L21" s="21"/>
      <c r="N21" s="5"/>
      <c r="O21" s="5"/>
    </row>
    <row r="22" ht="16.5" customHeight="1" spans="3:15">
      <c r="D22" s="51"/>
      <c r="H22" s="21"/>
      <c r="I22" s="21"/>
      <c r="J22" s="21"/>
      <c r="K22" s="21"/>
      <c r="L22" s="21"/>
      <c r="N22" s="5"/>
      <c r="O22" s="5"/>
    </row>
    <row r="23" ht="16.5" customHeight="1" spans="3:15">
      <c r="D23" s="57"/>
      <c r="H23" s="21"/>
      <c r="I23" s="21"/>
      <c r="J23" s="21"/>
      <c r="K23" s="21"/>
      <c r="L23" s="21"/>
      <c r="N23" s="5"/>
      <c r="O23" s="5"/>
    </row>
    <row r="24" ht="16.5" customHeight="1" spans="3:15">
      <c r="D24" s="51"/>
      <c r="H24" s="21"/>
      <c r="I24" s="21"/>
      <c r="J24" s="21"/>
      <c r="K24" s="21"/>
      <c r="L24" s="21"/>
      <c r="N24" s="5"/>
      <c r="O24" s="5"/>
    </row>
    <row r="25" ht="16.5" customHeight="1" spans="3:15">
      <c r="D25" s="51"/>
      <c r="H25" s="21"/>
      <c r="I25" s="21"/>
      <c r="J25" s="21"/>
      <c r="K25" s="21"/>
      <c r="L25" s="21"/>
      <c r="N25" s="5"/>
      <c r="O25" s="5"/>
    </row>
    <row r="26" ht="16.5" customHeight="1" spans="3:15">
      <c r="D26" s="57"/>
      <c r="H26" s="21"/>
      <c r="I26" s="21"/>
      <c r="J26" s="21"/>
      <c r="K26" s="21"/>
      <c r="L26" s="21"/>
      <c r="N26" s="5"/>
      <c r="O26" s="5"/>
    </row>
    <row r="27" ht="16.5" customHeight="1" spans="3:15">
      <c r="N27" s="5"/>
      <c r="O27" s="5"/>
    </row>
    <row r="28" ht="16.5" customHeight="1" spans="3:15">
      <c r="D28" s="57"/>
      <c r="E28" s="56"/>
      <c r="F28" s="56"/>
      <c r="G28" s="56"/>
      <c r="H28" s="56"/>
      <c r="I28" s="56"/>
      <c r="J28" s="56"/>
      <c r="N28" s="5"/>
      <c r="O28" s="5"/>
    </row>
    <row r="29" ht="16.5" customHeight="1" spans="3:15">
      <c r="D29" s="51"/>
      <c r="H29" s="21"/>
      <c r="I29" s="21"/>
      <c r="J29" s="21"/>
      <c r="K29" s="21"/>
      <c r="L29" s="21"/>
      <c r="N29" s="5"/>
      <c r="O29" s="5"/>
    </row>
    <row r="30" ht="16.5" customHeight="1" spans="3:15">
      <c r="D30" s="51"/>
      <c r="H30" s="21"/>
      <c r="I30" s="21"/>
      <c r="J30" s="21"/>
      <c r="K30" s="21"/>
      <c r="L30" s="21"/>
      <c r="N30" s="5"/>
      <c r="O30" s="5"/>
    </row>
    <row r="31" ht="16.5" customHeight="1" spans="3:15">
      <c r="D31" s="51"/>
      <c r="H31" s="21"/>
      <c r="I31" s="21"/>
      <c r="J31" s="21"/>
      <c r="K31" s="21"/>
      <c r="L31" s="21"/>
      <c r="N31" s="5"/>
      <c r="O31" s="5"/>
    </row>
    <row r="32" ht="16.5" customHeight="1" spans="3:15">
      <c r="D32" s="57"/>
      <c r="H32" s="21"/>
      <c r="I32" s="21"/>
      <c r="J32" s="21"/>
      <c r="K32" s="21"/>
      <c r="L32" s="21"/>
    </row>
    <row r="33" ht="16.5" customHeight="1" spans="3:12">
      <c r="D33" s="56"/>
      <c r="H33" s="56"/>
      <c r="I33" s="56"/>
      <c r="J33" s="56"/>
      <c r="K33" s="56"/>
      <c r="L33" s="56"/>
    </row>
    <row r="34" ht="16.5" customHeight="1" spans="3:12">
      <c r="D34" s="57"/>
      <c r="H34" s="21"/>
      <c r="I34" s="21"/>
      <c r="J34" s="21"/>
      <c r="K34" s="21"/>
      <c r="L34" s="21"/>
    </row>
    <row r="36" ht="16.5" customHeight="1" spans="3:12">
      <c r="C36" s="58"/>
    </row>
    <row r="38" ht="16.5" customHeight="1" spans="3:12">
      <c r="C38" s="34"/>
    </row>
    <row r="39" ht="16.5" customHeight="1" spans="3:12">
      <c r="D39" s="53"/>
    </row>
    <row r="40" ht="16.5" customHeight="1" spans="3:12">
      <c r="D40" s="51"/>
      <c r="H40" s="21"/>
      <c r="I40" s="21"/>
      <c r="J40" s="21"/>
      <c r="K40" s="21"/>
      <c r="L40" s="21"/>
    </row>
    <row r="41" ht="16.5" customHeight="1" spans="3:12">
      <c r="D41" s="51"/>
      <c r="H41" s="21"/>
      <c r="I41" s="21"/>
      <c r="J41" s="21"/>
      <c r="K41" s="21"/>
      <c r="L41" s="21"/>
    </row>
    <row r="42" ht="16.5" customHeight="1" spans="3:12">
      <c r="D42" s="51"/>
      <c r="H42" s="21"/>
      <c r="I42" s="21"/>
      <c r="J42" s="21"/>
      <c r="K42" s="21"/>
      <c r="L42" s="21"/>
    </row>
    <row r="43" ht="16.5" customHeight="1" spans="3:12">
      <c r="D43" s="51"/>
      <c r="H43" s="21"/>
      <c r="I43" s="21"/>
      <c r="J43" s="21"/>
      <c r="K43" s="21"/>
      <c r="L43" s="21"/>
    </row>
    <row r="44" ht="16.5" customHeight="1" spans="3:12">
      <c r="D44" s="51"/>
      <c r="H44" s="21"/>
      <c r="I44" s="21"/>
      <c r="J44" s="21"/>
      <c r="K44" s="21"/>
      <c r="L44" s="21"/>
    </row>
    <row r="45" ht="16.5" customHeight="1" spans="3:12">
      <c r="D45" s="51"/>
      <c r="H45" s="21"/>
      <c r="I45" s="21"/>
      <c r="J45" s="21"/>
      <c r="K45" s="21"/>
      <c r="L45" s="21"/>
    </row>
    <row r="46" ht="16.5" customHeight="1" spans="3:12">
      <c r="D46" s="51"/>
      <c r="H46" s="21"/>
      <c r="I46" s="21"/>
      <c r="J46" s="21"/>
      <c r="K46" s="21"/>
      <c r="L46" s="21"/>
    </row>
    <row r="47" ht="16.5" customHeight="1" spans="3:12">
      <c r="D47" s="51"/>
      <c r="H47" s="21"/>
      <c r="I47" s="21"/>
      <c r="J47" s="21"/>
      <c r="K47" s="21"/>
      <c r="L47" s="21"/>
    </row>
    <row r="48" ht="16.5" customHeight="1" spans="3:12">
      <c r="H48" s="21"/>
      <c r="I48" s="21"/>
      <c r="J48" s="21"/>
      <c r="K48" s="21"/>
      <c r="L48" s="21"/>
    </row>
    <row r="49" ht="16.5" customHeight="1" spans="3:12">
      <c r="D49" s="59"/>
      <c r="E49" s="60"/>
      <c r="H49" s="21"/>
      <c r="I49" s="21"/>
      <c r="J49" s="21"/>
      <c r="K49" s="21"/>
      <c r="L49" s="21"/>
    </row>
    <row r="50" ht="16.5" customHeight="1" spans="3:12">
      <c r="D50" s="59"/>
      <c r="E50" s="60"/>
      <c r="H50" s="21"/>
      <c r="I50" s="21"/>
      <c r="J50" s="21"/>
      <c r="K50" s="21"/>
      <c r="L50" s="21"/>
    </row>
    <row r="51" ht="16.5" customHeight="1" spans="3:12">
      <c r="D51" s="59"/>
      <c r="E51" s="60"/>
      <c r="H51" s="21"/>
      <c r="I51" s="21"/>
      <c r="J51" s="21"/>
      <c r="K51" s="21"/>
      <c r="L51" s="21"/>
    </row>
    <row r="52" ht="16.5" customHeight="1" spans="3:12">
      <c r="D52" s="51"/>
      <c r="H52" s="21"/>
      <c r="I52" s="21"/>
      <c r="J52" s="21"/>
      <c r="K52" s="21"/>
      <c r="L52" s="21"/>
    </row>
    <row r="53" ht="16.5" customHeight="1" spans="3:12">
      <c r="D53" s="51"/>
      <c r="H53" s="21"/>
      <c r="I53" s="21"/>
      <c r="J53" s="21"/>
      <c r="K53" s="21"/>
      <c r="L53" s="21"/>
    </row>
    <row r="54" ht="16.5" customHeight="1" spans="3:12">
      <c r="D54" s="51"/>
      <c r="H54" s="21"/>
      <c r="I54" s="21"/>
      <c r="J54" s="21"/>
      <c r="K54" s="21"/>
      <c r="L54" s="21"/>
    </row>
    <row r="55" ht="16.5" customHeight="1" spans="3:12">
      <c r="D55" s="53"/>
      <c r="E55" s="54"/>
      <c r="F55" s="54"/>
      <c r="G55" s="54"/>
      <c r="H55" s="55"/>
      <c r="I55" s="55"/>
      <c r="J55" s="55"/>
      <c r="K55" s="55"/>
      <c r="L55" s="55"/>
    </row>
    <row r="56" ht="16.5" customHeight="1" spans="3:12">
      <c r="D56" s="56"/>
      <c r="H56" s="56"/>
      <c r="I56" s="56"/>
      <c r="J56" s="56"/>
      <c r="K56" s="56"/>
      <c r="L56" s="56"/>
    </row>
    <row r="57" ht="16.5" customHeight="1" spans="3:12">
      <c r="C57" s="34"/>
      <c r="H57" s="56"/>
      <c r="I57" s="56"/>
      <c r="J57" s="56"/>
      <c r="K57" s="56"/>
      <c r="L57" s="56"/>
    </row>
    <row r="58" ht="16.5" customHeight="1" spans="3:12">
      <c r="D58" s="51"/>
      <c r="H58" s="21"/>
      <c r="I58" s="21"/>
      <c r="J58" s="21"/>
      <c r="K58" s="21"/>
      <c r="L58" s="21"/>
    </row>
    <row r="59" ht="16.5" customHeight="1" spans="3:12">
      <c r="D59" s="51"/>
      <c r="H59" s="21"/>
      <c r="I59" s="21"/>
      <c r="J59" s="21"/>
      <c r="K59" s="21"/>
      <c r="L59" s="21"/>
    </row>
    <row r="61" ht="16.5" customHeight="1" spans="3:12">
      <c r="D61" s="61"/>
      <c r="H61" s="21"/>
      <c r="I61" s="21"/>
      <c r="J61" s="21"/>
      <c r="K61" s="21"/>
      <c r="L61" s="21"/>
    </row>
    <row r="62" ht="16.5" customHeight="1" spans="3:12">
      <c r="D62" s="61"/>
      <c r="H62" s="21"/>
      <c r="I62" s="21"/>
      <c r="J62" s="21"/>
      <c r="K62" s="21"/>
      <c r="L62" s="21"/>
    </row>
    <row r="63" ht="16.5" customHeight="1" spans="3:12">
      <c r="D63" s="61"/>
      <c r="H63" s="21"/>
      <c r="I63" s="21"/>
      <c r="J63" s="21"/>
      <c r="K63" s="21"/>
      <c r="L63" s="21"/>
    </row>
    <row r="64" ht="16.5" customHeight="1" spans="3:12">
      <c r="D64" s="61"/>
      <c r="H64" s="21"/>
      <c r="I64" s="21"/>
      <c r="J64" s="21"/>
      <c r="K64" s="21"/>
      <c r="L64" s="21"/>
    </row>
    <row r="65" ht="16.5" customHeight="1" spans="3:12">
      <c r="D65" s="61"/>
      <c r="H65" s="21"/>
      <c r="I65" s="21"/>
      <c r="J65" s="21"/>
      <c r="K65" s="21"/>
      <c r="L65" s="21"/>
    </row>
    <row r="66" ht="16.5" customHeight="1" spans="3:12">
      <c r="D66" s="61"/>
      <c r="H66" s="21"/>
      <c r="I66" s="21"/>
      <c r="J66" s="21"/>
      <c r="K66" s="21"/>
      <c r="L66" s="21"/>
    </row>
    <row r="67" ht="16.5" customHeight="1" spans="3:12">
      <c r="D67" s="51"/>
      <c r="H67" s="21"/>
      <c r="I67" s="21"/>
      <c r="J67" s="21"/>
      <c r="K67" s="21"/>
      <c r="L67" s="21"/>
    </row>
    <row r="68" ht="16.5" customHeight="1" spans="3:12">
      <c r="D68" s="53"/>
      <c r="E68" s="54"/>
      <c r="F68" s="54"/>
      <c r="G68" s="54"/>
      <c r="H68" s="55"/>
      <c r="I68" s="55"/>
      <c r="J68" s="55"/>
      <c r="K68" s="55"/>
      <c r="L68" s="55"/>
    </row>
    <row r="69" ht="16.5" customHeight="1" spans="3:12">
      <c r="D69" s="56"/>
      <c r="H69" s="56"/>
      <c r="I69" s="56"/>
      <c r="J69" s="56"/>
      <c r="K69" s="56"/>
      <c r="L69" s="56"/>
    </row>
    <row r="70" ht="16.5" customHeight="1" spans="3:12">
      <c r="D70" s="57"/>
      <c r="H70" s="21"/>
      <c r="I70" s="21"/>
      <c r="J70" s="21"/>
      <c r="K70" s="21"/>
      <c r="L70" s="21"/>
    </row>
    <row r="71" ht="16.5" customHeight="1" spans="3:12">
      <c r="D71" s="56"/>
      <c r="H71" s="56"/>
      <c r="I71" s="56"/>
      <c r="J71" s="56"/>
      <c r="K71" s="56"/>
      <c r="L71" s="56"/>
    </row>
    <row r="72" ht="16.5" customHeight="1" spans="3:12">
      <c r="C72" s="34"/>
      <c r="H72" s="56"/>
      <c r="I72" s="56"/>
      <c r="J72" s="56"/>
      <c r="K72" s="56"/>
      <c r="L72" s="56"/>
    </row>
    <row r="73" ht="16.5" customHeight="1" spans="3:12">
      <c r="C73" s="34"/>
      <c r="H73" s="56"/>
      <c r="I73" s="56"/>
      <c r="J73" s="56"/>
      <c r="K73" s="56"/>
      <c r="L73" s="56"/>
    </row>
    <row r="74" ht="16.5" customHeight="1" spans="3:12">
      <c r="D74" s="53"/>
      <c r="H74" s="56"/>
      <c r="I74" s="56"/>
      <c r="J74" s="56"/>
      <c r="K74" s="56"/>
      <c r="L74" s="56"/>
    </row>
    <row r="75" ht="16.5" customHeight="1" spans="3:12">
      <c r="D75" s="51"/>
      <c r="H75" s="21"/>
      <c r="I75" s="21"/>
      <c r="J75" s="21"/>
      <c r="K75" s="21"/>
      <c r="L75" s="21"/>
    </row>
    <row r="76" ht="16.5" customHeight="1" spans="3:12">
      <c r="D76" s="51"/>
      <c r="H76" s="21"/>
      <c r="I76" s="21"/>
      <c r="J76" s="21"/>
      <c r="K76" s="21"/>
      <c r="L76" s="21"/>
    </row>
    <row r="77" ht="16.5" customHeight="1" spans="3:12">
      <c r="D77" s="57"/>
      <c r="H77" s="21"/>
      <c r="I77" s="21"/>
      <c r="J77" s="21"/>
      <c r="K77" s="21"/>
      <c r="L77" s="21"/>
    </row>
    <row r="78" ht="16.5" customHeight="1" spans="3:12">
      <c r="D78" s="51"/>
      <c r="H78" s="21"/>
      <c r="I78" s="21"/>
      <c r="J78" s="21"/>
      <c r="K78" s="21"/>
      <c r="L78" s="21"/>
    </row>
    <row r="79" ht="16.5" customHeight="1" spans="3:12">
      <c r="D79" s="53"/>
      <c r="E79" s="54"/>
      <c r="F79" s="54"/>
      <c r="G79" s="54"/>
      <c r="H79" s="55"/>
      <c r="I79" s="55"/>
      <c r="J79" s="55"/>
      <c r="K79" s="55"/>
      <c r="L79" s="55"/>
    </row>
    <row r="80" ht="16.5" customHeight="1" spans="3:12">
      <c r="D80" s="56"/>
      <c r="H80" s="56"/>
      <c r="I80" s="56"/>
      <c r="J80" s="56"/>
      <c r="K80" s="56"/>
      <c r="L80" s="56"/>
    </row>
    <row r="81" ht="16.5" customHeight="1" spans="3:12">
      <c r="C81" s="34"/>
      <c r="H81" s="56"/>
      <c r="I81" s="56"/>
      <c r="J81" s="56"/>
      <c r="K81" s="56"/>
      <c r="L81" s="56"/>
    </row>
    <row r="82" ht="16.5" customHeight="1" spans="3:12">
      <c r="C82" s="34"/>
      <c r="H82" s="56"/>
      <c r="I82" s="56"/>
      <c r="J82" s="56"/>
      <c r="K82" s="56"/>
      <c r="L82" s="56"/>
    </row>
    <row r="83" ht="16.5" customHeight="1" spans="3:12">
      <c r="D83" s="61"/>
      <c r="H83" s="21"/>
      <c r="I83" s="21"/>
      <c r="J83" s="21"/>
      <c r="K83" s="21"/>
      <c r="L83" s="21"/>
    </row>
    <row r="84" ht="16.5" customHeight="1" spans="3:12">
      <c r="D84" s="61"/>
      <c r="H84" s="21"/>
      <c r="I84" s="21"/>
      <c r="J84" s="21"/>
      <c r="K84" s="21"/>
      <c r="L84" s="21"/>
    </row>
    <row r="85" ht="16.5" customHeight="1" spans="3:12">
      <c r="D85" s="61"/>
      <c r="H85" s="21"/>
      <c r="I85" s="21"/>
      <c r="J85" s="21"/>
      <c r="K85" s="21"/>
      <c r="L85" s="21"/>
    </row>
    <row r="86" ht="16.5" customHeight="1" spans="3:12">
      <c r="D86" s="51"/>
      <c r="H86" s="21"/>
      <c r="I86" s="21"/>
      <c r="J86" s="21"/>
      <c r="K86" s="21"/>
      <c r="L86" s="21"/>
    </row>
    <row r="87" ht="16.5" customHeight="1" spans="3:12">
      <c r="D87" s="51"/>
      <c r="H87" s="21"/>
      <c r="I87" s="21"/>
      <c r="J87" s="21"/>
      <c r="K87" s="21"/>
      <c r="L87" s="21"/>
    </row>
    <row r="88" ht="16.5" customHeight="1" spans="3:12">
      <c r="D88" s="51"/>
      <c r="H88" s="21"/>
      <c r="I88" s="21"/>
      <c r="J88" s="21"/>
      <c r="K88" s="21"/>
      <c r="L88" s="21"/>
    </row>
    <row r="89" ht="16.5" customHeight="1" spans="3:12">
      <c r="D89" s="53"/>
      <c r="E89" s="54"/>
      <c r="F89" s="54"/>
      <c r="G89" s="54"/>
      <c r="H89" s="55"/>
      <c r="I89" s="55"/>
      <c r="J89" s="55"/>
      <c r="K89" s="55"/>
      <c r="L89" s="55"/>
    </row>
    <row r="90" ht="16.5" customHeight="1" spans="3:12">
      <c r="D90" s="56"/>
      <c r="H90" s="56"/>
      <c r="I90" s="56"/>
      <c r="J90" s="56"/>
      <c r="K90" s="56"/>
      <c r="L90" s="56"/>
    </row>
    <row r="91" ht="16.5" customHeight="1" spans="3:12">
      <c r="C91" s="34"/>
      <c r="H91" s="56"/>
      <c r="I91" s="56"/>
      <c r="J91" s="56"/>
      <c r="K91" s="56"/>
      <c r="L91" s="56"/>
    </row>
    <row r="92" ht="16.5" customHeight="1" spans="3:12">
      <c r="C92" s="34"/>
      <c r="H92" s="56"/>
      <c r="I92" s="56"/>
      <c r="J92" s="56"/>
      <c r="K92" s="56"/>
      <c r="L92" s="56"/>
    </row>
    <row r="93" ht="16.5" customHeight="1" spans="3:12">
      <c r="D93" s="61"/>
      <c r="H93" s="21"/>
      <c r="I93" s="21"/>
      <c r="J93" s="21"/>
      <c r="K93" s="21"/>
      <c r="L93" s="21"/>
    </row>
    <row r="94" ht="16.5" customHeight="1" spans="3:12">
      <c r="D94" s="61"/>
      <c r="H94" s="21"/>
      <c r="I94" s="21"/>
      <c r="J94" s="21"/>
      <c r="K94" s="21"/>
      <c r="L94" s="21"/>
    </row>
    <row r="95" ht="16.5" customHeight="1" spans="3:12">
      <c r="D95" s="61"/>
      <c r="H95" s="21"/>
      <c r="I95" s="21"/>
      <c r="J95" s="21"/>
      <c r="K95" s="21"/>
      <c r="L95" s="21"/>
    </row>
    <row r="96" ht="16.5" customHeight="1" spans="3:12">
      <c r="D96" s="61"/>
      <c r="H96" s="21"/>
      <c r="I96" s="21"/>
      <c r="J96" s="21"/>
      <c r="K96" s="21"/>
      <c r="L96" s="21"/>
    </row>
    <row r="97" ht="16.5" customHeight="1" spans="3:12">
      <c r="D97" s="61"/>
      <c r="H97" s="21"/>
      <c r="I97" s="21"/>
      <c r="J97" s="21"/>
      <c r="K97" s="21"/>
      <c r="L97" s="21"/>
    </row>
    <row r="98" ht="16.5" customHeight="1" spans="3:12">
      <c r="D98" s="51"/>
      <c r="H98" s="21"/>
      <c r="I98" s="21"/>
      <c r="J98" s="21"/>
      <c r="K98" s="21"/>
      <c r="L98" s="21"/>
    </row>
    <row r="99" ht="16.5" customHeight="1" spans="3:12">
      <c r="D99" s="51"/>
      <c r="H99" s="21"/>
      <c r="I99" s="21"/>
      <c r="J99" s="21"/>
      <c r="K99" s="21"/>
      <c r="L99" s="21"/>
    </row>
    <row r="100" ht="16.5" customHeight="1" spans="3:12">
      <c r="D100" s="51"/>
      <c r="H100" s="21"/>
      <c r="I100" s="21"/>
      <c r="J100" s="21"/>
      <c r="K100" s="21"/>
      <c r="L100" s="21"/>
    </row>
    <row r="101" ht="16.5" customHeight="1" spans="3:12">
      <c r="D101" s="53"/>
      <c r="E101" s="54"/>
      <c r="F101" s="54"/>
      <c r="G101" s="54"/>
      <c r="H101" s="55"/>
      <c r="I101" s="55"/>
      <c r="J101" s="55"/>
      <c r="K101" s="55"/>
      <c r="L101" s="55"/>
    </row>
    <row r="102" ht="16.5" customHeight="1" spans="3:12">
      <c r="D102" s="56"/>
      <c r="H102" s="56"/>
      <c r="I102" s="56"/>
      <c r="J102" s="56"/>
      <c r="K102" s="56"/>
      <c r="L102" s="56"/>
    </row>
    <row r="103" ht="16.5" customHeight="1" spans="3:12">
      <c r="D103" s="57"/>
      <c r="H103" s="21"/>
      <c r="I103" s="21"/>
      <c r="J103" s="21"/>
      <c r="K103" s="21"/>
      <c r="L103" s="21"/>
    </row>
    <row r="105" ht="16.5" customHeight="1" spans="3:12">
      <c r="C105" s="62"/>
    </row>
    <row r="107" ht="16.5" customHeight="1" spans="3:12">
      <c r="D107" s="53"/>
      <c r="H107" s="21"/>
      <c r="I107" s="21"/>
      <c r="J107" s="21"/>
      <c r="K107" s="21"/>
      <c r="L107" s="21"/>
    </row>
    <row r="108" ht="16.5" customHeight="1" spans="3:12">
      <c r="D108" s="51"/>
      <c r="H108" s="21"/>
      <c r="I108" s="21"/>
      <c r="J108" s="21"/>
      <c r="K108" s="21"/>
      <c r="L108" s="21"/>
    </row>
    <row r="109" ht="16.5" customHeight="1" spans="3:12">
      <c r="D109" s="51"/>
      <c r="H109" s="21"/>
      <c r="I109" s="21"/>
      <c r="J109" s="21"/>
      <c r="K109" s="21"/>
      <c r="L109" s="21"/>
    </row>
    <row r="110" ht="16.5" customHeight="1" spans="3:12">
      <c r="D110" s="51"/>
      <c r="H110" s="21"/>
      <c r="I110" s="21"/>
      <c r="J110" s="21"/>
      <c r="K110" s="21"/>
      <c r="L110" s="21"/>
    </row>
    <row r="111" ht="16.5" customHeight="1" spans="3:12">
      <c r="D111" s="51"/>
      <c r="H111" s="21"/>
      <c r="I111" s="21"/>
      <c r="J111" s="21"/>
      <c r="K111" s="21"/>
      <c r="L111" s="21"/>
    </row>
    <row r="112" ht="16.5" customHeight="1" spans="3:12">
      <c r="D112" s="51"/>
      <c r="H112" s="21"/>
      <c r="I112" s="21"/>
      <c r="J112" s="21"/>
      <c r="K112" s="21"/>
      <c r="L112" s="21"/>
    </row>
    <row r="113" ht="16.5" customHeight="1" spans="4:12">
      <c r="D113" s="51"/>
      <c r="H113" s="21"/>
      <c r="I113" s="21"/>
      <c r="J113" s="21"/>
      <c r="K113" s="21"/>
      <c r="L113" s="21"/>
    </row>
    <row r="114" ht="16.5" customHeight="1" spans="4:12">
      <c r="D114" s="51"/>
      <c r="H114" s="21"/>
      <c r="I114" s="21"/>
      <c r="J114" s="21"/>
      <c r="K114" s="21"/>
      <c r="L114" s="21"/>
    </row>
    <row r="115" ht="16.5" customHeight="1" spans="4:12">
      <c r="D115" s="51"/>
      <c r="H115" s="21"/>
      <c r="I115" s="21"/>
      <c r="J115" s="21"/>
      <c r="K115" s="21"/>
      <c r="L115" s="21"/>
    </row>
    <row r="116" ht="16.5" customHeight="1" spans="4:12">
      <c r="D116" s="53"/>
      <c r="H116" s="55"/>
      <c r="I116" s="55"/>
      <c r="J116" s="55"/>
      <c r="K116" s="55"/>
      <c r="L116" s="55"/>
    </row>
    <row r="117" ht="16.5" customHeight="1" spans="4:12">
      <c r="D117" s="56"/>
      <c r="H117" s="56"/>
      <c r="I117" s="56"/>
      <c r="J117" s="56"/>
      <c r="K117" s="56"/>
      <c r="L117" s="56"/>
    </row>
    <row r="118" ht="16.5" customHeight="1" spans="4:12">
      <c r="D118" s="51"/>
      <c r="H118" s="21"/>
      <c r="I118" s="21"/>
      <c r="J118" s="21"/>
      <c r="K118" s="21"/>
      <c r="L118" s="21"/>
    </row>
    <row r="119" ht="16.5" customHeight="1" spans="4:12">
      <c r="D119" s="51"/>
      <c r="H119" s="21"/>
      <c r="I119" s="21"/>
      <c r="J119" s="21"/>
      <c r="K119" s="21"/>
      <c r="L119" s="21"/>
    </row>
    <row r="120" ht="16.5" customHeight="1" spans="4:12">
      <c r="D120" s="51"/>
      <c r="H120" s="21"/>
      <c r="I120" s="21"/>
      <c r="J120" s="21"/>
      <c r="K120" s="21"/>
      <c r="L120" s="21"/>
    </row>
    <row r="121" ht="16.5" customHeight="1" spans="4:12">
      <c r="D121" s="53"/>
      <c r="H121" s="55"/>
      <c r="I121" s="55"/>
      <c r="J121" s="55"/>
      <c r="K121" s="55"/>
      <c r="L121" s="55"/>
    </row>
    <row r="122" ht="16.5" customHeight="1" spans="4:12">
      <c r="D122" s="51"/>
      <c r="H122" s="21"/>
      <c r="I122" s="21"/>
      <c r="J122" s="21"/>
      <c r="K122" s="21"/>
      <c r="L122" s="21"/>
    </row>
    <row r="123" ht="16.5" customHeight="1" spans="4:12">
      <c r="D123" s="53"/>
      <c r="H123" s="63"/>
      <c r="I123" s="63"/>
      <c r="J123" s="63"/>
      <c r="K123" s="63"/>
      <c r="L123" s="63"/>
    </row>
    <row r="124" ht="16.5" customHeight="1" spans="4:12">
      <c r="D124" s="56"/>
      <c r="H124" s="56"/>
      <c r="I124" s="56"/>
      <c r="J124" s="56"/>
      <c r="K124" s="56"/>
      <c r="L124" s="56"/>
    </row>
    <row r="125" ht="16.5" customHeight="1" spans="4:12">
      <c r="D125" s="53"/>
      <c r="H125" s="56"/>
      <c r="I125" s="56"/>
      <c r="J125" s="56"/>
      <c r="K125" s="56"/>
      <c r="L125" s="56"/>
    </row>
    <row r="126" ht="16.5" customHeight="1" spans="4:12">
      <c r="D126" s="51"/>
      <c r="H126" s="21"/>
      <c r="I126" s="21"/>
      <c r="J126" s="21"/>
      <c r="K126" s="21"/>
      <c r="L126" s="21"/>
    </row>
    <row r="127" ht="16.5" customHeight="1" spans="4:12">
      <c r="D127" s="51"/>
      <c r="H127" s="21"/>
      <c r="I127" s="21"/>
      <c r="J127" s="21"/>
      <c r="K127" s="21"/>
      <c r="L127" s="21"/>
    </row>
    <row r="128" ht="16.5" customHeight="1" spans="4:12">
      <c r="D128" s="51"/>
      <c r="H128" s="21"/>
      <c r="I128" s="21"/>
      <c r="J128" s="21"/>
      <c r="K128" s="21"/>
      <c r="L128" s="21"/>
    </row>
    <row r="129" ht="16.5" customHeight="1" spans="4:12">
      <c r="D129" s="51"/>
      <c r="H129" s="21"/>
      <c r="I129" s="21"/>
      <c r="J129" s="21"/>
      <c r="K129" s="21"/>
      <c r="L129" s="21"/>
    </row>
    <row r="130" ht="16.5" customHeight="1" spans="4:12">
      <c r="D130" s="51"/>
      <c r="H130" s="21"/>
      <c r="I130" s="21"/>
      <c r="J130" s="21"/>
      <c r="K130" s="21"/>
      <c r="L130" s="21"/>
    </row>
    <row r="131" ht="16.5" customHeight="1" spans="4:12">
      <c r="D131" s="51"/>
      <c r="H131" s="21"/>
      <c r="I131" s="21"/>
      <c r="J131" s="21"/>
      <c r="K131" s="21"/>
      <c r="L131" s="21"/>
    </row>
    <row r="132" ht="16.5" customHeight="1" spans="4:12">
      <c r="D132" s="51"/>
      <c r="H132" s="21"/>
      <c r="I132" s="21"/>
      <c r="J132" s="21"/>
      <c r="K132" s="21"/>
      <c r="L132" s="21"/>
    </row>
    <row r="133" ht="16.5" customHeight="1" spans="4:12">
      <c r="D133" s="51"/>
      <c r="H133" s="21"/>
      <c r="I133" s="21"/>
      <c r="J133" s="21"/>
      <c r="K133" s="21"/>
      <c r="L133" s="21"/>
    </row>
    <row r="134" ht="16.5" customHeight="1" spans="4:12">
      <c r="D134" s="51"/>
      <c r="H134" s="21"/>
      <c r="I134" s="21"/>
      <c r="J134" s="21"/>
      <c r="K134" s="21"/>
      <c r="L134" s="21"/>
    </row>
    <row r="135" ht="16.5" customHeight="1" spans="4:12">
      <c r="D135" s="51"/>
      <c r="H135" s="21"/>
      <c r="I135" s="21"/>
      <c r="J135" s="21"/>
      <c r="K135" s="21"/>
      <c r="L135" s="21"/>
    </row>
    <row r="136" ht="16.5" customHeight="1" spans="4:12">
      <c r="D136" s="51"/>
      <c r="H136" s="21"/>
      <c r="I136" s="21"/>
      <c r="J136" s="21"/>
      <c r="K136" s="21"/>
      <c r="L136" s="21"/>
    </row>
    <row r="137" ht="16.5" customHeight="1" spans="4:12">
      <c r="D137" s="51"/>
      <c r="H137" s="21"/>
      <c r="I137" s="21"/>
      <c r="J137" s="21"/>
      <c r="K137" s="21"/>
      <c r="L137" s="21"/>
    </row>
    <row r="138" ht="16.5" customHeight="1" spans="4:12">
      <c r="D138" s="51"/>
      <c r="H138" s="21"/>
      <c r="I138" s="21"/>
      <c r="J138" s="21"/>
      <c r="K138" s="21"/>
      <c r="L138" s="21"/>
    </row>
    <row r="139" ht="16.5" customHeight="1" spans="4:12">
      <c r="D139" s="51"/>
      <c r="H139" s="21"/>
      <c r="I139" s="21"/>
      <c r="J139" s="21"/>
      <c r="K139" s="21"/>
      <c r="L139" s="21"/>
    </row>
    <row r="140" ht="16.5" customHeight="1" spans="4:12">
      <c r="D140" s="51"/>
      <c r="H140" s="21"/>
      <c r="I140" s="21"/>
      <c r="J140" s="21"/>
      <c r="K140" s="21"/>
      <c r="L140" s="21"/>
    </row>
    <row r="141" ht="16.5" customHeight="1" spans="4:12">
      <c r="D141" s="51"/>
      <c r="H141" s="21"/>
      <c r="I141" s="21"/>
      <c r="J141" s="21"/>
      <c r="K141" s="21"/>
      <c r="L141" s="21"/>
    </row>
    <row r="142" ht="16.5" customHeight="1" spans="4:12">
      <c r="D142" s="51"/>
      <c r="H142" s="21"/>
      <c r="I142" s="21"/>
      <c r="J142" s="21"/>
      <c r="K142" s="21"/>
      <c r="L142" s="21"/>
    </row>
    <row r="143" ht="16.5" customHeight="1" spans="4:12">
      <c r="D143" s="51"/>
      <c r="H143" s="21"/>
      <c r="I143" s="21"/>
      <c r="J143" s="21"/>
      <c r="K143" s="21"/>
      <c r="L143" s="21"/>
    </row>
    <row r="144" ht="16.5" customHeight="1" spans="4:12">
      <c r="D144" s="53"/>
      <c r="H144" s="63"/>
      <c r="I144" s="63"/>
      <c r="J144" s="63"/>
      <c r="K144" s="63"/>
      <c r="L144" s="63"/>
    </row>
    <row r="145" ht="16.5" customHeight="1" spans="4:12">
      <c r="D145" s="56"/>
      <c r="H145" s="56"/>
      <c r="I145" s="56"/>
      <c r="J145" s="56"/>
      <c r="K145" s="56"/>
      <c r="L145" s="56"/>
    </row>
    <row r="146" ht="16.5" customHeight="1" spans="4:12">
      <c r="D146" s="53"/>
      <c r="H146" s="56"/>
      <c r="I146" s="56"/>
      <c r="J146" s="56"/>
      <c r="K146" s="56"/>
      <c r="L146" s="56"/>
    </row>
    <row r="147" ht="16.5" customHeight="1" spans="4:12">
      <c r="D147" s="51"/>
      <c r="H147" s="21"/>
      <c r="I147" s="21"/>
      <c r="J147" s="21"/>
      <c r="K147" s="21"/>
      <c r="L147" s="21"/>
    </row>
    <row r="148" ht="16.5" customHeight="1" spans="4:12">
      <c r="D148" s="51"/>
      <c r="H148" s="21"/>
      <c r="I148" s="21"/>
      <c r="J148" s="21"/>
      <c r="K148" s="21"/>
      <c r="L148" s="21"/>
    </row>
    <row r="149" ht="16.5" customHeight="1" spans="4:12">
      <c r="D149" s="51"/>
      <c r="H149" s="21"/>
      <c r="I149" s="21"/>
      <c r="J149" s="21"/>
      <c r="K149" s="21"/>
      <c r="L149" s="21"/>
    </row>
    <row r="150" ht="16.5" customHeight="1" spans="4:12">
      <c r="D150" s="51"/>
      <c r="H150" s="21"/>
      <c r="I150" s="21"/>
      <c r="J150" s="21"/>
      <c r="K150" s="21"/>
      <c r="L150" s="21"/>
    </row>
    <row r="151" ht="16.5" customHeight="1" spans="4:12">
      <c r="D151" s="51"/>
      <c r="H151" s="21"/>
      <c r="I151" s="21"/>
      <c r="J151" s="21"/>
      <c r="K151" s="21"/>
      <c r="L151" s="21"/>
    </row>
    <row r="152" ht="16.5" customHeight="1" spans="4:12">
      <c r="D152" s="51"/>
      <c r="H152" s="21"/>
      <c r="I152" s="21"/>
      <c r="J152" s="21"/>
      <c r="K152" s="21"/>
      <c r="L152" s="21"/>
    </row>
    <row r="153" ht="16.5" customHeight="1" spans="4:12">
      <c r="D153" s="51"/>
      <c r="H153" s="21"/>
      <c r="I153" s="21"/>
      <c r="J153" s="21"/>
      <c r="K153" s="21"/>
      <c r="L153" s="21"/>
    </row>
    <row r="154" ht="16.5" customHeight="1" spans="4:12">
      <c r="D154" s="51"/>
      <c r="H154" s="21"/>
      <c r="I154" s="21"/>
      <c r="J154" s="21"/>
      <c r="K154" s="21"/>
      <c r="L154" s="21"/>
    </row>
    <row r="155" ht="16.5" customHeight="1" spans="4:12">
      <c r="D155" s="51"/>
      <c r="H155" s="21"/>
      <c r="I155" s="21"/>
      <c r="J155" s="21"/>
      <c r="K155" s="21"/>
      <c r="L155" s="21"/>
    </row>
    <row r="156" ht="16.5" customHeight="1" spans="4:12">
      <c r="D156" s="51"/>
      <c r="H156" s="21"/>
      <c r="I156" s="21"/>
      <c r="J156" s="21"/>
      <c r="K156" s="21"/>
      <c r="L156" s="21"/>
    </row>
    <row r="157" ht="16.5" customHeight="1" spans="4:12">
      <c r="D157" s="51"/>
      <c r="H157" s="21"/>
      <c r="I157" s="21"/>
      <c r="J157" s="21"/>
      <c r="K157" s="21"/>
      <c r="L157" s="21"/>
    </row>
    <row r="158" ht="16.5" customHeight="1" spans="4:12">
      <c r="D158" s="51"/>
      <c r="H158" s="21"/>
      <c r="I158" s="21"/>
      <c r="J158" s="21"/>
      <c r="K158" s="21"/>
      <c r="L158" s="21"/>
    </row>
    <row r="159" ht="16.5" customHeight="1" spans="4:12">
      <c r="D159" s="53"/>
      <c r="H159" s="63"/>
      <c r="I159" s="63"/>
      <c r="J159" s="63"/>
      <c r="K159" s="63"/>
      <c r="L159" s="63"/>
    </row>
    <row r="160" ht="16.5" customHeight="1" spans="4:12">
      <c r="D160" s="56"/>
      <c r="H160" s="56"/>
      <c r="I160" s="56"/>
      <c r="J160" s="56"/>
      <c r="K160" s="56"/>
      <c r="L160" s="56"/>
    </row>
    <row r="161" ht="16.5" customHeight="1" spans="4:12">
      <c r="D161" s="53"/>
      <c r="H161" s="55"/>
      <c r="I161" s="55"/>
      <c r="J161" s="55"/>
      <c r="K161" s="55"/>
      <c r="L161" s="55"/>
    </row>
    <row r="162" ht="16.5" customHeight="1" spans="4:12">
      <c r="D162" s="51"/>
      <c r="H162" s="21"/>
      <c r="I162" s="21"/>
      <c r="J162" s="21"/>
      <c r="K162" s="21"/>
      <c r="L162" s="21"/>
    </row>
    <row r="163" ht="16.5" customHeight="1" spans="4:12">
      <c r="D163" s="51"/>
      <c r="H163" s="21"/>
      <c r="I163" s="21"/>
      <c r="J163" s="21"/>
      <c r="K163" s="21"/>
      <c r="L163" s="21"/>
    </row>
    <row r="164" ht="16.5" customHeight="1" spans="4:12">
      <c r="D164" s="51"/>
      <c r="H164" s="21"/>
      <c r="I164" s="21"/>
      <c r="J164" s="21"/>
      <c r="K164" s="21"/>
      <c r="L164" s="21"/>
    </row>
    <row r="165" ht="16.5" customHeight="1" spans="4:12">
      <c r="D165" s="53"/>
      <c r="H165" s="63"/>
      <c r="I165" s="63"/>
      <c r="J165" s="63"/>
      <c r="K165" s="63"/>
      <c r="L165" s="63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65"/>
  <sheetViews>
    <sheetView showGridLines="0" workbookViewId="0">
      <selection activeCell="M19" sqref="M19"/>
    </sheetView>
  </sheetViews>
  <sheetFormatPr defaultColWidth="9.16071428571429" defaultRowHeight="16.8"/>
  <cols>
    <col min="1" max="2" width="1.24107142857143" style="1" customWidth="1"/>
    <col min="3" max="3" width="1.24107142857143" style="2" customWidth="1"/>
    <col min="4" max="4" width="40.6428571428571" style="2" customWidth="1"/>
    <col min="5" max="5" width="11.9017857142857" style="2" customWidth="1"/>
    <col min="6" max="6" width="12.3482142857143" style="2" customWidth="1"/>
    <col min="7" max="7" width="13.4107142857143" style="2" customWidth="1"/>
    <col min="8" max="13" width="12.6428571428571" style="2" customWidth="1"/>
    <col min="14" max="15" width="12.6428571428571" style="1" customWidth="1"/>
  </cols>
  <sheetData>
    <row r="1" ht="33.75" customHeight="1" spans="1:17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5"/>
      <c r="Q1" s="5"/>
    </row>
    <row r="2" ht="16.5" customHeight="1" spans="1:17">
      <c r="A2" s="6" t="s">
        <v>378</v>
      </c>
      <c r="B2" s="7"/>
      <c r="C2" s="7"/>
      <c r="D2" s="7"/>
      <c r="E2" s="7"/>
      <c r="F2" s="7"/>
      <c r="G2" s="7"/>
      <c r="H2" s="4"/>
      <c r="I2" s="4"/>
      <c r="J2" s="4"/>
      <c r="K2" s="4"/>
      <c r="L2" s="8"/>
      <c r="M2" s="4"/>
      <c r="N2" s="4"/>
      <c r="O2" s="4"/>
      <c r="P2" s="5"/>
      <c r="Q2" s="5"/>
    </row>
    <row r="3" ht="16.5" customHeight="1" spans="1:17"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</row>
    <row r="4" ht="16.5" customHeight="1" spans="1:17">
      <c r="A4" s="9" t="s">
        <v>378</v>
      </c>
      <c r="B4" s="10"/>
      <c r="C4" s="11"/>
      <c r="D4" s="12"/>
      <c r="E4" s="12"/>
      <c r="F4" s="12"/>
      <c r="G4" s="12"/>
      <c r="H4" s="13"/>
      <c r="I4" s="13"/>
      <c r="J4" s="14"/>
      <c r="K4" s="14"/>
      <c r="L4" s="14"/>
      <c r="M4" s="14"/>
      <c r="N4" s="14"/>
      <c r="O4" s="14"/>
    </row>
    <row r="5" ht="16.5" customHeight="1" spans="1:17">
      <c r="D5" s="15"/>
      <c r="E5" s="16"/>
      <c r="F5" s="16"/>
      <c r="G5" s="16"/>
      <c r="H5" s="17"/>
      <c r="I5" s="18"/>
      <c r="J5" s="18"/>
      <c r="K5" s="18"/>
      <c r="L5" s="18"/>
      <c r="M5" s="19"/>
      <c r="N5" s="19"/>
      <c r="O5" s="19"/>
    </row>
    <row r="6" ht="36" customHeight="1" spans="1:17">
      <c r="E6" s="20" t="s">
        <v>371</v>
      </c>
      <c r="F6" s="20" t="s">
        <v>379</v>
      </c>
      <c r="G6" s="20" t="s">
        <v>380</v>
      </c>
      <c r="H6" s="20" t="s">
        <v>381</v>
      </c>
      <c r="I6" s="21"/>
      <c r="J6" s="21"/>
      <c r="K6" s="21"/>
      <c r="L6" s="21"/>
      <c r="N6" s="5"/>
      <c r="O6" s="5"/>
    </row>
    <row r="7" ht="16.5" customHeight="1" spans="1:17">
      <c r="D7" s="22" t="s">
        <v>382</v>
      </c>
      <c r="E7" s="23"/>
      <c r="F7" s="23">
        <f>F8</f>
        <v>344.145381352295</v>
      </c>
      <c r="G7" s="23">
        <f>G8</f>
        <v>427</v>
      </c>
      <c r="H7" s="24">
        <f>H8</f>
        <v>422.8</v>
      </c>
      <c r="I7" s="25"/>
      <c r="J7" s="26"/>
      <c r="L7" s="27"/>
      <c r="M7" s="27"/>
      <c r="N7" s="27"/>
      <c r="O7" s="27"/>
    </row>
    <row r="8" ht="16.5" customHeight="1" spans="1:17">
      <c r="D8" s="22" t="s">
        <v>382</v>
      </c>
      <c r="E8" s="28"/>
      <c r="F8" s="29">
        <v>344.145381352295</v>
      </c>
      <c r="G8" s="29">
        <v>427</v>
      </c>
      <c r="H8" s="30">
        <v>422.8</v>
      </c>
      <c r="I8" s="31" t="s">
        <v>383</v>
      </c>
      <c r="J8" s="32"/>
      <c r="L8" s="33"/>
      <c r="M8" s="27"/>
      <c r="N8" s="27"/>
      <c r="O8" s="27"/>
    </row>
    <row r="9" ht="16.5" customHeight="1" spans="1:17">
      <c r="C9" s="34"/>
      <c r="D9" s="22" t="s">
        <v>384</v>
      </c>
      <c r="E9" s="28"/>
      <c r="F9" s="29">
        <v>239.838606100936</v>
      </c>
      <c r="G9" s="29">
        <v>275</v>
      </c>
      <c r="H9" s="29">
        <v>300.1</v>
      </c>
      <c r="I9" s="35" t="s">
        <v>385</v>
      </c>
      <c r="K9" s="33"/>
      <c r="L9" s="32"/>
      <c r="M9" s="27"/>
      <c r="N9" s="27"/>
      <c r="O9" s="27"/>
    </row>
    <row r="10" ht="16.5" customHeight="1" spans="1:17">
      <c r="D10" s="22" t="s">
        <v>384</v>
      </c>
      <c r="E10" s="28"/>
      <c r="F10" s="29">
        <f>F9</f>
        <v>239.838606100936</v>
      </c>
      <c r="G10" s="29">
        <f>G9</f>
        <v>275</v>
      </c>
      <c r="H10" s="29">
        <f>H9</f>
        <v>300.1</v>
      </c>
      <c r="I10" s="36"/>
      <c r="J10" s="26"/>
      <c r="K10" s="26"/>
      <c r="L10" s="26"/>
      <c r="M10" s="27"/>
      <c r="N10" s="27"/>
      <c r="O10" s="27"/>
    </row>
    <row r="11" ht="16.5" customHeight="1" spans="1:17">
      <c r="D11" s="17"/>
      <c r="G11" s="37"/>
      <c r="H11" s="26"/>
      <c r="I11" s="25"/>
      <c r="J11" s="26"/>
      <c r="K11" s="26"/>
      <c r="L11" s="26"/>
      <c r="M11" s="27"/>
      <c r="N11" s="27"/>
      <c r="O11" s="27"/>
    </row>
    <row r="12" ht="16.5" customHeight="1" spans="1:17">
      <c r="A12" s="9" t="s">
        <v>386</v>
      </c>
      <c r="B12" s="38"/>
      <c r="C12" s="38"/>
      <c r="D12" s="39"/>
      <c r="E12" s="40"/>
      <c r="F12" s="40"/>
      <c r="G12" s="41"/>
      <c r="H12" s="42"/>
      <c r="I12" s="43"/>
      <c r="J12" s="43"/>
      <c r="K12" s="43"/>
      <c r="L12" s="43"/>
      <c r="M12" s="43"/>
      <c r="N12" s="43"/>
      <c r="O12" s="43"/>
    </row>
    <row r="13" ht="16.5" customHeight="1" spans="1:17">
      <c r="D13" s="44"/>
      <c r="E13" s="16"/>
      <c r="F13" s="16"/>
      <c r="G13" s="45"/>
      <c r="H13" s="46"/>
      <c r="I13" s="47"/>
      <c r="J13" s="47"/>
      <c r="K13" s="47"/>
      <c r="L13" s="47"/>
      <c r="M13" s="48"/>
      <c r="N13" s="49"/>
      <c r="O13" s="49"/>
    </row>
    <row r="14" ht="16.5" customHeight="1" spans="1:17">
      <c r="D14" s="15"/>
      <c r="G14" s="37"/>
      <c r="H14" s="26"/>
      <c r="I14" s="26"/>
      <c r="J14" s="26"/>
      <c r="K14" s="26"/>
      <c r="L14" s="26"/>
      <c r="M14" s="27"/>
      <c r="N14" s="27"/>
      <c r="O14" s="27"/>
    </row>
    <row r="15" ht="16.5" customHeight="1" spans="1:17">
      <c r="D15" s="44"/>
      <c r="G15" s="37"/>
      <c r="H15" s="47"/>
      <c r="I15" s="47"/>
      <c r="J15" s="47"/>
      <c r="K15" s="47"/>
      <c r="L15" s="47"/>
      <c r="M15" s="49"/>
      <c r="N15" s="49"/>
      <c r="O15" s="49"/>
    </row>
    <row r="16" ht="16.5" customHeight="1" spans="1:17">
      <c r="C16" s="50"/>
      <c r="D16" s="44"/>
      <c r="G16" s="37"/>
      <c r="H16" s="47"/>
      <c r="I16" s="47"/>
      <c r="J16" s="47"/>
      <c r="K16" s="47"/>
      <c r="L16" s="47"/>
      <c r="M16" s="49"/>
      <c r="N16" s="49"/>
      <c r="O16" s="49"/>
    </row>
    <row r="17" ht="16.5" customHeight="1" spans="3:15">
      <c r="D17" s="51"/>
      <c r="H17" s="21"/>
      <c r="I17" s="21"/>
      <c r="J17" s="21"/>
      <c r="K17" s="21"/>
      <c r="L17" s="21"/>
      <c r="N17" s="5"/>
      <c r="O17" s="5"/>
    </row>
    <row r="18" ht="16.5" customHeight="1" spans="3:15">
      <c r="C18" s="52"/>
      <c r="D18" s="53"/>
      <c r="E18" s="54"/>
      <c r="F18" s="54"/>
      <c r="G18" s="54"/>
      <c r="H18" s="55"/>
      <c r="I18" s="55"/>
      <c r="J18" s="55"/>
      <c r="K18" s="55"/>
      <c r="L18" s="55"/>
      <c r="N18" s="5"/>
      <c r="O18" s="5"/>
    </row>
    <row r="19" ht="16.5" customHeight="1" spans="3:15">
      <c r="D19" s="56"/>
      <c r="H19" s="56"/>
      <c r="I19" s="56"/>
      <c r="J19" s="56"/>
      <c r="K19" s="56"/>
      <c r="L19" s="56"/>
      <c r="N19" s="5"/>
      <c r="O19" s="5"/>
    </row>
    <row r="20" ht="16.5" customHeight="1" spans="3:15">
      <c r="D20" s="51"/>
      <c r="H20" s="21"/>
      <c r="I20" s="21"/>
      <c r="J20" s="21"/>
      <c r="K20" s="21"/>
      <c r="L20" s="21"/>
      <c r="N20" s="5"/>
      <c r="O20" s="5"/>
    </row>
    <row r="21" ht="16.5" customHeight="1" spans="3:15">
      <c r="D21" s="57"/>
      <c r="H21" s="21"/>
      <c r="I21" s="21"/>
      <c r="J21" s="21"/>
      <c r="K21" s="21"/>
      <c r="L21" s="21"/>
      <c r="N21" s="5"/>
      <c r="O21" s="5"/>
    </row>
    <row r="22" ht="16.5" customHeight="1" spans="3:15">
      <c r="D22" s="51"/>
      <c r="H22" s="21"/>
      <c r="I22" s="21"/>
      <c r="J22" s="21"/>
      <c r="K22" s="21"/>
      <c r="L22" s="21"/>
      <c r="N22" s="5"/>
      <c r="O22" s="5"/>
    </row>
    <row r="23" ht="16.5" customHeight="1" spans="3:15">
      <c r="D23" s="57"/>
      <c r="H23" s="21"/>
      <c r="I23" s="21"/>
      <c r="J23" s="21"/>
      <c r="K23" s="21"/>
      <c r="L23" s="21"/>
      <c r="N23" s="5"/>
      <c r="O23" s="5"/>
    </row>
    <row r="24" ht="16.5" customHeight="1" spans="3:15">
      <c r="D24" s="51"/>
      <c r="H24" s="21"/>
      <c r="I24" s="21"/>
      <c r="J24" s="21"/>
      <c r="K24" s="21"/>
      <c r="L24" s="21"/>
      <c r="N24" s="5"/>
      <c r="O24" s="5"/>
    </row>
    <row r="25" ht="16.5" customHeight="1" spans="3:15">
      <c r="D25" s="51"/>
      <c r="H25" s="21"/>
      <c r="I25" s="21"/>
      <c r="J25" s="21"/>
      <c r="K25" s="21"/>
      <c r="L25" s="21"/>
      <c r="N25" s="5"/>
      <c r="O25" s="5"/>
    </row>
    <row r="26" ht="16.5" customHeight="1" spans="3:15">
      <c r="D26" s="57"/>
      <c r="H26" s="21"/>
      <c r="I26" s="21"/>
      <c r="J26" s="21"/>
      <c r="K26" s="21"/>
      <c r="L26" s="21"/>
      <c r="N26" s="5"/>
      <c r="O26" s="5"/>
    </row>
    <row r="27" ht="16.5" customHeight="1" spans="3:15">
      <c r="N27" s="5"/>
      <c r="O27" s="5"/>
    </row>
    <row r="28" ht="16.5" customHeight="1" spans="3:15">
      <c r="D28" s="57"/>
      <c r="E28" s="56"/>
      <c r="F28" s="56"/>
      <c r="G28" s="56"/>
      <c r="H28" s="56"/>
      <c r="I28" s="56"/>
      <c r="J28" s="56"/>
      <c r="N28" s="5"/>
      <c r="O28" s="5"/>
    </row>
    <row r="29" ht="16.5" customHeight="1" spans="3:15">
      <c r="D29" s="51"/>
      <c r="H29" s="21"/>
      <c r="I29" s="21"/>
      <c r="J29" s="21"/>
      <c r="K29" s="21"/>
      <c r="L29" s="21"/>
      <c r="N29" s="5"/>
      <c r="O29" s="5"/>
    </row>
    <row r="30" ht="16.5" customHeight="1" spans="3:15">
      <c r="D30" s="51"/>
      <c r="H30" s="21"/>
      <c r="I30" s="21"/>
      <c r="J30" s="21"/>
      <c r="K30" s="21"/>
      <c r="L30" s="21"/>
      <c r="N30" s="5"/>
      <c r="O30" s="5"/>
    </row>
    <row r="31" ht="16.5" customHeight="1" spans="3:15">
      <c r="D31" s="51"/>
      <c r="H31" s="21"/>
      <c r="I31" s="21"/>
      <c r="J31" s="21"/>
      <c r="K31" s="21"/>
      <c r="L31" s="21"/>
      <c r="N31" s="5"/>
      <c r="O31" s="5"/>
    </row>
    <row r="32" ht="16.5" customHeight="1" spans="3:15">
      <c r="D32" s="57"/>
      <c r="H32" s="21"/>
      <c r="I32" s="21"/>
      <c r="J32" s="21"/>
      <c r="K32" s="21"/>
      <c r="L32" s="21"/>
    </row>
    <row r="33" ht="16.5" customHeight="1" spans="3:12">
      <c r="D33" s="56"/>
      <c r="H33" s="56"/>
      <c r="I33" s="56"/>
      <c r="J33" s="56"/>
      <c r="K33" s="56"/>
      <c r="L33" s="56"/>
    </row>
    <row r="34" ht="16.5" customHeight="1" spans="3:12">
      <c r="D34" s="57"/>
      <c r="H34" s="21"/>
      <c r="I34" s="21"/>
      <c r="J34" s="21"/>
      <c r="K34" s="21"/>
      <c r="L34" s="21"/>
    </row>
    <row r="36" ht="16.5" customHeight="1" spans="3:12">
      <c r="C36" s="58"/>
    </row>
    <row r="38" ht="16.5" customHeight="1" spans="3:12">
      <c r="C38" s="34"/>
    </row>
    <row r="39" ht="16.5" customHeight="1" spans="3:12">
      <c r="D39" s="53"/>
    </row>
    <row r="40" ht="16.5" customHeight="1" spans="3:12">
      <c r="D40" s="51"/>
      <c r="H40" s="21"/>
      <c r="I40" s="21"/>
      <c r="J40" s="21"/>
      <c r="K40" s="21"/>
      <c r="L40" s="21"/>
    </row>
    <row r="41" ht="16.5" customHeight="1" spans="3:12">
      <c r="D41" s="51"/>
      <c r="H41" s="21"/>
      <c r="I41" s="21"/>
      <c r="J41" s="21"/>
      <c r="K41" s="21"/>
      <c r="L41" s="21"/>
    </row>
    <row r="42" ht="16.5" customHeight="1" spans="3:12">
      <c r="D42" s="51"/>
      <c r="H42" s="21"/>
      <c r="I42" s="21"/>
      <c r="J42" s="21"/>
      <c r="K42" s="21"/>
      <c r="L42" s="21"/>
    </row>
    <row r="43" ht="16.5" customHeight="1" spans="3:12">
      <c r="D43" s="51"/>
      <c r="H43" s="21"/>
      <c r="I43" s="21"/>
      <c r="J43" s="21"/>
      <c r="K43" s="21"/>
      <c r="L43" s="21"/>
    </row>
    <row r="44" ht="16.5" customHeight="1" spans="3:12">
      <c r="D44" s="51"/>
      <c r="H44" s="21"/>
      <c r="I44" s="21"/>
      <c r="J44" s="21"/>
      <c r="K44" s="21"/>
      <c r="L44" s="21"/>
    </row>
    <row r="45" ht="16.5" customHeight="1" spans="3:12">
      <c r="D45" s="51"/>
      <c r="H45" s="21"/>
      <c r="I45" s="21"/>
      <c r="J45" s="21"/>
      <c r="K45" s="21"/>
      <c r="L45" s="21"/>
    </row>
    <row r="46" ht="16.5" customHeight="1" spans="3:12">
      <c r="D46" s="51"/>
      <c r="H46" s="21"/>
      <c r="I46" s="21"/>
      <c r="J46" s="21"/>
      <c r="K46" s="21"/>
      <c r="L46" s="21"/>
    </row>
    <row r="47" ht="16.5" customHeight="1" spans="3:12">
      <c r="D47" s="51"/>
      <c r="H47" s="21"/>
      <c r="I47" s="21"/>
      <c r="J47" s="21"/>
      <c r="K47" s="21"/>
      <c r="L47" s="21"/>
    </row>
    <row r="48" ht="16.5" customHeight="1" spans="3:12">
      <c r="H48" s="21"/>
      <c r="I48" s="21"/>
      <c r="J48" s="21"/>
      <c r="K48" s="21"/>
      <c r="L48" s="21"/>
    </row>
    <row r="49" ht="16.5" customHeight="1" spans="3:12">
      <c r="D49" s="59"/>
      <c r="E49" s="60"/>
      <c r="H49" s="21"/>
      <c r="I49" s="21"/>
      <c r="J49" s="21"/>
      <c r="K49" s="21"/>
      <c r="L49" s="21"/>
    </row>
    <row r="50" ht="16.5" customHeight="1" spans="3:12">
      <c r="D50" s="59"/>
      <c r="E50" s="60"/>
      <c r="H50" s="21"/>
      <c r="I50" s="21"/>
      <c r="J50" s="21"/>
      <c r="K50" s="21"/>
      <c r="L50" s="21"/>
    </row>
    <row r="51" ht="16.5" customHeight="1" spans="3:12">
      <c r="D51" s="59"/>
      <c r="E51" s="60"/>
      <c r="H51" s="21"/>
      <c r="I51" s="21"/>
      <c r="J51" s="21"/>
      <c r="K51" s="21"/>
      <c r="L51" s="21"/>
    </row>
    <row r="52" ht="16.5" customHeight="1" spans="3:12">
      <c r="D52" s="51"/>
      <c r="H52" s="21"/>
      <c r="I52" s="21"/>
      <c r="J52" s="21"/>
      <c r="K52" s="21"/>
      <c r="L52" s="21"/>
    </row>
    <row r="53" ht="16.5" customHeight="1" spans="3:12">
      <c r="D53" s="51"/>
      <c r="H53" s="21"/>
      <c r="I53" s="21"/>
      <c r="J53" s="21"/>
      <c r="K53" s="21"/>
      <c r="L53" s="21"/>
    </row>
    <row r="54" ht="16.5" customHeight="1" spans="3:12">
      <c r="D54" s="51"/>
      <c r="H54" s="21"/>
      <c r="I54" s="21"/>
      <c r="J54" s="21"/>
      <c r="K54" s="21"/>
      <c r="L54" s="21"/>
    </row>
    <row r="55" ht="16.5" customHeight="1" spans="3:12">
      <c r="D55" s="53"/>
      <c r="E55" s="54"/>
      <c r="F55" s="54"/>
      <c r="G55" s="54"/>
      <c r="H55" s="55"/>
      <c r="I55" s="55"/>
      <c r="J55" s="55"/>
      <c r="K55" s="55"/>
      <c r="L55" s="55"/>
    </row>
    <row r="56" ht="16.5" customHeight="1" spans="3:12">
      <c r="D56" s="56"/>
      <c r="H56" s="56"/>
      <c r="I56" s="56"/>
      <c r="J56" s="56"/>
      <c r="K56" s="56"/>
      <c r="L56" s="56"/>
    </row>
    <row r="57" ht="16.5" customHeight="1" spans="3:12">
      <c r="C57" s="34"/>
      <c r="H57" s="56"/>
      <c r="I57" s="56"/>
      <c r="J57" s="56"/>
      <c r="K57" s="56"/>
      <c r="L57" s="56"/>
    </row>
    <row r="58" ht="16.5" customHeight="1" spans="3:12">
      <c r="D58" s="51"/>
      <c r="H58" s="21"/>
      <c r="I58" s="21"/>
      <c r="J58" s="21"/>
      <c r="K58" s="21"/>
      <c r="L58" s="21"/>
    </row>
    <row r="59" ht="16.5" customHeight="1" spans="3:12">
      <c r="D59" s="51"/>
      <c r="H59" s="21"/>
      <c r="I59" s="21"/>
      <c r="J59" s="21"/>
      <c r="K59" s="21"/>
      <c r="L59" s="21"/>
    </row>
    <row r="61" ht="16.5" customHeight="1" spans="3:12">
      <c r="D61" s="61"/>
      <c r="H61" s="21"/>
      <c r="I61" s="21"/>
      <c r="J61" s="21"/>
      <c r="K61" s="21"/>
      <c r="L61" s="21"/>
    </row>
    <row r="62" ht="16.5" customHeight="1" spans="3:12">
      <c r="D62" s="61"/>
      <c r="H62" s="21"/>
      <c r="I62" s="21"/>
      <c r="J62" s="21"/>
      <c r="K62" s="21"/>
      <c r="L62" s="21"/>
    </row>
    <row r="63" ht="16.5" customHeight="1" spans="3:12">
      <c r="D63" s="61"/>
      <c r="H63" s="21"/>
      <c r="I63" s="21"/>
      <c r="J63" s="21"/>
      <c r="K63" s="21"/>
      <c r="L63" s="21"/>
    </row>
    <row r="64" ht="16.5" customHeight="1" spans="3:12">
      <c r="D64" s="61"/>
      <c r="H64" s="21"/>
      <c r="I64" s="21"/>
      <c r="J64" s="21"/>
      <c r="K64" s="21"/>
      <c r="L64" s="21"/>
    </row>
    <row r="65" ht="16.5" customHeight="1" spans="3:12">
      <c r="D65" s="61"/>
      <c r="H65" s="21"/>
      <c r="I65" s="21"/>
      <c r="J65" s="21"/>
      <c r="K65" s="21"/>
      <c r="L65" s="21"/>
    </row>
    <row r="66" ht="16.5" customHeight="1" spans="3:12">
      <c r="D66" s="61"/>
      <c r="H66" s="21"/>
      <c r="I66" s="21"/>
      <c r="J66" s="21"/>
      <c r="K66" s="21"/>
      <c r="L66" s="21"/>
    </row>
    <row r="67" ht="16.5" customHeight="1" spans="3:12">
      <c r="D67" s="51"/>
      <c r="H67" s="21"/>
      <c r="I67" s="21"/>
      <c r="J67" s="21"/>
      <c r="K67" s="21"/>
      <c r="L67" s="21"/>
    </row>
    <row r="68" ht="16.5" customHeight="1" spans="3:12">
      <c r="D68" s="53"/>
      <c r="E68" s="54"/>
      <c r="F68" s="54"/>
      <c r="G68" s="54"/>
      <c r="H68" s="55"/>
      <c r="I68" s="55"/>
      <c r="J68" s="55"/>
      <c r="K68" s="55"/>
      <c r="L68" s="55"/>
    </row>
    <row r="69" ht="16.5" customHeight="1" spans="3:12">
      <c r="D69" s="56"/>
      <c r="H69" s="56"/>
      <c r="I69" s="56"/>
      <c r="J69" s="56"/>
      <c r="K69" s="56"/>
      <c r="L69" s="56"/>
    </row>
    <row r="70" ht="16.5" customHeight="1" spans="3:12">
      <c r="D70" s="57"/>
      <c r="H70" s="21"/>
      <c r="I70" s="21"/>
      <c r="J70" s="21"/>
      <c r="K70" s="21"/>
      <c r="L70" s="21"/>
    </row>
    <row r="71" ht="16.5" customHeight="1" spans="3:12">
      <c r="D71" s="56"/>
      <c r="H71" s="56"/>
      <c r="I71" s="56"/>
      <c r="J71" s="56"/>
      <c r="K71" s="56"/>
      <c r="L71" s="56"/>
    </row>
    <row r="72" ht="16.5" customHeight="1" spans="3:12">
      <c r="C72" s="34"/>
      <c r="H72" s="56"/>
      <c r="I72" s="56"/>
      <c r="J72" s="56"/>
      <c r="K72" s="56"/>
      <c r="L72" s="56"/>
    </row>
    <row r="73" ht="16.5" customHeight="1" spans="3:12">
      <c r="C73" s="34"/>
      <c r="H73" s="56"/>
      <c r="I73" s="56"/>
      <c r="J73" s="56"/>
      <c r="K73" s="56"/>
      <c r="L73" s="56"/>
    </row>
    <row r="74" ht="16.5" customHeight="1" spans="3:12">
      <c r="D74" s="53"/>
      <c r="H74" s="56"/>
      <c r="I74" s="56"/>
      <c r="J74" s="56"/>
      <c r="K74" s="56"/>
      <c r="L74" s="56"/>
    </row>
    <row r="75" ht="16.5" customHeight="1" spans="3:12">
      <c r="D75" s="51"/>
      <c r="H75" s="21"/>
      <c r="I75" s="21"/>
      <c r="J75" s="21"/>
      <c r="K75" s="21"/>
      <c r="L75" s="21"/>
    </row>
    <row r="76" ht="16.5" customHeight="1" spans="3:12">
      <c r="D76" s="51"/>
      <c r="H76" s="21"/>
      <c r="I76" s="21"/>
      <c r="J76" s="21"/>
      <c r="K76" s="21"/>
      <c r="L76" s="21"/>
    </row>
    <row r="77" ht="16.5" customHeight="1" spans="3:12">
      <c r="D77" s="57"/>
      <c r="H77" s="21"/>
      <c r="I77" s="21"/>
      <c r="J77" s="21"/>
      <c r="K77" s="21"/>
      <c r="L77" s="21"/>
    </row>
    <row r="78" ht="16.5" customHeight="1" spans="3:12">
      <c r="D78" s="51"/>
      <c r="H78" s="21"/>
      <c r="I78" s="21"/>
      <c r="J78" s="21"/>
      <c r="K78" s="21"/>
      <c r="L78" s="21"/>
    </row>
    <row r="79" ht="16.5" customHeight="1" spans="3:12">
      <c r="D79" s="53"/>
      <c r="E79" s="54"/>
      <c r="F79" s="54"/>
      <c r="G79" s="54"/>
      <c r="H79" s="55"/>
      <c r="I79" s="55"/>
      <c r="J79" s="55"/>
      <c r="K79" s="55"/>
      <c r="L79" s="55"/>
    </row>
    <row r="80" ht="16.5" customHeight="1" spans="3:12">
      <c r="D80" s="56"/>
      <c r="H80" s="56"/>
      <c r="I80" s="56"/>
      <c r="J80" s="56"/>
      <c r="K80" s="56"/>
      <c r="L80" s="56"/>
    </row>
    <row r="81" ht="16.5" customHeight="1" spans="3:12">
      <c r="C81" s="34"/>
      <c r="H81" s="56"/>
      <c r="I81" s="56"/>
      <c r="J81" s="56"/>
      <c r="K81" s="56"/>
      <c r="L81" s="56"/>
    </row>
    <row r="82" ht="16.5" customHeight="1" spans="3:12">
      <c r="C82" s="34"/>
      <c r="H82" s="56"/>
      <c r="I82" s="56"/>
      <c r="J82" s="56"/>
      <c r="K82" s="56"/>
      <c r="L82" s="56"/>
    </row>
    <row r="83" ht="16.5" customHeight="1" spans="3:12">
      <c r="D83" s="61"/>
      <c r="H83" s="21"/>
      <c r="I83" s="21"/>
      <c r="J83" s="21"/>
      <c r="K83" s="21"/>
      <c r="L83" s="21"/>
    </row>
    <row r="84" ht="16.5" customHeight="1" spans="3:12">
      <c r="D84" s="61"/>
      <c r="H84" s="21"/>
      <c r="I84" s="21"/>
      <c r="J84" s="21"/>
      <c r="K84" s="21"/>
      <c r="L84" s="21"/>
    </row>
    <row r="85" ht="16.5" customHeight="1" spans="3:12">
      <c r="D85" s="61"/>
      <c r="H85" s="21"/>
      <c r="I85" s="21"/>
      <c r="J85" s="21"/>
      <c r="K85" s="21"/>
      <c r="L85" s="21"/>
    </row>
    <row r="86" ht="16.5" customHeight="1" spans="3:12">
      <c r="D86" s="51"/>
      <c r="H86" s="21"/>
      <c r="I86" s="21"/>
      <c r="J86" s="21"/>
      <c r="K86" s="21"/>
      <c r="L86" s="21"/>
    </row>
    <row r="87" ht="16.5" customHeight="1" spans="3:12">
      <c r="D87" s="51"/>
      <c r="H87" s="21"/>
      <c r="I87" s="21"/>
      <c r="J87" s="21"/>
      <c r="K87" s="21"/>
      <c r="L87" s="21"/>
    </row>
    <row r="88" ht="16.5" customHeight="1" spans="3:12">
      <c r="D88" s="51"/>
      <c r="H88" s="21"/>
      <c r="I88" s="21"/>
      <c r="J88" s="21"/>
      <c r="K88" s="21"/>
      <c r="L88" s="21"/>
    </row>
    <row r="89" ht="16.5" customHeight="1" spans="3:12">
      <c r="D89" s="53"/>
      <c r="E89" s="54"/>
      <c r="F89" s="54"/>
      <c r="G89" s="54"/>
      <c r="H89" s="55"/>
      <c r="I89" s="55"/>
      <c r="J89" s="55"/>
      <c r="K89" s="55"/>
      <c r="L89" s="55"/>
    </row>
    <row r="90" ht="16.5" customHeight="1" spans="3:12">
      <c r="D90" s="56"/>
      <c r="H90" s="56"/>
      <c r="I90" s="56"/>
      <c r="J90" s="56"/>
      <c r="K90" s="56"/>
      <c r="L90" s="56"/>
    </row>
    <row r="91" ht="16.5" customHeight="1" spans="3:12">
      <c r="C91" s="34"/>
      <c r="H91" s="56"/>
      <c r="I91" s="56"/>
      <c r="J91" s="56"/>
      <c r="K91" s="56"/>
      <c r="L91" s="56"/>
    </row>
    <row r="92" ht="16.5" customHeight="1" spans="3:12">
      <c r="C92" s="34"/>
      <c r="H92" s="56"/>
      <c r="I92" s="56"/>
      <c r="J92" s="56"/>
      <c r="K92" s="56"/>
      <c r="L92" s="56"/>
    </row>
    <row r="93" ht="16.5" customHeight="1" spans="3:12">
      <c r="D93" s="61"/>
      <c r="H93" s="21"/>
      <c r="I93" s="21"/>
      <c r="J93" s="21"/>
      <c r="K93" s="21"/>
      <c r="L93" s="21"/>
    </row>
    <row r="94" ht="16.5" customHeight="1" spans="3:12">
      <c r="D94" s="61"/>
      <c r="H94" s="21"/>
      <c r="I94" s="21"/>
      <c r="J94" s="21"/>
      <c r="K94" s="21"/>
      <c r="L94" s="21"/>
    </row>
    <row r="95" ht="16.5" customHeight="1" spans="3:12">
      <c r="D95" s="61"/>
      <c r="H95" s="21"/>
      <c r="I95" s="21"/>
      <c r="J95" s="21"/>
      <c r="K95" s="21"/>
      <c r="L95" s="21"/>
    </row>
    <row r="96" ht="16.5" customHeight="1" spans="3:12">
      <c r="D96" s="61"/>
      <c r="H96" s="21"/>
      <c r="I96" s="21"/>
      <c r="J96" s="21"/>
      <c r="K96" s="21"/>
      <c r="L96" s="21"/>
    </row>
    <row r="97" ht="16.5" customHeight="1" spans="3:12">
      <c r="D97" s="61"/>
      <c r="H97" s="21"/>
      <c r="I97" s="21"/>
      <c r="J97" s="21"/>
      <c r="K97" s="21"/>
      <c r="L97" s="21"/>
    </row>
    <row r="98" ht="16.5" customHeight="1" spans="3:12">
      <c r="D98" s="51"/>
      <c r="H98" s="21"/>
      <c r="I98" s="21"/>
      <c r="J98" s="21"/>
      <c r="K98" s="21"/>
      <c r="L98" s="21"/>
    </row>
    <row r="99" ht="16.5" customHeight="1" spans="3:12">
      <c r="D99" s="51"/>
      <c r="H99" s="21"/>
      <c r="I99" s="21"/>
      <c r="J99" s="21"/>
      <c r="K99" s="21"/>
      <c r="L99" s="21"/>
    </row>
    <row r="100" ht="16.5" customHeight="1" spans="3:12">
      <c r="D100" s="51"/>
      <c r="H100" s="21"/>
      <c r="I100" s="21"/>
      <c r="J100" s="21"/>
      <c r="K100" s="21"/>
      <c r="L100" s="21"/>
    </row>
    <row r="101" ht="16.5" customHeight="1" spans="3:12">
      <c r="D101" s="53"/>
      <c r="E101" s="54"/>
      <c r="F101" s="54"/>
      <c r="G101" s="54"/>
      <c r="H101" s="55"/>
      <c r="I101" s="55"/>
      <c r="J101" s="55"/>
      <c r="K101" s="55"/>
      <c r="L101" s="55"/>
    </row>
    <row r="102" ht="16.5" customHeight="1" spans="3:12">
      <c r="D102" s="56"/>
      <c r="H102" s="56"/>
      <c r="I102" s="56"/>
      <c r="J102" s="56"/>
      <c r="K102" s="56"/>
      <c r="L102" s="56"/>
    </row>
    <row r="103" ht="16.5" customHeight="1" spans="3:12">
      <c r="D103" s="57"/>
      <c r="H103" s="21"/>
      <c r="I103" s="21"/>
      <c r="J103" s="21"/>
      <c r="K103" s="21"/>
      <c r="L103" s="21"/>
    </row>
    <row r="105" ht="16.5" customHeight="1" spans="3:12">
      <c r="C105" s="62"/>
    </row>
    <row r="107" ht="16.5" customHeight="1" spans="3:12">
      <c r="D107" s="53"/>
      <c r="H107" s="21"/>
      <c r="I107" s="21"/>
      <c r="J107" s="21"/>
      <c r="K107" s="21"/>
      <c r="L107" s="21"/>
    </row>
    <row r="108" ht="16.5" customHeight="1" spans="3:12">
      <c r="D108" s="51"/>
      <c r="H108" s="21"/>
      <c r="I108" s="21"/>
      <c r="J108" s="21"/>
      <c r="K108" s="21"/>
      <c r="L108" s="21"/>
    </row>
    <row r="109" ht="16.5" customHeight="1" spans="3:12">
      <c r="D109" s="51"/>
      <c r="H109" s="21"/>
      <c r="I109" s="21"/>
      <c r="J109" s="21"/>
      <c r="K109" s="21"/>
      <c r="L109" s="21"/>
    </row>
    <row r="110" ht="16.5" customHeight="1" spans="3:12">
      <c r="D110" s="51"/>
      <c r="H110" s="21"/>
      <c r="I110" s="21"/>
      <c r="J110" s="21"/>
      <c r="K110" s="21"/>
      <c r="L110" s="21"/>
    </row>
    <row r="111" ht="16.5" customHeight="1" spans="3:12">
      <c r="D111" s="51"/>
      <c r="H111" s="21"/>
      <c r="I111" s="21"/>
      <c r="J111" s="21"/>
      <c r="K111" s="21"/>
      <c r="L111" s="21"/>
    </row>
    <row r="112" ht="16.5" customHeight="1" spans="3:12">
      <c r="D112" s="51"/>
      <c r="H112" s="21"/>
      <c r="I112" s="21"/>
      <c r="J112" s="21"/>
      <c r="K112" s="21"/>
      <c r="L112" s="21"/>
    </row>
    <row r="113" ht="16.5" customHeight="1" spans="4:12">
      <c r="D113" s="51"/>
      <c r="H113" s="21"/>
      <c r="I113" s="21"/>
      <c r="J113" s="21"/>
      <c r="K113" s="21"/>
      <c r="L113" s="21"/>
    </row>
    <row r="114" ht="16.5" customHeight="1" spans="4:12">
      <c r="D114" s="51"/>
      <c r="H114" s="21"/>
      <c r="I114" s="21"/>
      <c r="J114" s="21"/>
      <c r="K114" s="21"/>
      <c r="L114" s="21"/>
    </row>
    <row r="115" ht="16.5" customHeight="1" spans="4:12">
      <c r="D115" s="51"/>
      <c r="H115" s="21"/>
      <c r="I115" s="21"/>
      <c r="J115" s="21"/>
      <c r="K115" s="21"/>
      <c r="L115" s="21"/>
    </row>
    <row r="116" ht="16.5" customHeight="1" spans="4:12">
      <c r="D116" s="53"/>
      <c r="H116" s="55"/>
      <c r="I116" s="55"/>
      <c r="J116" s="55"/>
      <c r="K116" s="55"/>
      <c r="L116" s="55"/>
    </row>
    <row r="117" ht="16.5" customHeight="1" spans="4:12">
      <c r="D117" s="56"/>
      <c r="H117" s="56"/>
      <c r="I117" s="56"/>
      <c r="J117" s="56"/>
      <c r="K117" s="56"/>
      <c r="L117" s="56"/>
    </row>
    <row r="118" ht="16.5" customHeight="1" spans="4:12">
      <c r="D118" s="51"/>
      <c r="H118" s="21"/>
      <c r="I118" s="21"/>
      <c r="J118" s="21"/>
      <c r="K118" s="21"/>
      <c r="L118" s="21"/>
    </row>
    <row r="119" ht="16.5" customHeight="1" spans="4:12">
      <c r="D119" s="51"/>
      <c r="H119" s="21"/>
      <c r="I119" s="21"/>
      <c r="J119" s="21"/>
      <c r="K119" s="21"/>
      <c r="L119" s="21"/>
    </row>
    <row r="120" ht="16.5" customHeight="1" spans="4:12">
      <c r="D120" s="51"/>
      <c r="H120" s="21"/>
      <c r="I120" s="21"/>
      <c r="J120" s="21"/>
      <c r="K120" s="21"/>
      <c r="L120" s="21"/>
    </row>
    <row r="121" ht="16.5" customHeight="1" spans="4:12">
      <c r="D121" s="53"/>
      <c r="H121" s="55"/>
      <c r="I121" s="55"/>
      <c r="J121" s="55"/>
      <c r="K121" s="55"/>
      <c r="L121" s="55"/>
    </row>
    <row r="122" ht="16.5" customHeight="1" spans="4:12">
      <c r="D122" s="51"/>
      <c r="H122" s="21"/>
      <c r="I122" s="21"/>
      <c r="J122" s="21"/>
      <c r="K122" s="21"/>
      <c r="L122" s="21"/>
    </row>
    <row r="123" ht="16.5" customHeight="1" spans="4:12">
      <c r="D123" s="53"/>
      <c r="H123" s="63"/>
      <c r="I123" s="63"/>
      <c r="J123" s="63"/>
      <c r="K123" s="63"/>
      <c r="L123" s="63"/>
    </row>
    <row r="124" ht="16.5" customHeight="1" spans="4:12">
      <c r="D124" s="56"/>
      <c r="H124" s="56"/>
      <c r="I124" s="56"/>
      <c r="J124" s="56"/>
      <c r="K124" s="56"/>
      <c r="L124" s="56"/>
    </row>
    <row r="125" ht="16.5" customHeight="1" spans="4:12">
      <c r="D125" s="53"/>
      <c r="H125" s="56"/>
      <c r="I125" s="56"/>
      <c r="J125" s="56"/>
      <c r="K125" s="56"/>
      <c r="L125" s="56"/>
    </row>
    <row r="126" ht="16.5" customHeight="1" spans="4:12">
      <c r="D126" s="51"/>
      <c r="H126" s="21"/>
      <c r="I126" s="21"/>
      <c r="J126" s="21"/>
      <c r="K126" s="21"/>
      <c r="L126" s="21"/>
    </row>
    <row r="127" ht="16.5" customHeight="1" spans="4:12">
      <c r="D127" s="51"/>
      <c r="H127" s="21"/>
      <c r="I127" s="21"/>
      <c r="J127" s="21"/>
      <c r="K127" s="21"/>
      <c r="L127" s="21"/>
    </row>
    <row r="128" ht="16.5" customHeight="1" spans="4:12">
      <c r="D128" s="51"/>
      <c r="H128" s="21"/>
      <c r="I128" s="21"/>
      <c r="J128" s="21"/>
      <c r="K128" s="21"/>
      <c r="L128" s="21"/>
    </row>
    <row r="129" ht="16.5" customHeight="1" spans="4:12">
      <c r="D129" s="51"/>
      <c r="H129" s="21"/>
      <c r="I129" s="21"/>
      <c r="J129" s="21"/>
      <c r="K129" s="21"/>
      <c r="L129" s="21"/>
    </row>
    <row r="130" ht="16.5" customHeight="1" spans="4:12">
      <c r="D130" s="51"/>
      <c r="H130" s="21"/>
      <c r="I130" s="21"/>
      <c r="J130" s="21"/>
      <c r="K130" s="21"/>
      <c r="L130" s="21"/>
    </row>
    <row r="131" ht="16.5" customHeight="1" spans="4:12">
      <c r="D131" s="51"/>
      <c r="H131" s="21"/>
      <c r="I131" s="21"/>
      <c r="J131" s="21"/>
      <c r="K131" s="21"/>
      <c r="L131" s="21"/>
    </row>
    <row r="132" ht="16.5" customHeight="1" spans="4:12">
      <c r="D132" s="51"/>
      <c r="H132" s="21"/>
      <c r="I132" s="21"/>
      <c r="J132" s="21"/>
      <c r="K132" s="21"/>
      <c r="L132" s="21"/>
    </row>
    <row r="133" ht="16.5" customHeight="1" spans="4:12">
      <c r="D133" s="51"/>
      <c r="H133" s="21"/>
      <c r="I133" s="21"/>
      <c r="J133" s="21"/>
      <c r="K133" s="21"/>
      <c r="L133" s="21"/>
    </row>
    <row r="134" ht="16.5" customHeight="1" spans="4:12">
      <c r="D134" s="51"/>
      <c r="H134" s="21"/>
      <c r="I134" s="21"/>
      <c r="J134" s="21"/>
      <c r="K134" s="21"/>
      <c r="L134" s="21"/>
    </row>
    <row r="135" ht="16.5" customHeight="1" spans="4:12">
      <c r="D135" s="51"/>
      <c r="H135" s="21"/>
      <c r="I135" s="21"/>
      <c r="J135" s="21"/>
      <c r="K135" s="21"/>
      <c r="L135" s="21"/>
    </row>
    <row r="136" ht="16.5" customHeight="1" spans="4:12">
      <c r="D136" s="51"/>
      <c r="H136" s="21"/>
      <c r="I136" s="21"/>
      <c r="J136" s="21"/>
      <c r="K136" s="21"/>
      <c r="L136" s="21"/>
    </row>
    <row r="137" ht="16.5" customHeight="1" spans="4:12">
      <c r="D137" s="51"/>
      <c r="H137" s="21"/>
      <c r="I137" s="21"/>
      <c r="J137" s="21"/>
      <c r="K137" s="21"/>
      <c r="L137" s="21"/>
    </row>
    <row r="138" ht="16.5" customHeight="1" spans="4:12">
      <c r="D138" s="51"/>
      <c r="H138" s="21"/>
      <c r="I138" s="21"/>
      <c r="J138" s="21"/>
      <c r="K138" s="21"/>
      <c r="L138" s="21"/>
    </row>
    <row r="139" ht="16.5" customHeight="1" spans="4:12">
      <c r="D139" s="51"/>
      <c r="H139" s="21"/>
      <c r="I139" s="21"/>
      <c r="J139" s="21"/>
      <c r="K139" s="21"/>
      <c r="L139" s="21"/>
    </row>
    <row r="140" ht="16.5" customHeight="1" spans="4:12">
      <c r="D140" s="51"/>
      <c r="H140" s="21"/>
      <c r="I140" s="21"/>
      <c r="J140" s="21"/>
      <c r="K140" s="21"/>
      <c r="L140" s="21"/>
    </row>
    <row r="141" ht="16.5" customHeight="1" spans="4:12">
      <c r="D141" s="51"/>
      <c r="H141" s="21"/>
      <c r="I141" s="21"/>
      <c r="J141" s="21"/>
      <c r="K141" s="21"/>
      <c r="L141" s="21"/>
    </row>
    <row r="142" ht="16.5" customHeight="1" spans="4:12">
      <c r="D142" s="51"/>
      <c r="H142" s="21"/>
      <c r="I142" s="21"/>
      <c r="J142" s="21"/>
      <c r="K142" s="21"/>
      <c r="L142" s="21"/>
    </row>
    <row r="143" ht="16.5" customHeight="1" spans="4:12">
      <c r="D143" s="51"/>
      <c r="H143" s="21"/>
      <c r="I143" s="21"/>
      <c r="J143" s="21"/>
      <c r="K143" s="21"/>
      <c r="L143" s="21"/>
    </row>
    <row r="144" ht="16.5" customHeight="1" spans="4:12">
      <c r="D144" s="53"/>
      <c r="H144" s="63"/>
      <c r="I144" s="63"/>
      <c r="J144" s="63"/>
      <c r="K144" s="63"/>
      <c r="L144" s="63"/>
    </row>
    <row r="145" ht="16.5" customHeight="1" spans="4:12">
      <c r="D145" s="56"/>
      <c r="H145" s="56"/>
      <c r="I145" s="56"/>
      <c r="J145" s="56"/>
      <c r="K145" s="56"/>
      <c r="L145" s="56"/>
    </row>
    <row r="146" ht="16.5" customHeight="1" spans="4:12">
      <c r="D146" s="53"/>
      <c r="H146" s="56"/>
      <c r="I146" s="56"/>
      <c r="J146" s="56"/>
      <c r="K146" s="56"/>
      <c r="L146" s="56"/>
    </row>
    <row r="147" ht="16.5" customHeight="1" spans="4:12">
      <c r="D147" s="51"/>
      <c r="H147" s="21"/>
      <c r="I147" s="21"/>
      <c r="J147" s="21"/>
      <c r="K147" s="21"/>
      <c r="L147" s="21"/>
    </row>
    <row r="148" ht="16.5" customHeight="1" spans="4:12">
      <c r="D148" s="51"/>
      <c r="H148" s="21"/>
      <c r="I148" s="21"/>
      <c r="J148" s="21"/>
      <c r="K148" s="21"/>
      <c r="L148" s="21"/>
    </row>
    <row r="149" ht="16.5" customHeight="1" spans="4:12">
      <c r="D149" s="51"/>
      <c r="H149" s="21"/>
      <c r="I149" s="21"/>
      <c r="J149" s="21"/>
      <c r="K149" s="21"/>
      <c r="L149" s="21"/>
    </row>
    <row r="150" ht="16.5" customHeight="1" spans="4:12">
      <c r="D150" s="51"/>
      <c r="H150" s="21"/>
      <c r="I150" s="21"/>
      <c r="J150" s="21"/>
      <c r="K150" s="21"/>
      <c r="L150" s="21"/>
    </row>
    <row r="151" ht="16.5" customHeight="1" spans="4:12">
      <c r="D151" s="51"/>
      <c r="H151" s="21"/>
      <c r="I151" s="21"/>
      <c r="J151" s="21"/>
      <c r="K151" s="21"/>
      <c r="L151" s="21"/>
    </row>
    <row r="152" ht="16.5" customHeight="1" spans="4:12">
      <c r="D152" s="51"/>
      <c r="H152" s="21"/>
      <c r="I152" s="21"/>
      <c r="J152" s="21"/>
      <c r="K152" s="21"/>
      <c r="L152" s="21"/>
    </row>
    <row r="153" ht="16.5" customHeight="1" spans="4:12">
      <c r="D153" s="51"/>
      <c r="H153" s="21"/>
      <c r="I153" s="21"/>
      <c r="J153" s="21"/>
      <c r="K153" s="21"/>
      <c r="L153" s="21"/>
    </row>
    <row r="154" ht="16.5" customHeight="1" spans="4:12">
      <c r="D154" s="51"/>
      <c r="H154" s="21"/>
      <c r="I154" s="21"/>
      <c r="J154" s="21"/>
      <c r="K154" s="21"/>
      <c r="L154" s="21"/>
    </row>
    <row r="155" ht="16.5" customHeight="1" spans="4:12">
      <c r="D155" s="51"/>
      <c r="H155" s="21"/>
      <c r="I155" s="21"/>
      <c r="J155" s="21"/>
      <c r="K155" s="21"/>
      <c r="L155" s="21"/>
    </row>
    <row r="156" ht="16.5" customHeight="1" spans="4:12">
      <c r="D156" s="51"/>
      <c r="H156" s="21"/>
      <c r="I156" s="21"/>
      <c r="J156" s="21"/>
      <c r="K156" s="21"/>
      <c r="L156" s="21"/>
    </row>
    <row r="157" ht="16.5" customHeight="1" spans="4:12">
      <c r="D157" s="51"/>
      <c r="H157" s="21"/>
      <c r="I157" s="21"/>
      <c r="J157" s="21"/>
      <c r="K157" s="21"/>
      <c r="L157" s="21"/>
    </row>
    <row r="158" ht="16.5" customHeight="1" spans="4:12">
      <c r="D158" s="51"/>
      <c r="H158" s="21"/>
      <c r="I158" s="21"/>
      <c r="J158" s="21"/>
      <c r="K158" s="21"/>
      <c r="L158" s="21"/>
    </row>
    <row r="159" ht="16.5" customHeight="1" spans="4:12">
      <c r="D159" s="53"/>
      <c r="H159" s="63"/>
      <c r="I159" s="63"/>
      <c r="J159" s="63"/>
      <c r="K159" s="63"/>
      <c r="L159" s="63"/>
    </row>
    <row r="160" ht="16.5" customHeight="1" spans="4:12">
      <c r="D160" s="56"/>
      <c r="H160" s="56"/>
      <c r="I160" s="56"/>
      <c r="J160" s="56"/>
      <c r="K160" s="56"/>
      <c r="L160" s="56"/>
    </row>
    <row r="161" ht="16.5" customHeight="1" spans="4:12">
      <c r="D161" s="53"/>
      <c r="H161" s="55"/>
      <c r="I161" s="55"/>
      <c r="J161" s="55"/>
      <c r="K161" s="55"/>
      <c r="L161" s="55"/>
    </row>
    <row r="162" ht="16.5" customHeight="1" spans="4:12">
      <c r="D162" s="51"/>
      <c r="H162" s="21"/>
      <c r="I162" s="21"/>
      <c r="J162" s="21"/>
      <c r="K162" s="21"/>
      <c r="L162" s="21"/>
    </row>
    <row r="163" ht="16.5" customHeight="1" spans="4:12">
      <c r="D163" s="51"/>
      <c r="H163" s="21"/>
      <c r="I163" s="21"/>
      <c r="J163" s="21"/>
      <c r="K163" s="21"/>
      <c r="L163" s="21"/>
    </row>
    <row r="164" ht="16.5" customHeight="1" spans="4:12">
      <c r="D164" s="51"/>
      <c r="H164" s="21"/>
      <c r="I164" s="21"/>
      <c r="J164" s="21"/>
      <c r="K164" s="21"/>
      <c r="L164" s="21"/>
    </row>
    <row r="165" ht="16.5" customHeight="1" spans="4:12">
      <c r="D165" s="53"/>
      <c r="H165" s="63"/>
      <c r="I165" s="63"/>
      <c r="J165" s="63"/>
      <c r="K165" s="63"/>
      <c r="L165" s="63"/>
    </row>
  </sheetData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Historical Data</vt:lpstr>
      <vt:lpstr>Models</vt:lpstr>
      <vt:lpstr>Repayment</vt:lpstr>
      <vt:lpstr>Scenarios</vt:lpstr>
      <vt:lpstr>Market_Data</vt:lpstr>
      <vt:lpstr>WACC</vt:lpstr>
      <vt:lpstr>Comp</vt:lpstr>
      <vt:lpstr>Comp_Data</vt:lpstr>
      <vt:lpstr>Football Field Chart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swyamsanchit</dc:creator>
  <cp:lastModifiedBy>Swyam Sanchit</cp:lastModifiedBy>
  <cp:revision>4</cp:revision>
  <dcterms:created xsi:type="dcterms:W3CDTF">2026-08-03T08:45:00Z</dcterms:created>
  <dcterms:modified xsi:type="dcterms:W3CDTF">2026-09-02T13:30:06Z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1</vt:i4>
  </property>
  <property fmtid="{D5CDD505-2E9C-101B-9397-08002B2CF9AE}" pid="3" name="ICV">
    <vt:lpwstr>D5FBBC0B14375B99D7C3726A40A9E420_43</vt:lpwstr>
  </property>
  <property fmtid="{D5CDD505-2E9C-101B-9397-08002B2CF9AE}" pid="4" name="KSOProductBuildVer">
    <vt:lpwstr>1033-12.1.26050.26050</vt:lpwstr>
  </property>
</Properties>
</file>