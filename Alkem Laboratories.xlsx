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1060" activeTab="4"/>
  </bookViews>
  <sheets>
    <sheet name="Historical Data" sheetId="1" r:id="rId1"/>
    <sheet name="Model" sheetId="3" r:id="rId2"/>
    <sheet name="Lease Liab" sheetId="7" state="hidden" r:id="rId3"/>
    <sheet name="Scenarios" sheetId="5" r:id="rId4"/>
    <sheet name="WACC" sheetId="8" r:id="rId5"/>
    <sheet name="Market_Data" sheetId="13" r:id="rId6"/>
    <sheet name="Comps" sheetId="12" r:id="rId7"/>
    <sheet name="Comps_Data" sheetId="10" r:id="rId8"/>
    <sheet name="Foot_Ball Field" sheetId="15" r:id="rId9"/>
  </sheets>
  <externalReferences>
    <externalReference r:id="rId10"/>
  </externalReferences>
  <definedNames>
    <definedName name="_xlnm._FilterDatabase" localSheetId="0" hidden="1">'Historical Data'!$H$4:$L$44</definedName>
    <definedName name="_xlnm._FilterDatabase" localSheetId="1" hidden="1">Model!$H$2:$L$60</definedName>
    <definedName name="_Order1" hidden="1">0</definedName>
    <definedName name="_xlnm._FilterDatabase" localSheetId="3" hidden="1">Scenarios!$H$4:$L$44</definedName>
    <definedName name="_xlnm._FilterDatabase" localSheetId="4" hidden="1">WACC!$H$4:$L$44</definedName>
    <definedName name="_xlnm._FilterDatabase" localSheetId="7" hidden="1">Comps_Data!$H$4:$L$44</definedName>
    <definedName name="_xlnm._FilterDatabase" localSheetId="6" hidden="1">Comps!$H$4:$L$44</definedName>
    <definedName name="_xlnm._FilterDatabase" localSheetId="8" hidden="1">'Foot_Ball Field'!$H$4:$L$44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<sst xmlns="http://schemas.openxmlformats.org/spreadsheetml/2006/main" count="478" uniqueCount="365">
  <si>
    <t>Alkem Laboratories Limited</t>
  </si>
  <si>
    <t>Historical Financial Data</t>
  </si>
  <si>
    <t>(Rs. In Million)</t>
  </si>
  <si>
    <t>Income</t>
  </si>
  <si>
    <t>Revenue from operations</t>
  </si>
  <si>
    <t>Other income</t>
  </si>
  <si>
    <t>Total income</t>
  </si>
  <si>
    <t>Expenses</t>
  </si>
  <si>
    <t>Cost of materials consumed</t>
  </si>
  <si>
    <t>Purchases of stock-in-trade</t>
  </si>
  <si>
    <t>Changes in inventories of finished goods, work-in-progress and stock-in-trade</t>
  </si>
  <si>
    <t>Employee benefits expense</t>
  </si>
  <si>
    <t>Finance costs</t>
  </si>
  <si>
    <t>Depreciation and amortisation expenses</t>
  </si>
  <si>
    <t>Other expenses</t>
  </si>
  <si>
    <t>Total expenses</t>
  </si>
  <si>
    <t>Profit before exceptional items and tax (1) - (2)</t>
  </si>
  <si>
    <t>Exceptional items</t>
  </si>
  <si>
    <t>Profit before tax (3) + (4)</t>
  </si>
  <si>
    <t>Current tax</t>
  </si>
  <si>
    <t>Deferred tax credit (net)</t>
  </si>
  <si>
    <t>Total tax expenses (a + b)</t>
  </si>
  <si>
    <t>Share in loss after tax of associate</t>
  </si>
  <si>
    <t>Profit for the year (5) - (6) + (7)</t>
  </si>
  <si>
    <t>Balance Sheet</t>
  </si>
  <si>
    <t>ASSETS</t>
  </si>
  <si>
    <t>Non-current assets</t>
  </si>
  <si>
    <t>Property, plant and equipment</t>
  </si>
  <si>
    <t>Right of use assets</t>
  </si>
  <si>
    <t>Capital work in progress</t>
  </si>
  <si>
    <t>Goodwill</t>
  </si>
  <si>
    <t>Other intangible assets</t>
  </si>
  <si>
    <t>Intangible assets under development</t>
  </si>
  <si>
    <t>Financial assets</t>
  </si>
  <si>
    <t>Investment in associate</t>
  </si>
  <si>
    <t>-</t>
  </si>
  <si>
    <t>Other investments</t>
  </si>
  <si>
    <t>Other financial assets</t>
  </si>
  <si>
    <t>Other non-current assets</t>
  </si>
  <si>
    <t>Deferred tax assets (net)</t>
  </si>
  <si>
    <t>Current tax assets (net)</t>
  </si>
  <si>
    <t>Total non-current assets</t>
  </si>
  <si>
    <t>Current assets</t>
  </si>
  <si>
    <t>Inventories</t>
  </si>
  <si>
    <t>Investments</t>
  </si>
  <si>
    <t>Trade receivables</t>
  </si>
  <si>
    <t>Cash and cash equivalents</t>
  </si>
  <si>
    <t>Bank balances other than (iii) above</t>
  </si>
  <si>
    <t>Loans</t>
  </si>
  <si>
    <t>Other current assets</t>
  </si>
  <si>
    <t>Total current assets</t>
  </si>
  <si>
    <t>Assets held for sale</t>
  </si>
  <si>
    <t>TOTAL ASSETS</t>
  </si>
  <si>
    <t>EQUITY AND LIABILITIES</t>
  </si>
  <si>
    <t>Equity</t>
  </si>
  <si>
    <t>Equity share capital</t>
  </si>
  <si>
    <t>Other equity</t>
  </si>
  <si>
    <t>Equity attributable to owners of the Company</t>
  </si>
  <si>
    <t>Non-controlling interests</t>
  </si>
  <si>
    <t>Total Equity</t>
  </si>
  <si>
    <t>Liabilities</t>
  </si>
  <si>
    <t>Non-current liabilities</t>
  </si>
  <si>
    <t>Financial liabilities</t>
  </si>
  <si>
    <t>Borrowings</t>
  </si>
  <si>
    <t>Lease liabilities</t>
  </si>
  <si>
    <t>Other financial liabilities</t>
  </si>
  <si>
    <t>Provisions</t>
  </si>
  <si>
    <t>Other non-current liabilities</t>
  </si>
  <si>
    <t>Total non-current liabilities</t>
  </si>
  <si>
    <t>Current liabilities</t>
  </si>
  <si>
    <t>Trade payables</t>
  </si>
  <si>
    <t>Total outstanding dues of micro enterprises and small enterprises</t>
  </si>
  <si>
    <t>Total outstanding dues of creditors other than micro and small enterprises</t>
  </si>
  <si>
    <t>Other current liabilities</t>
  </si>
  <si>
    <t>Current tax liabilities</t>
  </si>
  <si>
    <t>Total current liabilities</t>
  </si>
  <si>
    <t>Liabilities classified as held for sale</t>
  </si>
  <si>
    <t>Total Liabilities</t>
  </si>
  <si>
    <t>TOTAL EQUITY AND LIABILITIES</t>
  </si>
  <si>
    <t>CASH FLOW STATEMENT</t>
  </si>
  <si>
    <t>Cash Flow from Operating Activities:</t>
  </si>
  <si>
    <t>Profit before Tax</t>
  </si>
  <si>
    <t>Adjustments for:</t>
  </si>
  <si>
    <t>Depreciation and amortisation expense</t>
  </si>
  <si>
    <t>Liabilities no longer required written back</t>
  </si>
  <si>
    <t>Profit on sale of investments (net)</t>
  </si>
  <si>
    <t>Unrealised gain on fair valuation of investments (net)</t>
  </si>
  <si>
    <t>(Profit) / Loss on sale / write off of property plant and equipment (net)</t>
  </si>
  <si>
    <t>Employee stock compensation expenses</t>
  </si>
  <si>
    <t>Unrealised foreign currency loss on revaluation (net)</t>
  </si>
  <si>
    <t>Dividend Income</t>
  </si>
  <si>
    <t>Interest Income</t>
  </si>
  <si>
    <t>Impairment loss on property, plant and equipment, capital work-in-progress and intangible assets under development</t>
  </si>
  <si>
    <t>Interest expenses</t>
  </si>
  <si>
    <t>Provision for doubtful advances</t>
  </si>
  <si>
    <t>Expected credit loss on receivables</t>
  </si>
  <si>
    <t>Subtotal of Adjustments</t>
  </si>
  <si>
    <t>Operating profit before working capital changes</t>
  </si>
  <si>
    <t>Adjustments for changes in working capital:</t>
  </si>
  <si>
    <t>Increase in trade receivables</t>
  </si>
  <si>
    <t>Decrease/ (Increase) in loans, other financial assets and other assets</t>
  </si>
  <si>
    <t>Increase in inventories</t>
  </si>
  <si>
    <t>Increase in trade payable, other financial liabilities and other liabilities</t>
  </si>
  <si>
    <t>Increase / (decrease) in provisions</t>
  </si>
  <si>
    <t>Subtotal of adjustments</t>
  </si>
  <si>
    <t>Cash generated from operations</t>
  </si>
  <si>
    <t>Less: Income taxes paid (net of refund)</t>
  </si>
  <si>
    <t>Net Cash generated from operating activities</t>
  </si>
  <si>
    <t>Cash Flow from Investing Activities:</t>
  </si>
  <si>
    <t>Purchases of property, plant and equipment (including capital work in progress, other intangible assets and intangible assets under development)</t>
  </si>
  <si>
    <t>Proceeds from disposal of property, plant and equipment</t>
  </si>
  <si>
    <t>Investment made in fixed deposits</t>
  </si>
  <si>
    <t>Redemption of fixed deposits</t>
  </si>
  <si>
    <t>Other investments made</t>
  </si>
  <si>
    <t>Other investments redeemed</t>
  </si>
  <si>
    <t>Investments in associate</t>
  </si>
  <si>
    <t>Dividend received</t>
  </si>
  <si>
    <t>Interest received</t>
  </si>
  <si>
    <t>Net cash (used in) investing activities</t>
  </si>
  <si>
    <t>Cash Flow from Financing Activities:</t>
  </si>
  <si>
    <t>Proceeds from non-current borrowings (net)</t>
  </si>
  <si>
    <t>Repayment of current borrowings (net)</t>
  </si>
  <si>
    <t>Proceeds from issue of compulsory convertible preferance shares</t>
  </si>
  <si>
    <t>Dividend paid</t>
  </si>
  <si>
    <t>Principal repayment of lease liabilities</t>
  </si>
  <si>
    <t>Interest paid</t>
  </si>
  <si>
    <t>Net cash (used in) financing activities</t>
  </si>
  <si>
    <t>Net decrease in Cash and Cash Equivalents (A+B+C)</t>
  </si>
  <si>
    <t>Cash &amp; Cash Equivalents as at the beginning of the year</t>
  </si>
  <si>
    <t>Add/Less: Effect of exchange difference on foreign currency cash and cash equivalents</t>
  </si>
  <si>
    <t>Cash &amp; Cash Equivalents as at the end of the year (D+E) (Refer Note 4 below)</t>
  </si>
  <si>
    <t>Loan repayable on demand</t>
  </si>
  <si>
    <t>Closing C&amp;CE as per Balance Sheet</t>
  </si>
  <si>
    <t>Historical Period</t>
  </si>
  <si>
    <t>Forecasting Period</t>
  </si>
  <si>
    <t>Financial Statement Analysis &amp; Valuation</t>
  </si>
  <si>
    <t>Ratio's &amp; Assumptions</t>
  </si>
  <si>
    <t>LIVE SCENARIO</t>
  </si>
  <si>
    <t>Base Case</t>
  </si>
  <si>
    <t>Revenue Growth %</t>
  </si>
  <si>
    <t>COGS as % of revenue</t>
  </si>
  <si>
    <t>Operating Exp as % of revenue</t>
  </si>
  <si>
    <t>Depreciation as % of PPE</t>
  </si>
  <si>
    <t>Interest as % of Debt</t>
  </si>
  <si>
    <t>Other Income as % of revenue</t>
  </si>
  <si>
    <t>Taxes as % of Pre-Tax Income</t>
  </si>
  <si>
    <t>Dividend Payout Ratio</t>
  </si>
  <si>
    <t>Days Sales Outstanding</t>
  </si>
  <si>
    <t>Days Inventory Outstanding</t>
  </si>
  <si>
    <t>Days Payables Outstanding</t>
  </si>
  <si>
    <t>Capital Asset Turnover Ratio</t>
  </si>
  <si>
    <t>INCOME STATEMENT</t>
  </si>
  <si>
    <t>Revenue</t>
  </si>
  <si>
    <t>Less: Cost of Good Sold</t>
  </si>
  <si>
    <t>Gross Profit</t>
  </si>
  <si>
    <t>Less: Operating Expenses</t>
  </si>
  <si>
    <t>EBITDA</t>
  </si>
  <si>
    <t>Less: Depreciation &amp; Amortization</t>
  </si>
  <si>
    <t>EBIT</t>
  </si>
  <si>
    <t>Less: Interest</t>
  </si>
  <si>
    <t>Other Income</t>
  </si>
  <si>
    <t>Profit Before Tax</t>
  </si>
  <si>
    <t>Less: Taxes</t>
  </si>
  <si>
    <t>Profit After Tax</t>
  </si>
  <si>
    <t>BALANCE SHEET</t>
  </si>
  <si>
    <t>ASSET'S</t>
  </si>
  <si>
    <t>Current Assets</t>
  </si>
  <si>
    <t>Cash &amp; Bank</t>
  </si>
  <si>
    <t>Accounts Receivable</t>
  </si>
  <si>
    <t>Inventory</t>
  </si>
  <si>
    <t>Other Current Assets</t>
  </si>
  <si>
    <t>Non-Current Assets</t>
  </si>
  <si>
    <t>Plant, Property &amp; Equipment</t>
  </si>
  <si>
    <t>Intangible Assets</t>
  </si>
  <si>
    <t>Financial Assets</t>
  </si>
  <si>
    <t>Other Non-Current Assets</t>
  </si>
  <si>
    <t>LIABILITIE'S</t>
  </si>
  <si>
    <t>Current Liabilities</t>
  </si>
  <si>
    <t>Accounts Payable</t>
  </si>
  <si>
    <t>Other Current Liability</t>
  </si>
  <si>
    <t>Non Current Liabilities</t>
  </si>
  <si>
    <t>Debt</t>
  </si>
  <si>
    <t>Other Non Current Liability</t>
  </si>
  <si>
    <t>Other Equity</t>
  </si>
  <si>
    <t>Shareholders' Funds</t>
  </si>
  <si>
    <t>Non Controlling Interest</t>
  </si>
  <si>
    <t>Total Equity &amp; Liabilities</t>
  </si>
  <si>
    <t>CHECK</t>
  </si>
  <si>
    <t>Cash Flow from Operations</t>
  </si>
  <si>
    <t>Profit after Tax</t>
  </si>
  <si>
    <t>Add: Depreciation &amp; Amortization</t>
  </si>
  <si>
    <t>Add/Less: Other Adjustments</t>
  </si>
  <si>
    <t>Add/Less: Working Capital Adjustments</t>
  </si>
  <si>
    <t>Operating Cash Flow</t>
  </si>
  <si>
    <t>Cash Flow from Investing Activities</t>
  </si>
  <si>
    <t>Investment in PP&amp;E</t>
  </si>
  <si>
    <t>Sale proceeds from sale of PP&amp;E</t>
  </si>
  <si>
    <t>Purchase/sale of investments</t>
  </si>
  <si>
    <t>Interest income</t>
  </si>
  <si>
    <t>Cash Flow from Financing Activities</t>
  </si>
  <si>
    <t>Issuance/repayment of debt</t>
  </si>
  <si>
    <t>Proceeds from issue of preferance shares</t>
  </si>
  <si>
    <t>Net decrease in Cash and Cash Equivalents</t>
  </si>
  <si>
    <t>Opening Cash Balance</t>
  </si>
  <si>
    <t>Closing Cash Balance</t>
  </si>
  <si>
    <t>SUPPORTING  SCHEDULES</t>
  </si>
  <si>
    <t>Working Capital</t>
  </si>
  <si>
    <t>Others</t>
  </si>
  <si>
    <t>Total</t>
  </si>
  <si>
    <t>Depreciation &amp; Amortization</t>
  </si>
  <si>
    <t>Opening Balance</t>
  </si>
  <si>
    <t>Add/Less: Purchase/sale</t>
  </si>
  <si>
    <t>Closing Balance</t>
  </si>
  <si>
    <t>Debt Schedule</t>
  </si>
  <si>
    <t>Issuance/repayment</t>
  </si>
  <si>
    <t>Interest Expense</t>
  </si>
  <si>
    <t>DCF  VALUTION</t>
  </si>
  <si>
    <t>Assumption's</t>
  </si>
  <si>
    <t>Transaction Date</t>
  </si>
  <si>
    <t>Fiscal Year End Date</t>
  </si>
  <si>
    <t>Tax Rate</t>
  </si>
  <si>
    <t>EV/EBITDA</t>
  </si>
  <si>
    <t>Growth Rate</t>
  </si>
  <si>
    <t>Discount Rate</t>
  </si>
  <si>
    <t>Shares Outstanding</t>
  </si>
  <si>
    <t>Discounted Cash Flow's</t>
  </si>
  <si>
    <t>Entry</t>
  </si>
  <si>
    <t>Exit</t>
  </si>
  <si>
    <t>Terminal Value</t>
  </si>
  <si>
    <t>Date</t>
  </si>
  <si>
    <t>Time Period</t>
  </si>
  <si>
    <t>Perpetuity</t>
  </si>
  <si>
    <t>Yearfrac.</t>
  </si>
  <si>
    <t>Average</t>
  </si>
  <si>
    <t>less: Taxes</t>
  </si>
  <si>
    <t>NOPAT</t>
  </si>
  <si>
    <t>Less: Capex</t>
  </si>
  <si>
    <t>Less: Working Capital</t>
  </si>
  <si>
    <t>Free Cash Flow To Firm</t>
  </si>
  <si>
    <t>Transaction FCFF</t>
  </si>
  <si>
    <t>Intrinsic Value</t>
  </si>
  <si>
    <t>Rate of Return</t>
  </si>
  <si>
    <t>Enterprise Value</t>
  </si>
  <si>
    <t>Current Price</t>
  </si>
  <si>
    <t>Add: Cash &amp; Cash Eq</t>
  </si>
  <si>
    <t>Target Price</t>
  </si>
  <si>
    <t>Less: Debt</t>
  </si>
  <si>
    <t>Upside %</t>
  </si>
  <si>
    <t>Less: Non-Controlling Interest</t>
  </si>
  <si>
    <t>Equity Value</t>
  </si>
  <si>
    <t>Intrinsic Value per Share</t>
  </si>
  <si>
    <t>Sensitivity Analysis</t>
  </si>
  <si>
    <t>Sensitivities - Intrinsic Value per share</t>
  </si>
  <si>
    <t>Exist Multiple</t>
  </si>
  <si>
    <t>Perpetual Growth Rate</t>
  </si>
  <si>
    <t>Lease Liability</t>
  </si>
  <si>
    <t>Amount</t>
  </si>
  <si>
    <t>Duration</t>
  </si>
  <si>
    <t>Rate</t>
  </si>
  <si>
    <t>Repay</t>
  </si>
  <si>
    <t>Exim</t>
  </si>
  <si>
    <t>HSBC</t>
  </si>
  <si>
    <t>Citi</t>
  </si>
  <si>
    <t>OD</t>
  </si>
  <si>
    <t>CC</t>
  </si>
  <si>
    <t>Lease Liab</t>
  </si>
  <si>
    <t>Revenue Scenarios</t>
  </si>
  <si>
    <t>Scenarios</t>
  </si>
  <si>
    <t>Growth %</t>
  </si>
  <si>
    <t>Bull Case</t>
  </si>
  <si>
    <t>Bear Case</t>
  </si>
  <si>
    <t>Annual growth tapering</t>
  </si>
  <si>
    <t>Weighted-Average Cost of Capital (WACC)</t>
  </si>
  <si>
    <t>All Amounts Denominated in INR MM Unless Otherwise Stated</t>
  </si>
  <si>
    <t>Comparable Companies Beta</t>
  </si>
  <si>
    <t>Debt/</t>
  </si>
  <si>
    <t>Tax</t>
  </si>
  <si>
    <t>Levered</t>
  </si>
  <si>
    <t>Unlevered</t>
  </si>
  <si>
    <t>Company Name</t>
  </si>
  <si>
    <t>Value</t>
  </si>
  <si>
    <t>Capital</t>
  </si>
  <si>
    <t>Rate %</t>
  </si>
  <si>
    <t>Beta</t>
  </si>
  <si>
    <t>Dr. Reddy's Laboratories Limited</t>
  </si>
  <si>
    <t>Zydus Lifesciences Limited</t>
  </si>
  <si>
    <t>Torrent Pharmaceuticals Limited</t>
  </si>
  <si>
    <t>Mankind Pharma Limited</t>
  </si>
  <si>
    <t>Lupin Limited</t>
  </si>
  <si>
    <t>Aurobindo Pharma Limited</t>
  </si>
  <si>
    <t>Abbott India Limited</t>
  </si>
  <si>
    <t>GlaxoSmithKline Pharmaceuticals Limited</t>
  </si>
  <si>
    <t>Ipca Laboratories Limited</t>
  </si>
  <si>
    <t>Gland Pharma Limited</t>
  </si>
  <si>
    <t>Median</t>
  </si>
  <si>
    <t>Alkem Pharma</t>
  </si>
  <si>
    <t>WACC Calculation</t>
  </si>
  <si>
    <t>Target Capital Structure</t>
  </si>
  <si>
    <t>Proportion of Debt</t>
  </si>
  <si>
    <t>Proportion of Equity</t>
  </si>
  <si>
    <t>Current Capital Structure</t>
  </si>
  <si>
    <t>Market Cap</t>
  </si>
  <si>
    <t>Total Debt</t>
  </si>
  <si>
    <t>Debt / Equity</t>
  </si>
  <si>
    <t>Pre-Tax Cost of Debt</t>
  </si>
  <si>
    <t>After-Tax Cost of Debt</t>
  </si>
  <si>
    <t>Cost of Equity</t>
  </si>
  <si>
    <t>Risk Free Rate</t>
  </si>
  <si>
    <t>Equity Market Return</t>
  </si>
  <si>
    <t>Equity Risk Premium</t>
  </si>
  <si>
    <t>Levered Equity Beta</t>
  </si>
  <si>
    <t xml:space="preserve">WACC </t>
  </si>
  <si>
    <t>Market Data</t>
  </si>
  <si>
    <t>Index</t>
  </si>
  <si>
    <t>Close Price</t>
  </si>
  <si>
    <t>Periods (yrs)</t>
  </si>
  <si>
    <t>Return's</t>
  </si>
  <si>
    <t>Comps Valuation</t>
  </si>
  <si>
    <t>Financial Data</t>
  </si>
  <si>
    <t>Valuation</t>
  </si>
  <si>
    <t>Price</t>
  </si>
  <si>
    <t>Shares</t>
  </si>
  <si>
    <t>Cash</t>
  </si>
  <si>
    <t>EV</t>
  </si>
  <si>
    <t>Sales</t>
  </si>
  <si>
    <t>Earnings</t>
  </si>
  <si>
    <t>EV/Sales</t>
  </si>
  <si>
    <t>P/E</t>
  </si>
  <si>
    <t>Ticker</t>
  </si>
  <si>
    <r>
      <rPr>
        <i/>
        <sz val="14"/>
        <color theme="0"/>
        <rFont val="Times New Roman Regular"/>
        <charset val="134"/>
      </rPr>
      <t>(</t>
    </r>
    <r>
      <rPr>
        <sz val="14"/>
        <color theme="0"/>
        <rFont val="Calibri"/>
        <charset val="134"/>
      </rPr>
      <t>₹</t>
    </r>
    <r>
      <rPr>
        <i/>
        <sz val="14"/>
        <color theme="0"/>
        <rFont val="Times New Roman Regular"/>
        <charset val="134"/>
      </rPr>
      <t>/share)</t>
    </r>
  </si>
  <si>
    <t>M</t>
  </si>
  <si>
    <r>
      <rPr>
        <sz val="14"/>
        <color theme="0"/>
        <rFont val="Calibri"/>
        <charset val="134"/>
      </rPr>
      <t>₹</t>
    </r>
    <r>
      <rPr>
        <sz val="14"/>
        <color theme="0"/>
        <rFont val="Times New Roman Regular"/>
        <charset val="134"/>
      </rPr>
      <t xml:space="preserve"> MM</t>
    </r>
  </si>
  <si>
    <t>&amp; Equivalents</t>
  </si>
  <si>
    <t>x</t>
  </si>
  <si>
    <t>DRREDDY</t>
  </si>
  <si>
    <t>ZYDUSLIFE</t>
  </si>
  <si>
    <t>TORNTPHARM</t>
  </si>
  <si>
    <t>MANKIND</t>
  </si>
  <si>
    <t>LUPIN</t>
  </si>
  <si>
    <t>AUROPHARMA</t>
  </si>
  <si>
    <t>ABBOTINDIA</t>
  </si>
  <si>
    <t>GLAXO</t>
  </si>
  <si>
    <t>IPCALAB</t>
  </si>
  <si>
    <t>GLAND</t>
  </si>
  <si>
    <t>ALKEM</t>
  </si>
  <si>
    <t>Metric</t>
  </si>
  <si>
    <t>Comps</t>
  </si>
  <si>
    <t>Net Debt</t>
  </si>
  <si>
    <t>Share Price</t>
  </si>
  <si>
    <t>EV/Revenue</t>
  </si>
  <si>
    <t>Ev/EBITDA</t>
  </si>
  <si>
    <t>PE</t>
  </si>
  <si>
    <t>Comps Data</t>
  </si>
  <si>
    <t>Company</t>
  </si>
  <si>
    <t>Net Income</t>
  </si>
  <si>
    <t>Source: www.screener.in</t>
  </si>
  <si>
    <t>Football Field Chart</t>
  </si>
  <si>
    <t>DCF</t>
  </si>
  <si>
    <t>52-week high/low</t>
  </si>
  <si>
    <t>Market Consensus</t>
  </si>
  <si>
    <t>High</t>
  </si>
  <si>
    <t>( Motilal Oswal )</t>
  </si>
  <si>
    <t>Low</t>
  </si>
  <si>
    <t>( ICICI Securities)</t>
  </si>
  <si>
    <t>Valuation Summary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</si>
</sst>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  <numFmt numFmtId="180" formatCode="0.00_);[Red]\(0.00\)"/>
    <numFmt numFmtId="181" formatCode="#,##0.0"/>
    <numFmt numFmtId="182" formatCode="0.0\x"/>
    <numFmt numFmtId="183" formatCode="0.0#"/>
    <numFmt numFmtId="184" formatCode="###0\A"/>
    <numFmt numFmtId="185" formatCode="###0\F"/>
    <numFmt numFmtId="186" formatCode=";;;"/>
    <numFmt numFmtId="187" formatCode="#,##0.00;\(#,##0.00\)"/>
    <numFmt numFmtId="188" formatCode="#,##0.00;\(#,##0.00\);&quot;-&quot;"/>
    <numFmt numFmtId="189" formatCode="#,###\-"/>
    <numFmt numFmtId="190" formatCode="##.#\x"/>
    <numFmt numFmtId="191" formatCode="dd/mm/yyyy;@"/>
  </numFmts>
  <fonts count="97">
    <font>
      <sz val="11"/>
      <color theme="1"/>
      <name val="Calibri"/>
      <charset val="134"/>
      <scheme val="minor"/>
    </font>
    <font>
      <sz val="11"/>
      <color theme="1"/>
      <name val="Times New Roman Regular"/>
      <charset val="134"/>
    </font>
    <font>
      <sz val="12"/>
      <color theme="1"/>
      <name val="Times New Roman Regular"/>
      <charset val="134"/>
    </font>
    <font>
      <b/>
      <sz val="25"/>
      <color theme="2"/>
      <name val="Times New Roman Regular"/>
      <charset val="134"/>
    </font>
    <font>
      <b/>
      <sz val="11"/>
      <color theme="2"/>
      <name val="Times New Roman Regular"/>
      <charset val="134"/>
    </font>
    <font>
      <sz val="11"/>
      <color theme="2"/>
      <name val="Times New Roman Regular"/>
      <charset val="134"/>
    </font>
    <font>
      <sz val="12"/>
      <color theme="2"/>
      <name val="Times New Roman Regular"/>
      <charset val="134"/>
    </font>
    <font>
      <b/>
      <sz val="12"/>
      <color theme="2"/>
      <name val="Times New Roman Regular"/>
      <charset val="134"/>
    </font>
    <font>
      <i/>
      <sz val="11"/>
      <color theme="2"/>
      <name val="Times New Roman Regular"/>
      <charset val="134"/>
    </font>
    <font>
      <sz val="11"/>
      <color theme="0"/>
      <name val="Times New Roman Regular"/>
      <charset val="134"/>
    </font>
    <font>
      <b/>
      <sz val="11"/>
      <color theme="1"/>
      <name val="Times New Roman Regular"/>
      <charset val="134"/>
    </font>
    <font>
      <b/>
      <sz val="11"/>
      <color theme="0"/>
      <name val="Book Antiqua"/>
      <charset val="134"/>
    </font>
    <font>
      <sz val="11"/>
      <color theme="0"/>
      <name val="Book Antiqua"/>
      <charset val="134"/>
    </font>
    <font>
      <sz val="12"/>
      <color rgb="FF101113"/>
      <name val="Book Antiqua"/>
      <charset val="134"/>
    </font>
    <font>
      <sz val="10"/>
      <color rgb="FF00B0F0"/>
      <name val="Arial"/>
      <charset val="1"/>
    </font>
    <font>
      <sz val="11"/>
      <color theme="1"/>
      <name val="Book Antiqua"/>
      <charset val="134"/>
    </font>
    <font>
      <b/>
      <sz val="11"/>
      <color theme="1"/>
      <name val="Book Antiqua"/>
      <charset val="134"/>
    </font>
    <font>
      <sz val="11"/>
      <color rgb="FF00B0F0"/>
      <name val="Times New Roman Regular"/>
      <charset val="134"/>
    </font>
    <font>
      <sz val="10"/>
      <name val="Times New Roman Regular"/>
      <charset val="1"/>
    </font>
    <font>
      <i/>
      <sz val="10"/>
      <name val="Times New Roman Regular"/>
      <charset val="1"/>
    </font>
    <font>
      <b/>
      <i/>
      <sz val="6.5"/>
      <name val="Times New Roman Regular"/>
      <charset val="1"/>
    </font>
    <font>
      <b/>
      <i/>
      <sz val="6"/>
      <name val="Times New Roman Regular"/>
      <charset val="1"/>
    </font>
    <font>
      <sz val="12"/>
      <color theme="0"/>
      <name val="Book Antiqua"/>
      <charset val="134"/>
    </font>
    <font>
      <b/>
      <sz val="11"/>
      <color rgb="FF00B0F0"/>
      <name val="Times New Roman Regular"/>
      <charset val="134"/>
    </font>
    <font>
      <i/>
      <u/>
      <sz val="11"/>
      <color theme="1"/>
      <name val="Book Antiqua"/>
      <charset val="134"/>
    </font>
    <font>
      <b/>
      <u/>
      <sz val="11"/>
      <color theme="1"/>
      <name val="Times New Roman Regular"/>
      <charset val="134"/>
    </font>
    <font>
      <sz val="11"/>
      <name val="Times New Roman Regular"/>
      <charset val="134"/>
    </font>
    <font>
      <b/>
      <sz val="11"/>
      <name val="Times New Roman Regular"/>
      <charset val="134"/>
    </font>
    <font>
      <u/>
      <sz val="11"/>
      <color theme="1"/>
      <name val="Times New Roman Regular"/>
      <charset val="134"/>
    </font>
    <font>
      <sz val="12"/>
      <name val="Times New Roman Regular"/>
      <charset val="134"/>
    </font>
    <font>
      <b/>
      <sz val="10"/>
      <color theme="1"/>
      <name val="Times New Roman Regular"/>
      <charset val="134"/>
    </font>
    <font>
      <sz val="10"/>
      <color theme="1"/>
      <name val="Times New Roman Regular"/>
      <charset val="134"/>
    </font>
    <font>
      <b/>
      <sz val="12"/>
      <color theme="1"/>
      <name val="Times New Roman Regular"/>
      <charset val="134"/>
    </font>
    <font>
      <sz val="12"/>
      <color rgb="FF00B0F0"/>
      <name val="Book Antiqua"/>
      <charset val="134"/>
    </font>
    <font>
      <b/>
      <sz val="12"/>
      <color theme="0"/>
      <name val="Book Antiqua"/>
      <charset val="134"/>
    </font>
    <font>
      <sz val="14"/>
      <color theme="1"/>
      <name val="Times New Roman Regular"/>
      <charset val="134"/>
    </font>
    <font>
      <sz val="14"/>
      <color theme="0"/>
      <name val="Times New Roman Regular"/>
      <charset val="134"/>
    </font>
    <font>
      <i/>
      <sz val="14"/>
      <color theme="0"/>
      <name val="Times New Roman Regular"/>
      <charset val="134"/>
    </font>
    <font>
      <b/>
      <sz val="14"/>
      <color theme="0"/>
      <name val="Times New Roman Regular"/>
      <charset val="134"/>
    </font>
    <font>
      <b/>
      <sz val="16"/>
      <color theme="0"/>
      <name val="Times New Roman Regular"/>
      <charset val="134"/>
    </font>
    <font>
      <sz val="12"/>
      <color rgb="FF101113"/>
      <name val="Times New Roman Regular"/>
      <charset val="134"/>
    </font>
    <font>
      <sz val="12"/>
      <name val="Times New Roman Regular"/>
      <charset val="1"/>
    </font>
    <font>
      <sz val="12"/>
      <color rgb="FF00B050"/>
      <name val="Times New Roman Regular"/>
      <charset val="134"/>
    </font>
    <font>
      <i/>
      <u/>
      <sz val="12"/>
      <color theme="1"/>
      <name val="Book Antiqua"/>
      <charset val="134"/>
    </font>
    <font>
      <sz val="12"/>
      <color rgb="FF00B0F0"/>
      <name val="Times New Roman Regular"/>
      <charset val="134"/>
    </font>
    <font>
      <sz val="11"/>
      <color rgb="FF00B050"/>
      <name val="Times New Roman Regular"/>
      <charset val="134"/>
    </font>
    <font>
      <sz val="14"/>
      <color rgb="FF101113"/>
      <name val="Times New Roman Regular"/>
      <charset val="134"/>
    </font>
    <font>
      <sz val="14"/>
      <name val="Times New Roman Regular"/>
      <charset val="1"/>
    </font>
    <font>
      <sz val="14"/>
      <color rgb="FF00B050"/>
      <name val="Times New Roman Regular"/>
      <charset val="1"/>
    </font>
    <font>
      <sz val="14"/>
      <color rgb="FF00B050"/>
      <name val="Times New Roman Regular"/>
      <charset val="134"/>
    </font>
    <font>
      <b/>
      <sz val="14"/>
      <color theme="1"/>
      <name val="Times New Roman Regular"/>
      <charset val="134"/>
    </font>
    <font>
      <sz val="14"/>
      <name val="Times New Roman Regular"/>
      <charset val="134"/>
    </font>
    <font>
      <b/>
      <sz val="10"/>
      <color theme="0"/>
      <name val="Book Antiqua"/>
      <charset val="134"/>
    </font>
    <font>
      <sz val="11"/>
      <color theme="0"/>
      <name val="Calibri"/>
      <charset val="134"/>
      <scheme val="minor"/>
    </font>
    <font>
      <sz val="12"/>
      <color theme="0"/>
      <name val="Times New Roman Regular"/>
      <charset val="134"/>
    </font>
    <font>
      <sz val="12"/>
      <color rgb="FF0070C0"/>
      <name val="Times New Roman Regular"/>
      <charset val="134"/>
    </font>
    <font>
      <b/>
      <sz val="20"/>
      <color theme="2"/>
      <name val="Times New Roman Regular"/>
      <charset val="134"/>
    </font>
    <font>
      <b/>
      <sz val="26"/>
      <color theme="2"/>
      <name val="Times New Roman Regular"/>
      <charset val="134"/>
    </font>
    <font>
      <b/>
      <sz val="18"/>
      <color theme="2"/>
      <name val="Times New Roman Regular"/>
      <charset val="134"/>
    </font>
    <font>
      <b/>
      <sz val="10"/>
      <color theme="2"/>
      <name val="Times New Roman Regular"/>
      <charset val="134"/>
    </font>
    <font>
      <i/>
      <sz val="9"/>
      <color theme="0"/>
      <name val="Times New Roman Regular"/>
      <charset val="134"/>
    </font>
    <font>
      <b/>
      <sz val="14"/>
      <color theme="2"/>
      <name val="Times New Roman Regular"/>
      <charset val="134"/>
    </font>
    <font>
      <sz val="14"/>
      <color theme="2"/>
      <name val="Times New Roman Regular"/>
      <charset val="134"/>
    </font>
    <font>
      <b/>
      <u/>
      <sz val="14"/>
      <color theme="2"/>
      <name val="Times New Roman Regular"/>
      <charset val="134"/>
    </font>
    <font>
      <sz val="12"/>
      <color theme="1"/>
      <name val="Book Antiqua"/>
      <charset val="134"/>
    </font>
    <font>
      <b/>
      <sz val="12"/>
      <name val="Book Antiqua"/>
      <charset val="134"/>
    </font>
    <font>
      <b/>
      <sz val="12"/>
      <name val="Times New Roman Regular"/>
      <charset val="134"/>
    </font>
    <font>
      <b/>
      <u/>
      <sz val="14"/>
      <color theme="1"/>
      <name val="Times New Roman Regular"/>
      <charset val="134"/>
    </font>
    <font>
      <i/>
      <sz val="12"/>
      <color theme="1"/>
      <name val="Times New Roman Regular"/>
      <charset val="134"/>
    </font>
    <font>
      <b/>
      <sz val="12"/>
      <color theme="2"/>
      <name val="Times New Roman Bold"/>
      <charset val="134"/>
    </font>
    <font>
      <b/>
      <u/>
      <sz val="12"/>
      <color theme="1"/>
      <name val="Times New Roman Regular"/>
      <charset val="134"/>
    </font>
    <font>
      <b/>
      <u/>
      <sz val="12"/>
      <color theme="1"/>
      <name val="Times New Roman Bold"/>
      <charset val="134"/>
    </font>
    <font>
      <b/>
      <sz val="11"/>
      <color theme="2"/>
      <name val="Times New Roman Bold"/>
      <charset val="134"/>
    </font>
    <font>
      <b/>
      <sz val="12"/>
      <color theme="1"/>
      <name val="Book Antiqua"/>
      <charset val="134"/>
    </font>
    <font>
      <i/>
      <sz val="11"/>
      <color theme="1"/>
      <name val="Times New Roman Regular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Arial Narrow"/>
      <charset val="134"/>
    </font>
    <font>
      <sz val="10"/>
      <name val="Times New Roman"/>
      <charset val="134"/>
    </font>
    <font>
      <sz val="14"/>
      <color theme="0"/>
      <name val="Calibri"/>
      <charset val="134"/>
    </font>
  </fonts>
  <fills count="42">
    <fill>
      <patternFill patternType="none"/>
    </fill>
    <fill>
      <patternFill patternType="gray125"/>
    </fill>
    <fill>
      <patternFill patternType="solid">
        <fgColor theme="3" tint="-0.5"/>
        <bgColor indexed="64"/>
      </patternFill>
    </fill>
    <fill>
      <patternFill patternType="solid">
        <fgColor rgb="FF222B3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2" tint="-0.75"/>
        <bgColor indexed="64"/>
      </patternFill>
    </fill>
    <fill>
      <patternFill patternType="solid">
        <fgColor theme="3" tint="-0.25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333F4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theme="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dashed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thick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0" fillId="11" borderId="14" applyNumberFormat="0" applyFont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15" applyNumberFormat="0" applyFill="0" applyAlignment="0" applyProtection="0">
      <alignment vertical="center"/>
    </xf>
    <xf numFmtId="0" fontId="81" fillId="0" borderId="15" applyNumberFormat="0" applyFill="0" applyAlignment="0" applyProtection="0">
      <alignment vertical="center"/>
    </xf>
    <xf numFmtId="0" fontId="82" fillId="0" borderId="16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12" borderId="17" applyNumberFormat="0" applyAlignment="0" applyProtection="0">
      <alignment vertical="center"/>
    </xf>
    <xf numFmtId="0" fontId="84" fillId="13" borderId="18" applyNumberFormat="0" applyAlignment="0" applyProtection="0">
      <alignment vertical="center"/>
    </xf>
    <xf numFmtId="0" fontId="85" fillId="13" borderId="17" applyNumberFormat="0" applyAlignment="0" applyProtection="0">
      <alignment vertical="center"/>
    </xf>
    <xf numFmtId="0" fontId="86" fillId="14" borderId="19" applyNumberFormat="0" applyAlignment="0" applyProtection="0">
      <alignment vertical="center"/>
    </xf>
    <xf numFmtId="0" fontId="87" fillId="0" borderId="20" applyNumberFormat="0" applyFill="0" applyAlignment="0" applyProtection="0">
      <alignment vertical="center"/>
    </xf>
    <xf numFmtId="0" fontId="88" fillId="0" borderId="21" applyNumberFormat="0" applyFill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1" fillId="17" borderId="0" applyNumberFormat="0" applyBorder="0" applyAlignment="0" applyProtection="0">
      <alignment vertical="center"/>
    </xf>
    <xf numFmtId="0" fontId="92" fillId="18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2" fillId="21" borderId="0" applyNumberFormat="0" applyBorder="0" applyAlignment="0" applyProtection="0">
      <alignment vertical="center"/>
    </xf>
    <xf numFmtId="0" fontId="92" fillId="22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2" fillId="25" borderId="0" applyNumberFormat="0" applyBorder="0" applyAlignment="0" applyProtection="0">
      <alignment vertical="center"/>
    </xf>
    <xf numFmtId="0" fontId="92" fillId="26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2" fillId="29" borderId="0" applyNumberFormat="0" applyBorder="0" applyAlignment="0" applyProtection="0">
      <alignment vertical="center"/>
    </xf>
    <xf numFmtId="0" fontId="92" fillId="30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33" borderId="0" applyNumberFormat="0" applyBorder="0" applyAlignment="0" applyProtection="0">
      <alignment vertical="center"/>
    </xf>
    <xf numFmtId="0" fontId="92" fillId="34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6" borderId="0" applyNumberFormat="0" applyBorder="0" applyAlignment="0" applyProtection="0">
      <alignment vertical="center"/>
    </xf>
    <xf numFmtId="0" fontId="92" fillId="37" borderId="0" applyNumberFormat="0" applyBorder="0" applyAlignment="0" applyProtection="0">
      <alignment vertical="center"/>
    </xf>
    <xf numFmtId="0" fontId="92" fillId="38" borderId="0" applyNumberFormat="0" applyBorder="0" applyAlignment="0" applyProtection="0">
      <alignment vertical="center"/>
    </xf>
    <xf numFmtId="0" fontId="93" fillId="39" borderId="0" applyNumberFormat="0" applyBorder="0" applyAlignment="0" applyProtection="0">
      <alignment vertical="center"/>
    </xf>
    <xf numFmtId="0" fontId="93" fillId="40" borderId="0" applyNumberFormat="0" applyBorder="0" applyAlignment="0" applyProtection="0">
      <alignment vertical="center"/>
    </xf>
    <xf numFmtId="0" fontId="92" fillId="41" borderId="0" applyNumberFormat="0" applyBorder="0" applyAlignment="0" applyProtection="0">
      <alignment vertical="center"/>
    </xf>
    <xf numFmtId="0" fontId="94" fillId="0" borderId="0"/>
    <xf numFmtId="0" fontId="95" fillId="0" borderId="0"/>
    <xf numFmtId="0" fontId="0" fillId="0" borderId="0"/>
  </cellStyleXfs>
  <cellXfs count="404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Border="1">
      <alignment vertical="center"/>
    </xf>
    <xf numFmtId="0" fontId="1" fillId="0" borderId="0" xfId="0" applyFont="1" applyFill="1" applyAlignment="1"/>
    <xf numFmtId="0" fontId="1" fillId="0" borderId="0" xfId="0" applyFont="1" applyBorder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>
      <alignment vertical="center"/>
    </xf>
    <xf numFmtId="0" fontId="4" fillId="3" borderId="0" xfId="0" applyFont="1" applyFill="1">
      <alignment vertical="center"/>
    </xf>
    <xf numFmtId="0" fontId="5" fillId="3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3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>
      <alignment vertical="center"/>
    </xf>
    <xf numFmtId="0" fontId="7" fillId="3" borderId="0" xfId="0" applyFont="1" applyFill="1">
      <alignment vertical="center"/>
    </xf>
    <xf numFmtId="0" fontId="8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vertical="center"/>
    </xf>
    <xf numFmtId="0" fontId="10" fillId="3" borderId="0" xfId="0" applyFont="1" applyFill="1" applyAlignment="1"/>
    <xf numFmtId="0" fontId="1" fillId="3" borderId="0" xfId="0" applyFont="1" applyFill="1" applyAlignment="1"/>
    <xf numFmtId="0" fontId="11" fillId="3" borderId="0" xfId="0" applyFont="1" applyFill="1" applyBorder="1" applyAlignment="1"/>
    <xf numFmtId="0" fontId="12" fillId="3" borderId="0" xfId="0" applyFont="1" applyFill="1" applyBorder="1" applyAlignment="1"/>
    <xf numFmtId="0" fontId="11" fillId="3" borderId="0" xfId="0" applyFont="1" applyFill="1" applyBorder="1" applyAlignment="1">
      <alignment horizontal="center"/>
    </xf>
    <xf numFmtId="0" fontId="11" fillId="3" borderId="0" xfId="0" applyFont="1" applyFill="1" applyBorder="1" applyAlignment="1">
      <alignment horizontal="right"/>
    </xf>
    <xf numFmtId="0" fontId="11" fillId="3" borderId="0" xfId="0" applyFont="1" applyFill="1" applyBorder="1" applyAlignment="1">
      <alignment horizontal="left"/>
    </xf>
    <xf numFmtId="0" fontId="13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vertical="center"/>
    </xf>
    <xf numFmtId="0" fontId="14" fillId="0" borderId="0" xfId="0" applyFont="1" applyFill="1" applyBorder="1" applyAlignment="1"/>
    <xf numFmtId="3" fontId="14" fillId="0" borderId="0" xfId="0" applyNumberFormat="1" applyFont="1" applyFill="1" applyBorder="1" applyAlignment="1">
      <alignment horizontal="right" vertical="center"/>
    </xf>
    <xf numFmtId="0" fontId="15" fillId="0" borderId="0" xfId="0" applyFont="1" applyFill="1" applyAlignment="1"/>
    <xf numFmtId="0" fontId="16" fillId="0" borderId="1" xfId="0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" wrapText="1"/>
    </xf>
    <xf numFmtId="0" fontId="17" fillId="0" borderId="0" xfId="0" applyFont="1" applyFill="1" applyBorder="1" applyAlignment="1">
      <alignment vertical="center"/>
    </xf>
    <xf numFmtId="180" fontId="1" fillId="0" borderId="0" xfId="0" applyNumberFormat="1" applyFont="1" applyFill="1" applyBorder="1" applyAlignment="1"/>
    <xf numFmtId="180" fontId="1" fillId="0" borderId="0" xfId="0" applyNumberFormat="1" applyFont="1" applyFill="1" applyBorder="1" applyAlignment="1">
      <alignment vertical="center"/>
    </xf>
    <xf numFmtId="180" fontId="18" fillId="0" borderId="0" xfId="0" applyNumberFormat="1" applyFont="1" applyFill="1" applyBorder="1" applyAlignment="1"/>
    <xf numFmtId="3" fontId="19" fillId="0" borderId="0" xfId="0" applyNumberFormat="1" applyFont="1" applyFill="1" applyBorder="1" applyAlignment="1">
      <alignment horizontal="right" vertical="center"/>
    </xf>
    <xf numFmtId="0" fontId="10" fillId="0" borderId="0" xfId="0" applyFont="1" applyFill="1" applyAlignment="1"/>
    <xf numFmtId="3" fontId="20" fillId="0" borderId="0" xfId="0" applyNumberFormat="1" applyFont="1" applyFill="1" applyBorder="1" applyAlignment="1">
      <alignment horizontal="right" vertical="center"/>
    </xf>
    <xf numFmtId="3" fontId="21" fillId="0" borderId="0" xfId="0" applyNumberFormat="1" applyFont="1" applyFill="1" applyBorder="1" applyAlignment="1">
      <alignment horizontal="right" vertical="center"/>
    </xf>
    <xf numFmtId="180" fontId="14" fillId="0" borderId="0" xfId="0" applyNumberFormat="1" applyFont="1" applyFill="1" applyBorder="1" applyAlignment="1"/>
    <xf numFmtId="0" fontId="9" fillId="3" borderId="0" xfId="0" applyFont="1" applyFill="1" applyAlignment="1"/>
    <xf numFmtId="0" fontId="22" fillId="3" borderId="0" xfId="0" applyFont="1" applyFill="1" applyBorder="1" applyAlignment="1">
      <alignment horizontal="left" vertical="center" wrapText="1"/>
    </xf>
    <xf numFmtId="180" fontId="1" fillId="3" borderId="0" xfId="0" applyNumberFormat="1" applyFont="1" applyFill="1" applyBorder="1" applyAlignment="1"/>
    <xf numFmtId="180" fontId="1" fillId="3" borderId="0" xfId="0" applyNumberFormat="1" applyFont="1" applyFill="1" applyBorder="1" applyAlignment="1">
      <alignment vertical="center"/>
    </xf>
    <xf numFmtId="180" fontId="14" fillId="3" borderId="0" xfId="0" applyNumberFormat="1" applyFont="1" applyFill="1" applyBorder="1" applyAlignment="1"/>
    <xf numFmtId="3" fontId="14" fillId="3" borderId="0" xfId="0" applyNumberFormat="1" applyFont="1" applyFill="1" applyBorder="1" applyAlignment="1">
      <alignment horizontal="right" vertical="center"/>
    </xf>
    <xf numFmtId="0" fontId="13" fillId="0" borderId="0" xfId="0" applyFont="1" applyFill="1" applyBorder="1" applyAlignment="1">
      <alignment horizontal="left" vertical="center"/>
    </xf>
    <xf numFmtId="4" fontId="17" fillId="0" borderId="0" xfId="0" applyNumberFormat="1" applyFont="1" applyFill="1" applyBorder="1" applyAlignment="1"/>
    <xf numFmtId="4" fontId="1" fillId="0" borderId="0" xfId="0" applyNumberFormat="1" applyFont="1" applyFill="1" applyBorder="1" applyAlignment="1"/>
    <xf numFmtId="4" fontId="23" fillId="0" borderId="0" xfId="0" applyNumberFormat="1" applyFont="1" applyFill="1" applyBorder="1" applyAlignment="1"/>
    <xf numFmtId="0" fontId="24" fillId="0" borderId="0" xfId="0" applyFont="1" applyFill="1" applyAlignment="1"/>
    <xf numFmtId="0" fontId="17" fillId="0" borderId="0" xfId="0" applyFont="1" applyFill="1" applyBorder="1" applyAlignment="1"/>
    <xf numFmtId="0" fontId="1" fillId="0" borderId="0" xfId="0" applyFont="1" applyFill="1" applyBorder="1">
      <alignment vertical="center"/>
    </xf>
    <xf numFmtId="0" fontId="10" fillId="0" borderId="0" xfId="0" applyFont="1" applyFill="1" applyBorder="1" applyAlignment="1"/>
    <xf numFmtId="4" fontId="10" fillId="0" borderId="0" xfId="0" applyNumberFormat="1" applyFont="1" applyFill="1" applyBorder="1" applyAlignment="1"/>
    <xf numFmtId="4" fontId="10" fillId="0" borderId="0" xfId="0" applyNumberFormat="1" applyFont="1" applyFill="1" applyAlignment="1"/>
    <xf numFmtId="0" fontId="25" fillId="0" borderId="0" xfId="0" applyFont="1" applyFill="1" applyAlignment="1"/>
    <xf numFmtId="4" fontId="26" fillId="0" borderId="0" xfId="0" applyNumberFormat="1" applyFont="1" applyFill="1" applyAlignment="1"/>
    <xf numFmtId="4" fontId="1" fillId="0" borderId="0" xfId="0" applyNumberFormat="1" applyFont="1" applyFill="1" applyAlignment="1"/>
    <xf numFmtId="0" fontId="26" fillId="0" borderId="0" xfId="0" applyFont="1" applyFill="1" applyAlignment="1"/>
    <xf numFmtId="0" fontId="1" fillId="0" borderId="0" xfId="0" applyFont="1" applyFill="1" applyAlignment="1">
      <alignment horizontal="left" indent="2"/>
    </xf>
    <xf numFmtId="4" fontId="27" fillId="0" borderId="0" xfId="0" applyNumberFormat="1" applyFont="1" applyFill="1" applyAlignment="1"/>
    <xf numFmtId="0" fontId="28" fillId="0" borderId="0" xfId="0" applyFont="1" applyFill="1" applyAlignment="1"/>
    <xf numFmtId="0" fontId="29" fillId="0" borderId="0" xfId="0" applyFont="1">
      <alignment vertical="center"/>
    </xf>
    <xf numFmtId="0" fontId="28" fillId="0" borderId="0" xfId="0" applyFont="1" applyFill="1" applyAlignment="1">
      <alignment horizontal="left" indent="2"/>
    </xf>
    <xf numFmtId="0" fontId="3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31" fillId="0" borderId="0" xfId="0" applyFont="1" applyBorder="1" applyAlignment="1">
      <alignment vertical="center" wrapText="1"/>
    </xf>
    <xf numFmtId="4" fontId="26" fillId="0" borderId="0" xfId="0" applyNumberFormat="1" applyFont="1" applyFill="1" applyBorder="1" applyAlignment="1"/>
    <xf numFmtId="4" fontId="27" fillId="0" borderId="0" xfId="0" applyNumberFormat="1" applyFont="1" applyFill="1" applyBorder="1" applyAlignment="1"/>
    <xf numFmtId="4" fontId="27" fillId="0" borderId="2" xfId="0" applyNumberFormat="1" applyFont="1" applyFill="1" applyBorder="1" applyAlignment="1"/>
    <xf numFmtId="4" fontId="10" fillId="0" borderId="2" xfId="0" applyNumberFormat="1" applyFont="1" applyFill="1" applyBorder="1" applyAlignment="1"/>
    <xf numFmtId="0" fontId="26" fillId="0" borderId="0" xfId="0" applyFont="1" applyFill="1" applyBorder="1" applyAlignment="1"/>
    <xf numFmtId="0" fontId="27" fillId="0" borderId="0" xfId="0" applyFont="1" applyFill="1" applyBorder="1" applyAlignment="1"/>
    <xf numFmtId="0" fontId="27" fillId="0" borderId="0" xfId="0" applyFont="1" applyFill="1" applyAlignment="1"/>
    <xf numFmtId="4" fontId="10" fillId="0" borderId="3" xfId="0" applyNumberFormat="1" applyFont="1" applyFill="1" applyBorder="1" applyAlignment="1"/>
    <xf numFmtId="0" fontId="2" fillId="0" borderId="0" xfId="0" applyFont="1" applyBorder="1" applyAlignment="1">
      <alignment vertical="center" wrapText="1"/>
    </xf>
    <xf numFmtId="4" fontId="32" fillId="0" borderId="0" xfId="0" applyNumberFormat="1" applyFont="1" applyBorder="1" applyAlignment="1">
      <alignment vertical="center" wrapText="1"/>
    </xf>
    <xf numFmtId="0" fontId="32" fillId="0" borderId="0" xfId="0" applyFont="1" applyBorder="1" applyAlignment="1">
      <alignment vertical="center" wrapText="1"/>
    </xf>
    <xf numFmtId="0" fontId="7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1" fillId="3" borderId="0" xfId="0" applyFont="1" applyFill="1" applyAlignment="1"/>
    <xf numFmtId="0" fontId="12" fillId="4" borderId="0" xfId="0" applyFont="1" applyFill="1" applyAlignment="1"/>
    <xf numFmtId="0" fontId="11" fillId="4" borderId="0" xfId="0" applyFont="1" applyFill="1" applyAlignment="1">
      <alignment horizontal="center"/>
    </xf>
    <xf numFmtId="0" fontId="11" fillId="4" borderId="0" xfId="0" applyFont="1" applyFill="1" applyAlignment="1">
      <alignment horizontal="right"/>
    </xf>
    <xf numFmtId="0" fontId="11" fillId="4" borderId="0" xfId="0" applyFont="1" applyFill="1" applyAlignment="1">
      <alignment horizontal="left"/>
    </xf>
    <xf numFmtId="0" fontId="13" fillId="0" borderId="0" xfId="0" applyFont="1" applyFill="1" applyAlignment="1">
      <alignment horizontal="left" vertical="center" wrapText="1"/>
    </xf>
    <xf numFmtId="0" fontId="1" fillId="0" borderId="0" xfId="0" applyFont="1" applyBorder="1" applyAlignment="1">
      <alignment vertical="center"/>
    </xf>
    <xf numFmtId="0" fontId="33" fillId="5" borderId="0" xfId="0" applyFont="1" applyFill="1" applyAlignment="1">
      <alignment horizontal="left" vertical="center" wrapText="1"/>
    </xf>
    <xf numFmtId="0" fontId="17" fillId="5" borderId="0" xfId="0" applyFont="1" applyFill="1" applyAlignment="1"/>
    <xf numFmtId="0" fontId="17" fillId="5" borderId="0" xfId="0" applyFont="1" applyFill="1" applyBorder="1" applyAlignment="1"/>
    <xf numFmtId="0" fontId="17" fillId="5" borderId="0" xfId="0" applyFont="1" applyFill="1" applyBorder="1" applyAlignment="1">
      <alignment vertical="center"/>
    </xf>
    <xf numFmtId="0" fontId="13" fillId="0" borderId="0" xfId="0" applyFont="1" applyFill="1" applyAlignment="1">
      <alignment horizontal="left" vertical="center"/>
    </xf>
    <xf numFmtId="4" fontId="17" fillId="0" borderId="0" xfId="0" applyNumberFormat="1" applyFont="1" applyFill="1" applyAlignment="1"/>
    <xf numFmtId="0" fontId="34" fillId="4" borderId="0" xfId="0" applyFont="1" applyFill="1" applyAlignment="1"/>
    <xf numFmtId="0" fontId="35" fillId="3" borderId="0" xfId="0" applyFont="1" applyFill="1" applyAlignment="1"/>
    <xf numFmtId="0" fontId="36" fillId="3" borderId="0" xfId="51" applyFont="1" applyFill="1" applyAlignment="1">
      <alignment vertical="center"/>
    </xf>
    <xf numFmtId="0" fontId="37" fillId="4" borderId="0" xfId="51" applyFont="1" applyFill="1" applyAlignment="1">
      <alignment horizontal="right" vertical="center"/>
    </xf>
    <xf numFmtId="0" fontId="38" fillId="4" borderId="4" xfId="51" applyFont="1" applyFill="1" applyBorder="1" applyAlignment="1">
      <alignment horizontal="centerContinuous" vertical="center"/>
    </xf>
    <xf numFmtId="0" fontId="36" fillId="4" borderId="4" xfId="51" applyFont="1" applyFill="1" applyBorder="1" applyAlignment="1">
      <alignment horizontal="centerContinuous" vertical="center"/>
    </xf>
    <xf numFmtId="0" fontId="36" fillId="4" borderId="0" xfId="51" applyFont="1" applyFill="1" applyAlignment="1">
      <alignment vertical="center"/>
    </xf>
    <xf numFmtId="0" fontId="38" fillId="3" borderId="0" xfId="51" applyFont="1" applyFill="1" applyAlignment="1">
      <alignment vertical="center"/>
    </xf>
    <xf numFmtId="0" fontId="38" fillId="4" borderId="0" xfId="51" applyFont="1" applyFill="1" applyAlignment="1">
      <alignment horizontal="right" vertical="center"/>
    </xf>
    <xf numFmtId="0" fontId="36" fillId="4" borderId="0" xfId="51" applyFont="1" applyFill="1" applyAlignment="1">
      <alignment horizontal="right" vertical="center"/>
    </xf>
    <xf numFmtId="0" fontId="39" fillId="3" borderId="0" xfId="51" applyFont="1" applyFill="1" applyAlignment="1">
      <alignment vertical="center"/>
    </xf>
    <xf numFmtId="0" fontId="32" fillId="0" borderId="0" xfId="0" applyFont="1" applyFill="1" applyAlignment="1"/>
    <xf numFmtId="0" fontId="2" fillId="0" borderId="0" xfId="0" applyFont="1" applyFill="1" applyAlignment="1"/>
    <xf numFmtId="0" fontId="40" fillId="0" borderId="0" xfId="0" applyFont="1" applyFill="1" applyAlignment="1">
      <alignment horizontal="left" vertical="center" wrapText="1"/>
    </xf>
    <xf numFmtId="0" fontId="2" fillId="0" borderId="0" xfId="0" applyFont="1" applyFill="1" applyBorder="1" applyAlignment="1"/>
    <xf numFmtId="0" fontId="41" fillId="0" borderId="0" xfId="0" applyFont="1" applyFill="1" applyBorder="1" applyAlignment="1"/>
    <xf numFmtId="181" fontId="42" fillId="0" borderId="0" xfId="0" applyNumberFormat="1" applyFont="1" applyFill="1" applyBorder="1" applyAlignment="1">
      <alignment horizontal="right"/>
    </xf>
    <xf numFmtId="3" fontId="29" fillId="0" borderId="0" xfId="0" applyNumberFormat="1" applyFont="1" applyFill="1" applyBorder="1" applyAlignment="1">
      <alignment horizontal="right"/>
    </xf>
    <xf numFmtId="3" fontId="42" fillId="0" borderId="0" xfId="0" applyNumberFormat="1" applyFont="1" applyFill="1" applyBorder="1" applyAlignment="1">
      <alignment horizontal="right"/>
    </xf>
    <xf numFmtId="0" fontId="29" fillId="0" borderId="0" xfId="0" applyFont="1" applyFill="1" applyBorder="1" applyAlignment="1">
      <alignment vertical="center"/>
    </xf>
    <xf numFmtId="0" fontId="4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82" fontId="2" fillId="0" borderId="0" xfId="0" applyNumberFormat="1" applyFont="1" applyAlignment="1">
      <alignment vertical="center"/>
    </xf>
    <xf numFmtId="0" fontId="40" fillId="0" borderId="0" xfId="0" applyFont="1" applyFill="1" applyAlignment="1">
      <alignment horizontal="left" vertical="center"/>
    </xf>
    <xf numFmtId="4" fontId="29" fillId="0" borderId="0" xfId="0" applyNumberFormat="1" applyFont="1" applyFill="1" applyBorder="1" applyAlignment="1"/>
    <xf numFmtId="0" fontId="43" fillId="0" borderId="0" xfId="0" applyFont="1" applyFill="1" applyAlignment="1"/>
    <xf numFmtId="0" fontId="2" fillId="0" borderId="0" xfId="0" applyFont="1" applyFill="1" applyBorder="1" applyAlignment="1">
      <alignment vertical="center"/>
    </xf>
    <xf numFmtId="4" fontId="44" fillId="0" borderId="0" xfId="0" applyNumberFormat="1" applyFont="1" applyFill="1" applyBorder="1" applyAlignment="1"/>
    <xf numFmtId="4" fontId="2" fillId="0" borderId="0" xfId="0" applyNumberFormat="1" applyFont="1" applyFill="1" applyBorder="1" applyAlignment="1"/>
    <xf numFmtId="0" fontId="42" fillId="0" borderId="0" xfId="0" applyFont="1" applyFill="1" applyBorder="1" applyAlignment="1"/>
    <xf numFmtId="0" fontId="42" fillId="0" borderId="0" xfId="0" applyFont="1" applyFill="1" applyBorder="1">
      <alignment vertical="center"/>
    </xf>
    <xf numFmtId="4" fontId="45" fillId="0" borderId="0" xfId="0" applyNumberFormat="1" applyFont="1" applyFill="1" applyBorder="1" applyAlignment="1"/>
    <xf numFmtId="0" fontId="45" fillId="0" borderId="0" xfId="0" applyFont="1" applyFill="1" applyBorder="1" applyAlignment="1">
      <alignment vertical="center"/>
    </xf>
    <xf numFmtId="0" fontId="26" fillId="0" borderId="0" xfId="0" applyFont="1" applyFill="1" applyBorder="1" applyAlignment="1">
      <alignment vertical="center"/>
    </xf>
    <xf numFmtId="182" fontId="1" fillId="0" borderId="0" xfId="0" applyNumberFormat="1" applyFont="1" applyAlignment="1">
      <alignment vertical="center"/>
    </xf>
    <xf numFmtId="0" fontId="36" fillId="6" borderId="0" xfId="0" applyFont="1" applyFill="1" applyBorder="1" applyAlignment="1"/>
    <xf numFmtId="0" fontId="36" fillId="6" borderId="0" xfId="51" applyFont="1" applyFill="1" applyBorder="1" applyAlignment="1">
      <alignment vertical="center"/>
    </xf>
    <xf numFmtId="0" fontId="37" fillId="6" borderId="0" xfId="51" applyFont="1" applyFill="1" applyBorder="1" applyAlignment="1">
      <alignment horizontal="right" vertical="center"/>
    </xf>
    <xf numFmtId="0" fontId="38" fillId="6" borderId="0" xfId="51" applyFont="1" applyFill="1" applyBorder="1" applyAlignment="1">
      <alignment horizontal="centerContinuous" vertical="center"/>
    </xf>
    <xf numFmtId="0" fontId="36" fillId="6" borderId="0" xfId="51" applyFont="1" applyFill="1" applyBorder="1" applyAlignment="1">
      <alignment horizontal="centerContinuous" vertical="center"/>
    </xf>
    <xf numFmtId="182" fontId="36" fillId="6" borderId="0" xfId="0" applyNumberFormat="1" applyFont="1" applyFill="1" applyAlignment="1">
      <alignment vertical="center"/>
    </xf>
    <xf numFmtId="0" fontId="38" fillId="6" borderId="0" xfId="51" applyFont="1" applyFill="1" applyBorder="1" applyAlignment="1">
      <alignment vertical="center"/>
    </xf>
    <xf numFmtId="0" fontId="38" fillId="6" borderId="0" xfId="51" applyFont="1" applyFill="1" applyBorder="1" applyAlignment="1">
      <alignment horizontal="right" vertical="center"/>
    </xf>
    <xf numFmtId="0" fontId="36" fillId="6" borderId="0" xfId="51" applyFont="1" applyFill="1" applyBorder="1" applyAlignment="1">
      <alignment horizontal="right" vertical="center"/>
    </xf>
    <xf numFmtId="0" fontId="38" fillId="0" borderId="0" xfId="51" applyFont="1" applyFill="1" applyBorder="1" applyAlignment="1">
      <alignment vertical="center"/>
    </xf>
    <xf numFmtId="0" fontId="37" fillId="0" borderId="0" xfId="51" applyFont="1" applyFill="1" applyBorder="1" applyAlignment="1">
      <alignment horizontal="right" vertical="center"/>
    </xf>
    <xf numFmtId="0" fontId="38" fillId="0" borderId="0" xfId="51" applyFont="1" applyFill="1" applyBorder="1" applyAlignment="1">
      <alignment horizontal="center" vertical="center"/>
    </xf>
    <xf numFmtId="0" fontId="36" fillId="0" borderId="0" xfId="51" applyFont="1" applyFill="1" applyBorder="1" applyAlignment="1">
      <alignment horizontal="right" vertical="center"/>
    </xf>
    <xf numFmtId="0" fontId="38" fillId="0" borderId="0" xfId="51" applyFont="1" applyFill="1" applyBorder="1" applyAlignment="1">
      <alignment horizontal="right" vertical="center"/>
    </xf>
    <xf numFmtId="182" fontId="35" fillId="0" borderId="0" xfId="0" applyNumberFormat="1" applyFont="1" applyAlignment="1">
      <alignment vertical="center"/>
    </xf>
    <xf numFmtId="0" fontId="46" fillId="0" borderId="0" xfId="0" applyFont="1" applyFill="1" applyAlignment="1">
      <alignment horizontal="left" vertical="center" wrapText="1"/>
    </xf>
    <xf numFmtId="0" fontId="35" fillId="0" borderId="0" xfId="0" applyFont="1" applyFill="1" applyAlignment="1"/>
    <xf numFmtId="0" fontId="35" fillId="0" borderId="0" xfId="0" applyFont="1" applyFill="1" applyBorder="1" applyAlignment="1"/>
    <xf numFmtId="0" fontId="35" fillId="0" borderId="0" xfId="0" applyFont="1" applyBorder="1" applyAlignment="1">
      <alignment vertical="center"/>
    </xf>
    <xf numFmtId="0" fontId="47" fillId="0" borderId="0" xfId="0" applyFont="1" applyFill="1" applyBorder="1" applyAlignment="1"/>
    <xf numFmtId="3" fontId="48" fillId="0" borderId="0" xfId="0" applyNumberFormat="1" applyFont="1" applyFill="1" applyBorder="1" applyAlignment="1">
      <alignment horizontal="right" vertical="center"/>
    </xf>
    <xf numFmtId="3" fontId="47" fillId="0" borderId="0" xfId="0" applyNumberFormat="1" applyFont="1" applyFill="1" applyBorder="1" applyAlignment="1">
      <alignment horizontal="right" vertical="center"/>
    </xf>
    <xf numFmtId="0" fontId="35" fillId="0" borderId="0" xfId="0" applyNumberFormat="1" applyFont="1" applyAlignment="1">
      <alignment vertical="center"/>
    </xf>
    <xf numFmtId="0" fontId="49" fillId="0" borderId="0" xfId="0" applyFont="1" applyAlignment="1">
      <alignment vertical="center"/>
    </xf>
    <xf numFmtId="0" fontId="35" fillId="0" borderId="0" xfId="0" applyFont="1" applyFill="1" applyBorder="1" applyAlignment="1">
      <alignment vertical="center"/>
    </xf>
    <xf numFmtId="4" fontId="50" fillId="0" borderId="0" xfId="0" applyNumberFormat="1" applyFont="1" applyFill="1" applyBorder="1" applyAlignment="1"/>
    <xf numFmtId="183" fontId="35" fillId="0" borderId="0" xfId="0" applyNumberFormat="1" applyFont="1" applyFill="1" applyBorder="1" applyAlignment="1">
      <alignment vertical="center"/>
    </xf>
    <xf numFmtId="0" fontId="35" fillId="0" borderId="0" xfId="0" applyFont="1" applyAlignment="1">
      <alignment vertical="center"/>
    </xf>
    <xf numFmtId="0" fontId="38" fillId="4" borderId="0" xfId="51" applyFont="1" applyFill="1" applyAlignment="1"/>
    <xf numFmtId="0" fontId="38" fillId="4" borderId="0" xfId="51" applyFont="1" applyFill="1" applyAlignment="1">
      <alignment horizontal="right"/>
    </xf>
    <xf numFmtId="0" fontId="38" fillId="4" borderId="0" xfId="51" applyFont="1" applyFill="1" applyAlignment="1">
      <alignment horizontal="center"/>
    </xf>
    <xf numFmtId="182" fontId="51" fillId="0" borderId="0" xfId="0" applyNumberFormat="1" applyFont="1" applyFill="1" applyAlignment="1">
      <alignment vertical="center"/>
    </xf>
    <xf numFmtId="0" fontId="51" fillId="0" borderId="0" xfId="0" applyFont="1" applyFill="1" applyBorder="1" applyAlignment="1"/>
    <xf numFmtId="180" fontId="35" fillId="0" borderId="0" xfId="0" applyNumberFormat="1" applyFont="1" applyFill="1" applyBorder="1" applyAlignment="1"/>
    <xf numFmtId="180" fontId="35" fillId="0" borderId="0" xfId="0" applyNumberFormat="1" applyFont="1" applyFill="1" applyBorder="1" applyAlignment="1">
      <alignment horizontal="right" vertical="center" wrapText="1"/>
    </xf>
    <xf numFmtId="0" fontId="35" fillId="0" borderId="0" xfId="0" applyFont="1" applyFill="1" applyBorder="1">
      <alignment vertical="center"/>
    </xf>
    <xf numFmtId="0" fontId="35" fillId="0" borderId="0" xfId="0" applyFont="1">
      <alignment vertical="center"/>
    </xf>
    <xf numFmtId="0" fontId="51" fillId="0" borderId="0" xfId="0" applyFont="1" applyFill="1" applyAlignment="1"/>
    <xf numFmtId="0" fontId="35" fillId="0" borderId="0" xfId="0" applyFont="1" applyBorder="1" applyAlignment="1">
      <alignment horizontal="right" vertical="center"/>
    </xf>
    <xf numFmtId="4" fontId="51" fillId="0" borderId="0" xfId="0" applyNumberFormat="1" applyFont="1" applyFill="1" applyAlignment="1"/>
    <xf numFmtId="4" fontId="35" fillId="0" borderId="0" xfId="0" applyNumberFormat="1" applyFont="1" applyFill="1" applyAlignment="1"/>
    <xf numFmtId="0" fontId="52" fillId="4" borderId="0" xfId="0" applyFont="1" applyFill="1" applyAlignment="1"/>
    <xf numFmtId="0" fontId="53" fillId="0" borderId="0" xfId="0" applyFont="1">
      <alignment vertical="center"/>
    </xf>
    <xf numFmtId="0" fontId="54" fillId="3" borderId="0" xfId="0" applyFont="1" applyFill="1">
      <alignment vertical="center"/>
    </xf>
    <xf numFmtId="58" fontId="55" fillId="0" borderId="0" xfId="0" applyNumberFormat="1" applyFont="1" applyBorder="1" applyAlignment="1">
      <alignment vertical="center" wrapText="1"/>
    </xf>
    <xf numFmtId="4" fontId="55" fillId="0" borderId="0" xfId="0" applyNumberFormat="1" applyFont="1" applyBorder="1" applyAlignment="1">
      <alignment vertical="center" wrapText="1"/>
    </xf>
    <xf numFmtId="0" fontId="9" fillId="6" borderId="5" xfId="0" applyFont="1" applyFill="1" applyBorder="1">
      <alignment vertical="center"/>
    </xf>
    <xf numFmtId="10" fontId="9" fillId="6" borderId="5" xfId="0" applyNumberFormat="1" applyFont="1" applyFill="1" applyBorder="1">
      <alignment vertical="center"/>
    </xf>
    <xf numFmtId="0" fontId="56" fillId="2" borderId="0" xfId="0" applyFont="1" applyFill="1" applyAlignment="1">
      <alignment vertical="center"/>
    </xf>
    <xf numFmtId="0" fontId="57" fillId="2" borderId="0" xfId="0" applyFont="1" applyFill="1">
      <alignment vertical="center"/>
    </xf>
    <xf numFmtId="0" fontId="58" fillId="2" borderId="0" xfId="0" applyFont="1" applyFill="1">
      <alignment vertical="center"/>
    </xf>
    <xf numFmtId="0" fontId="58" fillId="3" borderId="0" xfId="0" applyFont="1" applyFill="1">
      <alignment vertical="center"/>
    </xf>
    <xf numFmtId="0" fontId="59" fillId="2" borderId="0" xfId="0" applyFont="1" applyFill="1" applyAlignment="1">
      <alignment vertical="center"/>
    </xf>
    <xf numFmtId="0" fontId="60" fillId="3" borderId="0" xfId="0" applyFont="1" applyFill="1" applyAlignment="1">
      <alignment vertical="center"/>
    </xf>
    <xf numFmtId="4" fontId="61" fillId="7" borderId="0" xfId="0" applyNumberFormat="1" applyFont="1" applyFill="1" applyAlignment="1">
      <alignment vertical="center"/>
    </xf>
    <xf numFmtId="4" fontId="62" fillId="7" borderId="0" xfId="0" applyNumberFormat="1" applyFont="1" applyFill="1">
      <alignment vertical="center"/>
    </xf>
    <xf numFmtId="4" fontId="63" fillId="7" borderId="0" xfId="0" applyNumberFormat="1" applyFont="1" applyFill="1">
      <alignment vertical="center"/>
    </xf>
    <xf numFmtId="4" fontId="62" fillId="7" borderId="0" xfId="0" applyNumberFormat="1" applyFont="1" applyFill="1" applyBorder="1" applyAlignment="1">
      <alignment vertical="center"/>
    </xf>
    <xf numFmtId="4" fontId="5" fillId="7" borderId="0" xfId="0" applyNumberFormat="1" applyFont="1" applyFill="1">
      <alignment vertical="center"/>
    </xf>
    <xf numFmtId="4" fontId="5" fillId="7" borderId="0" xfId="0" applyNumberFormat="1" applyFont="1" applyFill="1" applyBorder="1" applyAlignment="1">
      <alignment horizontal="right" vertical="center"/>
    </xf>
    <xf numFmtId="4" fontId="6" fillId="7" borderId="0" xfId="0" applyNumberFormat="1" applyFont="1" applyFill="1">
      <alignment vertical="center"/>
    </xf>
    <xf numFmtId="4" fontId="6" fillId="0" borderId="0" xfId="0" applyNumberFormat="1" applyFont="1" applyFill="1">
      <alignment vertical="center"/>
    </xf>
    <xf numFmtId="0" fontId="64" fillId="0" borderId="0" xfId="49" applyFont="1" applyBorder="1"/>
    <xf numFmtId="0" fontId="65" fillId="0" borderId="0" xfId="50" applyFont="1" applyBorder="1" applyAlignment="1">
      <alignment horizontal="right"/>
    </xf>
    <xf numFmtId="0" fontId="65" fillId="0" borderId="0" xfId="50" applyFont="1" applyFill="1" applyBorder="1" applyAlignment="1">
      <alignment horizontal="right"/>
    </xf>
    <xf numFmtId="0" fontId="66" fillId="0" borderId="0" xfId="50" applyFont="1" applyBorder="1"/>
    <xf numFmtId="0" fontId="2" fillId="0" borderId="0" xfId="49" applyFont="1" applyBorder="1"/>
    <xf numFmtId="0" fontId="66" fillId="0" borderId="0" xfId="50" applyFont="1" applyAlignment="1">
      <alignment horizontal="right"/>
    </xf>
    <xf numFmtId="0" fontId="66" fillId="0" borderId="1" xfId="50" applyFont="1" applyBorder="1" applyAlignment="1">
      <alignment horizontal="center"/>
    </xf>
    <xf numFmtId="0" fontId="1" fillId="0" borderId="1" xfId="0" applyFont="1" applyFill="1" applyBorder="1" applyAlignment="1"/>
    <xf numFmtId="0" fontId="1" fillId="0" borderId="1" xfId="0" applyFont="1" applyBorder="1" applyAlignment="1">
      <alignment vertical="center"/>
    </xf>
    <xf numFmtId="0" fontId="66" fillId="0" borderId="1" xfId="50" applyFont="1" applyBorder="1" applyAlignment="1">
      <alignment horizontal="right"/>
    </xf>
    <xf numFmtId="180" fontId="45" fillId="0" borderId="0" xfId="0" applyNumberFormat="1" applyFont="1" applyFill="1" applyBorder="1" applyAlignment="1"/>
    <xf numFmtId="10" fontId="1" fillId="0" borderId="0" xfId="0" applyNumberFormat="1" applyFont="1" applyFill="1" applyBorder="1" applyAlignment="1"/>
    <xf numFmtId="9" fontId="45" fillId="0" borderId="0" xfId="3" applyFont="1" applyFill="1" applyBorder="1" applyAlignment="1"/>
    <xf numFmtId="180" fontId="1" fillId="0" borderId="0" xfId="0" applyNumberFormat="1" applyFont="1" applyBorder="1" applyAlignment="1">
      <alignment vertical="center"/>
    </xf>
    <xf numFmtId="0" fontId="54" fillId="8" borderId="6" xfId="0" applyFont="1" applyFill="1" applyBorder="1" applyAlignment="1"/>
    <xf numFmtId="0" fontId="54" fillId="8" borderId="6" xfId="0" applyFont="1" applyFill="1" applyBorder="1" applyAlignment="1">
      <alignment vertical="center"/>
    </xf>
    <xf numFmtId="4" fontId="54" fillId="8" borderId="6" xfId="0" applyNumberFormat="1" applyFont="1" applyFill="1" applyBorder="1" applyAlignment="1"/>
    <xf numFmtId="10" fontId="54" fillId="8" borderId="6" xfId="0" applyNumberFormat="1" applyFont="1" applyFill="1" applyBorder="1" applyAlignment="1"/>
    <xf numFmtId="180" fontId="54" fillId="8" borderId="6" xfId="0" applyNumberFormat="1" applyFont="1" applyFill="1" applyBorder="1" applyAlignment="1"/>
    <xf numFmtId="0" fontId="54" fillId="8" borderId="0" xfId="0" applyFont="1" applyFill="1" applyAlignment="1"/>
    <xf numFmtId="0" fontId="54" fillId="8" borderId="0" xfId="0" applyFont="1" applyFill="1" applyAlignment="1">
      <alignment vertical="center"/>
    </xf>
    <xf numFmtId="4" fontId="54" fillId="8" borderId="0" xfId="0" applyNumberFormat="1" applyFont="1" applyFill="1" applyAlignment="1"/>
    <xf numFmtId="10" fontId="54" fillId="8" borderId="0" xfId="0" applyNumberFormat="1" applyFont="1" applyFill="1" applyAlignment="1"/>
    <xf numFmtId="180" fontId="54" fillId="8" borderId="0" xfId="0" applyNumberFormat="1" applyFont="1" applyFill="1" applyAlignment="1"/>
    <xf numFmtId="0" fontId="32" fillId="0" borderId="0" xfId="0" applyFont="1" applyFill="1" applyBorder="1" applyAlignment="1"/>
    <xf numFmtId="4" fontId="32" fillId="0" borderId="0" xfId="0" applyNumberFormat="1" applyFont="1" applyFill="1" applyAlignment="1"/>
    <xf numFmtId="0" fontId="54" fillId="9" borderId="0" xfId="0" applyFont="1" applyFill="1" applyAlignment="1">
      <alignment vertical="center"/>
    </xf>
    <xf numFmtId="0" fontId="9" fillId="3" borderId="0" xfId="0" applyFont="1" applyFill="1" applyBorder="1" applyAlignment="1"/>
    <xf numFmtId="0" fontId="1" fillId="0" borderId="0" xfId="0" applyFont="1" applyBorder="1" applyAlignment="1">
      <alignment horizontal="right" vertical="center" wrapText="1"/>
    </xf>
    <xf numFmtId="0" fontId="9" fillId="8" borderId="0" xfId="0" applyFont="1" applyFill="1" applyAlignment="1"/>
    <xf numFmtId="0" fontId="1" fillId="8" borderId="0" xfId="0" applyFont="1" applyFill="1" applyAlignment="1"/>
    <xf numFmtId="0" fontId="2" fillId="0" borderId="3" xfId="49" applyFont="1" applyBorder="1"/>
    <xf numFmtId="0" fontId="1" fillId="0" borderId="3" xfId="0" applyFont="1" applyFill="1" applyBorder="1" applyAlignment="1"/>
    <xf numFmtId="10" fontId="1" fillId="0" borderId="3" xfId="0" applyNumberFormat="1" applyFont="1" applyFill="1" applyBorder="1" applyAlignment="1"/>
    <xf numFmtId="0" fontId="2" fillId="0" borderId="0" xfId="49" applyFont="1"/>
    <xf numFmtId="10" fontId="26" fillId="0" borderId="0" xfId="0" applyNumberFormat="1" applyFont="1" applyFill="1" applyAlignment="1"/>
    <xf numFmtId="4" fontId="26" fillId="8" borderId="0" xfId="0" applyNumberFormat="1" applyFont="1" applyFill="1" applyAlignment="1"/>
    <xf numFmtId="0" fontId="2" fillId="0" borderId="3" xfId="49" applyFont="1" applyBorder="1"/>
    <xf numFmtId="0" fontId="1" fillId="0" borderId="3" xfId="0" applyFont="1" applyFill="1" applyBorder="1" applyAlignment="1"/>
    <xf numFmtId="0" fontId="26" fillId="0" borderId="3" xfId="0" applyFont="1" applyFill="1" applyBorder="1" applyAlignment="1"/>
    <xf numFmtId="10" fontId="26" fillId="0" borderId="3" xfId="0" applyNumberFormat="1" applyFont="1" applyFill="1" applyBorder="1" applyAlignment="1"/>
    <xf numFmtId="10" fontId="45" fillId="0" borderId="0" xfId="0" applyNumberFormat="1" applyFont="1" applyFill="1" applyAlignment="1"/>
    <xf numFmtId="0" fontId="32" fillId="0" borderId="3" xfId="49" applyFont="1" applyBorder="1"/>
    <xf numFmtId="4" fontId="26" fillId="0" borderId="3" xfId="0" applyNumberFormat="1" applyFont="1" applyFill="1" applyBorder="1" applyAlignment="1"/>
    <xf numFmtId="10" fontId="26" fillId="0" borderId="3" xfId="0" applyNumberFormat="1" applyFont="1" applyFill="1" applyBorder="1" applyAlignment="1"/>
    <xf numFmtId="10" fontId="23" fillId="0" borderId="0" xfId="3" applyNumberFormat="1" applyFont="1" applyFill="1" applyAlignment="1"/>
    <xf numFmtId="10" fontId="1" fillId="0" borderId="0" xfId="0" applyNumberFormat="1" applyFont="1" applyFill="1" applyAlignment="1"/>
    <xf numFmtId="180" fontId="26" fillId="0" borderId="0" xfId="0" applyNumberFormat="1" applyFont="1" applyFill="1" applyAlignment="1"/>
    <xf numFmtId="0" fontId="26" fillId="0" borderId="3" xfId="0" applyFont="1" applyFill="1" applyBorder="1" applyAlignment="1"/>
    <xf numFmtId="0" fontId="9" fillId="6" borderId="3" xfId="0" applyFont="1" applyFill="1" applyBorder="1" applyAlignment="1"/>
    <xf numFmtId="4" fontId="9" fillId="6" borderId="3" xfId="0" applyNumberFormat="1" applyFont="1" applyFill="1" applyBorder="1" applyAlignment="1"/>
    <xf numFmtId="10" fontId="9" fillId="6" borderId="3" xfId="0" applyNumberFormat="1" applyFont="1" applyFill="1" applyBorder="1" applyAlignment="1"/>
    <xf numFmtId="0" fontId="5" fillId="2" borderId="0" xfId="0" applyFont="1" applyFill="1">
      <alignment vertical="center"/>
    </xf>
    <xf numFmtId="0" fontId="8" fillId="2" borderId="0" xfId="0" applyFont="1" applyFill="1" applyAlignment="1">
      <alignment horizontal="center" vertical="center"/>
    </xf>
    <xf numFmtId="10" fontId="1" fillId="0" borderId="7" xfId="3" applyNumberFormat="1" applyFont="1" applyFill="1" applyBorder="1" applyAlignment="1"/>
    <xf numFmtId="0" fontId="1" fillId="0" borderId="3" xfId="0" applyFont="1" applyBorder="1" applyAlignment="1">
      <alignment vertical="center"/>
    </xf>
    <xf numFmtId="10" fontId="1" fillId="0" borderId="3" xfId="3" applyNumberFormat="1" applyFont="1" applyFill="1" applyBorder="1" applyAlignment="1"/>
    <xf numFmtId="10" fontId="1" fillId="0" borderId="8" xfId="3" applyNumberFormat="1" applyFont="1" applyFill="1" applyBorder="1" applyAlignment="1"/>
    <xf numFmtId="10" fontId="1" fillId="0" borderId="0" xfId="3" applyNumberFormat="1" applyFont="1" applyFill="1" applyBorder="1" applyAlignment="1"/>
    <xf numFmtId="10" fontId="1" fillId="0" borderId="9" xfId="3" applyNumberFormat="1" applyFont="1" applyFill="1" applyBorder="1" applyAlignment="1"/>
    <xf numFmtId="10" fontId="17" fillId="0" borderId="10" xfId="3" applyNumberFormat="1" applyFont="1" applyFill="1" applyBorder="1" applyAlignment="1"/>
    <xf numFmtId="0" fontId="1" fillId="0" borderId="0" xfId="0" applyFont="1" applyFill="1" applyAlignment="1">
      <alignment horizontal="right"/>
    </xf>
    <xf numFmtId="0" fontId="25" fillId="0" borderId="0" xfId="0" applyFont="1" applyFill="1" applyAlignment="1">
      <alignment horizontal="right"/>
    </xf>
    <xf numFmtId="10" fontId="1" fillId="0" borderId="0" xfId="0" applyNumberFormat="1" applyFont="1" applyFill="1" applyAlignment="1">
      <alignment horizontal="right"/>
    </xf>
    <xf numFmtId="0" fontId="15" fillId="0" borderId="0" xfId="0" applyFont="1" applyFill="1" applyAlignment="1">
      <alignment horizontal="center"/>
    </xf>
    <xf numFmtId="0" fontId="10" fillId="0" borderId="0" xfId="0" applyFont="1" applyFill="1" applyAlignment="1">
      <alignment horizontal="right"/>
    </xf>
    <xf numFmtId="0" fontId="10" fillId="0" borderId="3" xfId="0" applyFont="1" applyFill="1" applyBorder="1" applyAlignment="1">
      <alignment horizontal="right"/>
    </xf>
    <xf numFmtId="4" fontId="0" fillId="0" borderId="0" xfId="0" applyNumberFormat="1">
      <alignment vertical="center"/>
    </xf>
    <xf numFmtId="4" fontId="2" fillId="0" borderId="0" xfId="0" applyNumberFormat="1" applyFont="1">
      <alignment vertical="center"/>
    </xf>
    <xf numFmtId="4" fontId="1" fillId="0" borderId="0" xfId="0" applyNumberFormat="1" applyFont="1" applyBorder="1">
      <alignment vertical="center"/>
    </xf>
    <xf numFmtId="4" fontId="1" fillId="0" borderId="0" xfId="0" applyNumberFormat="1" applyFont="1" applyAlignment="1">
      <alignment vertical="center"/>
    </xf>
    <xf numFmtId="4" fontId="1" fillId="0" borderId="0" xfId="0" applyNumberFormat="1" applyFont="1">
      <alignment vertical="center"/>
    </xf>
    <xf numFmtId="4" fontId="2" fillId="0" borderId="0" xfId="0" applyNumberFormat="1" applyFont="1" applyBorder="1" applyAlignment="1">
      <alignment horizontal="right" vertical="center"/>
    </xf>
    <xf numFmtId="4" fontId="3" fillId="2" borderId="0" xfId="0" applyNumberFormat="1" applyFont="1" applyFill="1" applyAlignment="1">
      <alignment vertical="center"/>
    </xf>
    <xf numFmtId="4" fontId="4" fillId="2" borderId="0" xfId="0" applyNumberFormat="1" applyFont="1" applyFill="1">
      <alignment vertical="center"/>
    </xf>
    <xf numFmtId="4" fontId="5" fillId="2" borderId="0" xfId="0" applyNumberFormat="1" applyFont="1" applyFill="1">
      <alignment vertical="center"/>
    </xf>
    <xf numFmtId="4" fontId="62" fillId="7" borderId="0" xfId="0" applyNumberFormat="1" applyFont="1" applyFill="1" applyAlignment="1">
      <alignment horizontal="centerContinuous" vertical="center"/>
    </xf>
    <xf numFmtId="4" fontId="5" fillId="7" borderId="0" xfId="0" applyNumberFormat="1" applyFont="1" applyFill="1" applyAlignment="1">
      <alignment horizontal="centerContinuous" vertical="center"/>
    </xf>
    <xf numFmtId="4" fontId="62" fillId="2" borderId="11" xfId="0" applyNumberFormat="1" applyFont="1" applyFill="1" applyBorder="1" applyAlignment="1">
      <alignment horizontal="centerContinuous" vertical="center"/>
    </xf>
    <xf numFmtId="4" fontId="5" fillId="2" borderId="0" xfId="0" applyNumberFormat="1" applyFont="1" applyFill="1" applyAlignment="1">
      <alignment horizontal="centerContinuous" vertical="center"/>
    </xf>
    <xf numFmtId="4" fontId="61" fillId="2" borderId="0" xfId="0" applyNumberFormat="1" applyFont="1" applyFill="1" applyAlignment="1">
      <alignment vertical="center"/>
    </xf>
    <xf numFmtId="4" fontId="61" fillId="2" borderId="0" xfId="0" applyNumberFormat="1" applyFont="1" applyFill="1">
      <alignment vertical="center"/>
    </xf>
    <xf numFmtId="184" fontId="7" fillId="7" borderId="0" xfId="0" applyNumberFormat="1" applyFont="1" applyFill="1" applyBorder="1" applyAlignment="1">
      <alignment horizontal="right" vertical="center" wrapText="1"/>
    </xf>
    <xf numFmtId="185" fontId="7" fillId="2" borderId="11" xfId="0" applyNumberFormat="1" applyFont="1" applyFill="1" applyBorder="1" applyAlignment="1">
      <alignment horizontal="right" vertical="center" wrapText="1"/>
    </xf>
    <xf numFmtId="185" fontId="7" fillId="2" borderId="0" xfId="0" applyNumberFormat="1" applyFont="1" applyFill="1" applyBorder="1" applyAlignment="1">
      <alignment horizontal="right" vertical="center" wrapText="1"/>
    </xf>
    <xf numFmtId="4" fontId="7" fillId="0" borderId="0" xfId="0" applyNumberFormat="1" applyFont="1" applyFill="1" applyAlignment="1">
      <alignment vertical="center"/>
    </xf>
    <xf numFmtId="4" fontId="7" fillId="0" borderId="0" xfId="0" applyNumberFormat="1" applyFont="1" applyFill="1">
      <alignment vertical="center"/>
    </xf>
    <xf numFmtId="4" fontId="4" fillId="0" borderId="0" xfId="0" applyNumberFormat="1" applyFont="1" applyFill="1">
      <alignment vertical="center"/>
    </xf>
    <xf numFmtId="4" fontId="5" fillId="0" borderId="0" xfId="0" applyNumberFormat="1" applyFont="1" applyFill="1">
      <alignment vertical="center"/>
    </xf>
    <xf numFmtId="184" fontId="7" fillId="0" borderId="0" xfId="0" applyNumberFormat="1" applyFont="1" applyFill="1" applyAlignment="1">
      <alignment horizontal="right" vertical="center" wrapText="1"/>
    </xf>
    <xf numFmtId="185" fontId="7" fillId="0" borderId="0" xfId="0" applyNumberFormat="1" applyFont="1" applyFill="1" applyAlignment="1">
      <alignment horizontal="right" vertical="center" wrapText="1"/>
    </xf>
    <xf numFmtId="4" fontId="7" fillId="0" borderId="1" xfId="0" applyNumberFormat="1" applyFont="1" applyFill="1" applyBorder="1">
      <alignment vertical="center"/>
    </xf>
    <xf numFmtId="0" fontId="32" fillId="0" borderId="1" xfId="0" applyFont="1" applyBorder="1" applyAlignment="1">
      <alignment wrapText="1" readingOrder="1"/>
    </xf>
    <xf numFmtId="4" fontId="27" fillId="5" borderId="0" xfId="0" applyNumberFormat="1" applyFont="1" applyFill="1">
      <alignment vertical="center"/>
    </xf>
    <xf numFmtId="186" fontId="29" fillId="0" borderId="0" xfId="0" applyNumberFormat="1" applyFont="1" applyFill="1" applyAlignment="1">
      <alignment horizontal="right" vertical="center" wrapText="1"/>
    </xf>
    <xf numFmtId="184" fontId="29" fillId="0" borderId="0" xfId="0" applyNumberFormat="1" applyFont="1" applyFill="1" applyAlignment="1">
      <alignment horizontal="right" vertical="center" wrapText="1"/>
    </xf>
    <xf numFmtId="0" fontId="2" fillId="0" borderId="0" xfId="0" applyFont="1" applyAlignment="1">
      <alignment wrapText="1" readingOrder="1"/>
    </xf>
    <xf numFmtId="10" fontId="29" fillId="0" borderId="0" xfId="3" applyNumberFormat="1" applyFont="1" applyFill="1" applyAlignment="1">
      <alignment horizontal="right" vertical="center" wrapText="1"/>
    </xf>
    <xf numFmtId="10" fontId="1" fillId="0" borderId="0" xfId="0" applyNumberFormat="1" applyFont="1">
      <alignment vertical="center"/>
    </xf>
    <xf numFmtId="10" fontId="29" fillId="0" borderId="0" xfId="0" applyNumberFormat="1" applyFont="1" applyFill="1" applyAlignment="1">
      <alignment horizontal="right" vertical="center" wrapText="1"/>
    </xf>
    <xf numFmtId="180" fontId="29" fillId="0" borderId="0" xfId="0" applyNumberFormat="1" applyFont="1" applyFill="1" applyAlignment="1">
      <alignment horizontal="right" vertical="center" wrapText="1"/>
    </xf>
    <xf numFmtId="180" fontId="29" fillId="0" borderId="0" xfId="3" applyNumberFormat="1" applyFont="1" applyFill="1" applyAlignment="1">
      <alignment horizontal="right" vertical="center" wrapText="1"/>
    </xf>
    <xf numFmtId="182" fontId="29" fillId="0" borderId="0" xfId="0" applyNumberFormat="1" applyFont="1" applyFill="1" applyAlignment="1">
      <alignment horizontal="right" vertical="center" wrapText="1"/>
    </xf>
    <xf numFmtId="4" fontId="5" fillId="0" borderId="0" xfId="0" applyNumberFormat="1" applyFont="1">
      <alignment vertical="center"/>
    </xf>
    <xf numFmtId="4" fontId="7" fillId="7" borderId="0" xfId="0" applyNumberFormat="1" applyFont="1" applyFill="1" applyAlignment="1">
      <alignment vertical="center"/>
    </xf>
    <xf numFmtId="4" fontId="35" fillId="0" borderId="0" xfId="0" applyNumberFormat="1" applyFont="1" applyAlignment="1">
      <alignment vertical="center"/>
    </xf>
    <xf numFmtId="4" fontId="35" fillId="0" borderId="0" xfId="0" applyNumberFormat="1" applyFont="1">
      <alignment vertical="center"/>
    </xf>
    <xf numFmtId="4" fontId="35" fillId="0" borderId="0" xfId="0" applyNumberFormat="1" applyFont="1" applyBorder="1" applyAlignment="1">
      <alignment vertical="center"/>
    </xf>
    <xf numFmtId="4" fontId="1" fillId="0" borderId="0" xfId="0" applyNumberFormat="1" applyFont="1" applyBorder="1" applyAlignment="1">
      <alignment horizontal="right" vertical="center" wrapText="1"/>
    </xf>
    <xf numFmtId="187" fontId="2" fillId="0" borderId="0" xfId="0" applyNumberFormat="1" applyFont="1" applyBorder="1" applyAlignment="1">
      <alignment horizontal="right" vertical="center" wrapText="1"/>
    </xf>
    <xf numFmtId="4" fontId="50" fillId="0" borderId="3" xfId="0" applyNumberFormat="1" applyFont="1" applyBorder="1" applyAlignment="1">
      <alignment vertical="center"/>
    </xf>
    <xf numFmtId="4" fontId="32" fillId="0" borderId="3" xfId="0" applyNumberFormat="1" applyFont="1" applyBorder="1">
      <alignment vertical="center"/>
    </xf>
    <xf numFmtId="187" fontId="32" fillId="0" borderId="3" xfId="0" applyNumberFormat="1" applyFont="1" applyBorder="1" applyAlignment="1">
      <alignment horizontal="right" vertical="center" wrapText="1"/>
    </xf>
    <xf numFmtId="4" fontId="67" fillId="0" borderId="0" xfId="0" applyNumberFormat="1" applyFont="1">
      <alignment vertical="center"/>
    </xf>
    <xf numFmtId="187" fontId="2" fillId="0" borderId="3" xfId="0" applyNumberFormat="1" applyFont="1" applyBorder="1" applyAlignment="1">
      <alignment horizontal="right" vertical="center" wrapText="1"/>
    </xf>
    <xf numFmtId="187" fontId="1" fillId="0" borderId="0" xfId="0" applyNumberFormat="1" applyFont="1" applyBorder="1" applyAlignment="1">
      <alignment horizontal="right" vertical="center" wrapText="1"/>
    </xf>
    <xf numFmtId="4" fontId="6" fillId="7" borderId="0" xfId="0" applyNumberFormat="1" applyFont="1" applyFill="1" applyBorder="1" applyAlignment="1">
      <alignment horizontal="right" vertical="center"/>
    </xf>
    <xf numFmtId="4" fontId="50" fillId="0" borderId="0" xfId="0" applyNumberFormat="1" applyFont="1" applyBorder="1" applyAlignment="1">
      <alignment vertical="center"/>
    </xf>
    <xf numFmtId="4" fontId="50" fillId="0" borderId="0" xfId="0" applyNumberFormat="1" applyFont="1">
      <alignment vertical="center"/>
    </xf>
    <xf numFmtId="4" fontId="2" fillId="0" borderId="0" xfId="0" applyNumberFormat="1" applyFont="1" applyBorder="1" applyAlignment="1">
      <alignment horizontal="right" vertical="center" wrapText="1"/>
    </xf>
    <xf numFmtId="4" fontId="2" fillId="0" borderId="3" xfId="0" applyNumberFormat="1" applyFont="1" applyBorder="1">
      <alignment vertical="center"/>
    </xf>
    <xf numFmtId="0" fontId="50" fillId="0" borderId="3" xfId="0" applyFont="1" applyFill="1" applyBorder="1" applyAlignment="1"/>
    <xf numFmtId="4" fontId="32" fillId="0" borderId="3" xfId="0" applyNumberFormat="1" applyFont="1" applyBorder="1" applyAlignment="1">
      <alignment horizontal="right" vertical="center" wrapText="1"/>
    </xf>
    <xf numFmtId="4" fontId="32" fillId="0" borderId="3" xfId="0" applyNumberFormat="1" applyFont="1" applyBorder="1" applyAlignment="1">
      <alignment horizontal="center" vertical="center" wrapText="1"/>
    </xf>
    <xf numFmtId="0" fontId="50" fillId="0" borderId="0" xfId="0" applyFont="1" applyFill="1" applyBorder="1" applyAlignment="1"/>
    <xf numFmtId="4" fontId="68" fillId="0" borderId="0" xfId="0" applyNumberFormat="1" applyFont="1" applyBorder="1" applyAlignment="1">
      <alignment vertical="center" wrapText="1"/>
    </xf>
    <xf numFmtId="4" fontId="68" fillId="0" borderId="0" xfId="0" applyNumberFormat="1" applyFont="1">
      <alignment vertical="center"/>
    </xf>
    <xf numFmtId="4" fontId="68" fillId="0" borderId="0" xfId="0" applyNumberFormat="1" applyFont="1" applyBorder="1" applyAlignment="1">
      <alignment horizontal="right" vertical="center" wrapText="1"/>
    </xf>
    <xf numFmtId="4" fontId="35" fillId="0" borderId="0" xfId="0" applyNumberFormat="1" applyFont="1" applyBorder="1" applyAlignment="1">
      <alignment vertical="center" wrapText="1"/>
    </xf>
    <xf numFmtId="4" fontId="2" fillId="0" borderId="0" xfId="0" applyNumberFormat="1" applyFont="1" applyBorder="1" applyAlignment="1">
      <alignment vertical="center" wrapText="1"/>
    </xf>
    <xf numFmtId="4" fontId="6" fillId="7" borderId="0" xfId="0" applyNumberFormat="1" applyFont="1" applyFill="1" applyBorder="1" applyAlignment="1">
      <alignment vertical="center"/>
    </xf>
    <xf numFmtId="0" fontId="50" fillId="0" borderId="0" xfId="0" applyFont="1" applyFill="1" applyAlignment="1"/>
    <xf numFmtId="188" fontId="2" fillId="0" borderId="0" xfId="0" applyNumberFormat="1" applyFont="1" applyBorder="1" applyAlignment="1">
      <alignment vertical="center" wrapText="1"/>
    </xf>
    <xf numFmtId="188" fontId="32" fillId="0" borderId="3" xfId="0" applyNumberFormat="1" applyFont="1" applyBorder="1" applyAlignment="1">
      <alignment vertical="center" wrapText="1"/>
    </xf>
    <xf numFmtId="189" fontId="2" fillId="0" borderId="0" xfId="0" applyNumberFormat="1" applyFont="1">
      <alignment vertical="center"/>
    </xf>
    <xf numFmtId="4" fontId="69" fillId="7" borderId="0" xfId="0" applyNumberFormat="1" applyFont="1" applyFill="1" applyAlignment="1">
      <alignment vertical="center"/>
    </xf>
    <xf numFmtId="4" fontId="10" fillId="0" borderId="0" xfId="0" applyNumberFormat="1" applyFont="1">
      <alignment vertical="center"/>
    </xf>
    <xf numFmtId="4" fontId="70" fillId="0" borderId="0" xfId="0" applyNumberFormat="1" applyFont="1" applyBorder="1" applyAlignment="1">
      <alignment vertical="center" wrapText="1"/>
    </xf>
    <xf numFmtId="4" fontId="70" fillId="0" borderId="0" xfId="0" applyNumberFormat="1" applyFont="1" applyBorder="1" applyAlignment="1">
      <alignment vertical="center"/>
    </xf>
    <xf numFmtId="0" fontId="2" fillId="0" borderId="0" xfId="0" applyNumberFormat="1" applyFont="1">
      <alignment vertical="center"/>
    </xf>
    <xf numFmtId="4" fontId="32" fillId="0" borderId="3" xfId="0" applyNumberFormat="1" applyFont="1" applyBorder="1" applyAlignment="1">
      <alignment vertical="center" wrapText="1"/>
    </xf>
    <xf numFmtId="4" fontId="32" fillId="0" borderId="0" xfId="0" applyNumberFormat="1" applyFont="1">
      <alignment vertical="center"/>
    </xf>
    <xf numFmtId="0" fontId="2" fillId="0" borderId="0" xfId="0" applyFont="1" applyBorder="1" applyAlignment="1">
      <alignment wrapText="1" readingOrder="1"/>
    </xf>
    <xf numFmtId="0" fontId="32" fillId="0" borderId="3" xfId="0" applyFont="1" applyBorder="1" applyAlignment="1">
      <alignment wrapText="1" readingOrder="1"/>
    </xf>
    <xf numFmtId="4" fontId="71" fillId="0" borderId="0" xfId="0" applyNumberFormat="1" applyFont="1">
      <alignment vertical="center"/>
    </xf>
    <xf numFmtId="4" fontId="72" fillId="7" borderId="0" xfId="0" applyNumberFormat="1" applyFont="1" applyFill="1" applyAlignment="1">
      <alignment vertical="center"/>
    </xf>
    <xf numFmtId="4" fontId="50" fillId="0" borderId="1" xfId="0" applyNumberFormat="1" applyFont="1" applyBorder="1" applyAlignment="1">
      <alignment vertical="center" wrapText="1"/>
    </xf>
    <xf numFmtId="4" fontId="2" fillId="0" borderId="1" xfId="0" applyNumberFormat="1" applyFont="1" applyBorder="1">
      <alignment vertical="center"/>
    </xf>
    <xf numFmtId="58" fontId="44" fillId="0" borderId="0" xfId="0" applyNumberFormat="1" applyFont="1">
      <alignment vertical="center"/>
    </xf>
    <xf numFmtId="10" fontId="2" fillId="0" borderId="0" xfId="0" applyNumberFormat="1" applyFont="1">
      <alignment vertical="center"/>
    </xf>
    <xf numFmtId="190" fontId="2" fillId="0" borderId="0" xfId="0" applyNumberFormat="1" applyFont="1">
      <alignment vertical="center"/>
    </xf>
    <xf numFmtId="9" fontId="44" fillId="0" borderId="0" xfId="0" applyNumberFormat="1" applyFont="1">
      <alignment vertical="center"/>
    </xf>
    <xf numFmtId="0" fontId="2" fillId="0" borderId="0" xfId="0" applyNumberFormat="1" applyFont="1" applyBorder="1">
      <alignment vertical="center"/>
    </xf>
    <xf numFmtId="10" fontId="2" fillId="0" borderId="0" xfId="0" applyNumberFormat="1" applyFont="1" applyBorder="1">
      <alignment vertical="center"/>
    </xf>
    <xf numFmtId="4" fontId="2" fillId="0" borderId="0" xfId="0" applyNumberFormat="1" applyFont="1" applyBorder="1">
      <alignment vertical="center"/>
    </xf>
    <xf numFmtId="4" fontId="32" fillId="0" borderId="0" xfId="0" applyNumberFormat="1" applyFont="1" applyBorder="1" applyAlignment="1">
      <alignment horizontal="center" vertical="center" wrapText="1"/>
    </xf>
    <xf numFmtId="4" fontId="30" fillId="0" borderId="0" xfId="0" applyNumberFormat="1" applyFont="1" applyBorder="1" applyAlignment="1">
      <alignment horizontal="center" vertical="center" wrapText="1"/>
    </xf>
    <xf numFmtId="4" fontId="1" fillId="0" borderId="0" xfId="0" applyNumberFormat="1" applyFont="1" applyBorder="1" applyAlignment="1">
      <alignment vertical="center" wrapText="1"/>
    </xf>
    <xf numFmtId="4" fontId="30" fillId="0" borderId="0" xfId="0" applyNumberFormat="1" applyFont="1" applyBorder="1" applyAlignment="1">
      <alignment vertical="center"/>
    </xf>
    <xf numFmtId="4" fontId="31" fillId="0" borderId="0" xfId="0" applyNumberFormat="1" applyFont="1" applyBorder="1" applyAlignment="1">
      <alignment vertical="center" wrapText="1"/>
    </xf>
    <xf numFmtId="4" fontId="35" fillId="0" borderId="1" xfId="0" applyNumberFormat="1" applyFont="1" applyBorder="1" applyAlignment="1">
      <alignment vertical="center" wrapText="1"/>
    </xf>
    <xf numFmtId="4" fontId="2" fillId="0" borderId="1" xfId="0" applyNumberFormat="1" applyFont="1" applyBorder="1" applyAlignment="1">
      <alignment horizontal="right" vertical="center" wrapText="1"/>
    </xf>
    <xf numFmtId="0" fontId="2" fillId="0" borderId="1" xfId="0" applyNumberFormat="1" applyFont="1" applyBorder="1" applyAlignment="1">
      <alignment horizontal="right" vertical="center" wrapText="1"/>
    </xf>
    <xf numFmtId="0" fontId="73" fillId="0" borderId="1" xfId="0" applyFont="1" applyFill="1" applyBorder="1" applyAlignment="1"/>
    <xf numFmtId="0" fontId="74" fillId="0" borderId="0" xfId="0" applyFont="1" applyFill="1" applyAlignment="1"/>
    <xf numFmtId="191" fontId="68" fillId="0" borderId="0" xfId="0" applyNumberFormat="1" applyFont="1" applyBorder="1" applyAlignment="1">
      <alignment vertical="center" wrapText="1"/>
    </xf>
    <xf numFmtId="58" fontId="68" fillId="0" borderId="0" xfId="0" applyNumberFormat="1" applyFont="1" applyBorder="1" applyAlignment="1">
      <alignment vertical="center" wrapText="1"/>
    </xf>
    <xf numFmtId="0" fontId="64" fillId="0" borderId="0" xfId="0" applyFont="1" applyFill="1" applyAlignment="1"/>
    <xf numFmtId="0" fontId="68" fillId="0" borderId="0" xfId="0" applyNumberFormat="1" applyFont="1" applyBorder="1" applyAlignment="1">
      <alignment vertical="center" wrapText="1"/>
    </xf>
    <xf numFmtId="0" fontId="64" fillId="0" borderId="1" xfId="0" applyFont="1" applyFill="1" applyBorder="1" applyAlignment="1"/>
    <xf numFmtId="0" fontId="73" fillId="0" borderId="0" xfId="0" applyFont="1" applyFill="1" applyAlignment="1"/>
    <xf numFmtId="4" fontId="32" fillId="0" borderId="0" xfId="0" applyNumberFormat="1" applyFont="1" applyBorder="1">
      <alignment vertical="center"/>
    </xf>
    <xf numFmtId="187" fontId="2" fillId="0" borderId="0" xfId="0" applyNumberFormat="1" applyFont="1" applyBorder="1" applyAlignment="1">
      <alignment vertical="center" wrapText="1"/>
    </xf>
    <xf numFmtId="4" fontId="2" fillId="0" borderId="3" xfId="0" applyNumberFormat="1" applyFont="1" applyBorder="1" applyAlignment="1">
      <alignment vertical="center" wrapText="1"/>
    </xf>
    <xf numFmtId="0" fontId="10" fillId="0" borderId="1" xfId="0" applyFont="1" applyFill="1" applyBorder="1" applyAlignment="1"/>
    <xf numFmtId="4" fontId="2" fillId="0" borderId="1" xfId="0" applyNumberFormat="1" applyFont="1" applyBorder="1" applyAlignment="1">
      <alignment vertical="center" wrapText="1"/>
    </xf>
    <xf numFmtId="0" fontId="2" fillId="0" borderId="3" xfId="0" applyFont="1" applyFill="1" applyBorder="1" applyAlignment="1"/>
    <xf numFmtId="10" fontId="2" fillId="0" borderId="0" xfId="0" applyNumberFormat="1" applyFont="1" applyBorder="1" applyAlignment="1">
      <alignment vertical="center" wrapText="1"/>
    </xf>
    <xf numFmtId="0" fontId="32" fillId="0" borderId="3" xfId="0" applyFont="1" applyFill="1" applyBorder="1" applyAlignment="1"/>
    <xf numFmtId="4" fontId="54" fillId="6" borderId="0" xfId="0" applyNumberFormat="1" applyFont="1" applyFill="1" applyBorder="1">
      <alignment vertical="center"/>
    </xf>
    <xf numFmtId="4" fontId="38" fillId="10" borderId="0" xfId="0" applyNumberFormat="1" applyFont="1" applyFill="1" applyAlignment="1">
      <alignment vertical="center"/>
    </xf>
    <xf numFmtId="4" fontId="1" fillId="10" borderId="0" xfId="0" applyNumberFormat="1" applyFont="1" applyFill="1">
      <alignment vertical="center"/>
    </xf>
    <xf numFmtId="4" fontId="2" fillId="10" borderId="0" xfId="0" applyNumberFormat="1" applyFont="1" applyFill="1" applyBorder="1" applyAlignment="1">
      <alignment vertical="center" wrapText="1"/>
    </xf>
    <xf numFmtId="4" fontId="2" fillId="10" borderId="0" xfId="0" applyNumberFormat="1" applyFont="1" applyFill="1" applyBorder="1">
      <alignment vertical="center"/>
    </xf>
    <xf numFmtId="4" fontId="31" fillId="10" borderId="0" xfId="0" applyNumberFormat="1" applyFont="1" applyFill="1" applyBorder="1" applyAlignment="1">
      <alignment vertical="center" wrapText="1"/>
    </xf>
    <xf numFmtId="4" fontId="1" fillId="10" borderId="0" xfId="0" applyNumberFormat="1" applyFont="1" applyFill="1" applyBorder="1">
      <alignment vertical="center"/>
    </xf>
    <xf numFmtId="4" fontId="2" fillId="9" borderId="0" xfId="0" applyNumberFormat="1" applyFont="1" applyFill="1" applyBorder="1" applyAlignment="1">
      <alignment vertical="center" wrapText="1"/>
    </xf>
    <xf numFmtId="4" fontId="2" fillId="9" borderId="0" xfId="0" applyNumberFormat="1" applyFont="1" applyFill="1" applyBorder="1">
      <alignment vertical="center"/>
    </xf>
    <xf numFmtId="4" fontId="54" fillId="10" borderId="0" xfId="0" applyNumberFormat="1" applyFont="1" applyFill="1" applyBorder="1" applyAlignment="1">
      <alignment horizontal="centerContinuous" vertical="center" wrapText="1"/>
    </xf>
    <xf numFmtId="4" fontId="2" fillId="10" borderId="0" xfId="0" applyNumberFormat="1" applyFont="1" applyFill="1" applyBorder="1" applyAlignment="1">
      <alignment horizontal="centerContinuous" vertical="center" wrapText="1"/>
    </xf>
    <xf numFmtId="4" fontId="31" fillId="10" borderId="0" xfId="0" applyNumberFormat="1" applyFont="1" applyFill="1" applyBorder="1" applyAlignment="1">
      <alignment horizontal="centerContinuous" vertical="center" wrapText="1"/>
    </xf>
    <xf numFmtId="4" fontId="1" fillId="10" borderId="0" xfId="0" applyNumberFormat="1" applyFont="1" applyFill="1" applyBorder="1" applyAlignment="1">
      <alignment horizontal="centerContinuous" vertical="center"/>
    </xf>
    <xf numFmtId="4" fontId="2" fillId="0" borderId="0" xfId="0" applyNumberFormat="1" applyFont="1" applyBorder="1" applyAlignment="1">
      <alignment horizontal="centerContinuous" vertical="center"/>
    </xf>
    <xf numFmtId="186" fontId="2" fillId="0" borderId="0" xfId="0" applyNumberFormat="1" applyFont="1" applyBorder="1">
      <alignment vertical="center"/>
    </xf>
    <xf numFmtId="182" fontId="2" fillId="0" borderId="1" xfId="0" applyNumberFormat="1" applyFont="1" applyBorder="1">
      <alignment vertical="center"/>
    </xf>
    <xf numFmtId="182" fontId="1" fillId="0" borderId="0" xfId="0" applyNumberFormat="1" applyFont="1" applyBorder="1">
      <alignment vertical="center"/>
    </xf>
    <xf numFmtId="4" fontId="2" fillId="0" borderId="0" xfId="0" applyNumberFormat="1" applyFont="1" applyAlignment="1">
      <alignment horizontal="right" vertical="center" textRotation="90"/>
    </xf>
    <xf numFmtId="4" fontId="2" fillId="0" borderId="12" xfId="0" applyNumberFormat="1" applyFont="1" applyBorder="1" applyAlignment="1">
      <alignment vertical="center" wrapText="1"/>
    </xf>
    <xf numFmtId="4" fontId="2" fillId="0" borderId="13" xfId="0" applyNumberFormat="1" applyFont="1" applyBorder="1" applyAlignment="1">
      <alignment vertical="center" wrapText="1"/>
    </xf>
    <xf numFmtId="4" fontId="2" fillId="8" borderId="0" xfId="0" applyNumberFormat="1" applyFont="1" applyFill="1" applyBorder="1" applyAlignment="1">
      <alignment vertical="center" wrapText="1"/>
    </xf>
    <xf numFmtId="4" fontId="2" fillId="0" borderId="0" xfId="0" applyNumberFormat="1" applyFont="1" applyFill="1" applyAlignment="1">
      <alignment vertical="center"/>
    </xf>
    <xf numFmtId="4" fontId="2" fillId="0" borderId="0" xfId="0" applyNumberFormat="1" applyFont="1" applyFill="1" applyBorder="1" applyAlignment="1">
      <alignment horizontal="center" vertical="center"/>
    </xf>
    <xf numFmtId="10" fontId="2" fillId="0" borderId="1" xfId="0" applyNumberFormat="1" applyFont="1" applyFill="1" applyBorder="1" applyAlignment="1">
      <alignment vertical="center"/>
    </xf>
    <xf numFmtId="4" fontId="2" fillId="0" borderId="0" xfId="0" applyNumberFormat="1" applyFont="1" applyFill="1" applyBorder="1" applyAlignment="1">
      <alignment horizontal="right" vertical="center" textRotation="90"/>
    </xf>
    <xf numFmtId="10" fontId="2" fillId="0" borderId="0" xfId="0" applyNumberFormat="1" applyFont="1" applyFill="1" applyAlignment="1">
      <alignment vertical="center"/>
    </xf>
    <xf numFmtId="4" fontId="2" fillId="0" borderId="12" xfId="0" applyNumberFormat="1" applyFont="1" applyFill="1" applyBorder="1" applyAlignment="1">
      <alignment vertical="center" wrapText="1"/>
    </xf>
    <xf numFmtId="4" fontId="2" fillId="0" borderId="0" xfId="0" applyNumberFormat="1" applyFont="1" applyFill="1" applyAlignment="1">
      <alignment vertical="center" wrapText="1"/>
    </xf>
    <xf numFmtId="4" fontId="2" fillId="0" borderId="13" xfId="0" applyNumberFormat="1" applyFont="1" applyFill="1" applyBorder="1" applyAlignment="1">
      <alignment vertical="center" wrapText="1"/>
    </xf>
    <xf numFmtId="4" fontId="2" fillId="9" borderId="0" xfId="0" applyNumberFormat="1" applyFont="1" applyFill="1" applyAlignment="1">
      <alignment vertical="center" wrapText="1"/>
    </xf>
    <xf numFmtId="4" fontId="2" fillId="8" borderId="0" xfId="0" applyNumberFormat="1" applyFont="1" applyFill="1" applyAlignment="1">
      <alignment vertical="center" wrapText="1"/>
    </xf>
    <xf numFmtId="4" fontId="32" fillId="0" borderId="0" xfId="0" applyNumberFormat="1" applyFont="1" applyBorder="1" applyAlignment="1">
      <alignment vertical="center"/>
    </xf>
    <xf numFmtId="0" fontId="37" fillId="4" borderId="0" xfId="51" applyFont="1" applyFill="1" applyAlignment="1" quotePrefix="1">
      <alignment horizontal="right"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6" xfId="49"/>
    <cellStyle name="Normal 5 2" xfId="50"/>
    <cellStyle name="Normal 2 2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222B35"/>
      <color rgb="00333F4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eetMetadata" Target="metadata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1"/>
                </a:solidFill>
              </a:rPr>
              <a:t>Football Field Chart </a:t>
            </a:r>
            <a:endParaRPr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tockChart>
        <c:ser>
          <c:idx val="0"/>
          <c:order val="0"/>
          <c:tx>
            <c:strRef>
              <c:f>'Foot_Ball Field'!$D$7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'Foot_Ball Field'!$E$6:$H$6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'Foot_Ball Field'!$E$7:$H$7</c:f>
              <c:numCache>
                <c:formatCode>0.00_);[Red]\(0.00\)</c:formatCode>
                <c:ptCount val="4"/>
                <c:pt idx="0">
                  <c:v>7269.34466088042</c:v>
                </c:pt>
                <c:pt idx="1">
                  <c:v>8152.17</c:v>
                </c:pt>
                <c:pt idx="2">
                  <c:v>4738.5</c:v>
                </c:pt>
                <c:pt idx="3">
                  <c:v>5840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'Foot_Ball Field'!$D$8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'Foot_Ball Field'!$E$6:$H$6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'Foot_Ball Field'!$E$8:$H$8</c:f>
              <c:numCache>
                <c:formatCode>0.00_);[Red]\(0.00\)</c:formatCode>
                <c:ptCount val="4"/>
                <c:pt idx="0">
                  <c:v>7269.34466088042</c:v>
                </c:pt>
                <c:pt idx="1">
                  <c:v>8152.17</c:v>
                </c:pt>
                <c:pt idx="2">
                  <c:v>4738.5</c:v>
                </c:pt>
                <c:pt idx="3">
                  <c:v>5840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'Foot_Ball Field'!$D$9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'Foot_Ball Field'!$E$6:$H$6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'Foot_Ball Field'!$E$9:$H$9</c:f>
              <c:numCache>
                <c:formatCode>0.00_);[Red]\(0.00\)</c:formatCode>
                <c:ptCount val="4"/>
                <c:pt idx="0">
                  <c:v>5572.73990471613</c:v>
                </c:pt>
                <c:pt idx="1" c:formatCode="General">
                  <c:v>5606.58</c:v>
                </c:pt>
                <c:pt idx="2">
                  <c:v>5933.5</c:v>
                </c:pt>
                <c:pt idx="3">
                  <c:v>6500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'Foot_Ball Field'!$D$10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'Foot_Ball Field'!$E$6:$H$6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'Foot_Ball Field'!$E$10:$H$10</c:f>
              <c:numCache>
                <c:formatCode>0.00_);[Red]\(0.00\)</c:formatCode>
                <c:ptCount val="4"/>
                <c:pt idx="0">
                  <c:v>5572.73990471613</c:v>
                </c:pt>
                <c:pt idx="1">
                  <c:v>5606.58</c:v>
                </c:pt>
                <c:pt idx="2">
                  <c:v>5933.5</c:v>
                </c:pt>
                <c:pt idx="3">
                  <c:v>6500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9050" cap="flat" cmpd="sng" algn="ctr">
              <a:solidFill>
                <a:schemeClr val="tx1"/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bg1"/>
              </a:solidFill>
              <a:ln w="19050" cap="flat" cmpd="sng" algn="ctr">
                <a:solidFill>
                  <a:schemeClr val="accent1"/>
                </a:solidFill>
                <a:round/>
              </a:ln>
              <a:effectLst/>
            </c:spPr>
          </c:upBars>
          <c:downBars>
            <c:spPr>
              <a:solidFill>
                <a:schemeClr val="accent1"/>
              </a:solidFill>
              <a:ln w="9525" cap="flat" cmpd="sng" algn="ctr">
                <a:noFill/>
                <a:round/>
              </a:ln>
              <a:effectLst/>
            </c:spPr>
          </c:downBars>
        </c:upDownBars>
        <c:axId val="520524479"/>
        <c:axId val="592389668"/>
      </c:stockChart>
      <c:catAx>
        <c:axId val="5205244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592389668"/>
        <c:crosses val="autoZero"/>
        <c:auto val="1"/>
        <c:lblAlgn val="ctr"/>
        <c:lblOffset val="100"/>
        <c:noMultiLvlLbl val="0"/>
      </c:catAx>
      <c:valAx>
        <c:axId val="592389668"/>
        <c:scaling>
          <c:orientation val="minMax"/>
        </c:scaling>
        <c:delete val="0"/>
        <c:axPos val="l"/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520524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6150d9e-e47d-41a4-a434-439daaa97cc1}"/>
      </c:ext>
    </c:extLst>
  </c:chart>
  <c:spPr>
    <a:solidFill>
      <a:srgbClr val="222B35"/>
    </a:solidFill>
    <a:ln w="9525" cap="flat" cmpd="sng" algn="ctr">
      <a:noFill/>
      <a:round/>
    </a:ln>
    <a:effectLst/>
  </c:spPr>
  <c:txPr>
    <a:bodyPr/>
    <a:lstStyle/>
    <a:p>
      <a:pPr>
        <a:defRPr lang="en-US">
          <a:solidFill>
            <a:schemeClr val="bg1"/>
          </a:solidFill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 cap="flat" cmpd="sng" algn="ctr">
        <a:noFill/>
        <a:round/>
      </a:ln>
      <a:effectLst/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tx1"/>
        </a:solidFill>
        <a:round/>
      </a:ln>
      <a:effectLst/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bg1"/>
      </a:solidFill>
      <a:ln w="19050" cap="flat" cmpd="sng" algn="ctr">
        <a:solidFill>
          <a:schemeClr val="phClr"/>
        </a:solidFill>
        <a:round/>
      </a:ln>
      <a:effectLst/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13970</xdr:colOff>
      <xdr:row>12</xdr:row>
      <xdr:rowOff>97155</xdr:rowOff>
    </xdr:from>
    <xdr:to>
      <xdr:col>9</xdr:col>
      <xdr:colOff>131445</xdr:colOff>
      <xdr:row>26</xdr:row>
      <xdr:rowOff>154940</xdr:rowOff>
    </xdr:to>
    <xdr:graphicFrame>
      <xdr:nvGraphicFramePr>
        <xdr:cNvPr id="2" name="Chart 1"/>
        <xdr:cNvGraphicFramePr/>
      </xdr:nvGraphicFramePr>
      <xdr:xfrm>
        <a:off x="276860" y="3160395"/>
        <a:ext cx="7239000" cy="30854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527050</xdr:colOff>
      <xdr:row>18</xdr:row>
      <xdr:rowOff>158750</xdr:rowOff>
    </xdr:from>
    <xdr:to>
      <xdr:col>9</xdr:col>
      <xdr:colOff>142875</xdr:colOff>
      <xdr:row>18</xdr:row>
      <xdr:rowOff>158750</xdr:rowOff>
    </xdr:to>
    <xdr:cxnSp>
      <xdr:nvCxnSpPr>
        <xdr:cNvPr id="3" name="Straight Connector 2"/>
        <xdr:cNvCxnSpPr/>
      </xdr:nvCxnSpPr>
      <xdr:spPr>
        <a:xfrm>
          <a:off x="789940" y="4542790"/>
          <a:ext cx="6737350" cy="0"/>
        </a:xfrm>
        <a:prstGeom prst="line">
          <a:avLst/>
        </a:prstGeom>
        <a:ln w="28575">
          <a:solidFill>
            <a:srgbClr val="00B050"/>
          </a:solidFill>
          <a:prstDash val="dash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wyamsanchit/Downloads/Day%203%20Financial%20Model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Guide"/>
      <sheetName val="Sheet4"/>
      <sheetName val="Historical Data"/>
      <sheetName val="Model"/>
      <sheetName val="Scenarios"/>
      <sheetName val="WACC"/>
      <sheetName val="Market_Data"/>
      <sheetName val="Beta"/>
      <sheetName val="Comps"/>
      <sheetName val="Comps_Data"/>
      <sheetName val="Summary"/>
      <sheetName val="Template"/>
    </sheetNames>
    <sheetDataSet>
      <sheetData sheetId="0"/>
      <sheetData sheetId="1"/>
      <sheetData sheetId="2"/>
      <sheetData sheetId="3"/>
      <sheetData sheetId="4">
        <row r="2">
          <cell r="L2">
            <v>2025</v>
          </cell>
          <cell r="M2">
            <v>2026</v>
          </cell>
          <cell r="N2">
            <v>2027</v>
          </cell>
          <cell r="O2">
            <v>2028</v>
          </cell>
          <cell r="P2">
            <v>2029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5"/>
  <sheetViews>
    <sheetView showGridLines="0" zoomScale="111" zoomScaleNormal="111" workbookViewId="0">
      <selection activeCell="H17" sqref="H17:L17"/>
    </sheetView>
  </sheetViews>
  <sheetFormatPr defaultColWidth="9.14285714285714" defaultRowHeight="16.8"/>
  <cols>
    <col min="1" max="1" width="1.23214285714286" style="1" customWidth="1"/>
    <col min="2" max="3" width="1.23214285714286" style="5" customWidth="1"/>
    <col min="4" max="4" width="40.6428571428571" style="5" customWidth="1"/>
    <col min="5" max="6" width="9.14285714285714" style="5"/>
    <col min="7" max="7" width="2.64285714285714" style="5" customWidth="1"/>
    <col min="8" max="11" width="12.6428571428571" style="5" customWidth="1"/>
    <col min="12" max="12" width="12.6428571428571" style="6" customWidth="1"/>
    <col min="13" max="16384" width="12.6428571428571" style="2" customWidth="1"/>
  </cols>
  <sheetData>
    <row r="1" s="1" customFormat="1" ht="36" spans="1:13">
      <c r="A1" s="7" t="s">
        <v>0</v>
      </c>
      <c r="B1" s="8"/>
      <c r="C1" s="8"/>
      <c r="D1" s="8"/>
      <c r="E1" s="8"/>
      <c r="F1" s="8"/>
      <c r="G1" s="245"/>
      <c r="H1" s="245"/>
      <c r="I1" s="245"/>
      <c r="J1" s="245"/>
      <c r="K1" s="245"/>
      <c r="L1" s="245"/>
      <c r="M1" s="2"/>
    </row>
    <row r="2" s="1" customFormat="1" ht="17.6" spans="1:13">
      <c r="A2" s="81" t="s">
        <v>1</v>
      </c>
      <c r="B2" s="14"/>
      <c r="C2" s="14"/>
      <c r="D2" s="14"/>
      <c r="E2" s="8"/>
      <c r="F2" s="8"/>
      <c r="G2" s="245"/>
      <c r="H2" s="245"/>
      <c r="I2" s="245"/>
      <c r="J2" s="245"/>
      <c r="K2" s="245"/>
      <c r="L2" s="246" t="s">
        <v>2</v>
      </c>
      <c r="M2" s="2"/>
    </row>
    <row r="3" s="1" customFormat="1" spans="1:13">
      <c r="G3" s="2"/>
      <c r="H3" s="2"/>
      <c r="I3" s="2"/>
      <c r="J3" s="2"/>
      <c r="K3" s="2"/>
      <c r="L3" s="2"/>
      <c r="M3" s="2"/>
    </row>
    <row r="4" s="1" customFormat="1" spans="1:13">
      <c r="B4" s="38" t="s">
        <v>3</v>
      </c>
      <c r="C4" s="5"/>
      <c r="D4" s="5"/>
      <c r="E4" s="5"/>
      <c r="F4" s="5"/>
      <c r="H4" s="38">
        <v>2021</v>
      </c>
      <c r="I4" s="38">
        <f t="shared" ref="I4:L4" si="0">H4+1</f>
        <v>2022</v>
      </c>
      <c r="J4" s="38">
        <f t="shared" si="0"/>
        <v>2023</v>
      </c>
      <c r="K4" s="38">
        <f t="shared" si="0"/>
        <v>2024</v>
      </c>
      <c r="L4" s="38">
        <f t="shared" si="0"/>
        <v>2025</v>
      </c>
    </row>
    <row r="5" s="1" customFormat="1" spans="1:13">
      <c r="B5" s="5"/>
      <c r="C5" s="5" t="s">
        <v>4</v>
      </c>
      <c r="D5" s="5"/>
      <c r="E5" s="5"/>
      <c r="F5" s="5"/>
      <c r="H5" s="60">
        <v>88650.1</v>
      </c>
      <c r="I5" s="60">
        <v>106341.9</v>
      </c>
      <c r="J5" s="60">
        <v>115992.6</v>
      </c>
      <c r="K5" s="60">
        <v>126675.8</v>
      </c>
      <c r="L5" s="60">
        <v>129645.2</v>
      </c>
    </row>
    <row r="6" s="1" customFormat="1" spans="1:13">
      <c r="B6" s="5"/>
      <c r="C6" s="5" t="s">
        <v>5</v>
      </c>
      <c r="D6" s="5"/>
      <c r="E6" s="5"/>
      <c r="F6" s="5"/>
      <c r="H6" s="60">
        <v>2332.1</v>
      </c>
      <c r="I6" s="60">
        <v>1626.5</v>
      </c>
      <c r="J6" s="60">
        <v>2160.8</v>
      </c>
      <c r="K6" s="60">
        <v>3108.4</v>
      </c>
      <c r="L6" s="60">
        <v>4937.4</v>
      </c>
    </row>
    <row r="7" s="1" customFormat="1" spans="1:13">
      <c r="B7" s="5"/>
      <c r="C7" s="5" t="s">
        <v>6</v>
      </c>
      <c r="D7" s="5"/>
      <c r="E7" s="5"/>
      <c r="F7" s="5"/>
      <c r="H7" s="57">
        <v>90982.2</v>
      </c>
      <c r="I7" s="57">
        <v>107968.4</v>
      </c>
      <c r="J7" s="57">
        <v>118153.4</v>
      </c>
      <c r="K7" s="57">
        <v>129784.2</v>
      </c>
      <c r="L7" s="57">
        <v>134582.6</v>
      </c>
    </row>
    <row r="8" s="1" customFormat="1" spans="1:13">
      <c r="B8" s="38" t="s">
        <v>7</v>
      </c>
      <c r="C8" s="5"/>
      <c r="D8" s="5"/>
      <c r="E8" s="5"/>
      <c r="F8" s="5"/>
      <c r="H8" s="5"/>
      <c r="I8" s="5"/>
      <c r="J8" s="5"/>
      <c r="K8" s="5"/>
      <c r="L8" s="5"/>
    </row>
    <row r="9" s="1" customFormat="1" spans="1:13">
      <c r="B9" s="5"/>
      <c r="C9" s="5" t="s">
        <v>8</v>
      </c>
      <c r="D9" s="5"/>
      <c r="E9" s="5"/>
      <c r="F9" s="5"/>
      <c r="H9" s="60">
        <v>23945.4</v>
      </c>
      <c r="I9" s="60">
        <v>32260.6</v>
      </c>
      <c r="J9" s="60">
        <v>30569.2</v>
      </c>
      <c r="K9" s="60">
        <v>32945.9</v>
      </c>
      <c r="L9" s="60">
        <v>34403.7</v>
      </c>
    </row>
    <row r="10" s="1" customFormat="1" spans="1:13">
      <c r="B10" s="5"/>
      <c r="C10" s="5" t="s">
        <v>9</v>
      </c>
      <c r="D10" s="5"/>
      <c r="E10" s="5"/>
      <c r="F10" s="5"/>
      <c r="H10" s="60">
        <v>14377.6</v>
      </c>
      <c r="I10" s="60">
        <v>14897.1</v>
      </c>
      <c r="J10" s="60">
        <v>13875.5</v>
      </c>
      <c r="K10" s="60">
        <v>16288.7</v>
      </c>
      <c r="L10" s="60">
        <v>15140.2</v>
      </c>
    </row>
    <row r="11" s="1" customFormat="1" spans="1:13">
      <c r="B11" s="5"/>
      <c r="C11" s="5" t="s">
        <v>10</v>
      </c>
      <c r="D11" s="5"/>
      <c r="E11" s="5"/>
      <c r="F11" s="5"/>
      <c r="H11" s="5">
        <v>-3338.4</v>
      </c>
      <c r="I11" s="5">
        <v>-5354.8</v>
      </c>
      <c r="J11" s="5">
        <v>4623.7</v>
      </c>
      <c r="K11" s="5">
        <v>141.2</v>
      </c>
      <c r="L11" s="60">
        <v>-1901.3</v>
      </c>
    </row>
    <row r="12" s="1" customFormat="1" spans="1:13">
      <c r="B12" s="5"/>
      <c r="C12" s="5" t="s">
        <v>11</v>
      </c>
      <c r="D12" s="5"/>
      <c r="E12" s="5"/>
      <c r="F12" s="5"/>
      <c r="H12" s="60">
        <v>16210.3</v>
      </c>
      <c r="I12" s="60">
        <v>19627.1</v>
      </c>
      <c r="J12" s="60">
        <v>21313.5</v>
      </c>
      <c r="K12" s="60">
        <v>22010.1</v>
      </c>
      <c r="L12" s="60">
        <v>24539.2</v>
      </c>
    </row>
    <row r="13" s="1" customFormat="1" spans="1:13">
      <c r="B13" s="5"/>
      <c r="C13" s="5" t="s">
        <v>12</v>
      </c>
      <c r="D13" s="5"/>
      <c r="E13" s="5"/>
      <c r="F13" s="5"/>
      <c r="H13" s="60">
        <v>589.2</v>
      </c>
      <c r="I13" s="60">
        <v>523.7</v>
      </c>
      <c r="J13" s="60">
        <v>1073.6</v>
      </c>
      <c r="K13" s="60">
        <v>1124.1</v>
      </c>
      <c r="L13" s="60">
        <v>1217</v>
      </c>
    </row>
    <row r="14" s="1" customFormat="1" spans="1:13">
      <c r="B14" s="5"/>
      <c r="C14" s="5" t="s">
        <v>13</v>
      </c>
      <c r="D14" s="5"/>
      <c r="E14" s="5"/>
      <c r="F14" s="5"/>
      <c r="H14" s="60">
        <v>2745.8</v>
      </c>
      <c r="I14" s="60">
        <v>3039.6</v>
      </c>
      <c r="J14" s="60">
        <v>3104.2</v>
      </c>
      <c r="K14" s="60">
        <v>2993</v>
      </c>
      <c r="L14" s="60">
        <v>3571.6</v>
      </c>
    </row>
    <row r="15" s="1" customFormat="1" spans="1:13">
      <c r="B15" s="5"/>
      <c r="C15" s="5" t="s">
        <v>14</v>
      </c>
      <c r="D15" s="5"/>
      <c r="E15" s="5"/>
      <c r="F15" s="5"/>
      <c r="H15" s="60">
        <v>18031.3</v>
      </c>
      <c r="I15" s="60">
        <v>24382.7</v>
      </c>
      <c r="J15" s="60">
        <v>29516.2</v>
      </c>
      <c r="K15" s="60">
        <v>32835</v>
      </c>
      <c r="L15" s="60">
        <v>32341.9</v>
      </c>
    </row>
    <row r="16" s="1" customFormat="1" spans="1:13">
      <c r="B16" s="5"/>
      <c r="C16" s="38" t="s">
        <v>15</v>
      </c>
      <c r="D16" s="5"/>
      <c r="E16" s="5"/>
      <c r="F16" s="5"/>
      <c r="H16" s="57">
        <v>72561.2</v>
      </c>
      <c r="I16" s="57">
        <v>89376</v>
      </c>
      <c r="J16" s="57">
        <v>104075.9</v>
      </c>
      <c r="K16" s="57">
        <v>108338</v>
      </c>
      <c r="L16" s="57">
        <v>109312.3</v>
      </c>
    </row>
    <row r="17" s="1" customFormat="1" spans="2:13">
      <c r="B17" s="5"/>
      <c r="C17" s="38" t="s">
        <v>16</v>
      </c>
      <c r="D17" s="5"/>
      <c r="E17" s="5"/>
      <c r="F17" s="5"/>
      <c r="H17" s="57">
        <v>18421</v>
      </c>
      <c r="I17" s="57">
        <v>18592.4</v>
      </c>
      <c r="J17" s="57">
        <v>14077.5</v>
      </c>
      <c r="K17" s="57">
        <v>21446.2</v>
      </c>
      <c r="L17" s="57">
        <v>25270.3</v>
      </c>
    </row>
    <row r="18" s="1" customFormat="1" spans="2:13">
      <c r="B18" s="5"/>
      <c r="C18" s="5" t="s">
        <v>17</v>
      </c>
      <c r="D18" s="5"/>
      <c r="E18" s="5"/>
      <c r="F18" s="5"/>
      <c r="H18" s="60">
        <v>0</v>
      </c>
      <c r="I18" s="60">
        <v>-149.6</v>
      </c>
      <c r="J18" s="60">
        <v>-1029.8</v>
      </c>
      <c r="K18" s="60">
        <v>-1214.9</v>
      </c>
      <c r="L18" s="5"/>
      <c r="M18" s="2"/>
    </row>
    <row r="19" s="1" customFormat="1" spans="2:13">
      <c r="B19" s="5"/>
      <c r="C19" s="5" t="s">
        <v>18</v>
      </c>
      <c r="D19" s="5"/>
      <c r="E19" s="5"/>
      <c r="F19" s="5"/>
      <c r="H19" s="60">
        <v>18421</v>
      </c>
      <c r="I19" s="60">
        <v>18442.8</v>
      </c>
      <c r="J19" s="60">
        <v>13047.7</v>
      </c>
      <c r="K19" s="60">
        <v>20231.3</v>
      </c>
      <c r="L19" s="60">
        <v>25270.3</v>
      </c>
    </row>
    <row r="20" s="1" customFormat="1" spans="2:13">
      <c r="B20" s="5"/>
      <c r="C20" s="5" t="s">
        <v>19</v>
      </c>
      <c r="D20" s="5"/>
      <c r="E20" s="5"/>
      <c r="F20" s="5"/>
      <c r="H20" s="60">
        <v>3965.3</v>
      </c>
      <c r="I20" s="60">
        <v>3619.8</v>
      </c>
      <c r="J20" s="60">
        <v>2739</v>
      </c>
      <c r="K20" s="60">
        <v>4222.8</v>
      </c>
      <c r="L20" s="60">
        <v>5236</v>
      </c>
    </row>
    <row r="21" s="1" customFormat="1" spans="2:13">
      <c r="B21" s="5"/>
      <c r="C21" s="5" t="s">
        <v>20</v>
      </c>
      <c r="D21" s="5"/>
      <c r="E21" s="5"/>
      <c r="F21" s="5"/>
      <c r="H21" s="60">
        <v>-1722</v>
      </c>
      <c r="I21" s="60">
        <v>-1980.2</v>
      </c>
      <c r="J21" s="60">
        <v>240.6</v>
      </c>
      <c r="K21" s="60">
        <v>-2106.1</v>
      </c>
      <c r="L21" s="60">
        <v>-2125.7</v>
      </c>
    </row>
    <row r="22" s="1" customFormat="1" spans="2:13">
      <c r="B22" s="5"/>
      <c r="C22" s="38" t="s">
        <v>21</v>
      </c>
      <c r="D22" s="38"/>
      <c r="E22" s="38"/>
      <c r="F22" s="38"/>
      <c r="H22" s="57">
        <v>2243.3</v>
      </c>
      <c r="I22" s="57">
        <v>1639.6</v>
      </c>
      <c r="J22" s="57">
        <v>2979.6</v>
      </c>
      <c r="K22" s="57">
        <v>2116.7</v>
      </c>
      <c r="L22" s="57">
        <v>3110.3</v>
      </c>
    </row>
    <row r="23" s="1" customFormat="1" spans="2:13">
      <c r="B23" s="5"/>
      <c r="C23" s="5" t="s">
        <v>22</v>
      </c>
      <c r="D23" s="5"/>
      <c r="E23" s="5"/>
      <c r="F23" s="5"/>
      <c r="H23" s="5"/>
      <c r="I23" s="5"/>
      <c r="J23" s="5"/>
      <c r="K23" s="5"/>
      <c r="L23" s="5">
        <v>-6.2</v>
      </c>
    </row>
    <row r="24" s="1" customFormat="1" spans="2:13">
      <c r="B24" s="5"/>
      <c r="C24" s="38" t="s">
        <v>23</v>
      </c>
      <c r="D24" s="5"/>
      <c r="E24" s="5"/>
      <c r="F24" s="5"/>
      <c r="H24" s="57">
        <v>16177.7</v>
      </c>
      <c r="I24" s="57">
        <v>16803.2</v>
      </c>
      <c r="J24" s="57">
        <v>10068.1</v>
      </c>
      <c r="K24" s="57">
        <v>18114.6</v>
      </c>
      <c r="L24" s="57">
        <v>22153.8</v>
      </c>
    </row>
    <row r="25" s="1" customFormat="1" spans="2:13">
      <c r="B25" s="5"/>
      <c r="C25" s="38"/>
      <c r="D25" s="5"/>
      <c r="E25" s="5"/>
      <c r="F25" s="5"/>
      <c r="H25" s="57"/>
      <c r="I25" s="57"/>
      <c r="J25" s="57"/>
      <c r="K25" s="57"/>
      <c r="L25" s="57"/>
    </row>
    <row r="26" spans="2:13">
      <c r="C26" s="58" t="s">
        <v>24</v>
      </c>
      <c r="L26" s="221"/>
    </row>
    <row r="27" spans="2:13">
      <c r="L27" s="221"/>
    </row>
    <row r="28" spans="2:13">
      <c r="C28" s="38" t="s">
        <v>25</v>
      </c>
      <c r="L28" s="221"/>
    </row>
    <row r="29" spans="2:13">
      <c r="C29" s="5" t="s">
        <v>26</v>
      </c>
    </row>
    <row r="30" spans="2:13">
      <c r="C30" s="5" t="s">
        <v>27</v>
      </c>
      <c r="G30" s="59"/>
      <c r="H30" s="59">
        <v>22339.3</v>
      </c>
      <c r="I30" s="59">
        <v>22871</v>
      </c>
      <c r="J30" s="59">
        <v>20654</v>
      </c>
      <c r="K30" s="60">
        <v>21614.6</v>
      </c>
      <c r="L30" s="60">
        <v>20639.3</v>
      </c>
    </row>
    <row r="31" spans="2:13">
      <c r="C31" s="5" t="s">
        <v>28</v>
      </c>
      <c r="G31" s="59"/>
      <c r="H31" s="59"/>
      <c r="I31" s="59"/>
      <c r="J31" s="59">
        <v>1378.5</v>
      </c>
      <c r="K31" s="60">
        <v>2471.7</v>
      </c>
      <c r="L31" s="60">
        <v>3222.2</v>
      </c>
    </row>
    <row r="32" spans="2:13">
      <c r="C32" s="5" t="s">
        <v>29</v>
      </c>
      <c r="G32" s="59"/>
      <c r="H32" s="59">
        <v>3932.8</v>
      </c>
      <c r="I32" s="59">
        <v>3394.8</v>
      </c>
      <c r="J32" s="59">
        <v>3102.7</v>
      </c>
      <c r="K32" s="60">
        <v>1484</v>
      </c>
      <c r="L32" s="60">
        <v>4765.5</v>
      </c>
    </row>
    <row r="33" spans="1:12">
      <c r="C33" s="5" t="s">
        <v>30</v>
      </c>
      <c r="G33" s="59"/>
      <c r="H33" s="59">
        <v>3953.9</v>
      </c>
      <c r="I33" s="59">
        <v>4030.9</v>
      </c>
      <c r="J33" s="59">
        <v>4131.7</v>
      </c>
      <c r="K33" s="60">
        <v>4167.4</v>
      </c>
      <c r="L33" s="60">
        <v>4231.1</v>
      </c>
    </row>
    <row r="34" spans="1:12">
      <c r="C34" s="5" t="s">
        <v>31</v>
      </c>
      <c r="G34" s="59"/>
      <c r="H34" s="59">
        <v>1636.6</v>
      </c>
      <c r="I34" s="59">
        <v>2115.4</v>
      </c>
      <c r="J34" s="61">
        <v>664.1</v>
      </c>
      <c r="K34" s="5">
        <v>474.1</v>
      </c>
      <c r="L34" s="5">
        <v>430.5</v>
      </c>
    </row>
    <row r="35" spans="1:12">
      <c r="C35" s="5" t="s">
        <v>32</v>
      </c>
      <c r="G35" s="61"/>
      <c r="H35" s="61"/>
      <c r="I35" s="61"/>
      <c r="J35" s="61">
        <v>129.7</v>
      </c>
      <c r="K35" s="5">
        <v>101.7</v>
      </c>
      <c r="L35" s="5">
        <v>715.2</v>
      </c>
    </row>
    <row r="36" spans="1:12">
      <c r="C36" s="58" t="s">
        <v>33</v>
      </c>
      <c r="G36" s="61"/>
      <c r="H36" s="61"/>
      <c r="I36" s="61"/>
      <c r="J36" s="61"/>
      <c r="L36" s="5"/>
    </row>
    <row r="37" spans="1:12">
      <c r="C37" s="62" t="s">
        <v>34</v>
      </c>
      <c r="G37" s="59"/>
      <c r="H37" s="59">
        <v>1539.5</v>
      </c>
      <c r="I37" s="59">
        <v>2316.7</v>
      </c>
      <c r="J37" s="59">
        <v>3046.1</v>
      </c>
      <c r="K37" s="5" t="s">
        <v>35</v>
      </c>
      <c r="L37" s="5">
        <v>323.8</v>
      </c>
    </row>
    <row r="38" spans="1:12">
      <c r="C38" s="62" t="s">
        <v>36</v>
      </c>
      <c r="G38" s="61"/>
      <c r="H38" s="61">
        <v>80.2</v>
      </c>
      <c r="I38" s="61">
        <v>80.2</v>
      </c>
      <c r="J38" s="61">
        <v>80.2</v>
      </c>
      <c r="K38" s="60">
        <v>3348</v>
      </c>
      <c r="L38" s="60">
        <v>9108.6</v>
      </c>
    </row>
    <row r="39" spans="1:12">
      <c r="C39" s="62" t="s">
        <v>37</v>
      </c>
      <c r="G39" s="59"/>
      <c r="H39" s="59">
        <v>607.9</v>
      </c>
      <c r="I39" s="59">
        <v>7106.7</v>
      </c>
      <c r="J39" s="59">
        <v>2952.5</v>
      </c>
      <c r="K39" s="60">
        <v>1202.2</v>
      </c>
      <c r="L39" s="60">
        <v>4753.6</v>
      </c>
    </row>
    <row r="40" spans="1:12">
      <c r="C40" s="5" t="s">
        <v>38</v>
      </c>
      <c r="G40" s="59"/>
      <c r="H40" s="59">
        <v>11079.1</v>
      </c>
      <c r="I40" s="59">
        <v>13092.6</v>
      </c>
      <c r="J40" s="59">
        <v>13025</v>
      </c>
      <c r="K40" s="60">
        <v>15148.3</v>
      </c>
      <c r="L40" s="60">
        <v>17382.5</v>
      </c>
    </row>
    <row r="41" spans="1:12">
      <c r="C41" s="5" t="s">
        <v>39</v>
      </c>
      <c r="G41" s="61"/>
      <c r="H41" s="61">
        <v>171.1</v>
      </c>
      <c r="I41" s="61">
        <v>533.1</v>
      </c>
      <c r="J41" s="61">
        <v>575.4</v>
      </c>
      <c r="K41" s="5">
        <v>781.7</v>
      </c>
      <c r="L41" s="5">
        <v>647.1</v>
      </c>
    </row>
    <row r="42" spans="1:12">
      <c r="C42" s="5" t="s">
        <v>40</v>
      </c>
      <c r="G42" s="61"/>
      <c r="H42" s="61">
        <v>564</v>
      </c>
      <c r="I42" s="61">
        <v>796.2</v>
      </c>
      <c r="J42" s="61">
        <v>529.6</v>
      </c>
      <c r="K42" s="5">
        <v>839.5</v>
      </c>
      <c r="L42" s="60">
        <v>1233.4</v>
      </c>
    </row>
    <row r="43" spans="1:12">
      <c r="C43" s="38" t="s">
        <v>41</v>
      </c>
      <c r="D43" s="38"/>
      <c r="E43" s="38"/>
      <c r="F43" s="38"/>
      <c r="G43" s="63"/>
      <c r="H43" s="63">
        <v>45904.4</v>
      </c>
      <c r="I43" s="63">
        <v>56337.6</v>
      </c>
      <c r="J43" s="63">
        <v>50269.5</v>
      </c>
      <c r="K43" s="57">
        <v>51633.2</v>
      </c>
      <c r="L43" s="57">
        <v>67452.8</v>
      </c>
    </row>
    <row r="44" spans="1:12">
      <c r="G44" s="61"/>
      <c r="L44" s="5"/>
    </row>
    <row r="45" spans="1:12">
      <c r="C45" s="58" t="s">
        <v>42</v>
      </c>
    </row>
    <row r="46" spans="1:12">
      <c r="C46" s="5" t="s">
        <v>43</v>
      </c>
      <c r="G46" s="59"/>
      <c r="H46" s="59">
        <v>23124.4</v>
      </c>
      <c r="I46" s="59">
        <v>30055.3</v>
      </c>
      <c r="J46" s="59">
        <v>26075.3</v>
      </c>
      <c r="K46" s="60">
        <v>26611.8</v>
      </c>
      <c r="L46" s="60">
        <v>29224.1</v>
      </c>
    </row>
    <row r="47" spans="1:12">
      <c r="C47" s="64" t="s">
        <v>33</v>
      </c>
      <c r="G47" s="61"/>
      <c r="H47" s="61"/>
      <c r="I47" s="61"/>
      <c r="J47" s="61"/>
      <c r="L47" s="60"/>
    </row>
    <row r="48" s="2" customFormat="1" spans="1:12">
      <c r="A48" s="1"/>
      <c r="B48" s="5"/>
      <c r="C48" s="62" t="s">
        <v>44</v>
      </c>
      <c r="D48" s="5"/>
      <c r="E48" s="5"/>
      <c r="F48" s="5"/>
      <c r="G48" s="59"/>
      <c r="H48" s="59">
        <v>1788.3</v>
      </c>
      <c r="I48" s="59">
        <v>1393.1</v>
      </c>
      <c r="J48" s="59">
        <v>3172.1</v>
      </c>
      <c r="K48" s="60">
        <v>1489.9</v>
      </c>
      <c r="L48" s="60">
        <v>9022.6</v>
      </c>
    </row>
    <row r="49" s="3" customFormat="1" ht="17.6" spans="1:14">
      <c r="A49" s="1"/>
      <c r="B49" s="5"/>
      <c r="C49" s="62" t="s">
        <v>45</v>
      </c>
      <c r="D49" s="5"/>
      <c r="E49" s="5"/>
      <c r="F49" s="5"/>
      <c r="G49" s="59"/>
      <c r="H49" s="59">
        <v>16072.1</v>
      </c>
      <c r="I49" s="59">
        <v>18846</v>
      </c>
      <c r="J49" s="59">
        <v>21321.8</v>
      </c>
      <c r="K49" s="60">
        <v>22528.1</v>
      </c>
      <c r="L49" s="60">
        <v>24662.5</v>
      </c>
      <c r="N49" s="65"/>
    </row>
    <row r="50" s="3" customFormat="1" ht="17.6" spans="1:14">
      <c r="A50" s="1"/>
      <c r="B50" s="5"/>
      <c r="C50" s="62" t="s">
        <v>46</v>
      </c>
      <c r="D50" s="5"/>
      <c r="E50" s="5"/>
      <c r="F50" s="5"/>
      <c r="G50" s="59"/>
      <c r="H50" s="59">
        <v>1742.2</v>
      </c>
      <c r="I50" s="59">
        <v>2321.8</v>
      </c>
      <c r="J50" s="59">
        <v>2738</v>
      </c>
      <c r="K50" s="60">
        <v>4550.7</v>
      </c>
      <c r="L50" s="60">
        <v>3041.4</v>
      </c>
    </row>
    <row r="51" s="3" customFormat="1" ht="17.6" spans="1:14">
      <c r="A51" s="1"/>
      <c r="B51" s="5"/>
      <c r="C51" s="62" t="s">
        <v>47</v>
      </c>
      <c r="D51" s="5"/>
      <c r="E51" s="5"/>
      <c r="F51" s="5"/>
      <c r="G51" s="59"/>
      <c r="H51" s="59">
        <v>18162.3</v>
      </c>
      <c r="I51" s="59">
        <v>23464</v>
      </c>
      <c r="J51" s="59">
        <v>23430.9</v>
      </c>
      <c r="K51" s="60">
        <v>11242.8</v>
      </c>
      <c r="L51" s="60">
        <v>12589.4</v>
      </c>
    </row>
    <row r="52" s="3" customFormat="1" ht="17.6" spans="1:14">
      <c r="A52" s="1"/>
      <c r="B52" s="5"/>
      <c r="C52" s="62" t="s">
        <v>48</v>
      </c>
      <c r="D52" s="5"/>
      <c r="E52" s="5"/>
      <c r="F52" s="5"/>
      <c r="G52" s="61"/>
      <c r="H52" s="61">
        <v>187.3</v>
      </c>
      <c r="I52" s="61">
        <v>202.5</v>
      </c>
      <c r="J52" s="61">
        <v>67.7</v>
      </c>
      <c r="K52" s="5">
        <v>90.7</v>
      </c>
      <c r="L52" s="5">
        <v>90.4</v>
      </c>
    </row>
    <row r="53" s="3" customFormat="1" ht="17.6" spans="1:14">
      <c r="A53" s="1"/>
      <c r="B53" s="5"/>
      <c r="C53" s="62" t="s">
        <v>37</v>
      </c>
      <c r="D53" s="5"/>
      <c r="E53" s="5"/>
      <c r="F53" s="5"/>
      <c r="G53" s="59"/>
      <c r="H53" s="59">
        <v>2606</v>
      </c>
      <c r="I53" s="61">
        <v>1731.5</v>
      </c>
      <c r="J53" s="59">
        <v>1897.5</v>
      </c>
      <c r="K53" s="60">
        <v>29302</v>
      </c>
      <c r="L53" s="60">
        <v>21154.8</v>
      </c>
    </row>
    <row r="54" s="3" customFormat="1" ht="17.6" spans="1:14">
      <c r="A54" s="1"/>
      <c r="B54" s="5"/>
      <c r="C54" s="5" t="s">
        <v>49</v>
      </c>
      <c r="D54" s="5"/>
      <c r="E54" s="5"/>
      <c r="F54" s="5"/>
      <c r="G54" s="59"/>
      <c r="H54" s="59">
        <v>5550.1</v>
      </c>
      <c r="I54" s="59">
        <v>6322.8</v>
      </c>
      <c r="J54" s="59">
        <v>7360.9</v>
      </c>
      <c r="K54" s="60">
        <v>8299.8</v>
      </c>
      <c r="L54" s="60">
        <v>8326.7</v>
      </c>
    </row>
    <row r="55" s="3" customFormat="1" ht="17.6" spans="1:14">
      <c r="A55" s="1"/>
      <c r="B55" s="5"/>
      <c r="C55" s="5" t="s">
        <v>50</v>
      </c>
      <c r="D55" s="5"/>
      <c r="E55" s="5"/>
      <c r="F55" s="5"/>
      <c r="G55" s="63"/>
      <c r="H55" s="63">
        <v>69232.7</v>
      </c>
      <c r="I55" s="63">
        <v>84337</v>
      </c>
      <c r="J55" s="63">
        <v>86064.2</v>
      </c>
      <c r="K55" s="57">
        <v>104115.8</v>
      </c>
      <c r="L55" s="57">
        <v>108111.9</v>
      </c>
    </row>
    <row r="56" s="3" customFormat="1" ht="17.6" spans="1:14">
      <c r="A56" s="1"/>
      <c r="B56" s="5"/>
      <c r="C56" s="5" t="s">
        <v>51</v>
      </c>
      <c r="D56" s="5"/>
      <c r="E56" s="5"/>
      <c r="F56" s="5"/>
      <c r="G56" s="61"/>
      <c r="H56" s="61">
        <v>55.5</v>
      </c>
      <c r="I56" s="61">
        <v>17.3</v>
      </c>
      <c r="J56" s="59">
        <v>1232.6</v>
      </c>
      <c r="K56" s="5"/>
      <c r="L56" s="60">
        <v>1346.3</v>
      </c>
    </row>
    <row r="57" s="3" customFormat="1" ht="17.6" spans="1:14">
      <c r="A57" s="1"/>
      <c r="B57" s="5"/>
      <c r="C57" s="38" t="s">
        <v>52</v>
      </c>
      <c r="D57" s="38"/>
      <c r="E57" s="38"/>
      <c r="F57" s="38"/>
      <c r="G57" s="63"/>
      <c r="H57" s="63">
        <v>115192.6</v>
      </c>
      <c r="I57" s="63">
        <v>140691.9</v>
      </c>
      <c r="J57" s="63">
        <v>137566.3</v>
      </c>
      <c r="K57" s="57">
        <v>155749</v>
      </c>
      <c r="L57" s="57">
        <v>176911</v>
      </c>
    </row>
    <row r="58" s="3" customFormat="1" ht="17.6" spans="1:14">
      <c r="A58" s="1"/>
      <c r="B58" s="5"/>
      <c r="C58" s="5"/>
      <c r="D58" s="5"/>
      <c r="E58" s="5"/>
      <c r="F58" s="5"/>
      <c r="G58" s="5"/>
      <c r="H58" s="61"/>
      <c r="I58" s="61"/>
      <c r="J58" s="61"/>
      <c r="K58" s="5"/>
      <c r="L58" s="5"/>
    </row>
    <row r="59" s="3" customFormat="1" ht="17.6" spans="1:14">
      <c r="A59" s="1"/>
      <c r="B59" s="5"/>
      <c r="C59" s="38" t="s">
        <v>53</v>
      </c>
      <c r="D59" s="5"/>
      <c r="E59" s="5"/>
      <c r="F59" s="5"/>
      <c r="G59" s="61"/>
      <c r="H59" s="59"/>
      <c r="I59" s="59"/>
      <c r="J59" s="59"/>
      <c r="K59" s="5"/>
      <c r="L59" s="5"/>
    </row>
    <row r="60" s="3" customFormat="1" ht="17.6" spans="1:14">
      <c r="A60" s="1"/>
      <c r="B60" s="5"/>
      <c r="C60" s="5" t="s">
        <v>54</v>
      </c>
      <c r="D60" s="5"/>
      <c r="E60" s="5"/>
      <c r="F60" s="5"/>
      <c r="G60" s="59"/>
    </row>
    <row r="61" s="3" customFormat="1" ht="17.6" spans="1:14">
      <c r="A61" s="1"/>
      <c r="B61" s="5"/>
      <c r="C61" s="5" t="s">
        <v>55</v>
      </c>
      <c r="D61" s="5"/>
      <c r="E61" s="5"/>
      <c r="F61" s="5"/>
      <c r="G61" s="61"/>
      <c r="H61" s="61">
        <v>239.1</v>
      </c>
      <c r="I61" s="61">
        <v>239.1</v>
      </c>
      <c r="J61" s="61">
        <v>239.1</v>
      </c>
      <c r="K61" s="5">
        <v>239.1</v>
      </c>
      <c r="L61" s="5">
        <v>239.1</v>
      </c>
    </row>
    <row r="62" s="3" customFormat="1" ht="17.6" spans="1:14">
      <c r="A62" s="1"/>
      <c r="B62" s="5"/>
      <c r="C62" s="5" t="s">
        <v>56</v>
      </c>
      <c r="D62" s="5"/>
      <c r="E62" s="5"/>
      <c r="F62" s="5"/>
      <c r="G62" s="59"/>
      <c r="H62" s="59">
        <v>73528.2</v>
      </c>
      <c r="I62" s="59">
        <v>86139.9</v>
      </c>
      <c r="J62" s="59">
        <v>90213.8</v>
      </c>
      <c r="K62" s="60">
        <v>102881.5</v>
      </c>
      <c r="L62" s="60">
        <v>119609.6</v>
      </c>
    </row>
    <row r="63" s="3" customFormat="1" ht="17.6" spans="1:14">
      <c r="A63" s="1"/>
      <c r="B63" s="5"/>
      <c r="C63" s="5" t="s">
        <v>57</v>
      </c>
      <c r="D63" s="5"/>
      <c r="E63" s="5"/>
      <c r="F63" s="5"/>
      <c r="G63" s="59"/>
      <c r="H63" s="59">
        <v>73767.3</v>
      </c>
      <c r="I63" s="59">
        <v>86379</v>
      </c>
      <c r="J63" s="59">
        <v>90452.9</v>
      </c>
      <c r="K63" s="60">
        <v>103120.6</v>
      </c>
      <c r="L63" s="60">
        <v>119848.7</v>
      </c>
    </row>
    <row r="64" s="3" customFormat="1" ht="17.6" spans="1:14">
      <c r="A64" s="1"/>
      <c r="B64" s="5"/>
      <c r="C64" s="5" t="s">
        <v>58</v>
      </c>
      <c r="D64" s="5"/>
      <c r="E64" s="5"/>
      <c r="F64" s="5"/>
      <c r="G64" s="59"/>
      <c r="H64" s="59">
        <v>1812.8</v>
      </c>
      <c r="I64" s="59">
        <v>2094.3</v>
      </c>
      <c r="J64" s="59">
        <v>3897.1</v>
      </c>
      <c r="K64" s="60">
        <v>4023.4</v>
      </c>
      <c r="L64" s="60">
        <v>4487.6</v>
      </c>
    </row>
    <row r="65" s="3" customFormat="1" ht="17.6" spans="1:12">
      <c r="A65" s="1"/>
      <c r="B65" s="5"/>
      <c r="C65" s="38" t="s">
        <v>59</v>
      </c>
      <c r="D65" s="38"/>
      <c r="E65" s="38"/>
      <c r="F65" s="38"/>
      <c r="G65" s="63"/>
      <c r="H65" s="63">
        <v>75580.1</v>
      </c>
      <c r="I65" s="63">
        <v>88473.3</v>
      </c>
      <c r="J65" s="63">
        <v>94350</v>
      </c>
      <c r="K65" s="57">
        <v>107144</v>
      </c>
      <c r="L65" s="57">
        <v>124336.3</v>
      </c>
    </row>
    <row r="66" s="3" customFormat="1" ht="17.6" spans="1:12">
      <c r="A66" s="1"/>
      <c r="B66" s="5"/>
      <c r="C66" s="38"/>
      <c r="D66" s="38"/>
      <c r="E66" s="38"/>
      <c r="F66" s="38"/>
      <c r="G66" s="61"/>
      <c r="H66" s="61"/>
      <c r="I66" s="61"/>
      <c r="J66" s="61"/>
      <c r="K66" s="5"/>
      <c r="L66" s="5"/>
    </row>
    <row r="67" s="3" customFormat="1" ht="17.6" spans="1:12">
      <c r="A67" s="1"/>
      <c r="B67" s="5"/>
      <c r="C67" s="38" t="s">
        <v>60</v>
      </c>
      <c r="D67" s="5"/>
      <c r="E67" s="5"/>
      <c r="F67" s="5"/>
      <c r="G67" s="61"/>
      <c r="H67" s="61"/>
      <c r="I67" s="61"/>
      <c r="J67" s="61"/>
      <c r="K67" s="5"/>
      <c r="L67" s="5"/>
    </row>
    <row r="68" s="3" customFormat="1" ht="17.6" spans="1:12">
      <c r="A68" s="1"/>
      <c r="B68" s="5"/>
      <c r="C68" s="38" t="s">
        <v>61</v>
      </c>
      <c r="D68" s="5"/>
      <c r="E68" s="5"/>
      <c r="F68" s="5"/>
      <c r="G68" s="61"/>
      <c r="H68" s="5"/>
      <c r="I68" s="5"/>
      <c r="J68" s="5"/>
      <c r="K68" s="5"/>
      <c r="L68" s="5"/>
    </row>
    <row r="69" s="3" customFormat="1" ht="17.6" spans="1:12">
      <c r="A69" s="1"/>
      <c r="B69" s="5"/>
      <c r="C69" s="64" t="s">
        <v>62</v>
      </c>
      <c r="D69" s="5"/>
      <c r="E69" s="5"/>
      <c r="F69" s="5"/>
      <c r="G69" s="5"/>
    </row>
    <row r="70" s="3" customFormat="1" ht="17.6" spans="1:12">
      <c r="A70" s="1"/>
      <c r="B70" s="5"/>
      <c r="C70" s="62" t="s">
        <v>63</v>
      </c>
      <c r="D70" s="5"/>
      <c r="E70" s="5"/>
      <c r="F70" s="5"/>
      <c r="G70" s="61"/>
      <c r="H70" s="61">
        <v>279.3</v>
      </c>
      <c r="I70" s="61">
        <v>93.8</v>
      </c>
      <c r="J70" s="61">
        <v>0</v>
      </c>
      <c r="K70" s="5">
        <v>400</v>
      </c>
      <c r="L70" s="60">
        <v>3109.1</v>
      </c>
    </row>
    <row r="71" s="3" customFormat="1" ht="17.6" spans="1:12">
      <c r="A71" s="1"/>
      <c r="B71" s="5"/>
      <c r="C71" s="62" t="s">
        <v>64</v>
      </c>
      <c r="D71" s="5"/>
      <c r="E71" s="5"/>
      <c r="F71" s="5"/>
      <c r="G71" s="61"/>
      <c r="H71" s="61">
        <v>697.1</v>
      </c>
      <c r="I71" s="61">
        <v>664.7</v>
      </c>
      <c r="J71" s="61">
        <v>703.3</v>
      </c>
      <c r="K71" s="60">
        <v>1892.6</v>
      </c>
      <c r="L71" s="60">
        <v>2674.2</v>
      </c>
    </row>
    <row r="72" s="3" customFormat="1" ht="17.6" spans="1:12">
      <c r="A72" s="1"/>
      <c r="B72" s="5"/>
      <c r="C72" s="62" t="s">
        <v>65</v>
      </c>
      <c r="D72" s="5"/>
      <c r="E72" s="5"/>
      <c r="F72" s="5"/>
      <c r="G72" s="61"/>
      <c r="H72" s="61"/>
      <c r="I72" s="61"/>
      <c r="J72" s="59">
        <v>1660.1</v>
      </c>
      <c r="K72" s="60">
        <v>3109.9</v>
      </c>
      <c r="L72" s="60">
        <v>3539.9</v>
      </c>
    </row>
    <row r="73" s="3" customFormat="1" ht="17.6" spans="1:12">
      <c r="A73" s="1"/>
      <c r="B73" s="5"/>
      <c r="C73" s="5" t="s">
        <v>66</v>
      </c>
      <c r="D73" s="5"/>
      <c r="E73" s="5"/>
      <c r="F73" s="5"/>
      <c r="G73" s="59"/>
      <c r="H73" s="59">
        <v>2507.3</v>
      </c>
      <c r="I73" s="59">
        <v>3327.5</v>
      </c>
      <c r="J73" s="59">
        <v>3693.6</v>
      </c>
      <c r="K73" s="60">
        <v>2998.6</v>
      </c>
      <c r="L73" s="60">
        <v>3382.2</v>
      </c>
    </row>
    <row r="74" s="3" customFormat="1" ht="17.6" spans="1:12">
      <c r="A74" s="1"/>
      <c r="B74" s="5"/>
      <c r="C74" s="5" t="s">
        <v>67</v>
      </c>
      <c r="D74" s="5"/>
      <c r="E74" s="5"/>
      <c r="F74" s="5"/>
      <c r="G74" s="61"/>
      <c r="H74" s="61">
        <v>88.3</v>
      </c>
      <c r="I74" s="61">
        <v>79.2</v>
      </c>
      <c r="J74" s="61">
        <v>88</v>
      </c>
      <c r="K74" s="5">
        <v>258.4</v>
      </c>
      <c r="L74" s="5">
        <v>219.5</v>
      </c>
    </row>
    <row r="75" s="3" customFormat="1" ht="17.6" spans="1:12">
      <c r="A75" s="1"/>
      <c r="B75" s="5"/>
      <c r="C75" s="38" t="s">
        <v>68</v>
      </c>
      <c r="D75" s="38"/>
      <c r="E75" s="38"/>
      <c r="F75" s="38"/>
      <c r="G75" s="63"/>
      <c r="H75" s="63">
        <v>3572</v>
      </c>
      <c r="I75" s="63">
        <v>4165.2</v>
      </c>
      <c r="J75" s="63">
        <v>6145</v>
      </c>
      <c r="K75" s="57">
        <v>8659.5</v>
      </c>
      <c r="L75" s="57">
        <v>12924.9</v>
      </c>
    </row>
    <row r="76" s="3" customFormat="1" ht="17.6" spans="1:12">
      <c r="A76" s="1"/>
      <c r="B76" s="5"/>
      <c r="C76" s="38"/>
      <c r="D76" s="38"/>
      <c r="E76" s="38"/>
      <c r="F76" s="38"/>
      <c r="G76" s="5"/>
      <c r="H76" s="61"/>
      <c r="I76" s="61"/>
      <c r="J76" s="61"/>
      <c r="K76" s="5"/>
      <c r="L76" s="5"/>
    </row>
    <row r="77" s="3" customFormat="1" ht="17.6" spans="1:12">
      <c r="A77" s="1"/>
      <c r="B77" s="5"/>
      <c r="C77" s="38" t="s">
        <v>69</v>
      </c>
      <c r="D77" s="5"/>
      <c r="E77" s="5"/>
      <c r="F77" s="5"/>
      <c r="G77" s="61"/>
      <c r="H77" s="5"/>
      <c r="I77" s="5"/>
      <c r="J77" s="5"/>
      <c r="K77" s="5"/>
      <c r="L77" s="5"/>
    </row>
    <row r="78" s="3" customFormat="1" ht="17.6" spans="1:12">
      <c r="A78" s="1"/>
      <c r="B78" s="5"/>
      <c r="C78" s="38" t="s">
        <v>62</v>
      </c>
      <c r="D78" s="5"/>
      <c r="E78" s="5"/>
      <c r="F78" s="5"/>
      <c r="G78" s="5"/>
    </row>
    <row r="79" s="3" customFormat="1" ht="17.6" spans="1:12">
      <c r="A79" s="1"/>
      <c r="B79" s="5"/>
      <c r="C79" s="62" t="s">
        <v>63</v>
      </c>
      <c r="D79" s="5"/>
      <c r="E79" s="5"/>
      <c r="F79" s="5"/>
      <c r="G79" s="59"/>
      <c r="H79" s="59">
        <v>16727.9</v>
      </c>
      <c r="I79" s="59">
        <v>25707.4</v>
      </c>
      <c r="J79" s="59">
        <v>13071.5</v>
      </c>
      <c r="K79" s="60">
        <v>11739.7</v>
      </c>
      <c r="L79" s="60">
        <v>7518.8</v>
      </c>
    </row>
    <row r="80" s="3" customFormat="1" ht="17.6" spans="1:12">
      <c r="A80" s="1"/>
      <c r="B80" s="5"/>
      <c r="C80" s="62" t="s">
        <v>64</v>
      </c>
      <c r="D80" s="5"/>
      <c r="E80" s="5"/>
      <c r="F80" s="5"/>
      <c r="G80" s="59"/>
      <c r="H80" s="59">
        <v>215.5</v>
      </c>
      <c r="I80" s="59">
        <v>216</v>
      </c>
      <c r="J80" s="61">
        <v>192</v>
      </c>
      <c r="K80" s="5">
        <v>151.8</v>
      </c>
      <c r="L80" s="5">
        <v>506.9</v>
      </c>
    </row>
    <row r="81" s="3" customFormat="1" ht="17.6" spans="1:12">
      <c r="A81" s="1"/>
      <c r="B81" s="5"/>
      <c r="C81" s="66" t="s">
        <v>70</v>
      </c>
      <c r="D81" s="5"/>
      <c r="E81" s="5"/>
      <c r="F81" s="5"/>
      <c r="G81" s="59"/>
      <c r="H81" s="59"/>
      <c r="I81" s="59"/>
      <c r="J81" s="61"/>
      <c r="K81" s="5"/>
      <c r="L81" s="5"/>
    </row>
    <row r="82" s="3" customFormat="1" ht="17.6" spans="1:12">
      <c r="A82" s="1"/>
      <c r="B82" s="5"/>
      <c r="C82" s="62" t="s">
        <v>71</v>
      </c>
      <c r="D82" s="5"/>
      <c r="E82" s="5"/>
      <c r="F82" s="5"/>
      <c r="G82" s="59"/>
      <c r="H82" s="59">
        <v>1189.6</v>
      </c>
      <c r="I82" s="61">
        <v>924.2</v>
      </c>
      <c r="J82" s="59">
        <v>1104.6</v>
      </c>
      <c r="K82" s="5">
        <v>670</v>
      </c>
      <c r="L82" s="5">
        <v>879.8</v>
      </c>
    </row>
    <row r="83" s="3" customFormat="1" ht="17.6" spans="1:12">
      <c r="A83" s="1"/>
      <c r="B83" s="5"/>
      <c r="C83" s="62" t="s">
        <v>72</v>
      </c>
      <c r="D83" s="5"/>
      <c r="E83" s="5"/>
      <c r="F83" s="5"/>
      <c r="G83" s="59"/>
      <c r="H83" s="59">
        <v>9504.5</v>
      </c>
      <c r="I83" s="59">
        <v>10809.6</v>
      </c>
      <c r="J83" s="59">
        <v>10545.5</v>
      </c>
      <c r="K83" s="60">
        <v>16811.2</v>
      </c>
      <c r="L83" s="60">
        <v>17513.7</v>
      </c>
    </row>
    <row r="84" s="3" customFormat="1" ht="17.6" spans="1:12">
      <c r="A84" s="1"/>
      <c r="B84" s="5"/>
      <c r="C84" s="62" t="s">
        <v>65</v>
      </c>
      <c r="D84" s="5"/>
      <c r="E84" s="5"/>
      <c r="F84" s="5"/>
      <c r="G84" s="59"/>
      <c r="H84" s="59">
        <v>4653.9</v>
      </c>
      <c r="I84" s="59">
        <v>5993.8</v>
      </c>
      <c r="J84" s="59">
        <v>6326.9</v>
      </c>
      <c r="K84" s="60">
        <v>6457.7</v>
      </c>
      <c r="L84" s="60">
        <v>7908.6</v>
      </c>
    </row>
    <row r="85" s="3" customFormat="1" ht="17.6" spans="1:12">
      <c r="A85" s="1"/>
      <c r="B85" s="5"/>
      <c r="C85" s="5" t="s">
        <v>73</v>
      </c>
      <c r="D85" s="5"/>
      <c r="E85" s="5"/>
      <c r="F85" s="5"/>
      <c r="G85" s="59"/>
      <c r="H85" s="59">
        <v>1193.4</v>
      </c>
      <c r="I85" s="59">
        <v>1503.2</v>
      </c>
      <c r="J85" s="59">
        <v>1868.9</v>
      </c>
      <c r="K85" s="60">
        <v>2296.5</v>
      </c>
      <c r="L85" s="60">
        <v>3057</v>
      </c>
    </row>
    <row r="86" s="3" customFormat="1" ht="17.6" spans="1:12">
      <c r="A86" s="1"/>
      <c r="B86" s="5"/>
      <c r="C86" s="5" t="s">
        <v>66</v>
      </c>
      <c r="D86" s="5"/>
      <c r="E86" s="5"/>
      <c r="F86" s="5"/>
      <c r="G86" s="59"/>
      <c r="H86" s="59">
        <v>2366.4</v>
      </c>
      <c r="I86" s="59">
        <v>2736</v>
      </c>
      <c r="J86" s="59">
        <v>3727.5</v>
      </c>
      <c r="K86" s="60">
        <v>1268.7</v>
      </c>
      <c r="L86" s="60">
        <v>1591.1</v>
      </c>
    </row>
    <row r="87" s="3" customFormat="1" ht="17.6" spans="1:12">
      <c r="A87" s="1"/>
      <c r="B87" s="5"/>
      <c r="C87" s="5" t="s">
        <v>74</v>
      </c>
      <c r="D87" s="5"/>
      <c r="E87" s="5"/>
      <c r="F87" s="5"/>
      <c r="G87" s="59"/>
      <c r="H87" s="59">
        <v>189.3</v>
      </c>
      <c r="I87" s="59">
        <v>163.2</v>
      </c>
      <c r="J87" s="61">
        <v>234.4</v>
      </c>
      <c r="K87" s="5">
        <v>549.9</v>
      </c>
      <c r="L87" s="5">
        <v>611</v>
      </c>
    </row>
    <row r="88" s="3" customFormat="1" ht="17.6" spans="1:12">
      <c r="A88" s="1"/>
      <c r="B88" s="5"/>
      <c r="C88" s="38" t="s">
        <v>75</v>
      </c>
      <c r="D88" s="38"/>
      <c r="E88" s="38"/>
      <c r="F88" s="38"/>
      <c r="G88" s="63"/>
      <c r="H88" s="63">
        <v>36040.5</v>
      </c>
      <c r="I88" s="63">
        <v>48053.4</v>
      </c>
      <c r="J88" s="63">
        <v>37071.5</v>
      </c>
      <c r="K88" s="57">
        <v>39945.5</v>
      </c>
      <c r="L88" s="57">
        <v>39586.9</v>
      </c>
    </row>
    <row r="89" s="3" customFormat="1" ht="17.6" spans="1:12">
      <c r="A89" s="1"/>
      <c r="B89" s="5"/>
      <c r="C89" s="5" t="s">
        <v>76</v>
      </c>
      <c r="D89" s="5"/>
      <c r="E89" s="5"/>
      <c r="F89" s="5"/>
      <c r="G89" s="5"/>
      <c r="H89" s="5"/>
      <c r="I89" s="5"/>
      <c r="J89" s="5"/>
      <c r="K89" s="5" t="s">
        <v>35</v>
      </c>
      <c r="L89" s="5">
        <v>62.9</v>
      </c>
    </row>
    <row r="90" s="3" customFormat="1" ht="17.6" spans="1:12">
      <c r="A90" s="1"/>
      <c r="B90" s="5"/>
      <c r="C90" s="38" t="s">
        <v>77</v>
      </c>
      <c r="D90" s="38"/>
      <c r="E90" s="38"/>
      <c r="F90" s="38"/>
      <c r="G90" s="63"/>
      <c r="H90" s="63">
        <v>39612.5</v>
      </c>
      <c r="I90" s="63">
        <v>52218.6</v>
      </c>
      <c r="J90" s="63">
        <v>43216.5</v>
      </c>
      <c r="K90" s="57">
        <v>48605</v>
      </c>
      <c r="L90" s="57">
        <v>52574.7</v>
      </c>
    </row>
    <row r="91" s="3" customFormat="1" ht="17.6" spans="1:12">
      <c r="A91" s="1"/>
      <c r="B91" s="5"/>
      <c r="C91" s="38" t="s">
        <v>78</v>
      </c>
      <c r="D91" s="38"/>
      <c r="E91" s="38"/>
      <c r="F91" s="38"/>
      <c r="G91" s="63"/>
      <c r="H91" s="63">
        <v>115192.6</v>
      </c>
      <c r="I91" s="63">
        <v>140691.9</v>
      </c>
      <c r="J91" s="63">
        <v>137566.5</v>
      </c>
      <c r="K91" s="57">
        <v>155749</v>
      </c>
      <c r="L91" s="57">
        <v>176911</v>
      </c>
    </row>
    <row r="92" s="3" customFormat="1" ht="17.6" spans="1:12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="3" customFormat="1" ht="17.6" spans="1:12">
      <c r="A93" s="1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="3" customFormat="1" ht="17.6" spans="1:12">
      <c r="A94" s="1"/>
      <c r="B94" s="5"/>
      <c r="C94" s="58" t="s">
        <v>79</v>
      </c>
      <c r="D94" s="5"/>
      <c r="E94" s="5"/>
      <c r="F94" s="5"/>
      <c r="G94" s="5"/>
      <c r="H94" s="5"/>
      <c r="I94" s="5"/>
      <c r="J94" s="5"/>
      <c r="K94" s="5"/>
      <c r="L94" s="5"/>
    </row>
    <row r="95" s="3" customFormat="1" ht="17.6" spans="1:12">
      <c r="A95" s="1"/>
      <c r="B95" s="5"/>
      <c r="C95" s="38" t="s">
        <v>80</v>
      </c>
      <c r="D95" s="38"/>
      <c r="E95" s="38"/>
      <c r="F95" s="38"/>
      <c r="G95" s="38"/>
      <c r="H95" s="38"/>
      <c r="I95" s="38"/>
      <c r="J95" s="38"/>
      <c r="K95" s="38"/>
      <c r="L95" s="38"/>
    </row>
    <row r="96" s="3" customFormat="1" ht="17.6" spans="1:12">
      <c r="A96" s="1"/>
      <c r="B96" s="5"/>
      <c r="C96" s="38" t="s">
        <v>81</v>
      </c>
      <c r="D96" s="38"/>
      <c r="E96" s="38"/>
      <c r="F96" s="38"/>
      <c r="G96" s="63"/>
      <c r="H96" s="63">
        <v>18421</v>
      </c>
      <c r="I96" s="63">
        <v>18442.8</v>
      </c>
      <c r="J96" s="63">
        <v>13047.7</v>
      </c>
      <c r="K96" s="57">
        <v>20231.3</v>
      </c>
      <c r="L96" s="57">
        <v>25270.3</v>
      </c>
    </row>
    <row r="97" s="3" customFormat="1" ht="17.6" spans="1:14">
      <c r="A97" s="1"/>
      <c r="B97" s="5"/>
      <c r="C97" s="5" t="s">
        <v>82</v>
      </c>
      <c r="D97" s="5"/>
      <c r="E97" s="5"/>
      <c r="F97" s="5"/>
      <c r="G97" s="59"/>
      <c r="H97" s="59"/>
      <c r="I97" s="59"/>
      <c r="J97" s="61"/>
      <c r="K97" s="5"/>
      <c r="L97" s="5"/>
    </row>
    <row r="98" s="3" customFormat="1" ht="17.6" spans="1:14">
      <c r="A98" s="1"/>
      <c r="B98" s="5"/>
      <c r="C98" s="5" t="s">
        <v>83</v>
      </c>
      <c r="D98" s="5"/>
      <c r="E98" s="5"/>
      <c r="F98" s="5"/>
      <c r="G98" s="59"/>
      <c r="H98" s="59">
        <v>2745.8</v>
      </c>
      <c r="I98" s="61">
        <v>3039.6</v>
      </c>
      <c r="J98" s="59">
        <v>3104.2</v>
      </c>
      <c r="K98" s="60">
        <v>2993</v>
      </c>
      <c r="L98" s="60">
        <v>3571.6</v>
      </c>
    </row>
    <row r="99" s="3" customFormat="1" ht="17.6" spans="1:14">
      <c r="A99" s="1"/>
      <c r="B99" s="5"/>
      <c r="C99" s="5" t="s">
        <v>84</v>
      </c>
      <c r="D99" s="5"/>
      <c r="E99" s="5"/>
      <c r="F99" s="5"/>
      <c r="G99" s="61"/>
      <c r="H99" s="61" t="s">
        <v>35</v>
      </c>
      <c r="I99" s="61">
        <v>-160.1</v>
      </c>
      <c r="J99" s="61">
        <v>-17.5</v>
      </c>
      <c r="K99" s="5">
        <v>-19.8</v>
      </c>
      <c r="L99" s="5">
        <v>-155.1</v>
      </c>
    </row>
    <row r="100" s="3" customFormat="1" ht="17.6" spans="1:14">
      <c r="A100" s="1"/>
      <c r="B100" s="5"/>
      <c r="C100" s="5" t="s">
        <v>85</v>
      </c>
      <c r="D100" s="5"/>
      <c r="E100" s="5"/>
      <c r="F100" s="5"/>
      <c r="G100" s="61"/>
      <c r="H100" s="61">
        <f>-102.6+-351</f>
        <v>-453.6</v>
      </c>
      <c r="I100" s="59">
        <v>-33.8</v>
      </c>
      <c r="J100" s="61">
        <v>-21.6</v>
      </c>
      <c r="K100" s="5">
        <v>-146.3</v>
      </c>
      <c r="L100" s="5">
        <v>-110.2</v>
      </c>
    </row>
    <row r="101" s="3" customFormat="1" ht="17.6" spans="1:14">
      <c r="A101" s="1"/>
      <c r="B101" s="5"/>
      <c r="C101" s="5" t="s">
        <v>86</v>
      </c>
      <c r="D101" s="5"/>
      <c r="E101" s="5"/>
      <c r="F101" s="5"/>
      <c r="G101" s="59"/>
      <c r="H101" s="59">
        <v>-266.9</v>
      </c>
      <c r="I101" s="61">
        <v>69</v>
      </c>
      <c r="J101" s="61">
        <v>-287</v>
      </c>
      <c r="K101" s="5">
        <v>-5.4</v>
      </c>
      <c r="L101" s="5">
        <v>-418.7</v>
      </c>
    </row>
    <row r="102" s="3" customFormat="1" ht="17.6" spans="1:14">
      <c r="A102" s="1"/>
      <c r="B102" s="5"/>
      <c r="C102" s="5" t="s">
        <v>87</v>
      </c>
      <c r="D102" s="5"/>
      <c r="E102" s="5"/>
      <c r="F102" s="5"/>
      <c r="G102" s="61"/>
      <c r="H102" s="61">
        <v>-37</v>
      </c>
      <c r="I102" s="61">
        <v>14.3</v>
      </c>
      <c r="J102" s="61">
        <v>123.6</v>
      </c>
      <c r="K102" s="5">
        <v>31.8</v>
      </c>
      <c r="L102" s="5">
        <v>-46</v>
      </c>
    </row>
    <row r="103" s="3" customFormat="1" ht="17.6" spans="1:14">
      <c r="A103" s="1"/>
      <c r="B103" s="5"/>
      <c r="C103" s="5" t="s">
        <v>88</v>
      </c>
      <c r="D103" s="5"/>
      <c r="E103" s="5"/>
      <c r="F103" s="5"/>
      <c r="G103" s="61"/>
      <c r="H103" s="61">
        <v>1.1</v>
      </c>
      <c r="I103" s="61"/>
      <c r="J103" s="61"/>
      <c r="K103" s="5">
        <v>189.4</v>
      </c>
      <c r="L103" s="5">
        <v>166.1</v>
      </c>
    </row>
    <row r="104" s="3" customFormat="1" ht="17.6" spans="1:14">
      <c r="A104" s="1"/>
      <c r="B104" s="5"/>
      <c r="C104" s="5" t="s">
        <v>89</v>
      </c>
      <c r="D104" s="5"/>
      <c r="E104" s="5"/>
      <c r="F104" s="5"/>
      <c r="G104" s="59"/>
      <c r="H104" s="59">
        <v>9.7</v>
      </c>
      <c r="I104" s="59">
        <v>-177</v>
      </c>
      <c r="J104" s="61">
        <v>-118.8</v>
      </c>
      <c r="K104" s="5">
        <v>594.3</v>
      </c>
      <c r="L104" s="5">
        <v>111.6</v>
      </c>
    </row>
    <row r="105" s="3" customFormat="1" ht="17.6" spans="1:14">
      <c r="A105" s="1"/>
      <c r="B105" s="5"/>
      <c r="C105" s="5" t="s">
        <v>90</v>
      </c>
      <c r="D105" s="5"/>
      <c r="E105" s="5"/>
      <c r="F105" s="5"/>
      <c r="G105" s="61"/>
      <c r="H105" s="61">
        <v>-0.2</v>
      </c>
      <c r="I105" s="59">
        <v>-1.9</v>
      </c>
      <c r="J105" s="61">
        <v>-1.9</v>
      </c>
      <c r="K105" s="5">
        <v>-1.9</v>
      </c>
      <c r="L105" s="5">
        <v>-1.7</v>
      </c>
    </row>
    <row r="106" s="3" customFormat="1" ht="17.6" spans="1:14">
      <c r="A106" s="1"/>
      <c r="B106" s="5"/>
      <c r="C106" s="5" t="s">
        <v>91</v>
      </c>
      <c r="D106" s="5"/>
      <c r="E106" s="5"/>
      <c r="F106" s="5"/>
      <c r="G106" s="61"/>
      <c r="H106" s="61" t="s">
        <v>35</v>
      </c>
      <c r="I106" s="59">
        <v>11.2</v>
      </c>
      <c r="J106" s="59">
        <v>1051.5</v>
      </c>
      <c r="K106" s="60">
        <v>-2757.7</v>
      </c>
      <c r="L106" s="60">
        <v>-3587.8</v>
      </c>
    </row>
    <row r="107" s="3" customFormat="1" ht="17.6" spans="1:14">
      <c r="A107" s="1"/>
      <c r="B107" s="5"/>
      <c r="C107" s="5" t="s">
        <v>92</v>
      </c>
      <c r="D107" s="5"/>
      <c r="E107" s="5"/>
      <c r="F107" s="5"/>
      <c r="G107" s="61"/>
      <c r="H107" s="61">
        <v>-901.2</v>
      </c>
      <c r="I107" s="59">
        <v>-1226.8</v>
      </c>
      <c r="J107" s="59">
        <v>-1711.4</v>
      </c>
      <c r="K107" s="5">
        <v>992.2</v>
      </c>
      <c r="L107" s="5">
        <v>137.3</v>
      </c>
    </row>
    <row r="108" s="3" customFormat="1" ht="17.6" spans="1:14">
      <c r="A108" s="1"/>
      <c r="B108" s="5"/>
      <c r="C108" s="5" t="s">
        <v>93</v>
      </c>
      <c r="D108" s="5"/>
      <c r="E108" s="5"/>
      <c r="F108" s="5"/>
      <c r="G108" s="61"/>
      <c r="H108" s="61">
        <v>589.2</v>
      </c>
      <c r="I108" s="59">
        <v>523.7</v>
      </c>
      <c r="J108" s="59">
        <v>1073.6</v>
      </c>
      <c r="K108" s="60">
        <v>1124.1</v>
      </c>
      <c r="L108" s="60">
        <v>1217</v>
      </c>
    </row>
    <row r="109" s="3" customFormat="1" ht="17.6" spans="1:14">
      <c r="A109" s="1"/>
      <c r="B109" s="5"/>
      <c r="C109" s="5" t="s">
        <v>94</v>
      </c>
      <c r="D109" s="5"/>
      <c r="E109" s="5"/>
      <c r="F109" s="5"/>
      <c r="G109" s="61"/>
      <c r="H109" s="61">
        <f>82.8+-114.9</f>
        <v>-32.1</v>
      </c>
      <c r="I109" s="59">
        <v>27.8</v>
      </c>
      <c r="J109" s="61">
        <v>48.8</v>
      </c>
      <c r="K109" s="5">
        <v>318</v>
      </c>
      <c r="L109" s="5">
        <v>20.2</v>
      </c>
    </row>
    <row r="110" s="3" customFormat="1" ht="17.6" spans="1:14">
      <c r="A110" s="1"/>
      <c r="B110" s="5"/>
      <c r="C110" s="5" t="s">
        <v>95</v>
      </c>
      <c r="D110" s="5"/>
      <c r="E110" s="5"/>
      <c r="F110" s="5"/>
      <c r="G110" s="61"/>
      <c r="H110" s="61">
        <v>-8.4</v>
      </c>
      <c r="I110" s="59"/>
      <c r="J110" s="61"/>
      <c r="K110" s="5">
        <v>524</v>
      </c>
      <c r="L110" s="5">
        <v>133.7</v>
      </c>
    </row>
    <row r="111" s="4" customFormat="1" spans="1:14">
      <c r="A111" s="1"/>
      <c r="B111" s="38"/>
      <c r="C111" s="38" t="s">
        <v>96</v>
      </c>
      <c r="D111" s="38"/>
      <c r="E111" s="38"/>
      <c r="F111" s="38"/>
      <c r="G111" s="63"/>
      <c r="H111" s="63">
        <v>1646.4</v>
      </c>
      <c r="I111" s="63">
        <v>2086</v>
      </c>
      <c r="J111" s="63">
        <v>3243.5</v>
      </c>
      <c r="K111" s="57">
        <v>3835.7</v>
      </c>
      <c r="L111" s="57">
        <v>1038</v>
      </c>
    </row>
    <row r="112" s="4" customFormat="1" spans="1:14">
      <c r="A112" s="1"/>
      <c r="B112" s="38"/>
      <c r="C112" s="38" t="s">
        <v>97</v>
      </c>
      <c r="D112" s="38"/>
      <c r="E112" s="38"/>
      <c r="F112" s="38"/>
      <c r="G112" s="63"/>
      <c r="H112" s="63">
        <v>20067.4</v>
      </c>
      <c r="I112" s="63">
        <v>20528.8</v>
      </c>
      <c r="J112" s="63">
        <v>16291.2</v>
      </c>
      <c r="K112" s="57">
        <v>24067</v>
      </c>
      <c r="L112" s="57">
        <v>26308.3</v>
      </c>
      <c r="M112" s="67"/>
      <c r="N112" s="67"/>
    </row>
    <row r="113" s="4" customFormat="1" spans="1:14">
      <c r="A113" s="1"/>
      <c r="B113" s="5"/>
      <c r="C113" s="38" t="s">
        <v>98</v>
      </c>
      <c r="D113" s="5"/>
      <c r="E113" s="5"/>
      <c r="F113" s="5"/>
      <c r="G113" s="61"/>
      <c r="H113" s="61"/>
      <c r="I113" s="59"/>
      <c r="J113" s="61"/>
      <c r="K113" s="5"/>
      <c r="L113" s="5"/>
      <c r="M113" s="68"/>
      <c r="N113" s="68"/>
    </row>
    <row r="114" s="4" customFormat="1" spans="1:14">
      <c r="A114" s="1"/>
      <c r="B114" s="5"/>
      <c r="C114" s="5" t="s">
        <v>99</v>
      </c>
      <c r="D114" s="5"/>
      <c r="E114" s="5"/>
      <c r="F114" s="5"/>
      <c r="G114" s="59"/>
      <c r="H114" s="59">
        <v>-257.6</v>
      </c>
      <c r="I114" s="59">
        <v>-2217.5</v>
      </c>
      <c r="J114" s="59">
        <v>-1347.1</v>
      </c>
      <c r="K114" s="60">
        <v>-2219.9</v>
      </c>
      <c r="L114" s="60">
        <v>-2185.5</v>
      </c>
      <c r="M114" s="69"/>
      <c r="N114" s="69"/>
    </row>
    <row r="115" s="4" customFormat="1" spans="1:14">
      <c r="A115" s="1"/>
      <c r="B115" s="5"/>
      <c r="C115" s="5" t="s">
        <v>100</v>
      </c>
      <c r="D115" s="5"/>
      <c r="E115" s="5"/>
      <c r="F115" s="5"/>
      <c r="G115" s="61"/>
      <c r="H115" s="61">
        <v>-926.5</v>
      </c>
      <c r="I115" s="61">
        <v>-435.8</v>
      </c>
      <c r="J115" s="61">
        <v>-770.1</v>
      </c>
      <c r="K115" s="60">
        <v>-1351.1</v>
      </c>
      <c r="L115" s="5">
        <v>249.9</v>
      </c>
      <c r="M115" s="69"/>
      <c r="N115" s="69"/>
    </row>
    <row r="116" s="4" customFormat="1" spans="1:14">
      <c r="A116" s="1"/>
      <c r="B116" s="5"/>
      <c r="C116" s="5" t="s">
        <v>101</v>
      </c>
      <c r="D116" s="5"/>
      <c r="E116" s="5"/>
      <c r="F116" s="5"/>
      <c r="G116" s="59"/>
      <c r="H116" s="59">
        <v>-4977</v>
      </c>
      <c r="I116" s="59">
        <v>-6731.4</v>
      </c>
      <c r="J116" s="59">
        <v>4734.1</v>
      </c>
      <c r="K116" s="5">
        <v>-734</v>
      </c>
      <c r="L116" s="60">
        <v>-2612.3</v>
      </c>
      <c r="M116" s="69"/>
      <c r="N116" s="69"/>
    </row>
    <row r="117" s="4" customFormat="1" spans="1:14">
      <c r="A117" s="1"/>
      <c r="B117" s="5"/>
      <c r="C117" s="5" t="s">
        <v>102</v>
      </c>
      <c r="D117" s="5"/>
      <c r="E117" s="5"/>
      <c r="F117" s="5"/>
      <c r="G117" s="59"/>
      <c r="H117" s="59">
        <v>2124.2</v>
      </c>
      <c r="I117" s="59">
        <v>3344.9</v>
      </c>
      <c r="J117" s="61">
        <v>145.1</v>
      </c>
      <c r="K117" s="60">
        <v>5252.8</v>
      </c>
      <c r="L117" s="60">
        <v>2166.5</v>
      </c>
      <c r="M117" s="69"/>
      <c r="N117" s="69"/>
    </row>
    <row r="118" s="4" customFormat="1" spans="1:14">
      <c r="A118" s="1"/>
      <c r="B118" s="5"/>
      <c r="C118" s="5" t="s">
        <v>103</v>
      </c>
      <c r="D118" s="5"/>
      <c r="E118" s="5"/>
      <c r="F118" s="5"/>
      <c r="G118" s="61"/>
      <c r="H118" s="61">
        <v>625.3</v>
      </c>
      <c r="I118" s="61">
        <v>590.2</v>
      </c>
      <c r="J118" s="61">
        <v>505.7</v>
      </c>
      <c r="K118" s="60">
        <v>-1464.7</v>
      </c>
      <c r="L118" s="5">
        <v>241.7</v>
      </c>
      <c r="M118" s="69"/>
      <c r="N118" s="69"/>
    </row>
    <row r="119" s="4" customFormat="1" spans="1:14">
      <c r="A119" s="1"/>
      <c r="B119" s="38"/>
      <c r="C119" s="38" t="s">
        <v>104</v>
      </c>
      <c r="D119" s="38"/>
      <c r="E119" s="38"/>
      <c r="F119" s="38"/>
      <c r="G119" s="63"/>
      <c r="H119" s="63">
        <v>-3411.6</v>
      </c>
      <c r="I119" s="63">
        <v>-5449.6</v>
      </c>
      <c r="J119" s="63">
        <v>3267.7</v>
      </c>
      <c r="K119" s="38">
        <v>-516.9</v>
      </c>
      <c r="L119" s="57">
        <v>-2139.7</v>
      </c>
      <c r="M119" s="69"/>
      <c r="N119" s="69"/>
    </row>
    <row r="120" s="4" customFormat="1" spans="1:14">
      <c r="A120" s="1"/>
      <c r="B120" s="5"/>
      <c r="C120" s="5" t="s">
        <v>105</v>
      </c>
      <c r="D120" s="5"/>
      <c r="E120" s="5"/>
      <c r="F120" s="5"/>
      <c r="G120" s="70"/>
      <c r="H120" s="59">
        <v>16655.8</v>
      </c>
      <c r="I120" s="59">
        <v>15079.2</v>
      </c>
      <c r="J120" s="59">
        <v>19558.9</v>
      </c>
      <c r="K120" s="60">
        <v>23550.1</v>
      </c>
      <c r="L120" s="60">
        <v>24168.6</v>
      </c>
      <c r="M120" s="69"/>
      <c r="N120" s="69"/>
    </row>
    <row r="121" s="4" customFormat="1" spans="1:14">
      <c r="A121" s="1"/>
      <c r="B121" s="5"/>
      <c r="C121" s="5" t="s">
        <v>106</v>
      </c>
      <c r="D121" s="5"/>
      <c r="E121" s="5"/>
      <c r="F121" s="5"/>
      <c r="G121" s="70"/>
      <c r="H121" s="59">
        <v>-4006.8</v>
      </c>
      <c r="I121" s="59">
        <v>-3969</v>
      </c>
      <c r="J121" s="59">
        <v>-2733.9</v>
      </c>
      <c r="K121" s="60">
        <v>-4069.4</v>
      </c>
      <c r="L121" s="60">
        <v>-5040.2</v>
      </c>
      <c r="M121" s="69"/>
      <c r="N121" s="69"/>
    </row>
    <row r="122" s="4" customFormat="1" spans="1:14">
      <c r="A122" s="1"/>
      <c r="B122" s="38"/>
      <c r="C122" s="38" t="s">
        <v>107</v>
      </c>
      <c r="D122" s="38"/>
      <c r="E122" s="38"/>
      <c r="F122" s="38"/>
      <c r="G122" s="71"/>
      <c r="H122" s="72">
        <v>12649</v>
      </c>
      <c r="I122" s="72">
        <v>11110.2</v>
      </c>
      <c r="J122" s="72">
        <v>16825</v>
      </c>
      <c r="K122" s="73">
        <v>19480.7</v>
      </c>
      <c r="L122" s="73">
        <v>19128.4</v>
      </c>
      <c r="M122" s="69"/>
      <c r="N122" s="69"/>
    </row>
    <row r="123" s="4" customFormat="1" spans="1:14">
      <c r="A123" s="1"/>
      <c r="B123" s="5"/>
      <c r="C123" s="5" t="s">
        <v>108</v>
      </c>
      <c r="D123" s="5"/>
      <c r="E123" s="5"/>
      <c r="F123" s="5"/>
      <c r="G123" s="26"/>
      <c r="H123" s="5"/>
      <c r="I123" s="5"/>
      <c r="J123" s="5"/>
      <c r="K123" s="5"/>
      <c r="L123" s="5"/>
      <c r="M123" s="69"/>
      <c r="N123" s="69"/>
    </row>
    <row r="124" s="4" customFormat="1" spans="1:14">
      <c r="A124" s="1"/>
      <c r="B124" s="5"/>
      <c r="C124" s="5" t="s">
        <v>109</v>
      </c>
      <c r="D124" s="5"/>
      <c r="E124" s="5"/>
      <c r="F124" s="5"/>
      <c r="G124" s="70"/>
      <c r="H124" s="59">
        <v>-1949.1</v>
      </c>
      <c r="I124" s="59">
        <v>-3388.8</v>
      </c>
      <c r="J124" s="59">
        <v>-2329.1</v>
      </c>
      <c r="K124" s="60">
        <v>-2592.9</v>
      </c>
      <c r="L124" s="60">
        <v>-6756.2</v>
      </c>
      <c r="M124" s="69"/>
      <c r="N124" s="69"/>
    </row>
    <row r="125" s="4" customFormat="1" spans="1:14">
      <c r="A125" s="1"/>
      <c r="B125" s="5"/>
      <c r="C125" s="5" t="s">
        <v>110</v>
      </c>
      <c r="D125" s="5"/>
      <c r="E125" s="5"/>
      <c r="F125" s="5"/>
      <c r="G125" s="70"/>
      <c r="H125" s="59">
        <v>104.6</v>
      </c>
      <c r="I125" s="59">
        <v>109</v>
      </c>
      <c r="J125" s="61">
        <v>32</v>
      </c>
      <c r="K125" s="5">
        <v>724.8</v>
      </c>
      <c r="L125" s="5">
        <v>408.4</v>
      </c>
      <c r="M125" s="69"/>
      <c r="N125" s="69"/>
    </row>
    <row r="126" s="4" customFormat="1" spans="1:14">
      <c r="A126" s="1"/>
      <c r="B126" s="5"/>
      <c r="C126" s="5" t="s">
        <v>111</v>
      </c>
      <c r="D126" s="5"/>
      <c r="E126" s="5"/>
      <c r="F126" s="5"/>
      <c r="G126" s="70"/>
      <c r="H126" s="59">
        <v>-348.3</v>
      </c>
      <c r="I126" s="59">
        <v>-409.3</v>
      </c>
      <c r="J126" s="59">
        <v>-2175.3</v>
      </c>
      <c r="K126" s="60">
        <v>-36258.8</v>
      </c>
      <c r="L126" s="60">
        <v>-37558.4</v>
      </c>
      <c r="M126" s="69"/>
      <c r="N126" s="69"/>
    </row>
    <row r="127" s="4" customFormat="1" spans="1:14">
      <c r="A127" s="1"/>
      <c r="B127" s="5"/>
      <c r="C127" s="5" t="s">
        <v>112</v>
      </c>
      <c r="D127" s="5"/>
      <c r="E127" s="5"/>
      <c r="F127" s="5"/>
      <c r="G127" s="70"/>
      <c r="H127" s="59"/>
      <c r="I127" s="59"/>
      <c r="J127" s="59"/>
      <c r="K127" s="60">
        <v>24041.8</v>
      </c>
      <c r="L127" s="60">
        <v>40534.2</v>
      </c>
      <c r="M127" s="69"/>
      <c r="N127" s="69"/>
    </row>
    <row r="128" s="4" customFormat="1" spans="1:14">
      <c r="A128" s="1"/>
      <c r="B128" s="5"/>
      <c r="C128" s="5" t="s">
        <v>113</v>
      </c>
      <c r="D128" s="5"/>
      <c r="E128" s="5"/>
      <c r="F128" s="5"/>
      <c r="G128" s="70"/>
      <c r="H128" s="59">
        <v>351</v>
      </c>
      <c r="I128" s="59"/>
      <c r="J128" s="59"/>
      <c r="K128" s="5">
        <v>-533.7</v>
      </c>
      <c r="L128" s="60">
        <v>-19380.8</v>
      </c>
      <c r="M128" s="69"/>
      <c r="N128" s="69"/>
    </row>
    <row r="129" s="4" customFormat="1" spans="1:14">
      <c r="A129" s="1"/>
      <c r="B129" s="5"/>
      <c r="C129" s="5" t="s">
        <v>114</v>
      </c>
      <c r="D129" s="5"/>
      <c r="E129" s="5"/>
      <c r="F129" s="5"/>
      <c r="G129" s="70"/>
      <c r="H129" s="59">
        <v>-8937.9</v>
      </c>
      <c r="I129" s="59">
        <v>-11641.8</v>
      </c>
      <c r="J129" s="59">
        <v>4129.8</v>
      </c>
      <c r="K129" s="60">
        <v>2139.1</v>
      </c>
      <c r="L129" s="60">
        <v>6616.4</v>
      </c>
      <c r="M129" s="69"/>
      <c r="N129" s="69"/>
    </row>
    <row r="130" s="4" customFormat="1" spans="1:14">
      <c r="A130" s="1"/>
      <c r="B130" s="5"/>
      <c r="C130" s="5" t="s">
        <v>115</v>
      </c>
      <c r="D130" s="5"/>
      <c r="E130" s="5"/>
      <c r="F130" s="5"/>
      <c r="G130" s="74"/>
      <c r="H130" s="61">
        <v>0.2</v>
      </c>
      <c r="I130" s="61">
        <v>1.9</v>
      </c>
      <c r="J130" s="61">
        <v>1.9</v>
      </c>
      <c r="K130" s="5" t="s">
        <v>35</v>
      </c>
      <c r="L130" s="5">
        <v>-330</v>
      </c>
      <c r="M130" s="69"/>
      <c r="N130" s="69"/>
    </row>
    <row r="131" s="4" customFormat="1" spans="1:14">
      <c r="A131" s="1"/>
      <c r="B131" s="5"/>
      <c r="C131" s="5" t="s">
        <v>116</v>
      </c>
      <c r="D131" s="5"/>
      <c r="E131" s="5"/>
      <c r="F131" s="5"/>
      <c r="G131" s="70"/>
      <c r="H131" s="59">
        <v>785.7</v>
      </c>
      <c r="I131" s="59">
        <v>977.7</v>
      </c>
      <c r="J131" s="59">
        <v>1469.1</v>
      </c>
      <c r="K131" s="5">
        <v>1.9</v>
      </c>
      <c r="L131" s="5">
        <v>1.7</v>
      </c>
      <c r="M131" s="69"/>
      <c r="N131" s="69"/>
    </row>
    <row r="132" s="4" customFormat="1" spans="1:14">
      <c r="A132" s="1"/>
      <c r="B132" s="5"/>
      <c r="C132" s="5" t="s">
        <v>117</v>
      </c>
      <c r="D132" s="5"/>
      <c r="E132" s="5"/>
      <c r="F132" s="5"/>
      <c r="G132" s="70"/>
      <c r="H132" s="59">
        <v>8.4</v>
      </c>
      <c r="I132" s="59"/>
      <c r="J132" s="59"/>
      <c r="K132" s="60">
        <v>2392.8</v>
      </c>
      <c r="L132" s="60">
        <v>3477.1</v>
      </c>
      <c r="M132" s="69"/>
      <c r="N132" s="69"/>
    </row>
    <row r="133" s="4" customFormat="1" spans="1:14">
      <c r="A133" s="1"/>
      <c r="B133" s="5"/>
      <c r="C133" s="38" t="s">
        <v>118</v>
      </c>
      <c r="D133" s="5"/>
      <c r="E133" s="5"/>
      <c r="F133" s="5"/>
      <c r="G133" s="71"/>
      <c r="H133" s="72">
        <v>-9985.4</v>
      </c>
      <c r="I133" s="72">
        <v>-14351.3</v>
      </c>
      <c r="J133" s="72">
        <v>1128.4</v>
      </c>
      <c r="K133" s="72">
        <v>-10085</v>
      </c>
      <c r="L133" s="72">
        <v>-12987.6</v>
      </c>
      <c r="M133" s="69"/>
      <c r="N133" s="69"/>
    </row>
    <row r="134" s="4" customFormat="1" spans="1:14">
      <c r="A134" s="1"/>
      <c r="B134" s="5"/>
      <c r="C134" s="5" t="s">
        <v>119</v>
      </c>
      <c r="D134" s="5"/>
      <c r="E134" s="5"/>
      <c r="F134" s="5"/>
      <c r="G134" s="70"/>
      <c r="H134" s="59"/>
      <c r="I134" s="59"/>
      <c r="J134" s="61"/>
      <c r="K134" s="5"/>
      <c r="L134" s="5"/>
      <c r="M134" s="69"/>
      <c r="N134" s="69"/>
    </row>
    <row r="135" s="4" customFormat="1" spans="1:14">
      <c r="A135" s="1"/>
      <c r="B135" s="5"/>
      <c r="C135" s="5" t="s">
        <v>120</v>
      </c>
      <c r="D135" s="5"/>
      <c r="E135" s="5"/>
      <c r="F135" s="5"/>
      <c r="G135" s="74"/>
      <c r="H135" s="61">
        <v>-387.4</v>
      </c>
      <c r="I135" s="61">
        <v>-192.9</v>
      </c>
      <c r="J135" s="61">
        <v>-95</v>
      </c>
      <c r="K135" s="5">
        <v>400</v>
      </c>
      <c r="L135" s="60">
        <v>2879</v>
      </c>
      <c r="M135" s="69"/>
      <c r="N135" s="69"/>
    </row>
    <row r="136" s="4" customFormat="1" spans="1:14">
      <c r="A136" s="1"/>
      <c r="B136" s="5"/>
      <c r="C136" s="5" t="s">
        <v>121</v>
      </c>
      <c r="D136" s="5"/>
      <c r="E136" s="5"/>
      <c r="F136" s="5"/>
      <c r="G136" s="70"/>
      <c r="H136" s="59">
        <v>1784.2</v>
      </c>
      <c r="I136" s="59">
        <v>8820.7</v>
      </c>
      <c r="J136" s="59">
        <v>-12689.8</v>
      </c>
      <c r="K136" s="60">
        <v>-5208.9</v>
      </c>
      <c r="L136" s="60">
        <v>-4820.1</v>
      </c>
      <c r="M136" s="69"/>
      <c r="N136" s="69"/>
    </row>
    <row r="137" s="4" customFormat="1" spans="1:14">
      <c r="A137" s="1"/>
      <c r="B137" s="5"/>
      <c r="C137" s="59" t="s">
        <v>122</v>
      </c>
      <c r="D137" s="5"/>
      <c r="E137" s="5"/>
      <c r="F137" s="5"/>
      <c r="G137" s="70"/>
      <c r="H137" s="59"/>
      <c r="I137" s="59"/>
      <c r="J137" s="59">
        <v>1614.8</v>
      </c>
      <c r="K137" s="5"/>
      <c r="L137" s="5"/>
      <c r="M137" s="69"/>
      <c r="N137" s="69"/>
    </row>
    <row r="138" s="4" customFormat="1" spans="1:14">
      <c r="A138" s="1"/>
      <c r="B138" s="5"/>
      <c r="C138" s="5" t="s">
        <v>123</v>
      </c>
      <c r="D138" s="5"/>
      <c r="E138" s="5"/>
      <c r="F138" s="5"/>
      <c r="G138" s="70"/>
      <c r="H138" s="59">
        <v>-3347.8</v>
      </c>
      <c r="I138" s="59">
        <v>-4219.1</v>
      </c>
      <c r="J138" s="59">
        <v>-5295.2</v>
      </c>
      <c r="K138" s="60">
        <v>-5404.9</v>
      </c>
      <c r="L138" s="60">
        <v>-5046.2</v>
      </c>
      <c r="M138" s="69"/>
      <c r="N138" s="69"/>
    </row>
    <row r="139" s="4" customFormat="1" spans="1:14">
      <c r="A139" s="1"/>
      <c r="B139" s="5"/>
      <c r="C139" s="5" t="s">
        <v>124</v>
      </c>
      <c r="D139" s="5"/>
      <c r="E139" s="5"/>
      <c r="F139" s="5"/>
      <c r="G139" s="74"/>
      <c r="H139" s="61">
        <v>-230.3</v>
      </c>
      <c r="I139" s="61">
        <v>-211.7</v>
      </c>
      <c r="J139" s="61">
        <v>-238.4</v>
      </c>
      <c r="K139" s="5">
        <v>-323.2</v>
      </c>
      <c r="L139" s="5">
        <v>-316.5</v>
      </c>
      <c r="M139" s="69"/>
      <c r="N139" s="69"/>
    </row>
    <row r="140" s="4" customFormat="1" spans="1:14">
      <c r="A140" s="1"/>
      <c r="B140" s="5"/>
      <c r="C140" s="5" t="s">
        <v>125</v>
      </c>
      <c r="D140" s="5"/>
      <c r="E140" s="5"/>
      <c r="F140" s="5"/>
      <c r="G140" s="74"/>
      <c r="H140" s="61">
        <v>-536.2</v>
      </c>
      <c r="I140" s="61">
        <v>-401.3</v>
      </c>
      <c r="J140" s="61">
        <v>-904.6</v>
      </c>
      <c r="K140" s="5">
        <v>-913.1</v>
      </c>
      <c r="L140" s="5">
        <v>-806.1</v>
      </c>
      <c r="M140" s="69"/>
      <c r="N140" s="69"/>
    </row>
    <row r="141" s="4" customFormat="1" spans="1:14">
      <c r="A141" s="1"/>
      <c r="B141" s="5"/>
      <c r="C141" s="38" t="s">
        <v>126</v>
      </c>
      <c r="D141" s="5"/>
      <c r="E141" s="5"/>
      <c r="F141" s="5"/>
      <c r="G141" s="71"/>
      <c r="H141" s="72">
        <v>2717.5</v>
      </c>
      <c r="I141" s="72">
        <v>3795.7</v>
      </c>
      <c r="J141" s="72">
        <v>-17608.2</v>
      </c>
      <c r="K141" s="72">
        <v>-11450.1</v>
      </c>
      <c r="L141" s="72">
        <v>-8109.9</v>
      </c>
      <c r="M141" s="69"/>
      <c r="N141" s="69"/>
    </row>
    <row r="142" s="4" customFormat="1" spans="1:14">
      <c r="A142" s="1"/>
      <c r="B142" s="5"/>
      <c r="C142" s="5" t="s">
        <v>127</v>
      </c>
      <c r="D142" s="5"/>
      <c r="E142" s="5"/>
      <c r="F142" s="5"/>
      <c r="G142" s="74"/>
      <c r="H142" s="61">
        <v>-53.9</v>
      </c>
      <c r="I142" s="61">
        <v>554.6</v>
      </c>
      <c r="J142" s="61">
        <v>345.2</v>
      </c>
      <c r="K142" s="60">
        <v>-2054.4</v>
      </c>
      <c r="L142" s="60">
        <v>-1969.1</v>
      </c>
      <c r="M142" s="69"/>
      <c r="N142" s="69"/>
    </row>
    <row r="143" s="4" customFormat="1" spans="1:14">
      <c r="A143" s="1"/>
      <c r="B143" s="5"/>
      <c r="C143" s="38" t="s">
        <v>128</v>
      </c>
      <c r="D143" s="5"/>
      <c r="E143" s="5"/>
      <c r="F143" s="5"/>
      <c r="G143" s="71"/>
      <c r="H143" s="63">
        <v>1759.4</v>
      </c>
      <c r="I143" s="63">
        <v>1742.2</v>
      </c>
      <c r="J143" s="63">
        <v>2321.8</v>
      </c>
      <c r="K143" s="57">
        <v>2738</v>
      </c>
      <c r="L143" s="38">
        <v>663.1</v>
      </c>
      <c r="M143" s="69"/>
      <c r="N143" s="69"/>
    </row>
    <row r="144" s="4" customFormat="1" spans="1:14">
      <c r="A144" s="1"/>
      <c r="B144" s="5"/>
      <c r="C144" s="38" t="s">
        <v>129</v>
      </c>
      <c r="D144" s="5"/>
      <c r="E144" s="5"/>
      <c r="F144" s="5"/>
      <c r="G144" s="75"/>
      <c r="H144" s="76">
        <v>36.7</v>
      </c>
      <c r="I144" s="76">
        <v>25</v>
      </c>
      <c r="J144" s="76">
        <v>71</v>
      </c>
      <c r="K144" s="38">
        <v>-20.5</v>
      </c>
      <c r="L144" s="38">
        <v>105.1</v>
      </c>
      <c r="M144" s="69"/>
      <c r="N144" s="69"/>
    </row>
    <row r="145" s="4" customFormat="1" spans="1:14">
      <c r="A145" s="1"/>
      <c r="B145" s="5"/>
      <c r="C145" s="38" t="s">
        <v>130</v>
      </c>
      <c r="D145" s="5"/>
      <c r="E145" s="5"/>
      <c r="F145" s="5"/>
      <c r="G145" s="71"/>
      <c r="H145" s="63">
        <v>1742.2</v>
      </c>
      <c r="I145" s="63">
        <v>2321.8</v>
      </c>
      <c r="J145" s="63">
        <v>2738</v>
      </c>
      <c r="K145" s="38">
        <v>663.1</v>
      </c>
      <c r="L145" s="57">
        <v>-1200.9</v>
      </c>
      <c r="M145" s="69"/>
      <c r="N145" s="69"/>
    </row>
    <row r="146" s="4" customFormat="1" spans="1:14">
      <c r="A146" s="1"/>
      <c r="B146" s="5"/>
      <c r="C146" s="5" t="s">
        <v>131</v>
      </c>
      <c r="D146" s="5"/>
      <c r="E146" s="5"/>
      <c r="F146" s="5"/>
      <c r="G146" s="26"/>
      <c r="H146" s="5"/>
      <c r="I146" s="5"/>
      <c r="J146" s="5"/>
      <c r="K146" s="5">
        <v>3887.6</v>
      </c>
      <c r="L146" s="5">
        <v>4242.3</v>
      </c>
      <c r="M146" s="69"/>
      <c r="N146" s="69"/>
    </row>
    <row r="147" s="4" customFormat="1" spans="1:14">
      <c r="A147" s="1"/>
      <c r="B147" s="5"/>
      <c r="C147" s="38" t="s">
        <v>132</v>
      </c>
      <c r="D147" s="5"/>
      <c r="E147" s="5"/>
      <c r="F147" s="5"/>
      <c r="G147" s="56"/>
      <c r="H147" s="77">
        <f t="shared" ref="H147:L147" si="1">H145+H146</f>
        <v>1742.2</v>
      </c>
      <c r="I147" s="77">
        <f t="shared" si="1"/>
        <v>2321.8</v>
      </c>
      <c r="J147" s="77">
        <f t="shared" si="1"/>
        <v>2738</v>
      </c>
      <c r="K147" s="77">
        <f t="shared" si="1"/>
        <v>4550.7</v>
      </c>
      <c r="L147" s="77">
        <f t="shared" si="1"/>
        <v>3041.4</v>
      </c>
      <c r="M147" s="69"/>
      <c r="N147" s="69"/>
    </row>
    <row r="148" s="4" customFormat="1" ht="17.6" spans="1:14">
      <c r="A148" s="1"/>
      <c r="B148" s="5"/>
      <c r="C148" s="5"/>
      <c r="D148" s="5"/>
      <c r="E148" s="5"/>
      <c r="F148" s="5"/>
      <c r="G148" s="26"/>
      <c r="H148" s="56"/>
      <c r="I148" s="56"/>
      <c r="J148" s="56"/>
      <c r="K148" s="56"/>
      <c r="L148" s="78"/>
      <c r="M148" s="69"/>
      <c r="N148" s="69"/>
    </row>
    <row r="149" s="4" customFormat="1" ht="17.6" spans="1:14">
      <c r="A149" s="1"/>
      <c r="B149" s="5"/>
      <c r="C149" s="5"/>
      <c r="D149" s="5"/>
      <c r="E149" s="5"/>
      <c r="F149" s="5"/>
      <c r="G149" s="26"/>
      <c r="H149" s="5"/>
      <c r="I149" s="5"/>
      <c r="J149" s="5"/>
      <c r="K149" s="5"/>
      <c r="L149" s="78"/>
      <c r="M149" s="69"/>
      <c r="N149" s="69"/>
    </row>
    <row r="150" s="4" customFormat="1" ht="17.6" spans="1:14">
      <c r="A150" s="1"/>
      <c r="B150" s="5"/>
      <c r="C150" s="5"/>
      <c r="D150" s="5"/>
      <c r="E150" s="5"/>
      <c r="F150" s="5"/>
      <c r="G150" s="26"/>
      <c r="H150" s="5"/>
      <c r="I150" s="5"/>
      <c r="J150" s="5"/>
      <c r="K150" s="5"/>
      <c r="L150" s="78"/>
      <c r="M150" s="69"/>
      <c r="N150" s="69"/>
    </row>
    <row r="151" s="4" customFormat="1" ht="17.6" spans="1:14">
      <c r="A151" s="1"/>
      <c r="B151" s="5"/>
      <c r="C151" s="5"/>
      <c r="D151" s="5"/>
      <c r="E151" s="5"/>
      <c r="F151" s="5"/>
      <c r="G151" s="26"/>
      <c r="H151" s="5"/>
      <c r="I151" s="5"/>
      <c r="J151" s="5"/>
      <c r="K151" s="5"/>
      <c r="L151" s="78"/>
      <c r="M151" s="69"/>
      <c r="N151" s="69"/>
    </row>
    <row r="152" s="4" customFormat="1" ht="17.6" spans="1:14">
      <c r="A152" s="1"/>
      <c r="B152" s="5"/>
      <c r="C152" s="5"/>
      <c r="D152" s="5"/>
      <c r="E152" s="5"/>
      <c r="F152" s="5"/>
      <c r="G152" s="26"/>
      <c r="H152" s="5"/>
      <c r="I152" s="5"/>
      <c r="J152" s="5"/>
      <c r="K152" s="5"/>
      <c r="L152" s="78"/>
      <c r="M152" s="69"/>
      <c r="N152" s="69"/>
    </row>
    <row r="153" s="4" customFormat="1" ht="17.6" spans="1:14">
      <c r="A153" s="1"/>
      <c r="B153" s="5"/>
      <c r="C153" s="5"/>
      <c r="D153" s="5"/>
      <c r="E153" s="5"/>
      <c r="F153" s="5"/>
      <c r="G153" s="26"/>
      <c r="H153" s="5"/>
      <c r="I153" s="5"/>
      <c r="J153" s="5"/>
      <c r="K153" s="5"/>
      <c r="L153" s="79"/>
      <c r="M153" s="69"/>
      <c r="N153" s="69"/>
    </row>
    <row r="154" s="4" customFormat="1" ht="17.6" spans="1:14">
      <c r="A154" s="1"/>
      <c r="B154" s="5"/>
      <c r="C154" s="5"/>
      <c r="D154" s="5"/>
      <c r="E154" s="5"/>
      <c r="F154" s="5"/>
      <c r="G154" s="26"/>
      <c r="H154" s="5"/>
      <c r="I154" s="5"/>
      <c r="J154" s="5"/>
      <c r="K154" s="5"/>
      <c r="L154" s="78"/>
      <c r="M154" s="69"/>
      <c r="N154" s="69"/>
    </row>
    <row r="155" s="4" customFormat="1" ht="17.6" spans="1:14">
      <c r="A155" s="1"/>
      <c r="B155" s="5"/>
      <c r="C155" s="5"/>
      <c r="D155" s="5"/>
      <c r="E155" s="5"/>
      <c r="F155" s="5"/>
      <c r="G155" s="26"/>
      <c r="H155" s="5"/>
      <c r="I155" s="5"/>
      <c r="J155" s="5"/>
      <c r="K155" s="5"/>
      <c r="L155" s="78"/>
      <c r="M155" s="69"/>
      <c r="N155" s="69"/>
    </row>
    <row r="156" s="4" customFormat="1" ht="17.6" spans="1:14">
      <c r="A156" s="1"/>
      <c r="B156" s="5"/>
      <c r="C156" s="5"/>
      <c r="D156" s="5"/>
      <c r="E156" s="5"/>
      <c r="F156" s="5"/>
      <c r="G156" s="26"/>
      <c r="H156" s="5"/>
      <c r="I156" s="5"/>
      <c r="J156" s="5"/>
      <c r="K156" s="5"/>
      <c r="L156" s="78"/>
      <c r="M156" s="69"/>
      <c r="N156" s="69"/>
    </row>
    <row r="157" s="4" customFormat="1" ht="17.6" spans="1:14">
      <c r="A157" s="1"/>
      <c r="B157" s="5"/>
      <c r="C157" s="5"/>
      <c r="D157" s="5"/>
      <c r="E157" s="5"/>
      <c r="F157" s="5"/>
      <c r="G157" s="26"/>
      <c r="H157" s="5"/>
      <c r="I157" s="5"/>
      <c r="J157" s="5"/>
      <c r="K157" s="5"/>
      <c r="L157" s="78"/>
      <c r="M157" s="69"/>
      <c r="N157" s="69"/>
    </row>
    <row r="158" s="4" customFormat="1" ht="17.6" spans="1:14">
      <c r="A158" s="1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78"/>
      <c r="M158" s="69"/>
      <c r="N158" s="69"/>
    </row>
    <row r="159" s="4" customFormat="1" ht="17.6" spans="1:14">
      <c r="A159" s="1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78"/>
      <c r="M159" s="69"/>
      <c r="N159" s="69"/>
    </row>
    <row r="160" s="4" customFormat="1" ht="17.6" spans="1:14">
      <c r="A160" s="1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78"/>
      <c r="M160" s="69"/>
      <c r="N160" s="69"/>
    </row>
    <row r="161" s="4" customFormat="1" ht="17.6" spans="1:14">
      <c r="A161" s="1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78"/>
      <c r="M161" s="69"/>
      <c r="N161" s="69"/>
    </row>
    <row r="162" s="4" customFormat="1" ht="17.6" spans="1:14">
      <c r="A162" s="1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78"/>
      <c r="M162" s="69"/>
      <c r="N162" s="69"/>
    </row>
    <row r="163" s="4" customFormat="1" ht="17.6" spans="1:14">
      <c r="A163" s="1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78"/>
      <c r="M163" s="69"/>
      <c r="N163" s="69"/>
    </row>
    <row r="164" s="4" customFormat="1" ht="17.6" spans="1:14">
      <c r="A164" s="1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78"/>
      <c r="M164" s="69"/>
      <c r="N164" s="69"/>
    </row>
    <row r="165" s="4" customFormat="1" ht="17.6" spans="1:14">
      <c r="A165" s="1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78"/>
      <c r="M165" s="69"/>
      <c r="N165" s="69"/>
    </row>
    <row r="166" s="4" customFormat="1" ht="17.6" spans="1:14">
      <c r="A166" s="1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78"/>
      <c r="M166" s="69"/>
      <c r="N166" s="69"/>
    </row>
    <row r="167" s="4" customFormat="1" ht="17.6" spans="1:14">
      <c r="A167" s="1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78"/>
      <c r="M167" s="69"/>
      <c r="N167" s="69"/>
    </row>
    <row r="168" s="4" customFormat="1" ht="17.6" spans="1:14">
      <c r="A168" s="1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78"/>
      <c r="M168" s="69"/>
      <c r="N168" s="69"/>
    </row>
    <row r="169" s="4" customFormat="1" ht="17.6" spans="1:14">
      <c r="A169" s="1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78"/>
      <c r="M169" s="69"/>
      <c r="N169" s="69"/>
    </row>
    <row r="170" s="4" customFormat="1" ht="17.6" spans="1:14">
      <c r="A170" s="1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78"/>
      <c r="M170" s="69"/>
      <c r="N170" s="69"/>
    </row>
    <row r="171" s="4" customFormat="1" ht="17.6" spans="1:14">
      <c r="A171" s="1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78"/>
      <c r="M171" s="69"/>
      <c r="N171" s="69"/>
    </row>
    <row r="172" s="4" customFormat="1" ht="17.6" spans="1:14">
      <c r="A172" s="1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78"/>
      <c r="M172" s="69"/>
      <c r="N172" s="69"/>
    </row>
    <row r="173" s="4" customFormat="1" ht="17.6" spans="1:14">
      <c r="A173" s="1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78"/>
      <c r="M173" s="69"/>
      <c r="N173" s="69"/>
    </row>
    <row r="174" s="4" customFormat="1" ht="17.6" spans="1:14">
      <c r="A174" s="1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78"/>
      <c r="M174" s="69"/>
      <c r="N174" s="69"/>
    </row>
    <row r="175" s="4" customFormat="1" ht="17.6" spans="1:14">
      <c r="A175" s="1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78"/>
      <c r="M175" s="69"/>
      <c r="N175" s="69"/>
    </row>
    <row r="176" s="4" customFormat="1" ht="17.6" spans="1:14">
      <c r="A176" s="1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78"/>
      <c r="M176" s="69"/>
      <c r="N176" s="69"/>
    </row>
    <row r="177" s="4" customFormat="1" ht="17.6" spans="1:14">
      <c r="A177" s="1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78"/>
      <c r="M177" s="69"/>
      <c r="N177" s="69"/>
    </row>
    <row r="178" s="4" customFormat="1" ht="17.6" spans="1:14">
      <c r="A178" s="1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78"/>
      <c r="M178" s="69"/>
      <c r="N178" s="69"/>
    </row>
    <row r="179" s="4" customFormat="1" ht="17.6" spans="1:14">
      <c r="A179" s="1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78"/>
      <c r="M179" s="69"/>
      <c r="N179" s="69"/>
    </row>
    <row r="180" s="4" customFormat="1" ht="17.6" spans="1:14">
      <c r="A180" s="1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78"/>
      <c r="M180" s="69"/>
      <c r="N180" s="69"/>
    </row>
    <row r="181" s="4" customFormat="1" ht="17.6" spans="1:14">
      <c r="A181" s="1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78"/>
      <c r="M181" s="69"/>
      <c r="N181" s="69"/>
    </row>
    <row r="182" s="4" customFormat="1" ht="17.6" spans="1:14">
      <c r="A182" s="1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78"/>
      <c r="M182" s="69"/>
      <c r="N182" s="69"/>
    </row>
    <row r="183" s="4" customFormat="1" ht="17.6" spans="1:14">
      <c r="A183" s="1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78"/>
      <c r="M183" s="69"/>
      <c r="N183" s="69"/>
    </row>
    <row r="184" s="4" customFormat="1" ht="17.6" spans="1:14">
      <c r="A184" s="1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78"/>
      <c r="M184" s="69"/>
      <c r="N184" s="69"/>
    </row>
    <row r="185" s="4" customFormat="1" ht="17.6" spans="1:14">
      <c r="A185" s="1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78"/>
      <c r="M185" s="69"/>
      <c r="N185" s="69"/>
    </row>
    <row r="186" s="4" customFormat="1" ht="17.6" spans="1:14">
      <c r="A186" s="1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78"/>
      <c r="M186" s="69"/>
      <c r="N186" s="69"/>
    </row>
    <row r="187" s="4" customFormat="1" ht="17.6" spans="1:14">
      <c r="A187" s="1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78"/>
      <c r="M187" s="69"/>
      <c r="N187" s="69"/>
    </row>
    <row r="188" s="4" customFormat="1" ht="17.6" spans="1:14">
      <c r="A188" s="1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78"/>
      <c r="M188" s="69"/>
      <c r="N188" s="69"/>
    </row>
    <row r="189" s="4" customFormat="1" ht="17.6" spans="1:14">
      <c r="A189" s="1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78"/>
      <c r="M189" s="69"/>
      <c r="N189" s="69"/>
    </row>
    <row r="190" s="4" customFormat="1" ht="17.6" spans="1:14">
      <c r="A190" s="1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78"/>
      <c r="M190" s="69"/>
      <c r="N190" s="69"/>
    </row>
    <row r="191" s="4" customFormat="1" ht="17.6" spans="1:14">
      <c r="A191" s="1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78"/>
      <c r="M191" s="69"/>
      <c r="N191" s="69"/>
    </row>
    <row r="192" s="4" customFormat="1" ht="17.6" spans="1:14">
      <c r="A192" s="1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80"/>
      <c r="M192" s="69"/>
      <c r="N192" s="69"/>
    </row>
    <row r="193" s="4" customFormat="1" ht="17.6" spans="1:14">
      <c r="A193" s="1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80"/>
      <c r="M193" s="69"/>
      <c r="N193" s="69"/>
    </row>
    <row r="194" s="4" customFormat="1" ht="17.6" spans="1:14">
      <c r="A194" s="1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80"/>
      <c r="M194" s="69"/>
      <c r="N194" s="69"/>
    </row>
    <row r="195" s="4" customFormat="1" spans="1:14">
      <c r="A195" s="1"/>
      <c r="B195" s="5"/>
      <c r="C195" s="5"/>
      <c r="D195" s="5"/>
      <c r="E195" s="5"/>
      <c r="F195" s="5"/>
      <c r="G195" s="5"/>
      <c r="H195" s="5"/>
      <c r="I195" s="5"/>
      <c r="J195" s="5"/>
      <c r="K195" s="5"/>
      <c r="M195" s="69"/>
      <c r="N195" s="69"/>
    </row>
  </sheetData>
  <sortState ref="H113:L195" columnSort="1">
    <sortCondition ref="H113:L113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1"/>
  <sheetViews>
    <sheetView showGridLines="0" zoomScale="78" zoomScaleNormal="78" workbookViewId="0">
      <pane xSplit="7" ySplit="2" topLeftCell="H3" activePane="bottomRight" state="frozen"/>
      <selection/>
      <selection pane="topRight"/>
      <selection pane="bottomLeft"/>
      <selection pane="bottomRight" activeCell="F150" sqref="F150"/>
    </sheetView>
  </sheetViews>
  <sheetFormatPr defaultColWidth="9.14285714285714" defaultRowHeight="17.6"/>
  <cols>
    <col min="1" max="1" width="1.23214285714286" style="263" customWidth="1"/>
    <col min="2" max="3" width="1.23214285714286" style="264" customWidth="1"/>
    <col min="4" max="4" width="40.6428571428571" style="261" customWidth="1"/>
    <col min="5" max="5" width="9.97321428571429" style="261" customWidth="1"/>
    <col min="6" max="6" width="13.2857142857143" style="261" customWidth="1"/>
    <col min="7" max="7" width="2.64285714285714" style="261" customWidth="1"/>
    <col min="8" max="11" width="12.6428571428571" style="265" customWidth="1"/>
    <col min="12" max="12" width="11.8571428571429" style="265" customWidth="1"/>
    <col min="13" max="16384" width="12.6428571428571" style="264" customWidth="1"/>
  </cols>
  <sheetData>
    <row r="1" ht="36" spans="1:18">
      <c r="A1" s="266" t="s">
        <v>0</v>
      </c>
      <c r="B1" s="267"/>
      <c r="C1" s="267"/>
      <c r="D1" s="267"/>
      <c r="E1" s="267"/>
      <c r="F1" s="267"/>
      <c r="G1" s="268"/>
      <c r="H1" s="269" t="s">
        <v>133</v>
      </c>
      <c r="I1" s="270"/>
      <c r="J1" s="270"/>
      <c r="K1" s="270"/>
      <c r="L1" s="270"/>
      <c r="M1" s="271" t="s">
        <v>134</v>
      </c>
      <c r="N1" s="272"/>
      <c r="O1" s="272"/>
      <c r="P1" s="272"/>
      <c r="Q1" s="272"/>
    </row>
    <row r="2" ht="20.4" spans="1:18">
      <c r="A2" s="273" t="s">
        <v>135</v>
      </c>
      <c r="B2" s="274"/>
      <c r="C2" s="274"/>
      <c r="D2" s="274"/>
      <c r="E2" s="267"/>
      <c r="F2" s="267"/>
      <c r="G2" s="268"/>
      <c r="H2" s="275">
        <f>'Historical Data'!H4</f>
        <v>2021</v>
      </c>
      <c r="I2" s="275">
        <f>'Historical Data'!I4</f>
        <v>2022</v>
      </c>
      <c r="J2" s="275">
        <f>'Historical Data'!J4</f>
        <v>2023</v>
      </c>
      <c r="K2" s="275">
        <f>'Historical Data'!K4</f>
        <v>2024</v>
      </c>
      <c r="L2" s="275">
        <f>'Historical Data'!L4</f>
        <v>2025</v>
      </c>
      <c r="M2" s="276">
        <v>2026</v>
      </c>
      <c r="N2" s="277">
        <v>2027</v>
      </c>
      <c r="O2" s="277">
        <v>2028</v>
      </c>
      <c r="P2" s="277">
        <v>2029</v>
      </c>
      <c r="Q2" s="277">
        <v>2030</v>
      </c>
    </row>
    <row r="3" spans="1:18">
      <c r="A3" s="278"/>
      <c r="B3" s="279"/>
      <c r="C3" s="279"/>
      <c r="D3" s="279"/>
      <c r="E3" s="280"/>
      <c r="F3" s="280"/>
      <c r="G3" s="281"/>
      <c r="H3" s="282"/>
      <c r="I3" s="282"/>
      <c r="J3" s="282"/>
      <c r="K3" s="282"/>
      <c r="L3" s="282"/>
      <c r="M3" s="283"/>
      <c r="N3" s="283"/>
      <c r="O3" s="283"/>
      <c r="P3" s="283"/>
      <c r="Q3" s="283"/>
    </row>
    <row r="4" ht="20.4" spans="1:18">
      <c r="A4" s="185" t="s">
        <v>136</v>
      </c>
      <c r="B4" s="186"/>
      <c r="C4" s="187"/>
      <c r="D4" s="188"/>
      <c r="E4" s="189"/>
      <c r="F4" s="189"/>
      <c r="G4" s="189"/>
      <c r="H4" s="190"/>
      <c r="I4" s="190"/>
      <c r="J4" s="190"/>
      <c r="K4" s="190"/>
      <c r="L4" s="190"/>
      <c r="M4" s="189"/>
      <c r="N4" s="189"/>
      <c r="O4" s="189"/>
      <c r="P4" s="189"/>
      <c r="Q4" s="189"/>
    </row>
    <row r="5" outlineLevel="1" spans="1:18">
      <c r="A5" s="278"/>
      <c r="B5" s="279"/>
      <c r="C5" s="279"/>
      <c r="D5" s="279"/>
      <c r="E5" s="280"/>
      <c r="F5" s="280"/>
      <c r="G5" s="281"/>
      <c r="H5" s="282"/>
      <c r="I5" s="282"/>
      <c r="J5" s="282"/>
      <c r="K5" s="282"/>
      <c r="L5" s="282"/>
      <c r="M5" s="283"/>
      <c r="N5" s="283"/>
      <c r="O5" s="283"/>
      <c r="P5" s="283"/>
      <c r="Q5" s="283"/>
    </row>
    <row r="6" ht="18" outlineLevel="1" spans="1:18">
      <c r="A6" s="278"/>
      <c r="B6" s="279"/>
      <c r="C6" s="284"/>
      <c r="D6" s="285" t="s">
        <v>137</v>
      </c>
      <c r="E6" s="286" t="s">
        <v>138</v>
      </c>
      <c r="F6" s="280"/>
      <c r="G6" s="281"/>
      <c r="H6" s="287">
        <f>IF(E6=Scenarios!D5,1,IF(E6=Scenarios!D6,2,3))</f>
        <v>1</v>
      </c>
      <c r="I6" s="288"/>
      <c r="J6" s="288"/>
      <c r="K6" s="288"/>
      <c r="L6" s="288"/>
      <c r="M6" s="283"/>
      <c r="N6" s="283"/>
      <c r="O6" s="283"/>
      <c r="P6" s="283"/>
      <c r="Q6" s="283"/>
    </row>
    <row r="7" ht="18" outlineLevel="1" spans="1:18">
      <c r="A7" s="278"/>
      <c r="B7" s="279"/>
      <c r="C7" s="279"/>
      <c r="D7" s="289" t="s">
        <v>139</v>
      </c>
      <c r="E7" s="280"/>
      <c r="F7" s="280"/>
      <c r="G7" s="281"/>
      <c r="H7" s="288"/>
      <c r="I7" s="290">
        <f>I22/H22-1</f>
        <v>0.199568866814589</v>
      </c>
      <c r="J7" s="290">
        <f>J22/I22-1</f>
        <v>0.0907516228316403</v>
      </c>
      <c r="K7" s="290">
        <f>K22/J22-1</f>
        <v>0.0921024272238056</v>
      </c>
      <c r="L7" s="290">
        <f>L22/K22-1</f>
        <v>0.0234409413637016</v>
      </c>
      <c r="M7" s="290" cm="1">
        <f t="array" ref="M7:Q7">CHOOSE(H6,Scenarios!H5:L5,Scenarios!H6:L6,Scenarios!H7:L7)</f>
        <v>0.101465964558434</v>
      </c>
      <c r="N7" s="290">
        <v>0.0913193681025907</v>
      </c>
      <c r="O7" s="290">
        <v>0.0821874312923316</v>
      </c>
      <c r="P7" s="290">
        <v>0.0739686881630985</v>
      </c>
      <c r="Q7" s="290">
        <v>0.0665718193467886</v>
      </c>
      <c r="R7" s="291"/>
    </row>
    <row r="8" ht="18" outlineLevel="1" spans="1:18">
      <c r="A8" s="278"/>
      <c r="B8" s="279"/>
      <c r="C8" s="279"/>
      <c r="D8" s="289" t="s">
        <v>140</v>
      </c>
      <c r="E8" s="280"/>
      <c r="F8" s="280"/>
      <c r="G8" s="281"/>
      <c r="H8" s="292">
        <f>-H23/H22</f>
        <v>0.39463689268258</v>
      </c>
      <c r="I8" s="292">
        <f>-I23/I22</f>
        <v>0.393099051267656</v>
      </c>
      <c r="J8" s="292">
        <f>-J23/J22</f>
        <v>0.423030434700145</v>
      </c>
      <c r="K8" s="292">
        <f>-K23/K22</f>
        <v>0.389780842118226</v>
      </c>
      <c r="L8" s="292">
        <f>-L23/L22</f>
        <v>0.367484488434589</v>
      </c>
      <c r="M8" s="290">
        <f t="shared" ref="M8:M18" si="0">AVERAGE(H8:L8)</f>
        <v>0.393606341840639</v>
      </c>
      <c r="N8" s="290">
        <f t="shared" ref="N8:N18" si="1">M8</f>
        <v>0.393606341840639</v>
      </c>
      <c r="O8" s="290">
        <f t="shared" ref="O8:O18" si="2">N8</f>
        <v>0.393606341840639</v>
      </c>
      <c r="P8" s="290">
        <f t="shared" ref="P8:P18" si="3">O8</f>
        <v>0.393606341840639</v>
      </c>
      <c r="Q8" s="290">
        <f t="shared" ref="Q8:Q18" si="4">P8</f>
        <v>0.393606341840639</v>
      </c>
    </row>
    <row r="9" ht="18" outlineLevel="1" spans="1:18">
      <c r="A9" s="278"/>
      <c r="B9" s="279"/>
      <c r="C9" s="279"/>
      <c r="D9" s="289" t="s">
        <v>141</v>
      </c>
      <c r="E9" s="280"/>
      <c r="F9" s="280"/>
      <c r="G9" s="281"/>
      <c r="H9" s="292">
        <f>-H25/H22</f>
        <v>0.386255627461221</v>
      </c>
      <c r="I9" s="292">
        <f>-I25/I22</f>
        <v>0.413851924782235</v>
      </c>
      <c r="J9" s="292">
        <f>-J25/J22</f>
        <v>0.43821502406188</v>
      </c>
      <c r="K9" s="292">
        <f>-K25/K22</f>
        <v>0.432956413142842</v>
      </c>
      <c r="L9" s="292">
        <f>-L25/L22</f>
        <v>0.438744357677724</v>
      </c>
      <c r="M9" s="290">
        <f t="shared" si="0"/>
        <v>0.42200466942518</v>
      </c>
      <c r="N9" s="290">
        <f t="shared" si="1"/>
        <v>0.42200466942518</v>
      </c>
      <c r="O9" s="290">
        <f t="shared" si="2"/>
        <v>0.42200466942518</v>
      </c>
      <c r="P9" s="290">
        <f t="shared" si="3"/>
        <v>0.42200466942518</v>
      </c>
      <c r="Q9" s="290">
        <f t="shared" si="4"/>
        <v>0.42200466942518</v>
      </c>
    </row>
    <row r="10" ht="18" outlineLevel="1" spans="1:18">
      <c r="A10" s="278"/>
      <c r="B10" s="279"/>
      <c r="C10" s="279"/>
      <c r="D10" s="289" t="s">
        <v>142</v>
      </c>
      <c r="E10" s="280"/>
      <c r="F10" s="280"/>
      <c r="G10" s="281"/>
      <c r="H10" s="292">
        <f ca="1">-H27/(H44+H45)</f>
        <v>0.0983850913872735</v>
      </c>
      <c r="I10" s="292">
        <f ca="1">-I27/(I44+I45)</f>
        <v>0.107099065578622</v>
      </c>
      <c r="J10" s="292">
        <f ca="1">-J27/(J44+J45)</f>
        <v>0.11971923329091</v>
      </c>
      <c r="K10" s="292">
        <f ca="1">-K27/(K44+K45)</f>
        <v>0.114472139248301</v>
      </c>
      <c r="L10" s="292">
        <f ca="1">-L27/(L44+L45)</f>
        <v>0.119962247293662</v>
      </c>
      <c r="M10" s="290">
        <f ca="1" t="shared" si="0"/>
        <v>0.111927555359754</v>
      </c>
      <c r="N10" s="290">
        <f ca="1" t="shared" si="1"/>
        <v>0.111927555359754</v>
      </c>
      <c r="O10" s="290">
        <f ca="1" t="shared" si="2"/>
        <v>0.111927555359754</v>
      </c>
      <c r="P10" s="290">
        <f ca="1" t="shared" si="3"/>
        <v>0.111927555359754</v>
      </c>
      <c r="Q10" s="290">
        <f ca="1" t="shared" si="4"/>
        <v>0.111927555359754</v>
      </c>
    </row>
    <row r="11" ht="18" outlineLevel="1" spans="1:18">
      <c r="A11" s="278"/>
      <c r="B11" s="279"/>
      <c r="C11" s="279"/>
      <c r="D11" s="289" t="s">
        <v>143</v>
      </c>
      <c r="E11" s="280"/>
      <c r="F11" s="280"/>
      <c r="G11" s="281"/>
      <c r="H11" s="292">
        <f>-H29/H56</f>
        <v>0.0328798312481166</v>
      </c>
      <c r="I11" s="292">
        <f>-I29/I56</f>
        <v>0.0196275377690494</v>
      </c>
      <c r="J11" s="292">
        <f>-J29/J56</f>
        <v>0.0768680012601312</v>
      </c>
      <c r="K11" s="292">
        <f>-K29/K56</f>
        <v>0.0792507103023808</v>
      </c>
      <c r="L11" s="292">
        <f>-L29/L56</f>
        <v>0.0881309291042074</v>
      </c>
      <c r="M11" s="290">
        <f t="shared" si="0"/>
        <v>0.0593514019367771</v>
      </c>
      <c r="N11" s="290">
        <f t="shared" si="1"/>
        <v>0.0593514019367771</v>
      </c>
      <c r="O11" s="290">
        <f t="shared" si="2"/>
        <v>0.0593514019367771</v>
      </c>
      <c r="P11" s="290">
        <f t="shared" si="3"/>
        <v>0.0593514019367771</v>
      </c>
      <c r="Q11" s="290">
        <f t="shared" si="4"/>
        <v>0.0593514019367771</v>
      </c>
    </row>
    <row r="12" ht="18" outlineLevel="1" spans="1:18">
      <c r="A12" s="278"/>
      <c r="B12" s="279"/>
      <c r="C12" s="279"/>
      <c r="D12" s="289" t="s">
        <v>144</v>
      </c>
      <c r="E12" s="280"/>
      <c r="F12" s="280"/>
      <c r="G12" s="281"/>
      <c r="H12" s="292">
        <f>H30/H22</f>
        <v>0.026306794916193</v>
      </c>
      <c r="I12" s="292">
        <f>I30/I22</f>
        <v>0.0138882227983514</v>
      </c>
      <c r="J12" s="292">
        <f>J30/J22</f>
        <v>0.00975062202243936</v>
      </c>
      <c r="K12" s="292">
        <f>K30/K22</f>
        <v>0.0149476064094326</v>
      </c>
      <c r="L12" s="292">
        <f>L30/L22</f>
        <v>0.0380839398604808</v>
      </c>
      <c r="M12" s="290">
        <f t="shared" si="0"/>
        <v>0.0205954372013794</v>
      </c>
      <c r="N12" s="290">
        <f t="shared" si="1"/>
        <v>0.0205954372013794</v>
      </c>
      <c r="O12" s="290">
        <f t="shared" si="2"/>
        <v>0.0205954372013794</v>
      </c>
      <c r="P12" s="290">
        <f t="shared" si="3"/>
        <v>0.0205954372013794</v>
      </c>
      <c r="Q12" s="290">
        <f t="shared" si="4"/>
        <v>0.0205954372013794</v>
      </c>
    </row>
    <row r="13" ht="18" outlineLevel="1" spans="1:18">
      <c r="A13" s="278"/>
      <c r="B13" s="279"/>
      <c r="C13" s="279"/>
      <c r="D13" s="289" t="s">
        <v>145</v>
      </c>
      <c r="E13" s="280"/>
      <c r="F13" s="280"/>
      <c r="G13" s="281"/>
      <c r="H13" s="292">
        <f>-H32/H31</f>
        <v>0.121779490798545</v>
      </c>
      <c r="I13" s="292">
        <f>-I32/I31</f>
        <v>0.0889019020972955</v>
      </c>
      <c r="J13" s="292">
        <f>-J32/J31</f>
        <v>0.228362086804571</v>
      </c>
      <c r="K13" s="292">
        <f>-K32/K31</f>
        <v>0.104625011739236</v>
      </c>
      <c r="L13" s="292">
        <f>-L32/L31</f>
        <v>0.123081245572866</v>
      </c>
      <c r="M13" s="290">
        <f t="shared" si="0"/>
        <v>0.133349947402503</v>
      </c>
      <c r="N13" s="290">
        <f t="shared" si="1"/>
        <v>0.133349947402503</v>
      </c>
      <c r="O13" s="290">
        <f t="shared" si="2"/>
        <v>0.133349947402503</v>
      </c>
      <c r="P13" s="290">
        <f t="shared" si="3"/>
        <v>0.133349947402503</v>
      </c>
      <c r="Q13" s="290">
        <f t="shared" si="4"/>
        <v>0.133349947402503</v>
      </c>
    </row>
    <row r="14" ht="18" outlineLevel="1" spans="1:18">
      <c r="A14" s="278"/>
      <c r="B14" s="279"/>
      <c r="C14" s="279"/>
      <c r="D14" s="289" t="s">
        <v>146</v>
      </c>
      <c r="E14" s="280"/>
      <c r="F14" s="280"/>
      <c r="G14" s="281"/>
      <c r="H14" s="292">
        <f>-H89/H33</f>
        <v>0.206939181713099</v>
      </c>
      <c r="I14" s="292">
        <f>-I89/I33</f>
        <v>0.251089078270806</v>
      </c>
      <c r="J14" s="292">
        <f>-J89/J33</f>
        <v>0.525938359769966</v>
      </c>
      <c r="K14" s="292">
        <f>-K89/K33</f>
        <v>0.298372583440981</v>
      </c>
      <c r="L14" s="292">
        <f>-L89/L33</f>
        <v>0.227716606498195</v>
      </c>
      <c r="M14" s="290">
        <f t="shared" si="0"/>
        <v>0.302011161938609</v>
      </c>
      <c r="N14" s="290">
        <f t="shared" si="1"/>
        <v>0.302011161938609</v>
      </c>
      <c r="O14" s="290">
        <f t="shared" si="2"/>
        <v>0.302011161938609</v>
      </c>
      <c r="P14" s="290">
        <f t="shared" si="3"/>
        <v>0.302011161938609</v>
      </c>
      <c r="Q14" s="290">
        <f t="shared" si="4"/>
        <v>0.302011161938609</v>
      </c>
      <c r="R14" s="291"/>
    </row>
    <row r="15" ht="18" outlineLevel="1" spans="1:18">
      <c r="A15" s="278"/>
      <c r="B15" s="279"/>
      <c r="C15" s="279"/>
      <c r="D15" s="289" t="s">
        <v>147</v>
      </c>
      <c r="E15" s="280"/>
      <c r="F15" s="280"/>
      <c r="G15" s="281"/>
      <c r="H15" s="293">
        <f>H40/H22*365</f>
        <v>66.1738283431152</v>
      </c>
      <c r="I15" s="293">
        <f>I40/I22*365</f>
        <v>64.6856036990123</v>
      </c>
      <c r="J15" s="293">
        <f>J40/J22*365</f>
        <v>67.0944267134283</v>
      </c>
      <c r="K15" s="293">
        <f>K40/K22*365</f>
        <v>64.9118182004771</v>
      </c>
      <c r="L15" s="293">
        <f>L40/L22*365</f>
        <v>69.4342135304662</v>
      </c>
      <c r="M15" s="294">
        <f t="shared" si="0"/>
        <v>66.4599780972998</v>
      </c>
      <c r="N15" s="294">
        <f t="shared" si="1"/>
        <v>66.4599780972998</v>
      </c>
      <c r="O15" s="294">
        <f t="shared" si="2"/>
        <v>66.4599780972998</v>
      </c>
      <c r="P15" s="294">
        <f t="shared" si="3"/>
        <v>66.4599780972998</v>
      </c>
      <c r="Q15" s="294">
        <f t="shared" si="4"/>
        <v>66.4599780972998</v>
      </c>
    </row>
    <row r="16" ht="18" outlineLevel="1" spans="1:18">
      <c r="A16" s="278"/>
      <c r="B16" s="279"/>
      <c r="C16" s="279"/>
      <c r="D16" s="289" t="s">
        <v>148</v>
      </c>
      <c r="E16" s="280"/>
      <c r="F16" s="280"/>
      <c r="G16" s="281"/>
      <c r="H16" s="293">
        <f>H41/-H23*365</f>
        <v>241.260611812054</v>
      </c>
      <c r="I16" s="293">
        <f>I41/-I23*365</f>
        <v>262.426398646984</v>
      </c>
      <c r="J16" s="293">
        <f>J41/-J23*365</f>
        <v>193.963620171027</v>
      </c>
      <c r="K16" s="293">
        <f>K41/-K23*365</f>
        <v>196.722017668574</v>
      </c>
      <c r="L16" s="293">
        <f>L41/-L23*365</f>
        <v>223.891989521982</v>
      </c>
      <c r="M16" s="294">
        <f t="shared" si="0"/>
        <v>223.652927564124</v>
      </c>
      <c r="N16" s="294">
        <f t="shared" si="1"/>
        <v>223.652927564124</v>
      </c>
      <c r="O16" s="294">
        <f t="shared" si="2"/>
        <v>223.652927564124</v>
      </c>
      <c r="P16" s="294">
        <f t="shared" si="3"/>
        <v>223.652927564124</v>
      </c>
      <c r="Q16" s="294">
        <f t="shared" si="4"/>
        <v>223.652927564124</v>
      </c>
    </row>
    <row r="17" ht="18" outlineLevel="1" spans="1:17">
      <c r="A17" s="278"/>
      <c r="B17" s="279"/>
      <c r="C17" s="279"/>
      <c r="D17" s="289" t="s">
        <v>149</v>
      </c>
      <c r="E17" s="280"/>
      <c r="F17" s="280"/>
      <c r="G17" s="281"/>
      <c r="H17" s="293">
        <f>H53/-H23*365</f>
        <v>111.573277956587</v>
      </c>
      <c r="I17" s="293">
        <f>I53/-I23*365</f>
        <v>102.453107320306</v>
      </c>
      <c r="J17" s="293">
        <f>J53/-J23*365</f>
        <v>86.6603863178747</v>
      </c>
      <c r="K17" s="293">
        <f>K53/-K23*365</f>
        <v>129.226017603765</v>
      </c>
      <c r="L17" s="293">
        <f>L53/-L23*365</f>
        <v>140.916480208889</v>
      </c>
      <c r="M17" s="294">
        <f t="shared" si="0"/>
        <v>114.165853881484</v>
      </c>
      <c r="N17" s="294">
        <f t="shared" si="1"/>
        <v>114.165853881484</v>
      </c>
      <c r="O17" s="294">
        <f t="shared" si="2"/>
        <v>114.165853881484</v>
      </c>
      <c r="P17" s="294">
        <f t="shared" si="3"/>
        <v>114.165853881484</v>
      </c>
      <c r="Q17" s="294">
        <f t="shared" si="4"/>
        <v>114.165853881484</v>
      </c>
    </row>
    <row r="18" outlineLevel="1" spans="1:17">
      <c r="A18" s="278"/>
      <c r="B18" s="279"/>
      <c r="C18" s="279"/>
      <c r="D18" s="3" t="s">
        <v>150</v>
      </c>
      <c r="E18" s="280"/>
      <c r="F18" s="280"/>
      <c r="G18" s="281"/>
      <c r="H18" s="295">
        <f ca="1">H22/SUM(H44:H45)</f>
        <v>3.17643243863025</v>
      </c>
      <c r="I18" s="295">
        <f ca="1">I22/SUM(I44:I45)</f>
        <v>3.74691344974842</v>
      </c>
      <c r="J18" s="295">
        <f ca="1">J22/SUM(J44:J45)</f>
        <v>4.47346986000231</v>
      </c>
      <c r="K18" s="295">
        <f ca="1">K22/SUM(K44:K45)</f>
        <v>4.84492142231537</v>
      </c>
      <c r="L18" s="295">
        <f ca="1">L22/SUM(L44:L45)</f>
        <v>4.35449925602985</v>
      </c>
      <c r="M18" s="295">
        <f ca="1" t="shared" si="0"/>
        <v>4.11924728534524</v>
      </c>
      <c r="N18" s="295">
        <f ca="1" t="shared" si="1"/>
        <v>4.11924728534524</v>
      </c>
      <c r="O18" s="295">
        <f ca="1" t="shared" si="2"/>
        <v>4.11924728534524</v>
      </c>
      <c r="P18" s="295">
        <f ca="1" t="shared" si="3"/>
        <v>4.11924728534524</v>
      </c>
      <c r="Q18" s="295">
        <f ca="1" t="shared" si="4"/>
        <v>4.11924728534524</v>
      </c>
    </row>
    <row r="19" spans="1:17">
      <c r="E19" s="264"/>
      <c r="F19" s="264"/>
      <c r="G19" s="264"/>
      <c r="H19" s="296"/>
      <c r="I19" s="296"/>
      <c r="J19" s="296"/>
      <c r="K19" s="296"/>
      <c r="L19" s="296"/>
      <c r="M19" s="261"/>
      <c r="N19" s="261"/>
      <c r="O19" s="261"/>
      <c r="P19" s="261"/>
      <c r="Q19" s="261"/>
    </row>
    <row r="20" ht="20.4" spans="1:17">
      <c r="A20" s="297" t="s">
        <v>151</v>
      </c>
      <c r="B20" s="186"/>
      <c r="C20" s="187"/>
      <c r="D20" s="188"/>
      <c r="E20" s="186"/>
      <c r="F20" s="189"/>
      <c r="G20" s="189"/>
      <c r="H20" s="190"/>
      <c r="I20" s="190"/>
      <c r="J20" s="190"/>
      <c r="K20" s="190"/>
      <c r="L20" s="190"/>
      <c r="M20" s="191"/>
      <c r="N20" s="191"/>
      <c r="O20" s="191"/>
      <c r="P20" s="191"/>
      <c r="Q20" s="191"/>
    </row>
    <row r="21" ht="20.4" outlineLevel="1" spans="1:17">
      <c r="A21" s="298"/>
      <c r="B21" s="299"/>
      <c r="C21" s="299"/>
      <c r="D21" s="300"/>
      <c r="E21" s="264"/>
      <c r="F21" s="264"/>
      <c r="G21" s="264"/>
      <c r="H21" s="301"/>
      <c r="I21" s="301"/>
      <c r="J21" s="301"/>
      <c r="K21" s="301"/>
      <c r="L21" s="301"/>
      <c r="M21" s="261"/>
      <c r="N21" s="261"/>
      <c r="O21" s="261"/>
      <c r="P21" s="261"/>
      <c r="Q21" s="261"/>
    </row>
    <row r="22" ht="20.4" outlineLevel="1" spans="1:17">
      <c r="A22" s="298"/>
      <c r="B22" s="299"/>
      <c r="C22" s="299"/>
      <c r="D22" s="300" t="s">
        <v>152</v>
      </c>
      <c r="G22" s="302"/>
      <c r="H22" s="302">
        <f>'Historical Data'!H5</f>
        <v>88650.1</v>
      </c>
      <c r="I22" s="302">
        <f>'Historical Data'!I5</f>
        <v>106341.9</v>
      </c>
      <c r="J22" s="302">
        <f>'Historical Data'!J5</f>
        <v>115992.6</v>
      </c>
      <c r="K22" s="302">
        <f>'Historical Data'!K5</f>
        <v>126675.8</v>
      </c>
      <c r="L22" s="302">
        <f>'Historical Data'!L5</f>
        <v>129645.2</v>
      </c>
      <c r="M22" s="302">
        <f>L22*(1+M7)</f>
        <v>142799.775268371</v>
      </c>
      <c r="N22" s="302">
        <f>M22*(1+N7)</f>
        <v>155840.160511071</v>
      </c>
      <c r="O22" s="302">
        <f>N22*(1+O7)</f>
        <v>168648.26299566</v>
      </c>
      <c r="P22" s="302">
        <f>O22*(1+P7)</f>
        <v>181122.953770434</v>
      </c>
      <c r="Q22" s="302">
        <f>P22*(1+Q7)</f>
        <v>193180.638328397</v>
      </c>
    </row>
    <row r="23" ht="20.4" outlineLevel="1" spans="1:17">
      <c r="A23" s="298"/>
      <c r="B23" s="299"/>
      <c r="C23" s="299"/>
      <c r="D23" s="300" t="s">
        <v>153</v>
      </c>
      <c r="G23" s="302"/>
      <c r="H23" s="302">
        <f>-SUM('Historical Data'!H9:H11)</f>
        <v>-34984.6</v>
      </c>
      <c r="I23" s="302">
        <f>-SUM('Historical Data'!I9:I11)</f>
        <v>-41802.9</v>
      </c>
      <c r="J23" s="302">
        <f>-SUM('Historical Data'!J9:J11)</f>
        <v>-49068.4</v>
      </c>
      <c r="K23" s="302">
        <f>-SUM('Historical Data'!K9:K11)</f>
        <v>-49375.8</v>
      </c>
      <c r="L23" s="302">
        <f>-SUM('Historical Data'!L9:L11)</f>
        <v>-47642.6</v>
      </c>
      <c r="M23" s="302">
        <f>-M22*M8</f>
        <v>-56206.8971590489</v>
      </c>
      <c r="N23" s="302">
        <f>-N22*N8</f>
        <v>-61339.6754906205</v>
      </c>
      <c r="O23" s="302">
        <f>-O22*O8</f>
        <v>-66381.0258554998</v>
      </c>
      <c r="P23" s="302">
        <f>-P22*P8</f>
        <v>-71291.1432569519</v>
      </c>
      <c r="Q23" s="302">
        <f>-Q22*Q8</f>
        <v>-76037.1243668797</v>
      </c>
    </row>
    <row r="24" ht="20.4" outlineLevel="1" spans="1:17">
      <c r="A24" s="298"/>
      <c r="B24" s="299"/>
      <c r="C24" s="299"/>
      <c r="D24" s="303" t="s">
        <v>154</v>
      </c>
      <c r="E24" s="304"/>
      <c r="F24" s="304"/>
      <c r="G24" s="305"/>
      <c r="H24" s="305">
        <f t="shared" ref="H24:Q24" si="5">SUM(H22:H23)</f>
        <v>53665.5</v>
      </c>
      <c r="I24" s="305">
        <f t="shared" si="5"/>
        <v>64539</v>
      </c>
      <c r="J24" s="305">
        <f t="shared" si="5"/>
        <v>66924.2</v>
      </c>
      <c r="K24" s="305">
        <f t="shared" si="5"/>
        <v>77300</v>
      </c>
      <c r="L24" s="305">
        <f t="shared" si="5"/>
        <v>82002.6</v>
      </c>
      <c r="M24" s="305">
        <f t="shared" si="5"/>
        <v>86592.8781093222</v>
      </c>
      <c r="N24" s="305">
        <f t="shared" si="5"/>
        <v>94500.4850204501</v>
      </c>
      <c r="O24" s="305">
        <f t="shared" si="5"/>
        <v>102267.23714016</v>
      </c>
      <c r="P24" s="305">
        <f t="shared" si="5"/>
        <v>109831.810513483</v>
      </c>
      <c r="Q24" s="305">
        <f t="shared" si="5"/>
        <v>117143.513961517</v>
      </c>
    </row>
    <row r="25" ht="20.4" outlineLevel="1" spans="1:17">
      <c r="A25" s="298"/>
      <c r="B25" s="299"/>
      <c r="C25" s="299"/>
      <c r="D25" s="300" t="s">
        <v>155</v>
      </c>
      <c r="G25" s="302"/>
      <c r="H25" s="302">
        <f>-SUM('Historical Data'!H12,'Historical Data'!H15)</f>
        <v>-34241.6</v>
      </c>
      <c r="I25" s="302">
        <f>-SUM('Historical Data'!I12,'Historical Data'!I15)</f>
        <v>-44009.8</v>
      </c>
      <c r="J25" s="302">
        <f>-SUM('Historical Data'!J12,'Historical Data'!J15)</f>
        <v>-50829.7</v>
      </c>
      <c r="K25" s="302">
        <f>-SUM('Historical Data'!K12,'Historical Data'!K15)</f>
        <v>-54845.1</v>
      </c>
      <c r="L25" s="302">
        <f>-SUM('Historical Data'!L12,'Historical Data'!L15)</f>
        <v>-56881.1</v>
      </c>
      <c r="M25" s="302">
        <f>M22*-M9</f>
        <v>-60262.1719561189</v>
      </c>
      <c r="N25" s="302">
        <f>N22*-N9</f>
        <v>-65765.2754196414</v>
      </c>
      <c r="O25" s="302">
        <f>O22*-O9</f>
        <v>-71170.3544746144</v>
      </c>
      <c r="P25" s="302">
        <f>P22*-P9</f>
        <v>-76434.7322312044</v>
      </c>
      <c r="Q25" s="302">
        <f>Q22*-Q9</f>
        <v>-81523.1314171203</v>
      </c>
    </row>
    <row r="26" ht="20.4" outlineLevel="1" spans="1:17">
      <c r="A26" s="298"/>
      <c r="B26" s="299"/>
      <c r="C26" s="306"/>
      <c r="D26" s="303" t="s">
        <v>156</v>
      </c>
      <c r="E26" s="304"/>
      <c r="F26" s="304"/>
      <c r="G26" s="305"/>
      <c r="H26" s="305">
        <f t="shared" ref="H26:Q26" si="6">SUM(H24:H25)</f>
        <v>19423.9</v>
      </c>
      <c r="I26" s="305">
        <f t="shared" si="6"/>
        <v>20529.2</v>
      </c>
      <c r="J26" s="305">
        <f t="shared" si="6"/>
        <v>16094.5</v>
      </c>
      <c r="K26" s="305">
        <f t="shared" si="6"/>
        <v>22454.9</v>
      </c>
      <c r="L26" s="305">
        <f t="shared" si="6"/>
        <v>25121.5</v>
      </c>
      <c r="M26" s="307">
        <f t="shared" si="6"/>
        <v>26330.7061532033</v>
      </c>
      <c r="N26" s="307">
        <f t="shared" si="6"/>
        <v>28735.2096008088</v>
      </c>
      <c r="O26" s="307">
        <f t="shared" si="6"/>
        <v>31096.882665546</v>
      </c>
      <c r="P26" s="307">
        <f t="shared" si="6"/>
        <v>33397.0782822782</v>
      </c>
      <c r="Q26" s="307">
        <f t="shared" si="6"/>
        <v>35620.3825443966</v>
      </c>
    </row>
    <row r="27" ht="20.4" outlineLevel="1" spans="1:17">
      <c r="A27" s="298"/>
      <c r="B27" s="299"/>
      <c r="C27" s="299"/>
      <c r="D27" s="300" t="s">
        <v>157</v>
      </c>
      <c r="G27" s="302"/>
      <c r="H27" s="302">
        <f>-'Historical Data'!H14</f>
        <v>-2745.8</v>
      </c>
      <c r="I27" s="302">
        <f>-'Historical Data'!I14</f>
        <v>-3039.6</v>
      </c>
      <c r="J27" s="302">
        <f>-'Historical Data'!J14</f>
        <v>-3104.2</v>
      </c>
      <c r="K27" s="302">
        <f>-'Historical Data'!K14</f>
        <v>-2993</v>
      </c>
      <c r="L27" s="302">
        <f>-'Historical Data'!L14</f>
        <v>-3571.6</v>
      </c>
      <c r="M27" s="302">
        <f ca="1">M109</f>
        <v>-3332.38552745934</v>
      </c>
      <c r="N27" s="302">
        <f ca="1">N109</f>
        <v>-3316.83386318246</v>
      </c>
      <c r="O27" s="302">
        <f ca="1">O109</f>
        <v>-3299.92010480867</v>
      </c>
      <c r="P27" s="302">
        <f ca="1">P109</f>
        <v>-3278.58791058956</v>
      </c>
      <c r="Q27" s="302">
        <f ca="1">Q109</f>
        <v>-3250.5839648849</v>
      </c>
    </row>
    <row r="28" ht="20.4" outlineLevel="1" spans="1:17">
      <c r="A28" s="298"/>
      <c r="B28" s="299"/>
      <c r="C28" s="299"/>
      <c r="D28" s="303" t="s">
        <v>158</v>
      </c>
      <c r="E28" s="304"/>
      <c r="F28" s="304"/>
      <c r="G28" s="305"/>
      <c r="H28" s="305">
        <f t="shared" ref="H28:Q28" si="7">SUM(H26:H27)</f>
        <v>16678.1</v>
      </c>
      <c r="I28" s="305">
        <f t="shared" si="7"/>
        <v>17489.6</v>
      </c>
      <c r="J28" s="305">
        <f t="shared" si="7"/>
        <v>12990.3</v>
      </c>
      <c r="K28" s="305">
        <f t="shared" si="7"/>
        <v>19461.9</v>
      </c>
      <c r="L28" s="305">
        <f t="shared" si="7"/>
        <v>21549.9</v>
      </c>
      <c r="M28" s="307">
        <f ca="1" t="shared" si="7"/>
        <v>22998.320625744</v>
      </c>
      <c r="N28" s="307">
        <f ca="1" t="shared" si="7"/>
        <v>25418.3757376263</v>
      </c>
      <c r="O28" s="307">
        <f ca="1" t="shared" si="7"/>
        <v>27796.9625607373</v>
      </c>
      <c r="P28" s="307">
        <f ca="1" t="shared" si="7"/>
        <v>30118.4903716886</v>
      </c>
      <c r="Q28" s="307">
        <f ca="1" t="shared" si="7"/>
        <v>32369.7985795117</v>
      </c>
    </row>
    <row r="29" ht="20.4" outlineLevel="1" spans="1:17">
      <c r="A29" s="298"/>
      <c r="B29" s="299"/>
      <c r="C29" s="299"/>
      <c r="D29" s="300" t="s">
        <v>159</v>
      </c>
      <c r="G29" s="302"/>
      <c r="H29" s="302">
        <f>-'Historical Data'!H13</f>
        <v>-589.2</v>
      </c>
      <c r="I29" s="302">
        <f>-'Historical Data'!I13</f>
        <v>-523.7</v>
      </c>
      <c r="J29" s="302">
        <f>-'Historical Data'!J13</f>
        <v>-1073.6</v>
      </c>
      <c r="K29" s="302">
        <f>-'Historical Data'!K13</f>
        <v>-1124.1</v>
      </c>
      <c r="L29" s="302">
        <f>-'Historical Data'!L13</f>
        <v>-1217</v>
      </c>
      <c r="M29" s="302">
        <f>M116</f>
        <v>-819.583509344955</v>
      </c>
      <c r="N29" s="302">
        <f>N116</f>
        <v>-765.400427488832</v>
      </c>
      <c r="O29" s="302">
        <f>O116</f>
        <v>-711.21734563271</v>
      </c>
      <c r="P29" s="302">
        <f>P116</f>
        <v>-657.034263776587</v>
      </c>
      <c r="Q29" s="302">
        <f>Q116</f>
        <v>-602.851181920465</v>
      </c>
    </row>
    <row r="30" ht="20.4" outlineLevel="1" spans="1:17">
      <c r="A30" s="298"/>
      <c r="B30" s="299"/>
      <c r="C30" s="299"/>
      <c r="D30" s="300" t="s">
        <v>160</v>
      </c>
      <c r="G30" s="302"/>
      <c r="H30" s="302">
        <f>'Historical Data'!H6+'Historical Data'!H18</f>
        <v>2332.1</v>
      </c>
      <c r="I30" s="302">
        <f>'Historical Data'!I6+'Historical Data'!I18</f>
        <v>1476.9</v>
      </c>
      <c r="J30" s="302">
        <f>'Historical Data'!J6+'Historical Data'!J18</f>
        <v>1131</v>
      </c>
      <c r="K30" s="302">
        <f>'Historical Data'!K6+'Historical Data'!K18</f>
        <v>1893.5</v>
      </c>
      <c r="L30" s="302">
        <f>'Historical Data'!L6+'Historical Data'!L18</f>
        <v>4937.4</v>
      </c>
      <c r="M30" s="302">
        <f>M22*M12</f>
        <v>2941.02380391083</v>
      </c>
      <c r="N30" s="302">
        <f>N22*N12</f>
        <v>3209.59623925864</v>
      </c>
      <c r="O30" s="302">
        <f>O22*O12</f>
        <v>3473.38470964884</v>
      </c>
      <c r="P30" s="302">
        <f>P22*P12</f>
        <v>3730.30642010733</v>
      </c>
      <c r="Q30" s="302">
        <f>Q22*Q12</f>
        <v>3978.63970521488</v>
      </c>
    </row>
    <row r="31" ht="20.4" outlineLevel="1" spans="1:17">
      <c r="A31" s="298"/>
      <c r="B31" s="299"/>
      <c r="C31" s="299"/>
      <c r="D31" s="303" t="s">
        <v>161</v>
      </c>
      <c r="E31" s="304"/>
      <c r="F31" s="304"/>
      <c r="G31" s="305"/>
      <c r="H31" s="305">
        <f t="shared" ref="H31:Q31" si="8">SUM(H28:H30)</f>
        <v>18421</v>
      </c>
      <c r="I31" s="305">
        <f t="shared" si="8"/>
        <v>18442.8</v>
      </c>
      <c r="J31" s="305">
        <f t="shared" si="8"/>
        <v>13047.7</v>
      </c>
      <c r="K31" s="305">
        <f t="shared" si="8"/>
        <v>20231.3</v>
      </c>
      <c r="L31" s="305">
        <f t="shared" si="8"/>
        <v>25270.3</v>
      </c>
      <c r="M31" s="305">
        <f ca="1" t="shared" si="8"/>
        <v>25119.7609203098</v>
      </c>
      <c r="N31" s="305">
        <f ca="1" t="shared" si="8"/>
        <v>27862.5715493961</v>
      </c>
      <c r="O31" s="305">
        <f ca="1" t="shared" si="8"/>
        <v>30559.1299247535</v>
      </c>
      <c r="P31" s="305">
        <f ca="1" t="shared" si="8"/>
        <v>33191.7625280194</v>
      </c>
      <c r="Q31" s="305">
        <f ca="1" t="shared" si="8"/>
        <v>35745.5871028061</v>
      </c>
    </row>
    <row r="32" ht="20.4" outlineLevel="1" spans="1:17">
      <c r="A32" s="298"/>
      <c r="B32" s="299"/>
      <c r="C32" s="299"/>
      <c r="D32" s="300" t="s">
        <v>162</v>
      </c>
      <c r="G32" s="302"/>
      <c r="H32" s="302">
        <f>-'Historical Data'!H22</f>
        <v>-2243.3</v>
      </c>
      <c r="I32" s="302">
        <f>-'Historical Data'!I22</f>
        <v>-1639.6</v>
      </c>
      <c r="J32" s="302">
        <f>-'Historical Data'!J22</f>
        <v>-2979.6</v>
      </c>
      <c r="K32" s="302">
        <f>-'Historical Data'!K22</f>
        <v>-2116.7</v>
      </c>
      <c r="L32" s="302">
        <f>-'Historical Data'!L22</f>
        <v>-3110.3</v>
      </c>
      <c r="M32" s="302">
        <f ca="1">M31*-M13</f>
        <v>-3349.71879748677</v>
      </c>
      <c r="N32" s="302">
        <f ca="1">N31*-N13</f>
        <v>-3715.47245061045</v>
      </c>
      <c r="O32" s="302">
        <f ca="1">O31*-O13</f>
        <v>-4075.05836813213</v>
      </c>
      <c r="P32" s="302">
        <f ca="1">P31*-P13</f>
        <v>-4426.11978730776</v>
      </c>
      <c r="Q32" s="302">
        <f ca="1">Q31*-Q13</f>
        <v>-4766.67216003078</v>
      </c>
    </row>
    <row r="33" ht="20.4" outlineLevel="1" spans="1:18">
      <c r="A33" s="298"/>
      <c r="B33" s="299"/>
      <c r="C33" s="299"/>
      <c r="D33" s="303" t="s">
        <v>163</v>
      </c>
      <c r="E33" s="304"/>
      <c r="F33" s="304"/>
      <c r="G33" s="305"/>
      <c r="H33" s="305">
        <f t="shared" ref="H33:Q33" si="9">SUM(H31:H32)</f>
        <v>16177.7</v>
      </c>
      <c r="I33" s="305">
        <f t="shared" si="9"/>
        <v>16803.2</v>
      </c>
      <c r="J33" s="305">
        <f t="shared" si="9"/>
        <v>10068.1</v>
      </c>
      <c r="K33" s="305">
        <f t="shared" si="9"/>
        <v>18114.6</v>
      </c>
      <c r="L33" s="305">
        <f t="shared" si="9"/>
        <v>22160</v>
      </c>
      <c r="M33" s="305">
        <f ca="1" t="shared" si="9"/>
        <v>21770.0421228231</v>
      </c>
      <c r="N33" s="305">
        <f ca="1" t="shared" si="9"/>
        <v>24147.0990987857</v>
      </c>
      <c r="O33" s="305">
        <f ca="1" t="shared" si="9"/>
        <v>26484.0715566213</v>
      </c>
      <c r="P33" s="305">
        <f ca="1" t="shared" si="9"/>
        <v>28765.6427407116</v>
      </c>
      <c r="Q33" s="305">
        <f ca="1" t="shared" si="9"/>
        <v>30978.9149427753</v>
      </c>
    </row>
    <row r="34" ht="20.4" spans="1:18">
      <c r="A34" s="298"/>
      <c r="B34" s="299"/>
      <c r="C34" s="299"/>
      <c r="D34" s="300"/>
      <c r="G34" s="302"/>
      <c r="H34" s="302"/>
      <c r="I34" s="302"/>
      <c r="J34" s="302"/>
      <c r="K34" s="302"/>
      <c r="L34" s="302"/>
      <c r="M34" s="308"/>
      <c r="N34" s="301"/>
      <c r="O34" s="301"/>
      <c r="P34" s="301"/>
      <c r="Q34" s="301"/>
    </row>
    <row r="35" ht="20.4" spans="1:18">
      <c r="A35" s="185" t="s">
        <v>164</v>
      </c>
      <c r="B35" s="186"/>
      <c r="C35" s="187"/>
      <c r="D35" s="188"/>
      <c r="E35" s="191"/>
      <c r="F35" s="191"/>
      <c r="G35" s="191"/>
      <c r="H35" s="309"/>
      <c r="I35" s="309"/>
      <c r="J35" s="309"/>
      <c r="K35" s="309"/>
      <c r="L35" s="309"/>
      <c r="M35" s="189"/>
      <c r="N35" s="189"/>
      <c r="O35" s="189"/>
      <c r="P35" s="189"/>
      <c r="Q35" s="189"/>
    </row>
    <row r="36" ht="20.4" outlineLevel="1" spans="1:18">
      <c r="A36" s="298"/>
      <c r="B36" s="299"/>
      <c r="C36" s="299"/>
      <c r="D36" s="300"/>
      <c r="G36" s="302"/>
      <c r="H36" s="302"/>
      <c r="I36" s="302"/>
      <c r="J36" s="302"/>
      <c r="K36" s="302"/>
      <c r="L36" s="302"/>
      <c r="M36" s="308"/>
      <c r="N36" s="301"/>
      <c r="O36" s="301"/>
      <c r="P36" s="301"/>
      <c r="Q36" s="301"/>
    </row>
    <row r="37" ht="20.4" outlineLevel="1" spans="1:18">
      <c r="A37" s="298"/>
      <c r="B37" s="310" t="s">
        <v>165</v>
      </c>
      <c r="C37" s="299"/>
      <c r="D37" s="299"/>
      <c r="G37" s="302"/>
      <c r="H37" s="302"/>
      <c r="I37" s="302"/>
      <c r="J37" s="302"/>
      <c r="K37" s="302"/>
      <c r="L37" s="302"/>
      <c r="M37" s="308"/>
      <c r="N37" s="301"/>
      <c r="O37" s="301"/>
      <c r="P37" s="301"/>
      <c r="Q37" s="301"/>
    </row>
    <row r="38" ht="20.4" outlineLevel="1" spans="1:18">
      <c r="A38" s="298"/>
      <c r="B38" s="299"/>
      <c r="C38" s="311" t="s">
        <v>166</v>
      </c>
      <c r="D38" s="300"/>
      <c r="G38" s="302"/>
      <c r="H38" s="302"/>
      <c r="I38" s="302"/>
      <c r="J38" s="302"/>
      <c r="K38" s="302"/>
      <c r="L38" s="302"/>
      <c r="M38" s="302"/>
      <c r="N38" s="312"/>
      <c r="O38" s="312"/>
      <c r="P38" s="312"/>
      <c r="Q38" s="312"/>
    </row>
    <row r="39" ht="20.4" outlineLevel="1" spans="1:18">
      <c r="A39" s="298"/>
      <c r="B39" s="299"/>
      <c r="C39" s="299"/>
      <c r="D39" s="147" t="s">
        <v>167</v>
      </c>
      <c r="G39" s="302"/>
      <c r="H39" s="302">
        <f>'Historical Data'!H50+'Historical Data'!H51</f>
        <v>19904.5</v>
      </c>
      <c r="I39" s="302">
        <f>'Historical Data'!I50+'Historical Data'!I51</f>
        <v>25785.8</v>
      </c>
      <c r="J39" s="302">
        <f>'Historical Data'!J50+'Historical Data'!J51</f>
        <v>26168.9</v>
      </c>
      <c r="K39" s="302">
        <f>'Historical Data'!K50+'Historical Data'!K51</f>
        <v>15793.5</v>
      </c>
      <c r="L39" s="302">
        <f>'Historical Data'!L50+'Historical Data'!L51</f>
        <v>15630.8</v>
      </c>
      <c r="M39" s="302">
        <f ca="1">M95</f>
        <v>22683.8043215907</v>
      </c>
      <c r="N39" s="302">
        <f ca="1">N95</f>
        <v>34862.3305396678</v>
      </c>
      <c r="O39" s="302">
        <f ca="1">O95</f>
        <v>48781.2329941694</v>
      </c>
      <c r="P39" s="302">
        <f ca="1">P95</f>
        <v>64452.3279903724</v>
      </c>
      <c r="Q39" s="302">
        <f ca="1">Q95</f>
        <v>81866.6563853803</v>
      </c>
    </row>
    <row r="40" ht="20.4" outlineLevel="1" spans="1:18">
      <c r="A40" s="298"/>
      <c r="B40" s="299"/>
      <c r="C40" s="299"/>
      <c r="D40" s="147" t="s">
        <v>168</v>
      </c>
      <c r="G40" s="302"/>
      <c r="H40" s="302">
        <f>'Historical Data'!H49</f>
        <v>16072.1</v>
      </c>
      <c r="I40" s="302">
        <f>'Historical Data'!I49</f>
        <v>18846</v>
      </c>
      <c r="J40" s="302">
        <f>'Historical Data'!J49</f>
        <v>21321.8</v>
      </c>
      <c r="K40" s="302">
        <f>'Historical Data'!K49</f>
        <v>22528.1</v>
      </c>
      <c r="L40" s="302">
        <f>'Historical Data'!L49</f>
        <v>24662.5</v>
      </c>
      <c r="M40" s="302">
        <f>M22/365*M15</f>
        <v>26001.2874976309</v>
      </c>
      <c r="N40" s="302">
        <f>N22/365*N15</f>
        <v>28375.7086417683</v>
      </c>
      <c r="O40" s="302">
        <f>O22/365*O15</f>
        <v>30707.8352461349</v>
      </c>
      <c r="P40" s="302">
        <f>P22/365*P15</f>
        <v>32979.2535356201</v>
      </c>
      <c r="Q40" s="302">
        <f>Q22/365*Q15</f>
        <v>35174.7424441853</v>
      </c>
    </row>
    <row r="41" ht="20.4" outlineLevel="1" spans="1:18">
      <c r="A41" s="298"/>
      <c r="B41" s="299"/>
      <c r="C41" s="299"/>
      <c r="D41" s="147" t="s">
        <v>169</v>
      </c>
      <c r="G41" s="302"/>
      <c r="H41" s="302">
        <f>'Historical Data'!H46</f>
        <v>23124.4</v>
      </c>
      <c r="I41" s="302">
        <f>'Historical Data'!I46</f>
        <v>30055.3</v>
      </c>
      <c r="J41" s="302">
        <f>'Historical Data'!J46</f>
        <v>26075.3</v>
      </c>
      <c r="K41" s="302">
        <f>'Historical Data'!K46</f>
        <v>26611.8</v>
      </c>
      <c r="L41" s="302">
        <f>'Historical Data'!L46</f>
        <v>29224.1</v>
      </c>
      <c r="M41" s="261">
        <f>-M23/365*M16</f>
        <v>34440.6495860738</v>
      </c>
      <c r="N41" s="261">
        <f>-N23/365*N16</f>
        <v>37585.7479433168</v>
      </c>
      <c r="O41" s="261">
        <f>-O23/365*O16</f>
        <v>40674.824019979</v>
      </c>
      <c r="P41" s="261">
        <f>-P23/365*P16</f>
        <v>43683.4873940018</v>
      </c>
      <c r="Q41" s="261">
        <f>-Q23/365*Q16</f>
        <v>46591.576625233</v>
      </c>
    </row>
    <row r="42" ht="20.4" outlineLevel="1" spans="1:18">
      <c r="A42" s="298"/>
      <c r="B42" s="299"/>
      <c r="C42" s="299"/>
      <c r="D42" s="147" t="s">
        <v>170</v>
      </c>
      <c r="G42" s="302"/>
      <c r="H42" s="302">
        <f>SUM('Historical Data'!H48,'Historical Data'!H54,'Historical Data'!H53,'Historical Data'!H52,'Historical Data'!H56)</f>
        <v>10187.2</v>
      </c>
      <c r="I42" s="302">
        <f>SUM('Historical Data'!I48,'Historical Data'!I54,'Historical Data'!I53,'Historical Data'!I52,'Historical Data'!I56)</f>
        <v>9667.2</v>
      </c>
      <c r="J42" s="302">
        <f>SUM('Historical Data'!J48,'Historical Data'!J54,'Historical Data'!J53,'Historical Data'!J52,'Historical Data'!J56)</f>
        <v>13730.8</v>
      </c>
      <c r="K42" s="302">
        <f>SUM('Historical Data'!K48,'Historical Data'!K54,'Historical Data'!K53,'Historical Data'!K52,'Historical Data'!K56)</f>
        <v>39182.4</v>
      </c>
      <c r="L42" s="302">
        <f>SUM('Historical Data'!L48,'Historical Data'!L54,'Historical Data'!L53,'Historical Data'!L52,'Historical Data'!L56)</f>
        <v>39940.8</v>
      </c>
      <c r="M42" s="302">
        <f>L42</f>
        <v>39940.8</v>
      </c>
      <c r="N42" s="312">
        <f>M42</f>
        <v>39940.8</v>
      </c>
      <c r="O42" s="312">
        <f>N42</f>
        <v>39940.8</v>
      </c>
      <c r="P42" s="312">
        <f>O42</f>
        <v>39940.8</v>
      </c>
      <c r="Q42" s="312">
        <f>P42</f>
        <v>39940.8</v>
      </c>
      <c r="R42" s="261"/>
    </row>
    <row r="43" ht="20.4" outlineLevel="1" spans="1:18">
      <c r="A43" s="298"/>
      <c r="B43" s="299"/>
      <c r="C43" s="311" t="s">
        <v>171</v>
      </c>
      <c r="D43" s="300"/>
      <c r="G43" s="302"/>
      <c r="H43" s="302"/>
      <c r="I43" s="302"/>
      <c r="J43" s="302"/>
      <c r="K43" s="302"/>
      <c r="L43" s="302"/>
      <c r="M43" s="302"/>
      <c r="N43" s="312"/>
      <c r="O43" s="312"/>
      <c r="P43" s="312"/>
      <c r="Q43" s="312"/>
    </row>
    <row r="44" ht="20.4" outlineLevel="1" spans="1:18">
      <c r="A44" s="298"/>
      <c r="B44" s="299"/>
      <c r="C44" s="299"/>
      <c r="D44" s="147" t="s">
        <v>172</v>
      </c>
      <c r="G44" s="302"/>
      <c r="H44" s="302">
        <f ca="1">SUM('Historical Data'!H30:'Historical Data'!H32)</f>
        <v>26272.1</v>
      </c>
      <c r="I44" s="302">
        <f ca="1">SUM('Historical Data'!I30:'Historical Data'!I32)</f>
        <v>26265.8</v>
      </c>
      <c r="J44" s="302">
        <f ca="1">SUM('Historical Data'!J30:'Historical Data'!J32)</f>
        <v>25135.2</v>
      </c>
      <c r="K44" s="302">
        <f ca="1">SUM('Historical Data'!K30:'Historical Data'!K32)</f>
        <v>25570.3</v>
      </c>
      <c r="L44" s="302">
        <f ca="1">SUM('Historical Data'!L30:'Historical Data'!L32)</f>
        <v>28627</v>
      </c>
      <c r="M44" s="302">
        <f ca="1">M110-M45</f>
        <v>28488.0559819082</v>
      </c>
      <c r="N44" s="302">
        <f ca="1">N110-N45</f>
        <v>28336.9425378647</v>
      </c>
      <c r="O44" s="302">
        <f ca="1">O110-O45</f>
        <v>28146.3532397195</v>
      </c>
      <c r="P44" s="302">
        <f ca="1">P110-P45</f>
        <v>27896.1561759612</v>
      </c>
      <c r="Q44" s="302">
        <f ca="1">Q110-Q45</f>
        <v>27572.7294615914</v>
      </c>
    </row>
    <row r="45" ht="20.4" outlineLevel="1" spans="1:18">
      <c r="A45" s="298"/>
      <c r="B45" s="299"/>
      <c r="C45" s="299"/>
      <c r="D45" s="147" t="s">
        <v>173</v>
      </c>
      <c r="G45" s="302"/>
      <c r="H45" s="302">
        <f>'Historical Data'!H34+'Historical Data'!H35</f>
        <v>1636.6</v>
      </c>
      <c r="I45" s="302">
        <f>'Historical Data'!I34+'Historical Data'!I35</f>
        <v>2115.4</v>
      </c>
      <c r="J45" s="302">
        <f>'Historical Data'!J34+'Historical Data'!J35</f>
        <v>793.8</v>
      </c>
      <c r="K45" s="302">
        <f>'Historical Data'!K34+'Historical Data'!K35</f>
        <v>575.8</v>
      </c>
      <c r="L45" s="302">
        <f>'Historical Data'!L34+'Historical Data'!L35</f>
        <v>1145.7</v>
      </c>
      <c r="M45" s="302">
        <f>L45</f>
        <v>1145.7</v>
      </c>
      <c r="N45" s="312">
        <f>M45</f>
        <v>1145.7</v>
      </c>
      <c r="O45" s="312">
        <f>N45</f>
        <v>1145.7</v>
      </c>
      <c r="P45" s="312">
        <f>O45</f>
        <v>1145.7</v>
      </c>
      <c r="Q45" s="312">
        <f>P45</f>
        <v>1145.7</v>
      </c>
    </row>
    <row r="46" ht="20.4" outlineLevel="1" spans="1:18">
      <c r="A46" s="298"/>
      <c r="B46" s="299"/>
      <c r="C46" s="299"/>
      <c r="D46" s="147" t="s">
        <v>30</v>
      </c>
      <c r="G46" s="302"/>
      <c r="H46" s="302">
        <f>'Historical Data'!H33</f>
        <v>3953.9</v>
      </c>
      <c r="I46" s="302">
        <f>'Historical Data'!I33</f>
        <v>4030.9</v>
      </c>
      <c r="J46" s="302">
        <f>'Historical Data'!J33</f>
        <v>4131.7</v>
      </c>
      <c r="K46" s="302">
        <f>'Historical Data'!K33</f>
        <v>4167.4</v>
      </c>
      <c r="L46" s="302">
        <f>'Historical Data'!L33</f>
        <v>4231.1</v>
      </c>
      <c r="M46" s="302">
        <f>L46</f>
        <v>4231.1</v>
      </c>
      <c r="N46" s="312">
        <f>M46</f>
        <v>4231.1</v>
      </c>
      <c r="O46" s="312">
        <f>N46</f>
        <v>4231.1</v>
      </c>
      <c r="P46" s="312">
        <f>O46</f>
        <v>4231.1</v>
      </c>
      <c r="Q46" s="312">
        <f>P46</f>
        <v>4231.1</v>
      </c>
    </row>
    <row r="47" ht="20.4" outlineLevel="1" spans="1:18">
      <c r="A47" s="298"/>
      <c r="B47" s="299"/>
      <c r="C47" s="299"/>
      <c r="D47" s="147" t="s">
        <v>174</v>
      </c>
      <c r="G47" s="302"/>
      <c r="H47" s="302">
        <f>SUM('Historical Data'!H37:H39)</f>
        <v>2227.6</v>
      </c>
      <c r="I47" s="302">
        <f>SUM('Historical Data'!I37:I39)</f>
        <v>9503.6</v>
      </c>
      <c r="J47" s="302">
        <f>SUM('Historical Data'!J37:J39)</f>
        <v>6078.8</v>
      </c>
      <c r="K47" s="302">
        <f>SUM('Historical Data'!K37:K39)</f>
        <v>4550.2</v>
      </c>
      <c r="L47" s="302">
        <f>SUM('Historical Data'!L37:L39)</f>
        <v>14186</v>
      </c>
      <c r="M47" s="302">
        <f>L47</f>
        <v>14186</v>
      </c>
      <c r="N47" s="312">
        <f>M47</f>
        <v>14186</v>
      </c>
      <c r="O47" s="312">
        <f>N47</f>
        <v>14186</v>
      </c>
      <c r="P47" s="312">
        <f>O47</f>
        <v>14186</v>
      </c>
      <c r="Q47" s="312">
        <f>P47</f>
        <v>14186</v>
      </c>
    </row>
    <row r="48" ht="20.4" outlineLevel="1" spans="1:18">
      <c r="A48" s="298"/>
      <c r="B48" s="299"/>
      <c r="C48" s="299"/>
      <c r="D48" s="148" t="s">
        <v>175</v>
      </c>
      <c r="G48" s="302"/>
      <c r="H48" s="302">
        <f>SUM('Historical Data'!H40:H42)</f>
        <v>11814.2</v>
      </c>
      <c r="I48" s="302">
        <f>SUM('Historical Data'!I40:I42)</f>
        <v>14421.9</v>
      </c>
      <c r="J48" s="302">
        <f>SUM('Historical Data'!J40:J42)</f>
        <v>14130</v>
      </c>
      <c r="K48" s="302">
        <f>SUM('Historical Data'!K40:K42)</f>
        <v>16769.5</v>
      </c>
      <c r="L48" s="302">
        <f>SUM('Historical Data'!L40:L42)</f>
        <v>19263</v>
      </c>
      <c r="M48" s="302">
        <f>L48</f>
        <v>19263</v>
      </c>
      <c r="N48" s="312">
        <f>M48</f>
        <v>19263</v>
      </c>
      <c r="O48" s="312">
        <f>N48</f>
        <v>19263</v>
      </c>
      <c r="P48" s="312">
        <f>O48</f>
        <v>19263</v>
      </c>
      <c r="Q48" s="312">
        <f>P48</f>
        <v>19263</v>
      </c>
    </row>
    <row r="49" ht="20.4" outlineLevel="1" spans="1:17">
      <c r="A49" s="298"/>
      <c r="B49" s="299"/>
      <c r="C49" s="299"/>
      <c r="D49" s="303" t="s">
        <v>52</v>
      </c>
      <c r="E49" s="313"/>
      <c r="F49" s="313"/>
      <c r="G49" s="307"/>
      <c r="H49" s="305">
        <f ca="1" t="shared" ref="H49:Q49" si="10">SUM(H39:H48)</f>
        <v>115192.6</v>
      </c>
      <c r="I49" s="305">
        <f ca="1" t="shared" si="10"/>
        <v>140691.9</v>
      </c>
      <c r="J49" s="305">
        <f ca="1" t="shared" si="10"/>
        <v>137566.3</v>
      </c>
      <c r="K49" s="305">
        <f ca="1" t="shared" si="10"/>
        <v>155749</v>
      </c>
      <c r="L49" s="305">
        <f ca="1" t="shared" si="10"/>
        <v>176911</v>
      </c>
      <c r="M49" s="305">
        <f ca="1" t="shared" si="10"/>
        <v>190380.397387204</v>
      </c>
      <c r="N49" s="305">
        <f ca="1" t="shared" si="10"/>
        <v>207927.329662618</v>
      </c>
      <c r="O49" s="305">
        <f ca="1" t="shared" si="10"/>
        <v>227076.845500003</v>
      </c>
      <c r="P49" s="305">
        <f ca="1" t="shared" si="10"/>
        <v>247777.825095956</v>
      </c>
      <c r="Q49" s="305">
        <f ca="1" t="shared" si="10"/>
        <v>269972.30491639</v>
      </c>
    </row>
    <row r="50" ht="20.4" outlineLevel="1" spans="1:17">
      <c r="A50" s="298"/>
      <c r="B50" s="299"/>
      <c r="C50" s="299"/>
      <c r="D50" s="300"/>
      <c r="G50" s="302"/>
      <c r="H50" s="302"/>
      <c r="I50" s="302"/>
      <c r="J50" s="302"/>
      <c r="K50" s="302"/>
      <c r="L50" s="302"/>
      <c r="M50" s="302"/>
      <c r="N50" s="312"/>
      <c r="O50" s="312"/>
      <c r="P50" s="312"/>
      <c r="Q50" s="312"/>
    </row>
    <row r="51" ht="20.4" outlineLevel="1" spans="1:17">
      <c r="A51" s="298"/>
      <c r="B51" s="311" t="s">
        <v>176</v>
      </c>
      <c r="C51" s="299"/>
      <c r="D51" s="300"/>
      <c r="G51" s="302"/>
      <c r="H51" s="302"/>
      <c r="I51" s="302"/>
      <c r="J51" s="302"/>
      <c r="K51" s="302"/>
      <c r="L51" s="302"/>
      <c r="M51" s="302"/>
      <c r="N51" s="312"/>
      <c r="O51" s="312"/>
      <c r="P51" s="312"/>
      <c r="Q51" s="312"/>
    </row>
    <row r="52" ht="20.4" outlineLevel="1" spans="1:17">
      <c r="A52" s="298"/>
      <c r="B52" s="299"/>
      <c r="C52" s="311" t="s">
        <v>177</v>
      </c>
      <c r="D52" s="300"/>
      <c r="G52" s="302"/>
      <c r="H52" s="302"/>
      <c r="I52" s="302"/>
      <c r="J52" s="302"/>
      <c r="K52" s="302"/>
      <c r="L52" s="302"/>
      <c r="M52" s="302"/>
      <c r="N52" s="312"/>
      <c r="O52" s="312"/>
      <c r="P52" s="312"/>
      <c r="Q52" s="312"/>
    </row>
    <row r="53" ht="20.4" outlineLevel="1" spans="1:17">
      <c r="A53" s="298"/>
      <c r="B53" s="299"/>
      <c r="C53" s="299"/>
      <c r="D53" s="147" t="s">
        <v>178</v>
      </c>
      <c r="G53" s="302"/>
      <c r="H53" s="302">
        <f>SUM('Historical Data'!H82:H83)</f>
        <v>10694.1</v>
      </c>
      <c r="I53" s="302">
        <f>SUM('Historical Data'!I82:I83)</f>
        <v>11733.8</v>
      </c>
      <c r="J53" s="302">
        <f>SUM('Historical Data'!J82:J83)</f>
        <v>11650.1</v>
      </c>
      <c r="K53" s="302">
        <f>SUM('Historical Data'!K82:K83)</f>
        <v>17481.2</v>
      </c>
      <c r="L53" s="302">
        <f>SUM('Historical Data'!L82:L83)</f>
        <v>18393.5</v>
      </c>
      <c r="M53" s="302">
        <f>-M23/365*M17</f>
        <v>17580.5709813468</v>
      </c>
      <c r="N53" s="302">
        <f>-N23/365*N17</f>
        <v>19186.0176142461</v>
      </c>
      <c r="O53" s="302">
        <f>-O23/365*O17</f>
        <v>20762.8671186904</v>
      </c>
      <c r="P53" s="302">
        <f>-P23/365*P17</f>
        <v>22298.6691619647</v>
      </c>
      <c r="Q53" s="302">
        <f>-Q23/365*Q17</f>
        <v>23783.1321370888</v>
      </c>
    </row>
    <row r="54" ht="20.4" outlineLevel="1" spans="1:17">
      <c r="A54" s="298"/>
      <c r="B54" s="299"/>
      <c r="C54" s="299"/>
      <c r="D54" s="147" t="s">
        <v>179</v>
      </c>
      <c r="G54" s="302"/>
      <c r="H54" s="302">
        <f>SUM('Historical Data'!H84:H87,'Historical Data'!H89)</f>
        <v>8403</v>
      </c>
      <c r="I54" s="302">
        <f>SUM('Historical Data'!I84:I87,'Historical Data'!I89)</f>
        <v>10396.2</v>
      </c>
      <c r="J54" s="302">
        <f>SUM('Historical Data'!J84:J87,'Historical Data'!J89)</f>
        <v>12157.7</v>
      </c>
      <c r="K54" s="302">
        <f>SUM('Historical Data'!K84:K87,'Historical Data'!K89)</f>
        <v>10572.8</v>
      </c>
      <c r="L54" s="302">
        <f>SUM('Historical Data'!L84:L87,'Historical Data'!L89)</f>
        <v>13230.6</v>
      </c>
      <c r="M54" s="302">
        <f>L54</f>
        <v>13230.6</v>
      </c>
      <c r="N54" s="302">
        <f>M54</f>
        <v>13230.6</v>
      </c>
      <c r="O54" s="302">
        <f>N54</f>
        <v>13230.6</v>
      </c>
      <c r="P54" s="302">
        <f>O54</f>
        <v>13230.6</v>
      </c>
      <c r="Q54" s="302">
        <f>P54</f>
        <v>13230.6</v>
      </c>
    </row>
    <row r="55" ht="20.4" outlineLevel="1" spans="1:17">
      <c r="A55" s="298"/>
      <c r="B55" s="299"/>
      <c r="C55" s="311" t="s">
        <v>180</v>
      </c>
      <c r="D55" s="300"/>
      <c r="G55" s="302"/>
      <c r="H55" s="302"/>
      <c r="I55" s="302"/>
      <c r="J55" s="302"/>
      <c r="K55" s="302"/>
      <c r="L55" s="302"/>
      <c r="M55" s="302"/>
      <c r="N55" s="312"/>
      <c r="O55" s="312"/>
      <c r="P55" s="312"/>
      <c r="Q55" s="312"/>
    </row>
    <row r="56" ht="20.4" outlineLevel="1" spans="1:17">
      <c r="A56" s="298"/>
      <c r="B56" s="299"/>
      <c r="C56" s="299"/>
      <c r="D56" s="147" t="s">
        <v>181</v>
      </c>
      <c r="H56" s="312">
        <f>SUM('Historical Data'!H70:H71,'Historical Data'!H79:H80)</f>
        <v>17919.8</v>
      </c>
      <c r="I56" s="312">
        <f>SUM('Historical Data'!I70:I71,'Historical Data'!I79:I80)</f>
        <v>26681.9</v>
      </c>
      <c r="J56" s="312">
        <f>SUM('Historical Data'!J70:J71,'Historical Data'!J79:J80)</f>
        <v>13966.8</v>
      </c>
      <c r="K56" s="312">
        <f>SUM('Historical Data'!K70:K71,'Historical Data'!K79:K80)</f>
        <v>14184.1</v>
      </c>
      <c r="L56" s="312">
        <f>SUM('Historical Data'!L70:L71,'Historical Data'!L79:L80)</f>
        <v>13809</v>
      </c>
      <c r="M56" s="312">
        <f>M115</f>
        <v>12896.08</v>
      </c>
      <c r="N56" s="312">
        <f>N115</f>
        <v>11983.16</v>
      </c>
      <c r="O56" s="312">
        <f>O115</f>
        <v>11070.24</v>
      </c>
      <c r="P56" s="312">
        <f>P115</f>
        <v>10157.32</v>
      </c>
      <c r="Q56" s="312">
        <f>Q115</f>
        <v>9244.4</v>
      </c>
    </row>
    <row r="57" ht="20.4" outlineLevel="1" spans="1:17">
      <c r="A57" s="298"/>
      <c r="B57" s="299"/>
      <c r="C57" s="299"/>
      <c r="D57" s="147" t="s">
        <v>182</v>
      </c>
      <c r="H57" s="312">
        <f>SUM('Historical Data'!H72:H74)</f>
        <v>2595.6</v>
      </c>
      <c r="I57" s="312">
        <f>SUM('Historical Data'!I72:I74)</f>
        <v>3406.7</v>
      </c>
      <c r="J57" s="312">
        <f>SUM('Historical Data'!J72:J74)</f>
        <v>5441.7</v>
      </c>
      <c r="K57" s="312">
        <f>SUM('Historical Data'!K72:K74)</f>
        <v>6366.9</v>
      </c>
      <c r="L57" s="312">
        <f>SUM('Historical Data'!L72:L74)</f>
        <v>7141.6</v>
      </c>
      <c r="M57" s="312">
        <f>L57</f>
        <v>7141.6</v>
      </c>
      <c r="N57" s="312">
        <f>M57</f>
        <v>7141.6</v>
      </c>
      <c r="O57" s="312">
        <f>N57</f>
        <v>7141.6</v>
      </c>
      <c r="P57" s="312">
        <f>O57</f>
        <v>7141.6</v>
      </c>
      <c r="Q57" s="312">
        <f>P57</f>
        <v>7141.6</v>
      </c>
    </row>
    <row r="58" ht="20.4" outlineLevel="1" spans="1:17">
      <c r="A58" s="298"/>
      <c r="B58" s="299"/>
      <c r="C58" s="299"/>
      <c r="D58" s="314" t="s">
        <v>77</v>
      </c>
      <c r="E58" s="304"/>
      <c r="F58" s="304"/>
      <c r="G58" s="304"/>
      <c r="H58" s="315">
        <f t="shared" ref="H58:Q58" si="11">SUM(H53:H57)</f>
        <v>39612.5</v>
      </c>
      <c r="I58" s="315">
        <f t="shared" si="11"/>
        <v>52218.6</v>
      </c>
      <c r="J58" s="315">
        <f t="shared" si="11"/>
        <v>43216.3</v>
      </c>
      <c r="K58" s="315">
        <f t="shared" si="11"/>
        <v>48605</v>
      </c>
      <c r="L58" s="315">
        <f t="shared" si="11"/>
        <v>52574.7</v>
      </c>
      <c r="M58" s="315">
        <f t="shared" si="11"/>
        <v>50848.8509813468</v>
      </c>
      <c r="N58" s="315">
        <f t="shared" si="11"/>
        <v>51541.3776142461</v>
      </c>
      <c r="O58" s="315">
        <f t="shared" si="11"/>
        <v>52205.3071186904</v>
      </c>
      <c r="P58" s="315">
        <f t="shared" si="11"/>
        <v>52828.1891619647</v>
      </c>
      <c r="Q58" s="315">
        <f t="shared" si="11"/>
        <v>53399.7321370888</v>
      </c>
    </row>
    <row r="59" ht="20.4" outlineLevel="1" spans="1:17">
      <c r="A59" s="298"/>
      <c r="B59" s="299"/>
      <c r="C59" s="299"/>
      <c r="D59" s="300"/>
      <c r="H59" s="312"/>
      <c r="I59" s="312"/>
      <c r="J59" s="312"/>
      <c r="K59" s="312"/>
      <c r="L59" s="312"/>
      <c r="M59" s="312"/>
      <c r="N59" s="312"/>
      <c r="O59" s="312"/>
      <c r="P59" s="312"/>
      <c r="Q59" s="312"/>
    </row>
    <row r="60" ht="20.4" outlineLevel="1" spans="1:17">
      <c r="A60" s="298"/>
      <c r="B60" s="299"/>
      <c r="C60" s="299"/>
      <c r="D60" s="147" t="s">
        <v>54</v>
      </c>
      <c r="H60" s="312">
        <f>'Historical Data'!H61</f>
        <v>239.1</v>
      </c>
      <c r="I60" s="312">
        <f>'Historical Data'!I61</f>
        <v>239.1</v>
      </c>
      <c r="J60" s="312">
        <f>'Historical Data'!J61</f>
        <v>239.1</v>
      </c>
      <c r="K60" s="312">
        <f>'Historical Data'!K61</f>
        <v>239.1</v>
      </c>
      <c r="L60" s="312">
        <f>'Historical Data'!L61</f>
        <v>239.1</v>
      </c>
      <c r="M60" s="312">
        <f>L60</f>
        <v>239.1</v>
      </c>
      <c r="N60" s="312">
        <f>M60</f>
        <v>239.1</v>
      </c>
      <c r="O60" s="312">
        <f>N60</f>
        <v>239.1</v>
      </c>
      <c r="P60" s="312">
        <f>O60</f>
        <v>239.1</v>
      </c>
      <c r="Q60" s="312">
        <f>P60</f>
        <v>239.1</v>
      </c>
    </row>
    <row r="61" ht="20.4" outlineLevel="1" spans="1:17">
      <c r="A61" s="298"/>
      <c r="B61" s="299"/>
      <c r="C61" s="299"/>
      <c r="D61" s="147" t="s">
        <v>183</v>
      </c>
      <c r="H61" s="312">
        <f>'Historical Data'!H62</f>
        <v>73528.2</v>
      </c>
      <c r="I61" s="312">
        <f>'Historical Data'!I62</f>
        <v>86139.9</v>
      </c>
      <c r="J61" s="312">
        <f>'Historical Data'!J62</f>
        <v>90213.8</v>
      </c>
      <c r="K61" s="312">
        <f>'Historical Data'!K62</f>
        <v>102881.5</v>
      </c>
      <c r="L61" s="312">
        <f>'Historical Data'!L62</f>
        <v>119609.6</v>
      </c>
      <c r="M61" s="312">
        <f ca="1">L61+M33+M89</f>
        <v>134804.846405857</v>
      </c>
      <c r="N61" s="312">
        <f ca="1">M61+N33+N89</f>
        <v>151659.252048372</v>
      </c>
      <c r="O61" s="312">
        <f ca="1">N61+O33+O89</f>
        <v>170144.838381312</v>
      </c>
      <c r="P61" s="312">
        <f ca="1">O61+P33+P89</f>
        <v>190222.935933991</v>
      </c>
      <c r="Q61" s="312">
        <f ca="1">P61+Q33+Q89</f>
        <v>211845.872779301</v>
      </c>
    </row>
    <row r="62" ht="20.4" outlineLevel="1" spans="1:17">
      <c r="A62" s="298"/>
      <c r="B62" s="299"/>
      <c r="C62" s="299"/>
      <c r="D62" s="314" t="s">
        <v>184</v>
      </c>
      <c r="E62" s="304"/>
      <c r="F62" s="304"/>
      <c r="G62" s="304"/>
      <c r="H62" s="315">
        <f t="shared" ref="H62:Q62" si="12">H60+H61</f>
        <v>73767.3</v>
      </c>
      <c r="I62" s="315">
        <f t="shared" si="12"/>
        <v>86379</v>
      </c>
      <c r="J62" s="315">
        <f t="shared" si="12"/>
        <v>90452.9</v>
      </c>
      <c r="K62" s="315">
        <f t="shared" si="12"/>
        <v>103120.6</v>
      </c>
      <c r="L62" s="315">
        <f t="shared" si="12"/>
        <v>119848.7</v>
      </c>
      <c r="M62" s="315">
        <f ca="1" t="shared" si="12"/>
        <v>135043.946405857</v>
      </c>
      <c r="N62" s="315">
        <f ca="1" t="shared" si="12"/>
        <v>151898.352048372</v>
      </c>
      <c r="O62" s="315">
        <f ca="1" t="shared" si="12"/>
        <v>170383.938381312</v>
      </c>
      <c r="P62" s="315">
        <f ca="1" t="shared" si="12"/>
        <v>190462.035933991</v>
      </c>
      <c r="Q62" s="315">
        <f ca="1" t="shared" si="12"/>
        <v>212084.972779301</v>
      </c>
    </row>
    <row r="63" ht="20.4" outlineLevel="1" spans="1:17">
      <c r="A63" s="298"/>
      <c r="B63" s="299"/>
      <c r="C63" s="299"/>
      <c r="D63" s="147" t="s">
        <v>185</v>
      </c>
      <c r="H63" s="312">
        <f>'Historical Data'!H64</f>
        <v>1812.8</v>
      </c>
      <c r="I63" s="312">
        <f>'Historical Data'!I64</f>
        <v>2094.3</v>
      </c>
      <c r="J63" s="312">
        <f>'Historical Data'!J64</f>
        <v>3897.1</v>
      </c>
      <c r="K63" s="312">
        <f>'Historical Data'!K64</f>
        <v>4023.4</v>
      </c>
      <c r="L63" s="312">
        <f>'Historical Data'!L64</f>
        <v>4487.6</v>
      </c>
      <c r="M63" s="312">
        <f>L63</f>
        <v>4487.6</v>
      </c>
      <c r="N63" s="312">
        <f>M63</f>
        <v>4487.6</v>
      </c>
      <c r="O63" s="312">
        <f>N63</f>
        <v>4487.6</v>
      </c>
      <c r="P63" s="312">
        <f>O63</f>
        <v>4487.6</v>
      </c>
      <c r="Q63" s="312">
        <f>P63</f>
        <v>4487.6</v>
      </c>
    </row>
    <row r="64" s="260" customFormat="1" ht="20.4" outlineLevel="1" spans="1:17">
      <c r="A64" s="298"/>
      <c r="B64" s="299"/>
      <c r="C64" s="306"/>
      <c r="D64" s="314" t="s">
        <v>186</v>
      </c>
      <c r="E64" s="313"/>
      <c r="F64" s="313"/>
      <c r="G64" s="313"/>
      <c r="H64" s="316">
        <f t="shared" ref="H64:Q64" si="13">SUM(H58,H62:H63)</f>
        <v>115192.6</v>
      </c>
      <c r="I64" s="316">
        <f t="shared" si="13"/>
        <v>140691.9</v>
      </c>
      <c r="J64" s="316">
        <f t="shared" si="13"/>
        <v>137566.3</v>
      </c>
      <c r="K64" s="316">
        <f t="shared" si="13"/>
        <v>155749</v>
      </c>
      <c r="L64" s="316">
        <f t="shared" si="13"/>
        <v>176911</v>
      </c>
      <c r="M64" s="316">
        <f ca="1" t="shared" si="13"/>
        <v>190380.397387204</v>
      </c>
      <c r="N64" s="316">
        <f ca="1" t="shared" si="13"/>
        <v>207927.329662618</v>
      </c>
      <c r="O64" s="316">
        <f ca="1" t="shared" si="13"/>
        <v>227076.845500003</v>
      </c>
      <c r="P64" s="316">
        <f ca="1" t="shared" si="13"/>
        <v>247777.825095955</v>
      </c>
      <c r="Q64" s="316">
        <f ca="1" t="shared" si="13"/>
        <v>269972.30491639</v>
      </c>
    </row>
    <row r="65" s="261" customFormat="1" ht="20.4" outlineLevel="1" spans="1:17">
      <c r="A65" s="298"/>
      <c r="B65" s="299"/>
      <c r="C65" s="299"/>
      <c r="D65" s="317"/>
      <c r="H65" s="318"/>
      <c r="I65" s="318"/>
      <c r="J65" s="318"/>
      <c r="K65" s="318"/>
      <c r="L65" s="318"/>
      <c r="M65" s="319"/>
      <c r="N65" s="319"/>
      <c r="O65" s="319"/>
      <c r="P65" s="319"/>
      <c r="Q65" s="319"/>
    </row>
    <row r="66" s="261" customFormat="1" ht="20.4" outlineLevel="1" spans="1:17">
      <c r="A66" s="298"/>
      <c r="B66" s="299"/>
      <c r="C66" s="299"/>
      <c r="D66" s="317" t="s">
        <v>187</v>
      </c>
      <c r="H66" s="320" t="str">
        <f ca="1" t="shared" ref="H66:Q66" si="14">IF(H49=H64,"TALLIED","ERROR")</f>
        <v>TALLIED</v>
      </c>
      <c r="I66" s="320" t="str">
        <f ca="1" t="shared" si="14"/>
        <v>TALLIED</v>
      </c>
      <c r="J66" s="320" t="str">
        <f ca="1" t="shared" si="14"/>
        <v>TALLIED</v>
      </c>
      <c r="K66" s="320" t="str">
        <f ca="1" t="shared" si="14"/>
        <v>TALLIED</v>
      </c>
      <c r="L66" s="320" t="str">
        <f ca="1" t="shared" si="14"/>
        <v>TALLIED</v>
      </c>
      <c r="M66" s="320" t="str">
        <f ca="1" t="shared" si="14"/>
        <v>TALLIED</v>
      </c>
      <c r="N66" s="320" t="str">
        <f ca="1" t="shared" si="14"/>
        <v>TALLIED</v>
      </c>
      <c r="O66" s="320" t="str">
        <f ca="1" t="shared" si="14"/>
        <v>TALLIED</v>
      </c>
      <c r="P66" s="320" t="str">
        <f ca="1" t="shared" si="14"/>
        <v>ERROR</v>
      </c>
      <c r="Q66" s="320" t="str">
        <f ca="1" t="shared" si="14"/>
        <v>TALLIED</v>
      </c>
    </row>
    <row r="67" s="261" customFormat="1" ht="20.4" spans="1:17">
      <c r="A67" s="298"/>
      <c r="B67" s="299"/>
      <c r="C67" s="299"/>
      <c r="D67" s="321"/>
      <c r="H67" s="322"/>
      <c r="I67" s="322"/>
      <c r="J67" s="322"/>
      <c r="K67" s="322"/>
      <c r="L67" s="322"/>
    </row>
    <row r="68" s="261" customFormat="1" ht="20.4" spans="1:17">
      <c r="A68" s="297" t="s">
        <v>79</v>
      </c>
      <c r="B68" s="186"/>
      <c r="C68" s="187"/>
      <c r="D68" s="323"/>
      <c r="E68" s="191"/>
      <c r="F68" s="191"/>
      <c r="G68" s="191"/>
      <c r="H68" s="309"/>
      <c r="I68" s="309"/>
      <c r="J68" s="309"/>
      <c r="K68" s="309"/>
      <c r="L68" s="309"/>
      <c r="M68" s="189"/>
      <c r="N68" s="189"/>
      <c r="O68" s="189"/>
      <c r="P68" s="189"/>
      <c r="Q68" s="189"/>
    </row>
    <row r="69" s="261" customFormat="1" ht="20.4" outlineLevel="1" spans="1:17">
      <c r="A69" s="298"/>
      <c r="B69" s="299"/>
      <c r="C69" s="299"/>
      <c r="D69" s="321"/>
      <c r="H69" s="322"/>
      <c r="I69" s="322"/>
      <c r="J69" s="322"/>
      <c r="K69" s="322"/>
      <c r="L69" s="322"/>
    </row>
    <row r="70" s="261" customFormat="1" ht="20.4" outlineLevel="1" spans="1:17">
      <c r="A70" s="147"/>
      <c r="B70" s="147"/>
      <c r="C70" s="147"/>
      <c r="D70" s="147"/>
      <c r="H70" s="322"/>
      <c r="I70" s="322"/>
      <c r="J70" s="322"/>
      <c r="K70" s="322"/>
      <c r="L70" s="322"/>
    </row>
    <row r="71" s="261" customFormat="1" ht="20.4" outlineLevel="1" spans="1:17">
      <c r="A71" s="147"/>
      <c r="B71" s="147"/>
      <c r="C71" s="324" t="s">
        <v>188</v>
      </c>
      <c r="D71" s="147"/>
      <c r="H71" s="325"/>
      <c r="I71" s="325"/>
      <c r="J71" s="325"/>
      <c r="K71" s="325"/>
      <c r="L71" s="325"/>
      <c r="M71" s="325"/>
      <c r="N71" s="325"/>
      <c r="O71" s="325"/>
      <c r="P71" s="325"/>
      <c r="Q71" s="325"/>
    </row>
    <row r="72" s="261" customFormat="1" ht="20.4" outlineLevel="1" spans="1:17">
      <c r="A72" s="147"/>
      <c r="B72" s="147"/>
      <c r="C72" s="147"/>
      <c r="D72" s="147" t="s">
        <v>189</v>
      </c>
      <c r="H72" s="325">
        <f>'Historical Data'!H96+'Historical Data'!H121</f>
        <v>14414.2</v>
      </c>
      <c r="I72" s="325">
        <f>'Historical Data'!I96+'Historical Data'!I121</f>
        <v>14473.8</v>
      </c>
      <c r="J72" s="325">
        <f>'Historical Data'!J96+'Historical Data'!J121</f>
        <v>10313.8</v>
      </c>
      <c r="K72" s="325">
        <f>'Historical Data'!K96+'Historical Data'!K121</f>
        <v>16161.9</v>
      </c>
      <c r="L72" s="325">
        <f>'Historical Data'!L96+'Historical Data'!L121</f>
        <v>20230.1</v>
      </c>
      <c r="M72" s="325">
        <f ca="1">M33</f>
        <v>21770.0421228231</v>
      </c>
      <c r="N72" s="325">
        <f ca="1">N33</f>
        <v>24147.0990987857</v>
      </c>
      <c r="O72" s="325">
        <f ca="1">O33</f>
        <v>26484.0715566213</v>
      </c>
      <c r="P72" s="325">
        <f ca="1">P33</f>
        <v>28765.6427407116</v>
      </c>
      <c r="Q72" s="325">
        <f ca="1">Q33</f>
        <v>30978.9149427753</v>
      </c>
    </row>
    <row r="73" s="261" customFormat="1" ht="20.4" outlineLevel="1" spans="1:17">
      <c r="A73" s="147"/>
      <c r="B73" s="147"/>
      <c r="C73" s="147"/>
      <c r="D73" s="147" t="s">
        <v>190</v>
      </c>
      <c r="H73" s="325">
        <f>'Historical Data'!H98</f>
        <v>2745.8</v>
      </c>
      <c r="I73" s="325">
        <f>'Historical Data'!I98</f>
        <v>3039.6</v>
      </c>
      <c r="J73" s="325">
        <f>'Historical Data'!J98</f>
        <v>3104.2</v>
      </c>
      <c r="K73" s="325">
        <f>'Historical Data'!K98</f>
        <v>2993</v>
      </c>
      <c r="L73" s="325">
        <f>'Historical Data'!L98</f>
        <v>3571.6</v>
      </c>
      <c r="M73" s="325">
        <f ca="1">-M109</f>
        <v>3332.38552745934</v>
      </c>
      <c r="N73" s="325">
        <f ca="1">-N109</f>
        <v>3316.83386318246</v>
      </c>
      <c r="O73" s="325">
        <f ca="1">-O109</f>
        <v>3299.92010480867</v>
      </c>
      <c r="P73" s="325">
        <f ca="1">-P109</f>
        <v>3278.58791058956</v>
      </c>
      <c r="Q73" s="325">
        <f ca="1">-Q109</f>
        <v>3250.5839648849</v>
      </c>
    </row>
    <row r="74" s="261" customFormat="1" ht="20.4" outlineLevel="1" spans="1:17">
      <c r="A74" s="147"/>
      <c r="B74" s="147"/>
      <c r="C74" s="147"/>
      <c r="D74" s="147" t="s">
        <v>191</v>
      </c>
      <c r="H74" s="325">
        <f>'Historical Data'!H111-'Historical Data'!H98</f>
        <v>-1099.4</v>
      </c>
      <c r="I74" s="325">
        <f>'Historical Data'!I111-'Historical Data'!I98</f>
        <v>-953.6</v>
      </c>
      <c r="J74" s="325">
        <f>'Historical Data'!J111-'Historical Data'!J98</f>
        <v>139.3</v>
      </c>
      <c r="K74" s="325">
        <f>'Historical Data'!K111-'Historical Data'!K98</f>
        <v>842.7</v>
      </c>
      <c r="L74" s="325">
        <f>'Historical Data'!L111-'Historical Data'!L98</f>
        <v>-2533.6</v>
      </c>
      <c r="M74" s="325">
        <f>-SUM(M29:M30)</f>
        <v>-2121.44029456587</v>
      </c>
      <c r="N74" s="325">
        <f>-SUM(N29:N30)</f>
        <v>-2444.19581176981</v>
      </c>
      <c r="O74" s="325">
        <f>-SUM(O29:O30)</f>
        <v>-2762.16736401613</v>
      </c>
      <c r="P74" s="325">
        <f>-SUM(P29:P30)</f>
        <v>-3073.27215633074</v>
      </c>
      <c r="Q74" s="325">
        <f>-SUM(Q29:Q30)</f>
        <v>-3375.78852329441</v>
      </c>
    </row>
    <row r="75" s="261" customFormat="1" ht="20.4" outlineLevel="1" spans="1:17">
      <c r="A75" s="147"/>
      <c r="B75" s="147"/>
      <c r="C75" s="147"/>
      <c r="D75" s="147" t="s">
        <v>192</v>
      </c>
      <c r="H75" s="325">
        <f>'Historical Data'!H119</f>
        <v>-3411.6</v>
      </c>
      <c r="I75" s="325">
        <f>'Historical Data'!I119</f>
        <v>-5449.6</v>
      </c>
      <c r="J75" s="325">
        <f>'Historical Data'!J119</f>
        <v>3267.7</v>
      </c>
      <c r="K75" s="325">
        <f>'Historical Data'!K119</f>
        <v>-516.9</v>
      </c>
      <c r="L75" s="325">
        <f>'Historical Data'!L119</f>
        <v>-2139.7</v>
      </c>
      <c r="M75" s="325">
        <f>M104</f>
        <v>-7368.26610235789</v>
      </c>
      <c r="N75" s="325">
        <f>N104</f>
        <v>-3914.07286848113</v>
      </c>
      <c r="O75" s="325">
        <f>O104</f>
        <v>-3844.35317658449</v>
      </c>
      <c r="P75" s="325">
        <f>P104</f>
        <v>-3744.27962023364</v>
      </c>
      <c r="Q75" s="325">
        <f>Q104</f>
        <v>-3619.11516467232</v>
      </c>
    </row>
    <row r="76" s="261" customFormat="1" ht="20.4" outlineLevel="1" spans="1:17">
      <c r="A76" s="324"/>
      <c r="B76" s="324"/>
      <c r="C76" s="324"/>
      <c r="D76" s="314" t="s">
        <v>193</v>
      </c>
      <c r="E76" s="304"/>
      <c r="F76" s="304"/>
      <c r="G76" s="304"/>
      <c r="H76" s="326">
        <f t="shared" ref="H76:Q76" si="15">SUM(H72:H75)</f>
        <v>12649</v>
      </c>
      <c r="I76" s="326">
        <f t="shared" si="15"/>
        <v>11110.2</v>
      </c>
      <c r="J76" s="326">
        <f t="shared" si="15"/>
        <v>16825</v>
      </c>
      <c r="K76" s="326">
        <f t="shared" si="15"/>
        <v>19480.7</v>
      </c>
      <c r="L76" s="326">
        <f t="shared" si="15"/>
        <v>19128.4</v>
      </c>
      <c r="M76" s="326">
        <f ca="1" t="shared" si="15"/>
        <v>15612.7212533586</v>
      </c>
      <c r="N76" s="326">
        <f ca="1" t="shared" si="15"/>
        <v>21105.6642817172</v>
      </c>
      <c r="O76" s="326">
        <f ca="1" t="shared" si="15"/>
        <v>23177.4711208294</v>
      </c>
      <c r="P76" s="326">
        <f ca="1" t="shared" si="15"/>
        <v>25226.6788747368</v>
      </c>
      <c r="Q76" s="326">
        <f ca="1" t="shared" si="15"/>
        <v>27234.5952196935</v>
      </c>
    </row>
    <row r="77" s="261" customFormat="1" ht="20.4" outlineLevel="1" spans="1:17">
      <c r="A77" s="147"/>
      <c r="B77" s="147"/>
      <c r="C77" s="147"/>
      <c r="D77" s="147"/>
      <c r="H77" s="325"/>
      <c r="I77" s="325"/>
      <c r="J77" s="325"/>
      <c r="K77" s="325"/>
      <c r="L77" s="325"/>
    </row>
    <row r="78" s="261" customFormat="1" ht="20.4" outlineLevel="1" spans="1:17">
      <c r="A78" s="147"/>
      <c r="B78" s="147"/>
      <c r="C78" s="324" t="s">
        <v>194</v>
      </c>
      <c r="D78" s="147"/>
      <c r="H78" s="325"/>
      <c r="I78" s="325"/>
      <c r="J78" s="325"/>
      <c r="K78" s="325"/>
      <c r="L78" s="325"/>
    </row>
    <row r="79" s="261" customFormat="1" ht="20.4" outlineLevel="1" spans="1:17">
      <c r="A79" s="147"/>
      <c r="B79" s="147"/>
      <c r="C79" s="147"/>
      <c r="D79" s="147" t="s">
        <v>195</v>
      </c>
      <c r="H79" s="325">
        <f>'Historical Data'!H124</f>
        <v>-1949.1</v>
      </c>
      <c r="I79" s="325">
        <f>'Historical Data'!I124</f>
        <v>-3388.8</v>
      </c>
      <c r="J79" s="325">
        <f>'Historical Data'!J124</f>
        <v>-2329.1</v>
      </c>
      <c r="K79" s="325">
        <f>'Historical Data'!K124</f>
        <v>-2592.9</v>
      </c>
      <c r="L79" s="325">
        <f>'Historical Data'!L124</f>
        <v>-6756.2</v>
      </c>
      <c r="M79" s="325">
        <f ca="1">-M108</f>
        <v>-3193.44150936753</v>
      </c>
      <c r="N79" s="325">
        <f ca="1">-N108</f>
        <v>-3165.72041913892</v>
      </c>
      <c r="O79" s="325">
        <f ca="1">-O108</f>
        <v>-3109.33080666351</v>
      </c>
      <c r="P79" s="325">
        <f ca="1">-P108</f>
        <v>-3028.39084683124</v>
      </c>
      <c r="Q79" s="325">
        <f ca="1">-Q108</f>
        <v>-2927.15725051511</v>
      </c>
    </row>
    <row r="80" s="261" customFormat="1" ht="20.4" outlineLevel="1" spans="1:17">
      <c r="A80" s="147"/>
      <c r="B80" s="147"/>
      <c r="C80" s="147"/>
      <c r="D80" s="147" t="s">
        <v>196</v>
      </c>
      <c r="H80" s="325">
        <f>'Historical Data'!H125</f>
        <v>104.6</v>
      </c>
      <c r="I80" s="325">
        <f>'Historical Data'!I125</f>
        <v>109</v>
      </c>
      <c r="J80" s="325">
        <f>'Historical Data'!J125</f>
        <v>32</v>
      </c>
      <c r="K80" s="325">
        <f>'Historical Data'!K125</f>
        <v>724.8</v>
      </c>
      <c r="L80" s="325">
        <f>'Historical Data'!L125</f>
        <v>408.4</v>
      </c>
    </row>
    <row r="81" s="261" customFormat="1" ht="20.4" outlineLevel="1" spans="1:18">
      <c r="A81" s="147"/>
      <c r="B81" s="147"/>
      <c r="C81" s="147"/>
      <c r="D81" s="147" t="s">
        <v>197</v>
      </c>
      <c r="H81" s="325">
        <f>SUM('Historical Data'!H126:H130)</f>
        <v>-8935</v>
      </c>
      <c r="I81" s="325">
        <f>SUM('Historical Data'!I126:I130)</f>
        <v>-12049.2</v>
      </c>
      <c r="J81" s="325">
        <f>SUM('Historical Data'!J126:J130)</f>
        <v>1956.4</v>
      </c>
      <c r="K81" s="325">
        <f>SUM('Historical Data'!K126:K130)</f>
        <v>-10611.6</v>
      </c>
      <c r="L81" s="325">
        <f>SUM('Historical Data'!L126:L130)</f>
        <v>-10118.6</v>
      </c>
      <c r="M81" s="327">
        <f>L47-M47</f>
        <v>0</v>
      </c>
      <c r="N81" s="327">
        <f>M47-N47</f>
        <v>0</v>
      </c>
      <c r="O81" s="327">
        <f>N47-O47</f>
        <v>0</v>
      </c>
      <c r="P81" s="327">
        <f>O47-P47</f>
        <v>0</v>
      </c>
      <c r="Q81" s="327">
        <f>P47-Q47</f>
        <v>0</v>
      </c>
      <c r="R81" s="327"/>
    </row>
    <row r="82" s="261" customFormat="1" ht="20.4" outlineLevel="1" spans="1:18">
      <c r="A82" s="147"/>
      <c r="B82" s="147"/>
      <c r="C82" s="147"/>
      <c r="D82" s="147" t="s">
        <v>90</v>
      </c>
      <c r="H82" s="325">
        <f>'Historical Data'!H131</f>
        <v>785.7</v>
      </c>
      <c r="I82" s="325">
        <f>'Historical Data'!I131</f>
        <v>977.7</v>
      </c>
      <c r="J82" s="325">
        <f>'Historical Data'!J131</f>
        <v>1469.1</v>
      </c>
      <c r="K82" s="325">
        <f>'Historical Data'!K131</f>
        <v>1.9</v>
      </c>
      <c r="L82" s="325">
        <f>'Historical Data'!L131</f>
        <v>1.7</v>
      </c>
    </row>
    <row r="83" s="261" customFormat="1" ht="20.4" outlineLevel="1" spans="1:18">
      <c r="A83" s="147"/>
      <c r="B83" s="147"/>
      <c r="C83" s="147"/>
      <c r="D83" s="148" t="s">
        <v>198</v>
      </c>
      <c r="H83" s="325">
        <f>'Historical Data'!H132</f>
        <v>8.4</v>
      </c>
      <c r="I83" s="325">
        <f>'Historical Data'!I132</f>
        <v>0</v>
      </c>
      <c r="J83" s="325">
        <f>'Historical Data'!J132</f>
        <v>0</v>
      </c>
      <c r="K83" s="325">
        <f>'Historical Data'!K132</f>
        <v>2392.8</v>
      </c>
      <c r="L83" s="325">
        <f>'Historical Data'!L132</f>
        <v>3477.1</v>
      </c>
      <c r="M83" s="261">
        <f>M30</f>
        <v>2941.02380391083</v>
      </c>
      <c r="N83" s="261">
        <f>N30</f>
        <v>3209.59623925864</v>
      </c>
      <c r="O83" s="261">
        <f>O30</f>
        <v>3473.38470964884</v>
      </c>
      <c r="P83" s="261">
        <f>P30</f>
        <v>3730.30642010733</v>
      </c>
      <c r="Q83" s="261">
        <f>Q30</f>
        <v>3978.63970521488</v>
      </c>
    </row>
    <row r="84" s="261" customFormat="1" ht="20.4" outlineLevel="1" spans="1:18">
      <c r="A84" s="324"/>
      <c r="B84" s="324"/>
      <c r="C84" s="324"/>
      <c r="D84" s="314" t="s">
        <v>194</v>
      </c>
      <c r="E84" s="304"/>
      <c r="F84" s="304"/>
      <c r="G84" s="304"/>
      <c r="H84" s="326">
        <f t="shared" ref="H84:Q84" si="16">SUM(H79:H83)</f>
        <v>-9985.4</v>
      </c>
      <c r="I84" s="326">
        <f t="shared" si="16"/>
        <v>-14351.3</v>
      </c>
      <c r="J84" s="326">
        <f t="shared" si="16"/>
        <v>1128.4</v>
      </c>
      <c r="K84" s="326">
        <f t="shared" si="16"/>
        <v>-10085</v>
      </c>
      <c r="L84" s="326">
        <f t="shared" si="16"/>
        <v>-12987.6</v>
      </c>
      <c r="M84" s="326">
        <f ca="1" t="shared" si="16"/>
        <v>-252.417705456701</v>
      </c>
      <c r="N84" s="326">
        <f ca="1" t="shared" si="16"/>
        <v>43.8758201197215</v>
      </c>
      <c r="O84" s="326">
        <f ca="1" t="shared" si="16"/>
        <v>364.053902985328</v>
      </c>
      <c r="P84" s="326">
        <f ca="1" t="shared" si="16"/>
        <v>701.915573276088</v>
      </c>
      <c r="Q84" s="326">
        <f ca="1" t="shared" si="16"/>
        <v>1051.48245469977</v>
      </c>
    </row>
    <row r="85" s="261" customFormat="1" ht="20.4" outlineLevel="1" spans="1:18">
      <c r="A85" s="147"/>
      <c r="B85" s="147"/>
      <c r="C85" s="147"/>
      <c r="D85" s="147"/>
      <c r="H85" s="325"/>
      <c r="I85" s="325"/>
      <c r="J85" s="325"/>
      <c r="K85" s="325"/>
      <c r="L85" s="325"/>
    </row>
    <row r="86" s="261" customFormat="1" ht="20.4" outlineLevel="1" spans="1:18">
      <c r="A86" s="147"/>
      <c r="B86" s="147"/>
      <c r="C86" s="324" t="s">
        <v>199</v>
      </c>
      <c r="D86" s="147"/>
      <c r="H86" s="325"/>
      <c r="I86" s="325"/>
      <c r="J86" s="325"/>
      <c r="K86" s="325"/>
      <c r="L86" s="325"/>
    </row>
    <row r="87" s="261" customFormat="1" ht="20.4" outlineLevel="1" spans="1:18">
      <c r="A87" s="147"/>
      <c r="B87" s="147"/>
      <c r="C87" s="147"/>
      <c r="D87" s="147" t="s">
        <v>200</v>
      </c>
      <c r="H87" s="325">
        <f>SUM('Historical Data'!H135:H136,'Historical Data'!H139,'Historical Data'!H146)</f>
        <v>1166.5</v>
      </c>
      <c r="I87" s="325">
        <f>SUM('Historical Data'!I135:I136,'Historical Data'!I139,'Historical Data'!I146)</f>
        <v>8416.1</v>
      </c>
      <c r="J87" s="325">
        <f>SUM('Historical Data'!J135:J136,'Historical Data'!J139,'Historical Data'!J146)</f>
        <v>-13023.2</v>
      </c>
      <c r="K87" s="325">
        <f>SUM('Historical Data'!K135:K136,'Historical Data'!K139,'Historical Data'!K146)</f>
        <v>-1244.5</v>
      </c>
      <c r="L87" s="325">
        <f>SUM('Historical Data'!L135:L136,'Historical Data'!L139,'Historical Data'!L146)</f>
        <v>1984.7</v>
      </c>
      <c r="M87" s="325">
        <f>M114</f>
        <v>-912.92</v>
      </c>
      <c r="N87" s="325">
        <f>N114</f>
        <v>-912.92</v>
      </c>
      <c r="O87" s="325">
        <f>O114</f>
        <v>-912.92</v>
      </c>
      <c r="P87" s="325">
        <f>P114</f>
        <v>-912.92</v>
      </c>
      <c r="Q87" s="325">
        <f>Q114</f>
        <v>-912.92</v>
      </c>
    </row>
    <row r="88" s="261" customFormat="1" ht="20.4" outlineLevel="1" spans="1:18">
      <c r="A88" s="147"/>
      <c r="B88" s="147"/>
      <c r="C88" s="147"/>
      <c r="D88" s="170" t="s">
        <v>201</v>
      </c>
      <c r="H88" s="325">
        <f>'Historical Data'!H137</f>
        <v>0</v>
      </c>
      <c r="I88" s="325">
        <f>'Historical Data'!I137</f>
        <v>0</v>
      </c>
      <c r="J88" s="325">
        <f>'Historical Data'!J137</f>
        <v>1614.8</v>
      </c>
      <c r="K88" s="325">
        <f>'Historical Data'!K137</f>
        <v>0</v>
      </c>
      <c r="L88" s="325">
        <f>'Historical Data'!L137</f>
        <v>0</v>
      </c>
      <c r="M88" s="325">
        <f>'Historical Data'!M137</f>
        <v>0</v>
      </c>
      <c r="N88" s="325">
        <f>'Historical Data'!N137</f>
        <v>0</v>
      </c>
      <c r="O88" s="325">
        <f>'Historical Data'!O137</f>
        <v>0</v>
      </c>
      <c r="P88" s="325">
        <f>'Historical Data'!P137</f>
        <v>0</v>
      </c>
      <c r="Q88" s="325">
        <f>'Historical Data'!Q137</f>
        <v>0</v>
      </c>
    </row>
    <row r="89" s="261" customFormat="1" ht="20.4" outlineLevel="1" spans="1:18">
      <c r="A89" s="147"/>
      <c r="B89" s="147"/>
      <c r="C89" s="147"/>
      <c r="D89" s="147" t="s">
        <v>123</v>
      </c>
      <c r="H89" s="325">
        <f>'Historical Data'!H138</f>
        <v>-3347.8</v>
      </c>
      <c r="I89" s="325">
        <f>'Historical Data'!I138</f>
        <v>-4219.1</v>
      </c>
      <c r="J89" s="325">
        <f>'Historical Data'!J138</f>
        <v>-5295.2</v>
      </c>
      <c r="K89" s="325">
        <f>'Historical Data'!K138</f>
        <v>-5404.9</v>
      </c>
      <c r="L89" s="325">
        <f>'Historical Data'!L138</f>
        <v>-5046.2</v>
      </c>
      <c r="M89" s="325">
        <f ca="1">M33*-M14</f>
        <v>-6574.79571696626</v>
      </c>
      <c r="N89" s="325">
        <f ca="1">N33*-N14</f>
        <v>-7292.69345627101</v>
      </c>
      <c r="O89" s="325">
        <f ca="1">O33*-O14</f>
        <v>-7998.48522368047</v>
      </c>
      <c r="P89" s="325">
        <f ca="1">P33*-P14</f>
        <v>-8687.54518803323</v>
      </c>
      <c r="Q89" s="325">
        <f ca="1">Q33*-Q14</f>
        <v>-9355.97809746491</v>
      </c>
    </row>
    <row r="90" s="261" customFormat="1" ht="20.4" outlineLevel="1" spans="1:18">
      <c r="A90" s="147"/>
      <c r="B90" s="147"/>
      <c r="C90" s="147"/>
      <c r="D90" s="147" t="s">
        <v>125</v>
      </c>
      <c r="H90" s="325">
        <f>'Historical Data'!H140</f>
        <v>-536.2</v>
      </c>
      <c r="I90" s="325">
        <f>'Historical Data'!I140</f>
        <v>-401.3</v>
      </c>
      <c r="J90" s="325">
        <f>'Historical Data'!J140</f>
        <v>-904.6</v>
      </c>
      <c r="K90" s="325">
        <f>'Historical Data'!K140</f>
        <v>-913.1</v>
      </c>
      <c r="L90" s="325">
        <f>'Historical Data'!L140</f>
        <v>-806.1</v>
      </c>
      <c r="M90" s="325">
        <f>M116</f>
        <v>-819.583509344955</v>
      </c>
      <c r="N90" s="325">
        <f>N116</f>
        <v>-765.400427488832</v>
      </c>
      <c r="O90" s="325">
        <f>O116</f>
        <v>-711.21734563271</v>
      </c>
      <c r="P90" s="325">
        <f>P116</f>
        <v>-657.034263776587</v>
      </c>
      <c r="Q90" s="325">
        <f>Q116</f>
        <v>-602.851181920465</v>
      </c>
    </row>
    <row r="91" s="261" customFormat="1" ht="20.4" outlineLevel="1" spans="1:18">
      <c r="A91" s="324"/>
      <c r="B91" s="324"/>
      <c r="C91" s="324"/>
      <c r="D91" s="314" t="s">
        <v>199</v>
      </c>
      <c r="E91" s="304"/>
      <c r="F91" s="304"/>
      <c r="G91" s="304"/>
      <c r="H91" s="326">
        <f t="shared" ref="H91:Q91" si="17">SUM(H87:H90)</f>
        <v>-2717.5</v>
      </c>
      <c r="I91" s="326">
        <f t="shared" si="17"/>
        <v>3795.7</v>
      </c>
      <c r="J91" s="326">
        <f t="shared" si="17"/>
        <v>-17608.2</v>
      </c>
      <c r="K91" s="326">
        <f t="shared" si="17"/>
        <v>-7562.5</v>
      </c>
      <c r="L91" s="326">
        <f t="shared" si="17"/>
        <v>-3867.6</v>
      </c>
      <c r="M91" s="326">
        <f ca="1" t="shared" si="17"/>
        <v>-8307.29922631121</v>
      </c>
      <c r="N91" s="326">
        <f ca="1" t="shared" si="17"/>
        <v>-8971.01388375984</v>
      </c>
      <c r="O91" s="326">
        <f ca="1" t="shared" si="17"/>
        <v>-9622.62256931318</v>
      </c>
      <c r="P91" s="326">
        <f ca="1" t="shared" si="17"/>
        <v>-10257.4994518098</v>
      </c>
      <c r="Q91" s="326">
        <f ca="1" t="shared" si="17"/>
        <v>-10871.7492793854</v>
      </c>
    </row>
    <row r="92" s="261" customFormat="1" ht="20.4" outlineLevel="1" spans="1:18">
      <c r="A92" s="324"/>
      <c r="B92" s="324"/>
      <c r="C92" s="324"/>
      <c r="D92" s="324"/>
      <c r="H92" s="325"/>
      <c r="I92" s="325"/>
      <c r="J92" s="325"/>
      <c r="K92" s="325"/>
      <c r="L92" s="325"/>
    </row>
    <row r="93" s="261" customFormat="1" ht="20.4" outlineLevel="1" spans="1:18">
      <c r="A93" s="147"/>
      <c r="B93" s="147"/>
      <c r="C93" s="324" t="s">
        <v>202</v>
      </c>
      <c r="D93" s="299"/>
      <c r="H93" s="325">
        <f>H76+H84+H91</f>
        <v>-53.8999999999996</v>
      </c>
      <c r="I93" s="325">
        <f>I76+I84+I91</f>
        <v>554.600000000001</v>
      </c>
      <c r="J93" s="325">
        <f>J76+J84+J91</f>
        <v>345.200000000001</v>
      </c>
      <c r="K93" s="325">
        <f>K76+K84+K91</f>
        <v>1833.2</v>
      </c>
      <c r="L93" s="325">
        <f>L76+L84+L91</f>
        <v>2273.2</v>
      </c>
      <c r="M93" s="325">
        <f ca="1" t="shared" ref="H93:Q93" si="18">M76+M84+M91</f>
        <v>7053.00432159074</v>
      </c>
      <c r="N93" s="325">
        <f ca="1" t="shared" si="18"/>
        <v>12178.5262180771</v>
      </c>
      <c r="O93" s="325">
        <f ca="1" t="shared" si="18"/>
        <v>13918.9024545015</v>
      </c>
      <c r="P93" s="325">
        <f ca="1" t="shared" si="18"/>
        <v>15671.0949962031</v>
      </c>
      <c r="Q93" s="325">
        <f ca="1" t="shared" si="18"/>
        <v>17414.3283950079</v>
      </c>
    </row>
    <row r="94" s="261" customFormat="1" ht="20.4" outlineLevel="1" spans="1:18">
      <c r="A94" s="147"/>
      <c r="B94" s="147"/>
      <c r="C94" s="147"/>
      <c r="D94" s="147" t="s">
        <v>203</v>
      </c>
      <c r="H94" s="325">
        <f>'Historical Data'!H143+'Historical Data'!H144+'Historical Data'!H51</f>
        <v>19958.4</v>
      </c>
      <c r="I94" s="325">
        <f>'Historical Data'!I143+'Historical Data'!I144+'Historical Data'!I51</f>
        <v>25231.2</v>
      </c>
      <c r="J94" s="325">
        <f>'Historical Data'!J143+'Historical Data'!J144+'Historical Data'!J51</f>
        <v>25823.7</v>
      </c>
      <c r="K94" s="325">
        <f>'Historical Data'!K143+'Historical Data'!K144+'Historical Data'!K51</f>
        <v>13960.3</v>
      </c>
      <c r="L94" s="325">
        <f>'Historical Data'!L143+'Historical Data'!L144+'Historical Data'!L51</f>
        <v>13357.6</v>
      </c>
      <c r="M94" s="261">
        <f>L95</f>
        <v>15630.8</v>
      </c>
      <c r="N94" s="261">
        <f ca="1">M95</f>
        <v>22683.8043215907</v>
      </c>
      <c r="O94" s="261">
        <f ca="1">N95</f>
        <v>34862.3305396678</v>
      </c>
      <c r="P94" s="261">
        <f ca="1">O95</f>
        <v>48781.2329941694</v>
      </c>
      <c r="Q94" s="261">
        <f ca="1">P95</f>
        <v>64452.3279903724</v>
      </c>
    </row>
    <row r="95" s="261" customFormat="1" ht="20.4" outlineLevel="1" spans="1:18">
      <c r="A95" s="324"/>
      <c r="B95" s="324"/>
      <c r="C95" s="324"/>
      <c r="D95" s="314" t="s">
        <v>204</v>
      </c>
      <c r="E95" s="304"/>
      <c r="F95" s="304"/>
      <c r="G95" s="304"/>
      <c r="H95" s="326">
        <f t="shared" ref="H95:Q95" si="19">SUM(H93:H94)</f>
        <v>19904.5</v>
      </c>
      <c r="I95" s="326">
        <f t="shared" si="19"/>
        <v>25785.8</v>
      </c>
      <c r="J95" s="326">
        <f t="shared" si="19"/>
        <v>26168.9</v>
      </c>
      <c r="K95" s="326">
        <f t="shared" si="19"/>
        <v>15793.5</v>
      </c>
      <c r="L95" s="326">
        <f t="shared" si="19"/>
        <v>15630.8</v>
      </c>
      <c r="M95" s="326">
        <f ca="1" t="shared" si="19"/>
        <v>22683.8043215907</v>
      </c>
      <c r="N95" s="326">
        <f ca="1" t="shared" si="19"/>
        <v>34862.3305396678</v>
      </c>
      <c r="O95" s="326">
        <f ca="1" t="shared" si="19"/>
        <v>48781.2329941694</v>
      </c>
      <c r="P95" s="326">
        <f ca="1" t="shared" si="19"/>
        <v>64452.3279903724</v>
      </c>
      <c r="Q95" s="326">
        <f ca="1" t="shared" si="19"/>
        <v>81866.6563853803</v>
      </c>
    </row>
    <row r="96" s="261" customFormat="1" ht="20.4" spans="1:18">
      <c r="A96" s="147"/>
      <c r="B96" s="147"/>
      <c r="C96" s="147"/>
      <c r="D96" s="147"/>
      <c r="H96" s="325"/>
      <c r="I96" s="325"/>
      <c r="J96" s="325"/>
      <c r="K96" s="325"/>
      <c r="L96" s="325"/>
    </row>
    <row r="97" s="261" customFormat="1" ht="20.4" spans="1:17">
      <c r="A97" s="328" t="s">
        <v>205</v>
      </c>
      <c r="B97" s="186"/>
      <c r="C97" s="187"/>
      <c r="D97" s="188"/>
      <c r="E97" s="191"/>
      <c r="F97" s="191"/>
      <c r="G97" s="191"/>
      <c r="H97" s="309"/>
      <c r="I97" s="309"/>
      <c r="J97" s="309"/>
      <c r="K97" s="309"/>
      <c r="L97" s="309"/>
      <c r="M97" s="189"/>
      <c r="N97" s="189"/>
      <c r="O97" s="189"/>
      <c r="P97" s="189"/>
      <c r="Q97" s="189"/>
    </row>
    <row r="98" s="261" customFormat="1" outlineLevel="1" spans="1:17">
      <c r="B98" s="264"/>
      <c r="C98" s="264"/>
      <c r="D98" s="79"/>
      <c r="H98" s="325"/>
      <c r="I98" s="325"/>
      <c r="J98" s="325"/>
      <c r="K98" s="325"/>
      <c r="L98" s="325"/>
    </row>
    <row r="99" s="261" customFormat="1" outlineLevel="1" spans="1:17">
      <c r="A99" s="263"/>
      <c r="B99" s="264"/>
      <c r="C99" s="329" t="s">
        <v>206</v>
      </c>
      <c r="D99" s="330"/>
      <c r="H99" s="325"/>
      <c r="I99" s="325"/>
      <c r="J99" s="325"/>
      <c r="K99" s="325"/>
      <c r="L99" s="325"/>
    </row>
    <row r="100" s="261" customFormat="1" ht="18" outlineLevel="1" spans="1:17">
      <c r="A100" s="263"/>
      <c r="B100" s="264"/>
      <c r="C100" s="264"/>
      <c r="D100" s="322" t="s">
        <v>168</v>
      </c>
      <c r="H100" s="325">
        <f>'Historical Data'!H114</f>
        <v>-257.6</v>
      </c>
      <c r="I100" s="325">
        <f>'Historical Data'!I114</f>
        <v>-2217.5</v>
      </c>
      <c r="J100" s="325">
        <f>'Historical Data'!J114</f>
        <v>-1347.1</v>
      </c>
      <c r="K100" s="325">
        <f>'Historical Data'!K114</f>
        <v>-2219.9</v>
      </c>
      <c r="L100" s="325">
        <f>'Historical Data'!L114</f>
        <v>-2185.5</v>
      </c>
      <c r="M100" s="325">
        <f>L40-M40</f>
        <v>-1338.78749763089</v>
      </c>
      <c r="N100" s="325">
        <f>M40-N40</f>
        <v>-2374.42114413745</v>
      </c>
      <c r="O100" s="325">
        <f>N40-O40</f>
        <v>-2332.12660436656</v>
      </c>
      <c r="P100" s="325">
        <f>O40-P40</f>
        <v>-2271.41828948516</v>
      </c>
      <c r="Q100" s="325">
        <f>P40-Q40</f>
        <v>-2195.48890856524</v>
      </c>
    </row>
    <row r="101" s="261" customFormat="1" outlineLevel="1" spans="1:17">
      <c r="A101" s="263"/>
      <c r="B101" s="264"/>
      <c r="C101" s="331"/>
      <c r="D101" s="261" t="s">
        <v>169</v>
      </c>
      <c r="H101" s="325">
        <f>'Historical Data'!H116</f>
        <v>-4977</v>
      </c>
      <c r="I101" s="325">
        <f>'Historical Data'!I116</f>
        <v>-6731.4</v>
      </c>
      <c r="J101" s="325">
        <f>'Historical Data'!J116</f>
        <v>4734.1</v>
      </c>
      <c r="K101" s="325">
        <f>'Historical Data'!K116</f>
        <v>-734</v>
      </c>
      <c r="L101" s="325">
        <f>'Historical Data'!L116</f>
        <v>-2612.3</v>
      </c>
      <c r="M101" s="325">
        <f>L41-M41</f>
        <v>-5216.54958607378</v>
      </c>
      <c r="N101" s="325">
        <f>M41-N41</f>
        <v>-3145.09835724301</v>
      </c>
      <c r="O101" s="325">
        <f>N41-O41</f>
        <v>-3089.07607666224</v>
      </c>
      <c r="P101" s="325">
        <f>O41-P41</f>
        <v>-3008.66337402275</v>
      </c>
      <c r="Q101" s="325">
        <f>P41-Q41</f>
        <v>-2908.0892312312</v>
      </c>
    </row>
    <row r="102" s="261" customFormat="1" ht="18" outlineLevel="1" spans="1:17">
      <c r="A102" s="263"/>
      <c r="B102" s="264"/>
      <c r="C102" s="264"/>
      <c r="D102" s="322" t="s">
        <v>178</v>
      </c>
      <c r="H102" s="325">
        <f>'Historical Data'!H117</f>
        <v>2124.2</v>
      </c>
      <c r="I102" s="325">
        <f>'Historical Data'!I117</f>
        <v>3344.9</v>
      </c>
      <c r="J102" s="325">
        <f>'Historical Data'!J117</f>
        <v>145.1</v>
      </c>
      <c r="K102" s="325">
        <f>'Historical Data'!K117</f>
        <v>5252.8</v>
      </c>
      <c r="L102" s="325">
        <f>'Historical Data'!L117</f>
        <v>2166.5</v>
      </c>
      <c r="M102" s="325">
        <f>M53-L53</f>
        <v>-812.929018653223</v>
      </c>
      <c r="N102" s="325">
        <f>N53-M53</f>
        <v>1605.44663289933</v>
      </c>
      <c r="O102" s="325">
        <f>O53-N53</f>
        <v>1576.84950444431</v>
      </c>
      <c r="P102" s="325">
        <f>P53-O53</f>
        <v>1535.80204327427</v>
      </c>
      <c r="Q102" s="325">
        <f>Q53-P53</f>
        <v>1484.46297512412</v>
      </c>
    </row>
    <row r="103" s="261" customFormat="1" ht="18" outlineLevel="1" spans="1:17">
      <c r="A103" s="263"/>
      <c r="B103" s="264"/>
      <c r="C103" s="264"/>
      <c r="D103" s="322" t="s">
        <v>207</v>
      </c>
      <c r="H103" s="325">
        <f>'Historical Data'!H118+'Historical Data'!H115</f>
        <v>-301.2</v>
      </c>
      <c r="I103" s="325">
        <f>'Historical Data'!I118+'Historical Data'!I115</f>
        <v>154.4</v>
      </c>
      <c r="J103" s="325">
        <f>'Historical Data'!J118+'Historical Data'!J115</f>
        <v>-264.4</v>
      </c>
      <c r="K103" s="325">
        <f>'Historical Data'!K118+'Historical Data'!K115</f>
        <v>-2815.8</v>
      </c>
      <c r="L103" s="325">
        <f>'Historical Data'!L118+'Historical Data'!L115</f>
        <v>491.6</v>
      </c>
      <c r="M103" s="332"/>
      <c r="N103" s="332"/>
      <c r="O103" s="332"/>
      <c r="P103" s="332"/>
      <c r="Q103" s="332"/>
    </row>
    <row r="104" s="261" customFormat="1" ht="18" outlineLevel="1" spans="1:17">
      <c r="A104" s="263"/>
      <c r="B104" s="264"/>
      <c r="C104" s="264"/>
      <c r="D104" s="333" t="s">
        <v>208</v>
      </c>
      <c r="E104" s="313"/>
      <c r="F104" s="313"/>
      <c r="G104" s="313"/>
      <c r="H104" s="326">
        <f t="shared" ref="H104:Q104" si="20">SUM(H100:H103)</f>
        <v>-3411.6</v>
      </c>
      <c r="I104" s="326">
        <f t="shared" si="20"/>
        <v>-5449.6</v>
      </c>
      <c r="J104" s="326">
        <f t="shared" si="20"/>
        <v>3267.7</v>
      </c>
      <c r="K104" s="326">
        <f t="shared" si="20"/>
        <v>-516.9</v>
      </c>
      <c r="L104" s="326">
        <f t="shared" si="20"/>
        <v>-2139.7</v>
      </c>
      <c r="M104" s="326">
        <f t="shared" si="20"/>
        <v>-7368.26610235789</v>
      </c>
      <c r="N104" s="326">
        <f t="shared" si="20"/>
        <v>-3914.07286848113</v>
      </c>
      <c r="O104" s="326">
        <f t="shared" si="20"/>
        <v>-3844.35317658449</v>
      </c>
      <c r="P104" s="326">
        <f t="shared" si="20"/>
        <v>-3744.27962023364</v>
      </c>
      <c r="Q104" s="326">
        <f t="shared" si="20"/>
        <v>-3619.11516467232</v>
      </c>
    </row>
    <row r="105" s="261" customFormat="1" outlineLevel="1" spans="1:17">
      <c r="A105" s="263"/>
      <c r="B105" s="264"/>
      <c r="C105" s="264"/>
      <c r="D105" s="322"/>
      <c r="H105" s="325"/>
      <c r="I105" s="325"/>
      <c r="J105" s="325"/>
      <c r="K105" s="325"/>
      <c r="L105" s="325"/>
      <c r="M105" s="325"/>
      <c r="N105" s="325"/>
      <c r="O105" s="325"/>
      <c r="P105" s="325"/>
      <c r="Q105" s="325"/>
    </row>
    <row r="106" s="261" customFormat="1" outlineLevel="1" spans="1:17">
      <c r="A106" s="263"/>
      <c r="B106" s="264"/>
      <c r="C106" s="334" t="s">
        <v>209</v>
      </c>
      <c r="D106" s="322"/>
      <c r="H106" s="325"/>
      <c r="J106" s="325"/>
      <c r="K106" s="325"/>
      <c r="L106" s="325"/>
      <c r="M106" s="325"/>
      <c r="N106" s="325"/>
      <c r="O106" s="325"/>
      <c r="P106" s="325"/>
      <c r="Q106" s="325"/>
    </row>
    <row r="107" s="261" customFormat="1" ht="18" outlineLevel="1" spans="1:17">
      <c r="A107" s="263"/>
      <c r="B107" s="264"/>
      <c r="C107" s="264"/>
      <c r="D107" s="289" t="s">
        <v>210</v>
      </c>
      <c r="H107" s="325"/>
      <c r="I107" s="325">
        <f ca="1" t="shared" ref="I107:Q107" si="21">H110</f>
        <v>27908.7</v>
      </c>
      <c r="J107" s="325">
        <f ca="1" t="shared" si="21"/>
        <v>28381.2</v>
      </c>
      <c r="K107" s="325">
        <f ca="1" t="shared" si="21"/>
        <v>25929</v>
      </c>
      <c r="L107" s="325">
        <f ca="1" t="shared" si="21"/>
        <v>26146.1</v>
      </c>
      <c r="M107" s="325">
        <f ca="1" t="shared" si="21"/>
        <v>29772.7</v>
      </c>
      <c r="N107" s="325">
        <f ca="1" t="shared" si="21"/>
        <v>29633.7559819082</v>
      </c>
      <c r="O107" s="325">
        <f ca="1" t="shared" si="21"/>
        <v>29482.6425378647</v>
      </c>
      <c r="P107" s="325">
        <f ca="1" t="shared" si="21"/>
        <v>29292.0532397195</v>
      </c>
      <c r="Q107" s="325">
        <f ca="1" t="shared" si="21"/>
        <v>29041.8561759612</v>
      </c>
    </row>
    <row r="108" s="261" customFormat="1" ht="18" outlineLevel="1" spans="1:17">
      <c r="A108" s="263"/>
      <c r="B108" s="264"/>
      <c r="C108" s="264"/>
      <c r="D108" s="289" t="s">
        <v>211</v>
      </c>
      <c r="H108" s="325"/>
      <c r="I108" s="325">
        <f ca="1">I110-I107-I109</f>
        <v>3512.1</v>
      </c>
      <c r="J108" s="325">
        <f ca="1">J110-J107-J109</f>
        <v>651.999999999999</v>
      </c>
      <c r="K108" s="325">
        <f ca="1">K110-K107-K109</f>
        <v>3210.1</v>
      </c>
      <c r="L108" s="325">
        <f ca="1">L110-L107-L109</f>
        <v>7198.2</v>
      </c>
      <c r="M108" s="325">
        <f ca="1">(M22-L22)/M18</f>
        <v>3193.44150936753</v>
      </c>
      <c r="N108" s="325">
        <f ca="1">(N22-M22)/N18</f>
        <v>3165.72041913892</v>
      </c>
      <c r="O108" s="325">
        <f ca="1">(O22-N22)/O18</f>
        <v>3109.33080666351</v>
      </c>
      <c r="P108" s="325">
        <f ca="1">(P22-O22)/P18</f>
        <v>3028.39084683124</v>
      </c>
      <c r="Q108" s="325">
        <f ca="1">(Q22-P22)/Q18</f>
        <v>2927.15725051511</v>
      </c>
    </row>
    <row r="109" s="261" customFormat="1" ht="18" outlineLevel="1" spans="1:17">
      <c r="A109" s="263"/>
      <c r="B109" s="264"/>
      <c r="C109" s="264"/>
      <c r="D109" s="335" t="s">
        <v>157</v>
      </c>
      <c r="H109" s="325">
        <f>H27</f>
        <v>-2745.8</v>
      </c>
      <c r="I109" s="325">
        <f>I27</f>
        <v>-3039.6</v>
      </c>
      <c r="J109" s="325">
        <f>J27</f>
        <v>-3104.2</v>
      </c>
      <c r="K109" s="325">
        <f>K27</f>
        <v>-2993</v>
      </c>
      <c r="L109" s="325">
        <f>L27</f>
        <v>-3571.6</v>
      </c>
      <c r="M109" s="325">
        <f ca="1">M107*-M10</f>
        <v>-3332.38552745934</v>
      </c>
      <c r="N109" s="325">
        <f ca="1">N107*-N10</f>
        <v>-3316.83386318246</v>
      </c>
      <c r="O109" s="325">
        <f ca="1">O107*-O10</f>
        <v>-3299.92010480867</v>
      </c>
      <c r="P109" s="325">
        <f ca="1">P107*-P10</f>
        <v>-3278.58791058956</v>
      </c>
      <c r="Q109" s="325">
        <f ca="1">Q107*-Q10</f>
        <v>-3250.5839648849</v>
      </c>
    </row>
    <row r="110" s="261" customFormat="1" ht="18" outlineLevel="1" spans="1:17">
      <c r="A110" s="263"/>
      <c r="B110" s="264"/>
      <c r="C110" s="264"/>
      <c r="D110" s="333" t="s">
        <v>212</v>
      </c>
      <c r="E110" s="313"/>
      <c r="F110" s="313"/>
      <c r="G110" s="313"/>
      <c r="H110" s="326">
        <f ca="1">H44+H45</f>
        <v>27908.7</v>
      </c>
      <c r="I110" s="326">
        <f ca="1">I44+I45</f>
        <v>28381.2</v>
      </c>
      <c r="J110" s="326">
        <f ca="1">J44+J45</f>
        <v>25929</v>
      </c>
      <c r="K110" s="326">
        <f ca="1">K44+K45</f>
        <v>26146.1</v>
      </c>
      <c r="L110" s="326">
        <f ca="1">L44+L45</f>
        <v>29772.7</v>
      </c>
      <c r="M110" s="326">
        <f ca="1">SUM(M107:M109)</f>
        <v>29633.7559819082</v>
      </c>
      <c r="N110" s="326">
        <f ca="1">SUM(N107:N109)</f>
        <v>29482.6425378647</v>
      </c>
      <c r="O110" s="326">
        <f ca="1">SUM(O107:O109)</f>
        <v>29292.0532397195</v>
      </c>
      <c r="P110" s="326">
        <f ca="1">SUM(P107:P109)</f>
        <v>29041.8561759612</v>
      </c>
      <c r="Q110" s="326">
        <f ca="1">SUM(Q107:Q109)</f>
        <v>28718.4294615914</v>
      </c>
    </row>
    <row r="111" s="261" customFormat="1" outlineLevel="1" spans="1:17">
      <c r="A111" s="263"/>
      <c r="B111" s="264"/>
      <c r="C111" s="264"/>
      <c r="D111" s="322"/>
      <c r="H111" s="263"/>
      <c r="I111" s="325"/>
      <c r="J111" s="325"/>
      <c r="K111" s="325"/>
      <c r="L111" s="325"/>
      <c r="M111" s="325"/>
      <c r="N111" s="325"/>
      <c r="O111" s="325"/>
      <c r="P111" s="325"/>
      <c r="Q111" s="325"/>
    </row>
    <row r="112" s="261" customFormat="1" outlineLevel="1" spans="1:17">
      <c r="A112" s="263"/>
      <c r="B112" s="264"/>
      <c r="C112" s="334" t="s">
        <v>213</v>
      </c>
      <c r="D112" s="322"/>
      <c r="H112" s="325"/>
      <c r="I112" s="325"/>
      <c r="J112" s="325"/>
      <c r="K112" s="325"/>
      <c r="L112" s="325"/>
      <c r="M112" s="325"/>
      <c r="N112" s="325"/>
      <c r="O112" s="325"/>
      <c r="P112" s="325"/>
      <c r="Q112" s="325"/>
    </row>
    <row r="113" s="261" customFormat="1" ht="18" outlineLevel="1" spans="1:17">
      <c r="A113" s="263"/>
      <c r="B113" s="264"/>
      <c r="C113" s="264"/>
      <c r="D113" s="289" t="s">
        <v>210</v>
      </c>
      <c r="I113" s="325">
        <f t="shared" ref="I113:Q113" si="22">H115</f>
        <v>17919.8</v>
      </c>
      <c r="J113" s="325">
        <f t="shared" si="22"/>
        <v>26681.9</v>
      </c>
      <c r="K113" s="325">
        <f t="shared" si="22"/>
        <v>13966.8</v>
      </c>
      <c r="L113" s="325">
        <f t="shared" si="22"/>
        <v>14184.1</v>
      </c>
      <c r="M113" s="325">
        <f t="shared" si="22"/>
        <v>13809</v>
      </c>
      <c r="N113" s="325">
        <f t="shared" si="22"/>
        <v>12896.08</v>
      </c>
      <c r="O113" s="325">
        <f t="shared" si="22"/>
        <v>11983.16</v>
      </c>
      <c r="P113" s="325">
        <f t="shared" si="22"/>
        <v>11070.24</v>
      </c>
      <c r="Q113" s="325">
        <f t="shared" si="22"/>
        <v>10157.32</v>
      </c>
    </row>
    <row r="114" s="261" customFormat="1" ht="18" outlineLevel="1" spans="1:17">
      <c r="A114" s="263"/>
      <c r="B114" s="264"/>
      <c r="C114" s="264"/>
      <c r="D114" s="335" t="s">
        <v>214</v>
      </c>
      <c r="H114" s="325"/>
      <c r="I114" s="325">
        <f>I115-I113</f>
        <v>8762.1</v>
      </c>
      <c r="J114" s="325">
        <f>J115-J113</f>
        <v>-12715.1</v>
      </c>
      <c r="K114" s="325">
        <f>K115-K113</f>
        <v>217.300000000001</v>
      </c>
      <c r="L114" s="325">
        <f>L115-L113</f>
        <v>-375.100000000002</v>
      </c>
      <c r="M114" s="325">
        <f>-'Lease Liab'!H12</f>
        <v>-912.92</v>
      </c>
      <c r="N114" s="325">
        <f>M114</f>
        <v>-912.92</v>
      </c>
      <c r="O114" s="325">
        <f>N114</f>
        <v>-912.92</v>
      </c>
      <c r="P114" s="325">
        <f>O114</f>
        <v>-912.92</v>
      </c>
      <c r="Q114" s="325">
        <f>P114</f>
        <v>-912.92</v>
      </c>
    </row>
    <row r="115" s="261" customFormat="1" ht="18" outlineLevel="1" spans="1:17">
      <c r="A115" s="263"/>
      <c r="B115" s="264"/>
      <c r="C115" s="264"/>
      <c r="D115" s="336" t="s">
        <v>212</v>
      </c>
      <c r="E115" s="313"/>
      <c r="F115" s="313"/>
      <c r="G115" s="313"/>
      <c r="H115" s="326">
        <f>H56</f>
        <v>17919.8</v>
      </c>
      <c r="I115" s="326">
        <f>I56</f>
        <v>26681.9</v>
      </c>
      <c r="J115" s="326">
        <f>J56</f>
        <v>13966.8</v>
      </c>
      <c r="K115" s="326">
        <f>K56</f>
        <v>14184.1</v>
      </c>
      <c r="L115" s="326">
        <f>L56</f>
        <v>13809</v>
      </c>
      <c r="M115" s="326">
        <f>SUM(M113:M114)</f>
        <v>12896.08</v>
      </c>
      <c r="N115" s="326">
        <f>SUM(N113:N114)</f>
        <v>11983.16</v>
      </c>
      <c r="O115" s="326">
        <f>SUM(O113:O114)</f>
        <v>11070.24</v>
      </c>
      <c r="P115" s="326">
        <f>SUM(P113:P114)</f>
        <v>10157.32</v>
      </c>
      <c r="Q115" s="326">
        <f>SUM(Q113:Q114)</f>
        <v>9244.4</v>
      </c>
    </row>
    <row r="116" s="261" customFormat="1" ht="18" outlineLevel="1" spans="1:17">
      <c r="A116" s="263"/>
      <c r="B116" s="264"/>
      <c r="C116" s="337"/>
      <c r="D116" s="289" t="s">
        <v>215</v>
      </c>
      <c r="H116" s="325">
        <f>H29</f>
        <v>-589.2</v>
      </c>
      <c r="I116" s="325">
        <f>I29</f>
        <v>-523.7</v>
      </c>
      <c r="J116" s="325">
        <f>J29</f>
        <v>-1073.6</v>
      </c>
      <c r="K116" s="325">
        <f>K29</f>
        <v>-1124.1</v>
      </c>
      <c r="L116" s="325">
        <f>L29</f>
        <v>-1217</v>
      </c>
      <c r="M116" s="325">
        <f>-M113*M11</f>
        <v>-819.583509344955</v>
      </c>
      <c r="N116" s="325">
        <f>-N113*N11</f>
        <v>-765.400427488832</v>
      </c>
      <c r="O116" s="325">
        <f>-O113*O11</f>
        <v>-711.21734563271</v>
      </c>
      <c r="P116" s="325">
        <f>-P113*P11</f>
        <v>-657.034263776587</v>
      </c>
      <c r="Q116" s="325">
        <f>-Q113*Q11</f>
        <v>-602.851181920465</v>
      </c>
    </row>
    <row r="117" s="261" customFormat="1" spans="1:17">
      <c r="A117" s="263"/>
      <c r="B117" s="264"/>
      <c r="C117" s="264"/>
      <c r="D117" s="322"/>
      <c r="H117" s="325"/>
      <c r="I117" s="325"/>
      <c r="J117" s="325"/>
      <c r="K117" s="325"/>
      <c r="L117" s="325"/>
      <c r="M117" s="325"/>
      <c r="N117" s="325"/>
      <c r="O117" s="325"/>
      <c r="P117" s="325"/>
      <c r="Q117" s="325"/>
    </row>
    <row r="118" s="261" customFormat="1" ht="20.4" spans="1:17">
      <c r="A118" s="338" t="s">
        <v>216</v>
      </c>
      <c r="B118" s="191"/>
      <c r="C118" s="187"/>
      <c r="D118" s="188"/>
      <c r="E118" s="191"/>
      <c r="F118" s="191"/>
      <c r="G118" s="191"/>
      <c r="H118" s="309"/>
      <c r="I118" s="309"/>
      <c r="J118" s="309"/>
      <c r="K118" s="309"/>
      <c r="L118" s="309"/>
      <c r="M118" s="189"/>
      <c r="N118" s="189"/>
      <c r="O118" s="189"/>
      <c r="P118" s="189"/>
      <c r="Q118" s="189"/>
    </row>
    <row r="119" s="261" customFormat="1" ht="18" customHeight="1" outlineLevel="1" spans="1:17">
      <c r="A119" s="263"/>
      <c r="B119" s="264"/>
      <c r="C119" s="264"/>
      <c r="D119" s="322"/>
      <c r="H119" s="325"/>
      <c r="I119" s="325"/>
      <c r="J119" s="325"/>
      <c r="K119" s="325"/>
      <c r="L119" s="325"/>
      <c r="M119" s="325"/>
      <c r="N119" s="325"/>
      <c r="O119" s="325"/>
      <c r="P119" s="325"/>
      <c r="Q119" s="325"/>
    </row>
    <row r="120" s="261" customFormat="1" outlineLevel="1" spans="1:17">
      <c r="A120" s="263"/>
      <c r="B120" s="264"/>
      <c r="C120" s="264"/>
      <c r="D120" s="322"/>
      <c r="H120" s="325"/>
      <c r="I120" s="325"/>
      <c r="J120" s="325"/>
      <c r="K120" s="325"/>
      <c r="L120" s="325"/>
      <c r="M120" s="325"/>
      <c r="N120" s="325"/>
      <c r="O120" s="325"/>
      <c r="P120" s="325"/>
      <c r="Q120" s="325"/>
    </row>
    <row r="121" s="261" customFormat="1" ht="21" outlineLevel="1" spans="1:17">
      <c r="A121" s="263"/>
      <c r="B121" s="264"/>
      <c r="C121" s="264"/>
      <c r="D121" s="339" t="s">
        <v>217</v>
      </c>
      <c r="E121" s="340"/>
      <c r="F121" s="340"/>
      <c r="H121" s="325"/>
      <c r="I121" s="325"/>
      <c r="J121" s="325"/>
      <c r="K121" s="325"/>
      <c r="L121" s="325"/>
      <c r="M121" s="325"/>
      <c r="N121" s="325"/>
      <c r="O121" s="325"/>
      <c r="P121" s="325"/>
      <c r="Q121" s="325"/>
    </row>
    <row r="122" s="261" customFormat="1" ht="20.4" outlineLevel="1" spans="1:17">
      <c r="A122" s="263"/>
      <c r="B122" s="264"/>
      <c r="C122" s="264"/>
      <c r="D122" s="147" t="s">
        <v>218</v>
      </c>
      <c r="F122" s="341">
        <v>46230</v>
      </c>
      <c r="H122" s="322"/>
      <c r="I122" s="322"/>
      <c r="J122" s="322"/>
      <c r="K122" s="322"/>
      <c r="L122" s="322"/>
    </row>
    <row r="123" s="261" customFormat="1" ht="20.4" outlineLevel="1" spans="1:17">
      <c r="A123" s="263"/>
      <c r="B123" s="264"/>
      <c r="C123" s="264"/>
      <c r="D123" s="147" t="s">
        <v>219</v>
      </c>
      <c r="E123" s="332"/>
      <c r="F123" s="341">
        <v>46112</v>
      </c>
      <c r="H123" s="322"/>
      <c r="I123" s="322"/>
      <c r="J123" s="322"/>
      <c r="K123" s="322"/>
      <c r="L123" s="322"/>
    </row>
    <row r="124" s="261" customFormat="1" ht="20.4" outlineLevel="1" spans="1:17">
      <c r="A124" s="263"/>
      <c r="B124" s="264"/>
      <c r="C124" s="264"/>
      <c r="D124" s="147" t="s">
        <v>220</v>
      </c>
      <c r="E124" s="332"/>
      <c r="F124" s="342">
        <f>M13</f>
        <v>0.133349947402503</v>
      </c>
      <c r="H124" s="322"/>
      <c r="I124" s="322"/>
      <c r="J124" s="322"/>
      <c r="K124" s="322"/>
      <c r="L124" s="322"/>
    </row>
    <row r="125" s="261" customFormat="1" ht="20.4" outlineLevel="1" spans="1:17">
      <c r="A125" s="263"/>
      <c r="B125" s="264"/>
      <c r="C125" s="264"/>
      <c r="D125" s="147" t="s">
        <v>221</v>
      </c>
      <c r="E125" s="332"/>
      <c r="F125" s="343">
        <f>Comps!U21</f>
        <v>26.4223243855866</v>
      </c>
      <c r="H125" s="322"/>
      <c r="I125" s="322"/>
      <c r="J125" s="322"/>
      <c r="K125" s="322"/>
      <c r="L125" s="322"/>
    </row>
    <row r="126" s="261" customFormat="1" ht="20.4" outlineLevel="1" spans="1:17">
      <c r="A126" s="263"/>
      <c r="B126" s="264"/>
      <c r="C126" s="264"/>
      <c r="D126" s="147" t="s">
        <v>222</v>
      </c>
      <c r="E126" s="332"/>
      <c r="F126" s="344">
        <v>0.05</v>
      </c>
    </row>
    <row r="127" s="262" customFormat="1" ht="20.4" outlineLevel="1" spans="1:17">
      <c r="A127" s="263"/>
      <c r="B127" s="264"/>
      <c r="C127" s="264"/>
      <c r="D127" s="147" t="s">
        <v>223</v>
      </c>
      <c r="E127" s="345"/>
      <c r="F127" s="346">
        <f>WACC!I49</f>
        <v>0.0731226538728181</v>
      </c>
      <c r="G127" s="347"/>
      <c r="H127" s="347"/>
      <c r="I127" s="347"/>
      <c r="J127" s="347"/>
      <c r="K127" s="347"/>
      <c r="L127" s="265"/>
    </row>
    <row r="128" s="262" customFormat="1" ht="20.4" outlineLevel="1" spans="1:17">
      <c r="A128" s="263"/>
      <c r="B128" s="264"/>
      <c r="C128" s="264"/>
      <c r="D128" s="147" t="s">
        <v>224</v>
      </c>
      <c r="E128" s="345"/>
      <c r="F128" s="345">
        <f>Comps_Data!J5</f>
        <v>120</v>
      </c>
      <c r="G128" s="347"/>
      <c r="H128" s="348"/>
      <c r="I128" s="348"/>
      <c r="J128" s="348"/>
      <c r="K128" s="348"/>
      <c r="L128" s="348"/>
      <c r="M128" s="349"/>
      <c r="N128" s="349"/>
    </row>
    <row r="129" s="262" customFormat="1" outlineLevel="1" spans="1:18">
      <c r="A129" s="263"/>
      <c r="B129" s="264"/>
      <c r="C129" s="264"/>
      <c r="D129" s="322"/>
      <c r="E129" s="345"/>
      <c r="F129" s="345"/>
      <c r="G129" s="347"/>
      <c r="H129" s="322"/>
      <c r="I129" s="322"/>
      <c r="J129" s="322"/>
      <c r="K129" s="322"/>
      <c r="L129" s="322"/>
      <c r="M129" s="350"/>
      <c r="N129" s="350"/>
    </row>
    <row r="130" s="262" customFormat="1" outlineLevel="1" spans="1:18">
      <c r="A130" s="263"/>
      <c r="B130" s="264"/>
      <c r="C130" s="351"/>
      <c r="D130" s="347"/>
      <c r="E130" s="345"/>
      <c r="F130" s="345"/>
      <c r="G130" s="347"/>
      <c r="H130" s="79"/>
      <c r="I130" s="79"/>
      <c r="J130" s="79"/>
      <c r="K130" s="79"/>
      <c r="L130" s="79"/>
      <c r="M130" s="352"/>
      <c r="N130" s="352"/>
    </row>
    <row r="131" s="262" customFormat="1" ht="21" outlineLevel="1" spans="1:18">
      <c r="A131" s="263"/>
      <c r="B131" s="264"/>
      <c r="C131" s="264"/>
      <c r="D131" s="353" t="s">
        <v>225</v>
      </c>
      <c r="E131" s="340"/>
      <c r="F131" s="340"/>
      <c r="G131" s="340"/>
      <c r="H131" s="354" t="s">
        <v>226</v>
      </c>
      <c r="I131" s="355">
        <f>YEAR(F122)</f>
        <v>2026</v>
      </c>
      <c r="J131" s="355">
        <f>I131+1</f>
        <v>2027</v>
      </c>
      <c r="K131" s="355">
        <f>J131+1</f>
        <v>2028</v>
      </c>
      <c r="L131" s="355">
        <f>K131+1</f>
        <v>2029</v>
      </c>
      <c r="M131" s="355">
        <f>L131+1</f>
        <v>2030</v>
      </c>
      <c r="N131" s="355" t="s">
        <v>227</v>
      </c>
      <c r="O131" s="347"/>
      <c r="P131" s="356" t="s">
        <v>228</v>
      </c>
      <c r="Q131" s="340"/>
      <c r="R131" s="347"/>
    </row>
    <row r="132" s="262" customFormat="1" outlineLevel="1" spans="1:18">
      <c r="A132" s="263"/>
      <c r="B132" s="264"/>
      <c r="C132" s="264"/>
      <c r="D132" s="357" t="s">
        <v>229</v>
      </c>
      <c r="E132" s="347"/>
      <c r="F132" s="347"/>
      <c r="G132" s="347"/>
      <c r="H132" s="358">
        <f>F122</f>
        <v>46230</v>
      </c>
      <c r="I132" s="358">
        <f>F123</f>
        <v>46112</v>
      </c>
      <c r="J132" s="359">
        <f>DATE((2027),3,31)</f>
        <v>46477</v>
      </c>
      <c r="K132" s="359">
        <f>DATE((2028),3,31)</f>
        <v>46843</v>
      </c>
      <c r="L132" s="359">
        <f>DATE((2029),3,31)</f>
        <v>47208</v>
      </c>
      <c r="M132" s="359">
        <f>DATE((2030),3,31)</f>
        <v>47573</v>
      </c>
      <c r="N132" s="358">
        <f>M132</f>
        <v>47573</v>
      </c>
      <c r="O132" s="345"/>
      <c r="P132" s="360" t="s">
        <v>221</v>
      </c>
      <c r="Q132" s="347">
        <f ca="1">(M136+M139)*F125</f>
        <v>941173.302326733</v>
      </c>
      <c r="R132" s="347"/>
    </row>
    <row r="133" s="262" customFormat="1" outlineLevel="1" spans="1:18">
      <c r="A133" s="263"/>
      <c r="B133" s="264"/>
      <c r="C133" s="264"/>
      <c r="D133" s="357" t="s">
        <v>230</v>
      </c>
      <c r="E133" s="347"/>
      <c r="F133" s="347"/>
      <c r="G133" s="347"/>
      <c r="H133" s="318"/>
      <c r="I133" s="361">
        <v>0</v>
      </c>
      <c r="J133" s="361">
        <v>1</v>
      </c>
      <c r="K133" s="361">
        <v>2</v>
      </c>
      <c r="L133" s="361">
        <v>3</v>
      </c>
      <c r="M133" s="361">
        <v>4</v>
      </c>
      <c r="N133" s="318"/>
      <c r="O133" s="347"/>
      <c r="P133" s="362" t="s">
        <v>231</v>
      </c>
      <c r="Q133" s="340">
        <f ca="1">M142*(1+F126)/(F127-F126)</f>
        <v>1124242.88724578</v>
      </c>
      <c r="R133" s="347"/>
    </row>
    <row r="134" s="262" customFormat="1" outlineLevel="1" spans="1:18">
      <c r="A134" s="263"/>
      <c r="B134" s="264"/>
      <c r="C134" s="264"/>
      <c r="D134" s="357" t="s">
        <v>232</v>
      </c>
      <c r="E134" s="347"/>
      <c r="F134" s="347"/>
      <c r="G134" s="347"/>
      <c r="H134" s="318"/>
      <c r="I134" s="318">
        <f>YEARFRAC(H132,I132)</f>
        <v>0.325</v>
      </c>
      <c r="J134" s="318">
        <f>YEARFRAC(I132,J132)</f>
        <v>1</v>
      </c>
      <c r="K134" s="318">
        <f>YEARFRAC(J132,K132)</f>
        <v>1</v>
      </c>
      <c r="L134" s="318">
        <f>YEARFRAC(K132,L132)</f>
        <v>1</v>
      </c>
      <c r="M134" s="318">
        <f>YEARFRAC(L132,M132)</f>
        <v>1</v>
      </c>
      <c r="N134" s="318">
        <f>M134</f>
        <v>1</v>
      </c>
      <c r="O134" s="347"/>
      <c r="P134" s="363" t="s">
        <v>233</v>
      </c>
      <c r="Q134" s="347">
        <f ca="1">AVERAGE(Q132:Q133)</f>
        <v>1032708.09478625</v>
      </c>
      <c r="R134" s="347"/>
    </row>
    <row r="135" s="262" customFormat="1" outlineLevel="1" spans="1:18">
      <c r="A135" s="263"/>
      <c r="B135" s="264"/>
      <c r="C135" s="264"/>
      <c r="D135" s="322"/>
      <c r="E135" s="347"/>
      <c r="F135" s="347"/>
      <c r="G135" s="347"/>
      <c r="H135" s="318"/>
      <c r="O135" s="347"/>
      <c r="P135" s="347"/>
      <c r="Q135" s="347"/>
      <c r="R135" s="347"/>
    </row>
    <row r="136" s="262" customFormat="1" ht="18" outlineLevel="1" spans="1:18">
      <c r="A136" s="263"/>
      <c r="B136" s="264"/>
      <c r="C136" s="264"/>
      <c r="D136" s="79" t="s">
        <v>158</v>
      </c>
      <c r="E136" s="364"/>
      <c r="F136" s="364"/>
      <c r="G136" s="364"/>
      <c r="H136" s="79"/>
      <c r="I136" s="79">
        <f ca="1">M28</f>
        <v>22998.320625744</v>
      </c>
      <c r="J136" s="79">
        <f ca="1">N28</f>
        <v>25418.3757376263</v>
      </c>
      <c r="K136" s="79">
        <f ca="1">O28</f>
        <v>27796.9625607373</v>
      </c>
      <c r="L136" s="79">
        <f ca="1">P28</f>
        <v>30118.4903716886</v>
      </c>
      <c r="M136" s="79">
        <f ca="1">Q28</f>
        <v>32369.7985795117</v>
      </c>
      <c r="N136" s="322"/>
      <c r="O136" s="347"/>
      <c r="P136" s="347"/>
      <c r="Q136" s="347"/>
      <c r="R136" s="347"/>
    </row>
    <row r="137" s="262" customFormat="1" ht="18" outlineLevel="1" spans="1:18">
      <c r="A137" s="263"/>
      <c r="B137" s="264"/>
      <c r="C137" s="264"/>
      <c r="D137" s="322" t="s">
        <v>234</v>
      </c>
      <c r="E137" s="347"/>
      <c r="F137" s="347"/>
      <c r="G137" s="347"/>
      <c r="H137" s="322"/>
      <c r="I137" s="365">
        <f ca="1">I136*-$F$124</f>
        <v>-3066.82484578886</v>
      </c>
      <c r="J137" s="365">
        <f ca="1">J136*-$F$124</f>
        <v>-3389.53906766953</v>
      </c>
      <c r="K137" s="365">
        <f ca="1">K136*-$F$124</f>
        <v>-3706.72349542367</v>
      </c>
      <c r="L137" s="365">
        <f ca="1">L136*-$F$124</f>
        <v>-4016.29910690747</v>
      </c>
      <c r="M137" s="365">
        <f ca="1">M136*-$F$124</f>
        <v>-4316.5109380075</v>
      </c>
      <c r="N137" s="322"/>
      <c r="O137" s="347"/>
      <c r="P137" s="347"/>
      <c r="Q137" s="347"/>
      <c r="R137" s="347"/>
    </row>
    <row r="138" s="262" customFormat="1" ht="18" outlineLevel="1" spans="1:18">
      <c r="A138" s="263"/>
      <c r="B138" s="264"/>
      <c r="C138" s="264"/>
      <c r="D138" s="333" t="s">
        <v>235</v>
      </c>
      <c r="E138" s="304"/>
      <c r="F138" s="304"/>
      <c r="G138" s="304"/>
      <c r="H138" s="333"/>
      <c r="I138" s="333">
        <f ca="1">SUM(I136:I137)</f>
        <v>19931.4957799551</v>
      </c>
      <c r="J138" s="333">
        <f ca="1">SUM(J136:J137)</f>
        <v>22028.8366699568</v>
      </c>
      <c r="K138" s="333">
        <f ca="1">SUM(K136:K137)</f>
        <v>24090.2390653137</v>
      </c>
      <c r="L138" s="333">
        <f ca="1">SUM(L136:L137)</f>
        <v>26102.1912647812</v>
      </c>
      <c r="M138" s="333">
        <f ca="1">SUM(M136:M137)</f>
        <v>28053.2876415042</v>
      </c>
      <c r="N138" s="322"/>
      <c r="O138" s="347"/>
      <c r="P138" s="347"/>
      <c r="Q138" s="347"/>
      <c r="R138" s="347"/>
    </row>
    <row r="139" s="262" customFormat="1" outlineLevel="1" spans="1:18">
      <c r="A139" s="263"/>
      <c r="B139" s="264"/>
      <c r="C139" s="264"/>
      <c r="D139" s="108" t="s">
        <v>190</v>
      </c>
      <c r="E139" s="347"/>
      <c r="F139" s="347"/>
      <c r="G139" s="347"/>
      <c r="H139" s="322"/>
      <c r="I139" s="322">
        <f ca="1">-M109</f>
        <v>3332.38552745934</v>
      </c>
      <c r="J139" s="322">
        <f ca="1">-N109</f>
        <v>3316.83386318246</v>
      </c>
      <c r="K139" s="322">
        <f ca="1">-O109</f>
        <v>3299.92010480867</v>
      </c>
      <c r="L139" s="322">
        <f ca="1">-P109</f>
        <v>3278.58791058956</v>
      </c>
      <c r="M139" s="322">
        <f ca="1">-Q109</f>
        <v>3250.5839648849</v>
      </c>
      <c r="N139" s="322"/>
      <c r="O139" s="347"/>
      <c r="P139" s="347"/>
      <c r="Q139" s="347"/>
      <c r="R139" s="347"/>
    </row>
    <row r="140" s="262" customFormat="1" outlineLevel="1" spans="1:18">
      <c r="A140" s="263"/>
      <c r="B140" s="264"/>
      <c r="C140" s="264"/>
      <c r="D140" s="108" t="s">
        <v>236</v>
      </c>
      <c r="E140" s="347"/>
      <c r="F140" s="347"/>
      <c r="G140" s="347"/>
      <c r="H140" s="322"/>
      <c r="I140" s="365">
        <f ca="1">-M108</f>
        <v>-3193.44150936753</v>
      </c>
      <c r="J140" s="365">
        <f ca="1">-N108</f>
        <v>-3165.72041913892</v>
      </c>
      <c r="K140" s="365">
        <f ca="1">-O108</f>
        <v>-3109.33080666351</v>
      </c>
      <c r="L140" s="365">
        <f ca="1">-P108</f>
        <v>-3028.39084683124</v>
      </c>
      <c r="M140" s="365">
        <f ca="1">-Q108</f>
        <v>-2927.15725051511</v>
      </c>
      <c r="N140" s="322"/>
      <c r="O140" s="347"/>
      <c r="P140" s="347"/>
      <c r="Q140" s="347"/>
      <c r="R140" s="347"/>
    </row>
    <row r="141" s="262" customFormat="1" outlineLevel="1" spans="1:18">
      <c r="A141" s="263"/>
      <c r="B141" s="264"/>
      <c r="C141" s="264"/>
      <c r="D141" s="110" t="s">
        <v>237</v>
      </c>
      <c r="E141" s="347"/>
      <c r="F141" s="347"/>
      <c r="G141" s="347"/>
      <c r="H141" s="322"/>
      <c r="I141" s="365">
        <f>M104</f>
        <v>-7368.26610235789</v>
      </c>
      <c r="J141" s="365">
        <f>N104</f>
        <v>-3914.07286848113</v>
      </c>
      <c r="K141" s="365">
        <f>O104</f>
        <v>-3844.35317658449</v>
      </c>
      <c r="L141" s="365">
        <f>P104</f>
        <v>-3744.27962023364</v>
      </c>
      <c r="M141" s="365">
        <f>Q104</f>
        <v>-3619.11516467232</v>
      </c>
      <c r="N141" s="322"/>
      <c r="O141" s="347"/>
      <c r="P141" s="347"/>
      <c r="Q141" s="347"/>
      <c r="R141" s="347"/>
    </row>
    <row r="142" s="262" customFormat="1" ht="18" outlineLevel="1" spans="1:18">
      <c r="A142" s="263"/>
      <c r="B142" s="264"/>
      <c r="C142" s="264"/>
      <c r="D142" s="333" t="s">
        <v>238</v>
      </c>
      <c r="E142" s="304"/>
      <c r="F142" s="304"/>
      <c r="G142" s="304"/>
      <c r="H142" s="333"/>
      <c r="I142" s="333">
        <f ca="1">SUM(I138:I141)</f>
        <v>12702.173695689</v>
      </c>
      <c r="J142" s="333">
        <f ca="1">SUM(J138:J141)</f>
        <v>18265.8772455192</v>
      </c>
      <c r="K142" s="333">
        <f ca="1">SUM(K138:K141)</f>
        <v>20436.4751868743</v>
      </c>
      <c r="L142" s="333">
        <f ca="1">SUM(L138:L141)</f>
        <v>22608.1087083058</v>
      </c>
      <c r="M142" s="333">
        <f ca="1">SUM(M138:M141)</f>
        <v>24757.5991912017</v>
      </c>
      <c r="N142" s="366"/>
      <c r="O142" s="347"/>
      <c r="P142" s="347"/>
      <c r="Q142" s="347"/>
      <c r="R142" s="347"/>
    </row>
    <row r="143" s="262" customFormat="1" outlineLevel="1" spans="1:18">
      <c r="A143" s="263"/>
      <c r="B143" s="264"/>
      <c r="C143" s="264"/>
      <c r="D143" s="322"/>
      <c r="E143" s="347"/>
      <c r="F143" s="347"/>
      <c r="G143" s="347"/>
      <c r="H143" s="322"/>
      <c r="I143" s="322"/>
      <c r="J143" s="322"/>
      <c r="K143" s="322"/>
      <c r="L143" s="322"/>
      <c r="M143" s="352"/>
      <c r="N143" s="322"/>
      <c r="O143" s="347"/>
      <c r="P143" s="347"/>
      <c r="Q143" s="347"/>
      <c r="R143" s="347"/>
    </row>
    <row r="144" s="262" customFormat="1" outlineLevel="1" spans="1:18">
      <c r="A144" s="263"/>
      <c r="B144" s="264"/>
      <c r="C144" s="264"/>
      <c r="D144" s="107" t="s">
        <v>239</v>
      </c>
      <c r="E144" s="364"/>
      <c r="F144" s="364"/>
      <c r="G144" s="364"/>
      <c r="H144" s="79"/>
      <c r="I144" s="79">
        <f ca="1">I142*I134</f>
        <v>4128.20645109893</v>
      </c>
      <c r="J144" s="79">
        <f ca="1">J142*J134</f>
        <v>18265.8772455192</v>
      </c>
      <c r="K144" s="79">
        <f ca="1">K142*K134</f>
        <v>20436.4751868743</v>
      </c>
      <c r="L144" s="79">
        <f ca="1">L142*L134</f>
        <v>22608.1087083058</v>
      </c>
      <c r="M144" s="79">
        <f ca="1">M142*M134</f>
        <v>24757.5991912017</v>
      </c>
      <c r="N144" s="79">
        <f ca="1">Q134</f>
        <v>1032708.09478625</v>
      </c>
      <c r="O144" s="347"/>
      <c r="P144" s="347"/>
      <c r="Q144" s="347"/>
      <c r="R144" s="347"/>
    </row>
    <row r="145" s="262" customFormat="1" outlineLevel="1" spans="1:18">
      <c r="A145" s="263"/>
      <c r="B145" s="264"/>
      <c r="C145" s="264"/>
      <c r="D145" s="322"/>
      <c r="E145" s="347"/>
      <c r="F145" s="347"/>
      <c r="G145" s="347"/>
      <c r="H145" s="322"/>
      <c r="I145" s="322"/>
      <c r="J145" s="322"/>
      <c r="K145" s="322"/>
      <c r="L145" s="322"/>
      <c r="M145" s="352"/>
      <c r="N145" s="322"/>
      <c r="O145" s="347"/>
      <c r="P145" s="347"/>
      <c r="Q145" s="347"/>
      <c r="R145" s="347"/>
    </row>
    <row r="146" s="262" customFormat="1" outlineLevel="1" spans="1:18">
      <c r="A146" s="263"/>
      <c r="B146" s="264"/>
      <c r="C146" s="264"/>
      <c r="D146" s="217" t="s">
        <v>240</v>
      </c>
      <c r="E146" s="347"/>
      <c r="F146" s="347"/>
      <c r="G146" s="347"/>
      <c r="H146" s="322"/>
      <c r="I146" s="367" t="s">
        <v>241</v>
      </c>
      <c r="J146" s="368"/>
      <c r="K146" s="368"/>
      <c r="L146" s="368"/>
      <c r="M146" s="352"/>
      <c r="N146" s="322"/>
      <c r="O146" s="347"/>
      <c r="P146" s="347"/>
      <c r="Q146" s="347"/>
      <c r="R146" s="347"/>
    </row>
    <row r="147" s="262" customFormat="1" outlineLevel="1" spans="1:18">
      <c r="A147" s="263"/>
      <c r="B147" s="264"/>
      <c r="C147" s="264"/>
      <c r="D147" s="369" t="s">
        <v>242</v>
      </c>
      <c r="E147" s="313"/>
      <c r="F147" s="313">
        <f ca="1">XNPV(F127,I144:N144,I132:N132)</f>
        <v>854415.329680697</v>
      </c>
      <c r="G147" s="347"/>
      <c r="H147" s="322"/>
      <c r="I147" s="5" t="s">
        <v>243</v>
      </c>
      <c r="J147" s="322"/>
      <c r="K147" s="322"/>
      <c r="L147" s="322">
        <v>5616</v>
      </c>
      <c r="M147" s="352"/>
      <c r="N147" s="352"/>
    </row>
    <row r="148" s="262" customFormat="1" outlineLevel="1" spans="1:18">
      <c r="A148" s="263"/>
      <c r="B148" s="264"/>
      <c r="C148" s="264"/>
      <c r="D148" s="108" t="s">
        <v>244</v>
      </c>
      <c r="E148" s="347"/>
      <c r="F148" s="347">
        <f ca="1">M39+M47</f>
        <v>36869.8043215907</v>
      </c>
      <c r="G148" s="347"/>
      <c r="H148" s="322"/>
      <c r="I148" s="5" t="s">
        <v>245</v>
      </c>
      <c r="J148" s="322"/>
      <c r="K148" s="322"/>
      <c r="L148" s="322">
        <f ca="1">F153</f>
        <v>7274.90445001906</v>
      </c>
      <c r="M148" s="352"/>
      <c r="N148" s="352"/>
    </row>
    <row r="149" s="262" customFormat="1" outlineLevel="1" spans="1:18">
      <c r="A149" s="263"/>
      <c r="B149" s="264"/>
      <c r="C149" s="264"/>
      <c r="D149" s="108" t="s">
        <v>246</v>
      </c>
      <c r="E149" s="365"/>
      <c r="F149" s="365">
        <f>-L115</f>
        <v>-13809</v>
      </c>
      <c r="G149" s="347"/>
      <c r="H149" s="322"/>
      <c r="I149" s="5" t="s">
        <v>247</v>
      </c>
      <c r="J149" s="322"/>
      <c r="K149" s="322"/>
      <c r="L149" s="370">
        <f ca="1">L148/L147-1</f>
        <v>0.295388969020488</v>
      </c>
      <c r="M149" s="352"/>
      <c r="N149" s="352"/>
    </row>
    <row r="150" s="262" customFormat="1" outlineLevel="1" spans="1:18">
      <c r="A150" s="263"/>
      <c r="B150" s="264"/>
      <c r="C150" s="264"/>
      <c r="D150" s="110" t="s">
        <v>248</v>
      </c>
      <c r="E150" s="365"/>
      <c r="F150" s="365">
        <f>-L63</f>
        <v>-4487.6</v>
      </c>
      <c r="G150" s="347"/>
      <c r="H150" s="322"/>
      <c r="I150" s="322"/>
      <c r="J150" s="322"/>
      <c r="K150" s="322"/>
      <c r="L150" s="322"/>
      <c r="M150" s="352"/>
      <c r="N150" s="352"/>
    </row>
    <row r="151" s="262" customFormat="1" outlineLevel="1" spans="1:18">
      <c r="A151" s="263"/>
      <c r="B151" s="264"/>
      <c r="C151" s="264"/>
      <c r="D151" s="371" t="s">
        <v>249</v>
      </c>
      <c r="E151" s="313"/>
      <c r="F151" s="304">
        <f ca="1">SUM(F147:F150)</f>
        <v>872988.534002287</v>
      </c>
      <c r="G151" s="347"/>
      <c r="H151" s="322"/>
      <c r="I151" s="322"/>
      <c r="J151" s="322"/>
      <c r="K151" s="322"/>
      <c r="L151" s="322"/>
      <c r="M151" s="352"/>
      <c r="N151" s="352"/>
    </row>
    <row r="152" s="262" customFormat="1" outlineLevel="1" spans="1:18">
      <c r="A152" s="263"/>
      <c r="B152" s="264"/>
      <c r="C152" s="264"/>
      <c r="D152" s="108"/>
      <c r="E152" s="347"/>
      <c r="F152" s="347"/>
      <c r="G152" s="347"/>
      <c r="H152" s="322"/>
      <c r="I152" s="322"/>
      <c r="J152" s="322"/>
      <c r="K152" s="322"/>
      <c r="L152" s="322"/>
      <c r="M152" s="352"/>
      <c r="N152" s="352"/>
    </row>
    <row r="153" s="262" customFormat="1" outlineLevel="1" spans="1:18">
      <c r="A153" s="263"/>
      <c r="B153" s="264"/>
      <c r="C153" s="264"/>
      <c r="D153" s="107" t="s">
        <v>250</v>
      </c>
      <c r="E153" s="347"/>
      <c r="F153" s="372">
        <f ca="1">F151/F128</f>
        <v>7274.90445001906</v>
      </c>
      <c r="G153" s="347"/>
      <c r="H153" s="322"/>
      <c r="I153" s="322"/>
      <c r="J153" s="322"/>
      <c r="K153" s="322"/>
      <c r="L153" s="322"/>
      <c r="M153" s="352"/>
      <c r="N153" s="352"/>
    </row>
    <row r="154" s="262" customFormat="1" spans="1:18">
      <c r="A154" s="263"/>
      <c r="B154" s="264"/>
      <c r="C154" s="264"/>
      <c r="D154" s="322"/>
      <c r="E154" s="347"/>
      <c r="F154" s="347"/>
      <c r="G154" s="347"/>
      <c r="H154" s="322"/>
      <c r="I154" s="322"/>
      <c r="J154" s="322"/>
      <c r="K154" s="322"/>
      <c r="L154" s="322"/>
      <c r="M154" s="352"/>
      <c r="N154" s="352"/>
    </row>
    <row r="155" s="262" customFormat="1" ht="20.4" spans="1:18">
      <c r="A155" s="373" t="s">
        <v>251</v>
      </c>
      <c r="B155" s="374"/>
      <c r="C155" s="374"/>
      <c r="D155" s="375"/>
      <c r="E155" s="376"/>
      <c r="F155" s="376"/>
      <c r="G155" s="376"/>
      <c r="H155" s="375"/>
      <c r="I155" s="375"/>
      <c r="J155" s="375"/>
      <c r="K155" s="375"/>
      <c r="L155" s="375"/>
      <c r="M155" s="377"/>
      <c r="N155" s="377"/>
      <c r="O155" s="378"/>
      <c r="P155" s="378"/>
      <c r="Q155" s="378"/>
    </row>
    <row r="156" s="262" customFormat="1" outlineLevel="1" spans="1:18">
      <c r="A156" s="263"/>
      <c r="B156" s="264"/>
      <c r="C156" s="264"/>
      <c r="D156" s="322"/>
      <c r="E156" s="347"/>
      <c r="F156" s="347"/>
      <c r="G156" s="347"/>
      <c r="H156" s="322"/>
      <c r="I156" s="322"/>
      <c r="J156" s="322"/>
      <c r="K156" s="322"/>
      <c r="L156" s="322"/>
      <c r="M156" s="352"/>
      <c r="N156" s="352"/>
    </row>
    <row r="157" s="262" customFormat="1" ht="18" outlineLevel="1" spans="1:18">
      <c r="A157" s="263"/>
      <c r="B157" s="264"/>
      <c r="C157" s="264"/>
      <c r="D157" s="379"/>
      <c r="E157" s="380"/>
      <c r="F157" s="380"/>
      <c r="G157" s="347"/>
      <c r="H157" s="322"/>
      <c r="I157" s="381" t="s">
        <v>252</v>
      </c>
      <c r="J157" s="382"/>
      <c r="K157" s="382"/>
      <c r="L157" s="382"/>
      <c r="M157" s="383"/>
      <c r="N157" s="383"/>
      <c r="O157" s="384"/>
      <c r="P157" s="384"/>
    </row>
    <row r="158" s="262" customFormat="1" outlineLevel="1" spans="1:18">
      <c r="A158" s="263"/>
      <c r="B158" s="264"/>
      <c r="C158" s="264"/>
      <c r="D158" s="379"/>
      <c r="E158" s="380"/>
      <c r="F158" s="380"/>
      <c r="G158" s="347"/>
      <c r="H158" s="322"/>
      <c r="I158" s="322"/>
      <c r="J158" s="322"/>
      <c r="K158" s="322"/>
      <c r="L158" s="322"/>
      <c r="M158" s="352"/>
      <c r="N158" s="352"/>
    </row>
    <row r="159" s="262" customFormat="1" outlineLevel="1" spans="1:18">
      <c r="A159" s="263"/>
      <c r="B159" s="264"/>
      <c r="C159" s="264"/>
      <c r="D159" s="379"/>
      <c r="E159" s="380"/>
      <c r="F159" s="380"/>
      <c r="G159" s="347"/>
      <c r="I159" s="347"/>
      <c r="J159" s="347"/>
      <c r="K159" s="347"/>
      <c r="L159" s="347"/>
      <c r="M159" s="347"/>
      <c r="N159" s="347"/>
      <c r="O159" s="347"/>
    </row>
    <row r="160" s="262" customFormat="1" outlineLevel="1" spans="1:18">
      <c r="A160" s="263"/>
      <c r="B160" s="264"/>
      <c r="C160" s="264"/>
      <c r="D160" s="379"/>
      <c r="E160" s="380"/>
      <c r="F160" s="380"/>
      <c r="G160" s="347"/>
      <c r="H160" s="322"/>
      <c r="I160" s="347"/>
      <c r="J160" s="347"/>
      <c r="K160" s="385" t="s">
        <v>253</v>
      </c>
      <c r="L160" s="385"/>
      <c r="M160" s="385"/>
      <c r="N160" s="385"/>
      <c r="O160" s="385"/>
    </row>
    <row r="161" s="262" customFormat="1" outlineLevel="1" spans="1:16">
      <c r="A161" s="263"/>
      <c r="B161" s="264"/>
      <c r="C161" s="264"/>
      <c r="D161" s="379"/>
      <c r="E161" s="380"/>
      <c r="F161" s="380"/>
      <c r="G161" s="347"/>
      <c r="H161" s="322"/>
      <c r="I161" s="347"/>
      <c r="J161" s="386">
        <f ca="1">F153</f>
        <v>7274.90445001906</v>
      </c>
      <c r="K161" s="387">
        <v>20</v>
      </c>
      <c r="L161" s="387">
        <v>25</v>
      </c>
      <c r="M161" s="387">
        <f>F125</f>
        <v>26.4223243855866</v>
      </c>
      <c r="N161" s="387">
        <v>30</v>
      </c>
      <c r="O161" s="387">
        <v>35</v>
      </c>
      <c r="P161" s="388"/>
    </row>
    <row r="162" s="262" customFormat="1" outlineLevel="1" spans="1:16">
      <c r="A162" s="263"/>
      <c r="B162" s="264"/>
      <c r="C162" s="264"/>
      <c r="D162" s="379"/>
      <c r="E162" s="380"/>
      <c r="F162" s="380"/>
      <c r="G162" s="347"/>
      <c r="H162" s="322"/>
      <c r="I162" s="389" t="s">
        <v>223</v>
      </c>
      <c r="J162" s="346">
        <f>J163-1%</f>
        <v>0.0571</v>
      </c>
      <c r="K162" s="390">
        <f ca="1" t="dataTable" ref="K162:O166" dt2D="1" dtr="1" r1="F125" r2="F127"/>
        <v>15402.1055523491</v>
      </c>
      <c r="L162" s="322">
        <v>15996.2977970083</v>
      </c>
      <c r="M162" s="347">
        <v>15996.2977970083</v>
      </c>
      <c r="N162" s="322">
        <v>16590.4900416674</v>
      </c>
      <c r="O162" s="322">
        <v>17184.6822863266</v>
      </c>
    </row>
    <row r="163" s="262" customFormat="1" outlineLevel="1" spans="1:16">
      <c r="A163" s="263"/>
      <c r="B163" s="264"/>
      <c r="C163" s="264"/>
      <c r="D163" s="379"/>
      <c r="E163" s="380"/>
      <c r="F163" s="380"/>
      <c r="G163" s="347"/>
      <c r="H163" s="322"/>
      <c r="I163" s="389"/>
      <c r="J163" s="346">
        <f>J164-1%</f>
        <v>0.0671</v>
      </c>
      <c r="K163" s="391">
        <v>7968.51551004572</v>
      </c>
      <c r="L163" s="379">
        <v>8540.73097089396</v>
      </c>
      <c r="M163" s="379">
        <v>8540.73097089396</v>
      </c>
      <c r="N163" s="379">
        <v>9112.94643174221</v>
      </c>
      <c r="O163" s="322">
        <v>9685.16189259045</v>
      </c>
    </row>
    <row r="164" s="262" customFormat="1" outlineLevel="1" spans="1:16">
      <c r="A164" s="263"/>
      <c r="B164" s="264"/>
      <c r="C164" s="264"/>
      <c r="D164" s="379"/>
      <c r="E164" s="380"/>
      <c r="F164" s="380"/>
      <c r="G164" s="347"/>
      <c r="H164" s="322"/>
      <c r="I164" s="389"/>
      <c r="J164" s="346">
        <v>0.0771</v>
      </c>
      <c r="K164" s="391">
        <v>5955.20253917878</v>
      </c>
      <c r="L164" s="379">
        <v>6506.44779603102</v>
      </c>
      <c r="M164" s="392">
        <v>6506.44779603102</v>
      </c>
      <c r="N164" s="379">
        <v>7057.69305288325</v>
      </c>
      <c r="O164" s="322">
        <v>7608.93830973549</v>
      </c>
    </row>
    <row r="165" s="262" customFormat="1" outlineLevel="1" spans="1:16">
      <c r="A165" s="263"/>
      <c r="B165" s="264"/>
      <c r="C165" s="264"/>
      <c r="D165" s="379"/>
      <c r="E165" s="380"/>
      <c r="F165" s="380"/>
      <c r="G165" s="347"/>
      <c r="H165" s="322"/>
      <c r="I165" s="389"/>
      <c r="J165" s="346">
        <f>J164+1%</f>
        <v>0.0871</v>
      </c>
      <c r="K165" s="391">
        <v>4982.43060272213</v>
      </c>
      <c r="L165" s="379">
        <v>5513.65741944593</v>
      </c>
      <c r="M165" s="379">
        <v>5513.65741944593</v>
      </c>
      <c r="N165" s="379">
        <v>6044.88423616973</v>
      </c>
      <c r="O165" s="322">
        <v>6576.11105289353</v>
      </c>
    </row>
    <row r="166" s="262" customFormat="1" ht="19" customHeight="1" outlineLevel="1" spans="1:16">
      <c r="A166" s="263"/>
      <c r="B166" s="264"/>
      <c r="C166" s="264"/>
      <c r="D166" s="379"/>
      <c r="E166" s="380"/>
      <c r="F166" s="380"/>
      <c r="G166" s="347"/>
      <c r="H166" s="322"/>
      <c r="I166" s="389"/>
      <c r="J166" s="346">
        <f>J165+1%</f>
        <v>0.0971</v>
      </c>
      <c r="K166" s="391">
        <v>4389.80219692762</v>
      </c>
      <c r="L166" s="322">
        <v>4901.91097250801</v>
      </c>
      <c r="M166" s="322">
        <v>4901.91097250801</v>
      </c>
      <c r="N166" s="322">
        <v>5414.0197480884</v>
      </c>
      <c r="O166" s="322">
        <v>5926.12852366879</v>
      </c>
    </row>
    <row r="167" s="262" customFormat="1" outlineLevel="1" spans="1:16">
      <c r="A167" s="263"/>
      <c r="B167" s="264"/>
      <c r="C167" s="264"/>
      <c r="D167" s="379"/>
      <c r="E167" s="380"/>
      <c r="F167" s="380"/>
      <c r="G167" s="347"/>
      <c r="H167" s="322"/>
      <c r="I167" s="389"/>
      <c r="J167" s="347"/>
      <c r="K167" s="322"/>
      <c r="L167" s="322"/>
      <c r="M167" s="322"/>
      <c r="N167" s="322"/>
      <c r="O167" s="322"/>
    </row>
    <row r="168" s="262" customFormat="1" outlineLevel="1" spans="1:16">
      <c r="A168" s="263"/>
      <c r="B168" s="264"/>
      <c r="C168" s="264"/>
      <c r="D168" s="379"/>
      <c r="E168" s="380"/>
      <c r="F168" s="380"/>
      <c r="G168" s="347"/>
      <c r="H168" s="322"/>
      <c r="I168" s="322"/>
      <c r="J168" s="322"/>
      <c r="K168" s="322"/>
      <c r="L168" s="322"/>
      <c r="M168" s="322"/>
      <c r="N168" s="322"/>
      <c r="O168" s="347"/>
    </row>
    <row r="169" s="262" customFormat="1" outlineLevel="1" spans="1:16">
      <c r="A169" s="263"/>
      <c r="B169" s="264"/>
      <c r="C169" s="351"/>
      <c r="D169" s="380"/>
      <c r="E169" s="380"/>
      <c r="F169" s="380"/>
      <c r="G169" s="347"/>
      <c r="H169" s="79"/>
      <c r="I169" s="322"/>
      <c r="J169" s="322"/>
      <c r="K169" s="322"/>
      <c r="L169" s="322"/>
      <c r="M169" s="322"/>
      <c r="N169" s="322"/>
      <c r="O169" s="347"/>
    </row>
    <row r="170" s="262" customFormat="1" outlineLevel="1" spans="1:16">
      <c r="A170" s="263"/>
      <c r="B170" s="264"/>
      <c r="C170" s="264"/>
      <c r="D170" s="379"/>
      <c r="E170" s="380"/>
      <c r="F170" s="380"/>
      <c r="G170" s="347"/>
      <c r="H170" s="322"/>
      <c r="I170" s="393"/>
      <c r="J170" s="393"/>
      <c r="K170" s="394" t="s">
        <v>254</v>
      </c>
      <c r="L170" s="394"/>
      <c r="M170" s="394"/>
      <c r="N170" s="394"/>
      <c r="O170" s="394"/>
    </row>
    <row r="171" s="262" customFormat="1" outlineLevel="1" spans="1:16">
      <c r="A171" s="263"/>
      <c r="B171" s="264"/>
      <c r="C171" s="264"/>
      <c r="D171" s="379"/>
      <c r="E171" s="380"/>
      <c r="F171" s="380"/>
      <c r="G171" s="347"/>
      <c r="H171" s="322"/>
      <c r="I171" s="393"/>
      <c r="J171" s="393"/>
      <c r="K171" s="395">
        <f>$F$126-0.02</f>
        <v>0.03</v>
      </c>
      <c r="L171" s="395">
        <f>$F$126-0.01</f>
        <v>0.04</v>
      </c>
      <c r="M171" s="395">
        <f>$F$126</f>
        <v>0.05</v>
      </c>
      <c r="N171" s="395">
        <f>$F$126+0.01</f>
        <v>0.06</v>
      </c>
      <c r="O171" s="395">
        <f>$F$126+0.02</f>
        <v>0.07</v>
      </c>
      <c r="P171" s="388"/>
    </row>
    <row r="172" s="262" customFormat="1" outlineLevel="1" spans="1:16">
      <c r="A172" s="263"/>
      <c r="B172" s="264"/>
      <c r="C172" s="264"/>
      <c r="D172" s="379"/>
      <c r="E172" s="380"/>
      <c r="F172" s="380"/>
      <c r="G172" s="347"/>
      <c r="H172" s="322"/>
      <c r="I172" s="396" t="s">
        <v>223</v>
      </c>
      <c r="J172" s="397">
        <f>J173-1%</f>
        <v>0.0531226538728181</v>
      </c>
      <c r="K172" s="398">
        <f ca="1" t="shared" ref="K172:O172" si="23">($I$144+$J$144/(1+$J172)^(($J$132-$I$132)/365)+$K$144/(1+$J172)^(($K$132-$I$132)/365)+$L$144/(1+$J172)^(($L$132-$I$132)/365)+$M$144/(1+$J172)^(($M$132-$I$132)/365)+(($Q$132+($M$142*(1+K$171)/($J172-K$171)))/2)/(1+$J172)^(($N$132-$I$132)/365)+$F$148+$F$149+$F$150)/$F$128</f>
        <v>7739.21170226737</v>
      </c>
      <c r="L172" s="399">
        <f ca="1" t="shared" si="23"/>
        <v>10649.523250615</v>
      </c>
      <c r="M172" s="393">
        <f ca="1" t="shared" si="23"/>
        <v>32199.8228788528</v>
      </c>
      <c r="N172" s="399">
        <f ca="1" t="shared" si="23"/>
        <v>-8920.27165283925</v>
      </c>
      <c r="O172" s="399">
        <f ca="1" t="shared" si="23"/>
        <v>-1312.21399540734</v>
      </c>
    </row>
    <row r="173" s="262" customFormat="1" outlineLevel="1" spans="1:16">
      <c r="A173" s="263"/>
      <c r="B173" s="264"/>
      <c r="C173" s="264"/>
      <c r="D173" s="379"/>
      <c r="E173" s="380"/>
      <c r="F173" s="380"/>
      <c r="G173" s="347"/>
      <c r="H173" s="322"/>
      <c r="I173" s="396"/>
      <c r="J173" s="397">
        <f>J174-1%</f>
        <v>0.0631226538728181</v>
      </c>
      <c r="K173" s="400">
        <f ca="1" t="shared" ref="K173:O173" si="24">($I$144+$J$144/(1+$J173)^(($J$132-$I$132)/365)+$K$144/(1+$J173)^(($K$132-$I$132)/365)+$L$144/(1+$J173)^(($L$132-$I$132)/365)+$M$144/(1+$J173)^(($M$132-$I$132)/365)+(($Q$132+($M$142*(1+K$171)/($J173-K$171)))/2)/(1+$J173)^(($N$132-$I$132)/365)+$F$148+$F$149+$F$150)/$F$128</f>
        <v>6381.39900633448</v>
      </c>
      <c r="L173" s="401">
        <f ca="1" t="shared" si="24"/>
        <v>7502.15619384725</v>
      </c>
      <c r="M173" s="401">
        <f ca="1" t="shared" si="24"/>
        <v>10331.0391894091</v>
      </c>
      <c r="N173" s="401">
        <f ca="1" t="shared" si="24"/>
        <v>31278.3759795877</v>
      </c>
      <c r="O173" s="399">
        <f ca="1" t="shared" si="24"/>
        <v>-8691.20606142874</v>
      </c>
    </row>
    <row r="174" s="262" customFormat="1" outlineLevel="1" spans="1:16">
      <c r="A174" s="263"/>
      <c r="B174" s="264"/>
      <c r="C174" s="264"/>
      <c r="D174" s="379"/>
      <c r="E174" s="380"/>
      <c r="F174" s="380"/>
      <c r="G174" s="347"/>
      <c r="H174" s="322"/>
      <c r="I174" s="396"/>
      <c r="J174" s="397">
        <f>F127</f>
        <v>0.0731226538728181</v>
      </c>
      <c r="K174" s="400">
        <f ca="1" t="shared" ref="K174:O174" si="25">($I$144+$J$144/(1+$J174)^(($J$132-$I$132)/365)+$K$144/(1+$J174)^(($K$132-$I$132)/365)+$L$144/(1+$J174)^(($L$132-$I$132)/365)+$M$144/(1+$J174)^(($M$132-$I$132)/365)+(($Q$132+($M$142*(1+K$171)/($J174-K$171)))/2)/(1+$J174)^(($N$132-$I$132)/365)+$F$148+$F$149+$F$150)/$F$128</f>
        <v>5600.91751931724</v>
      </c>
      <c r="L174" s="401">
        <f ca="1" t="shared" si="25"/>
        <v>6185.21581459973</v>
      </c>
      <c r="M174" s="402">
        <f ca="1" t="shared" si="25"/>
        <v>7274.90445001906</v>
      </c>
      <c r="N174" s="401">
        <f ca="1" t="shared" si="25"/>
        <v>10025.3678738011</v>
      </c>
      <c r="O174" s="399">
        <f ca="1" t="shared" si="25"/>
        <v>30392.0227539858</v>
      </c>
    </row>
    <row r="175" s="262" customFormat="1" outlineLevel="1" spans="1:16">
      <c r="A175" s="263"/>
      <c r="B175" s="264"/>
      <c r="C175" s="264"/>
      <c r="D175" s="379"/>
      <c r="E175" s="380"/>
      <c r="F175" s="380"/>
      <c r="G175" s="347"/>
      <c r="H175" s="322"/>
      <c r="I175" s="396"/>
      <c r="J175" s="397">
        <f>J174+1%</f>
        <v>0.0831226538728181</v>
      </c>
      <c r="K175" s="400">
        <f ca="1" t="shared" ref="K175:O175" si="26">($I$144+$J$144/(1+$J175)^(($J$132-$I$132)/365)+$K$144/(1+$J175)^(($K$132-$I$132)/365)+$L$144/(1+$J175)^(($L$132-$I$132)/365)+$M$144/(1+$J175)^(($M$132-$I$132)/365)+(($Q$132+($M$142*(1+K$171)/($J175-K$171)))/2)/(1+$J175)^(($N$132-$I$132)/365)+$F$148+$F$149+$F$150)/$F$128</f>
        <v>5074.64205074175</v>
      </c>
      <c r="L175" s="401">
        <f ca="1" t="shared" si="26"/>
        <v>5428.95262760162</v>
      </c>
      <c r="M175" s="401">
        <f ca="1" t="shared" si="26"/>
        <v>5997.20172413466</v>
      </c>
      <c r="N175" s="401">
        <f ca="1" t="shared" si="26"/>
        <v>7056.95936433105</v>
      </c>
      <c r="O175" s="399">
        <f ca="1" t="shared" si="26"/>
        <v>9731.87450310561</v>
      </c>
    </row>
    <row r="176" s="262" customFormat="1" outlineLevel="1" spans="1:16">
      <c r="A176" s="263"/>
      <c r="B176" s="264"/>
      <c r="C176" s="264"/>
      <c r="D176" s="379"/>
      <c r="E176" s="380"/>
      <c r="F176" s="380"/>
      <c r="G176" s="347"/>
      <c r="H176" s="322"/>
      <c r="I176" s="396"/>
      <c r="J176" s="397">
        <f>J175+1%</f>
        <v>0.0931226538728181</v>
      </c>
      <c r="K176" s="400">
        <f ca="1" t="shared" ref="K176:O176" si="27">($I$144+$J$144/(1+$J176)^(($J$132-$I$132)/365)+$K$144/(1+$J176)^(($K$132-$I$132)/365)+$L$144/(1+$J176)^(($L$132-$I$132)/365)+$M$144/(1+$J176)^(($M$132-$I$132)/365)+(($Q$132+($M$142*(1+K$171)/($J176-K$171)))/2)/(1+$J176)^(($N$132-$I$132)/365)+$F$148+$F$149+$F$150)/$F$128</f>
        <v>4684.03056406714</v>
      </c>
      <c r="L176" s="399">
        <f ca="1" t="shared" si="27"/>
        <v>4919.49192338195</v>
      </c>
      <c r="M176" s="399">
        <f ca="1" t="shared" si="27"/>
        <v>5264.15869477983</v>
      </c>
      <c r="N176" s="399">
        <f ca="1" t="shared" si="27"/>
        <v>5816.94089842617</v>
      </c>
      <c r="O176" s="399">
        <f ca="1" t="shared" si="27"/>
        <v>6847.85351624279</v>
      </c>
    </row>
    <row r="177" s="262" customFormat="1" outlineLevel="1" spans="1:15">
      <c r="A177" s="263"/>
      <c r="B177" s="264"/>
      <c r="C177" s="264"/>
      <c r="D177" s="379"/>
      <c r="E177" s="380"/>
      <c r="F177" s="380"/>
      <c r="G177" s="347"/>
      <c r="H177" s="322"/>
      <c r="I177" s="396"/>
      <c r="J177" s="393"/>
      <c r="K177" s="399"/>
      <c r="L177" s="399"/>
      <c r="M177" s="399"/>
      <c r="N177" s="399"/>
      <c r="O177" s="399"/>
    </row>
    <row r="178" s="262" customFormat="1" outlineLevel="1" spans="1:15">
      <c r="A178" s="263"/>
      <c r="B178" s="264"/>
      <c r="C178" s="264"/>
      <c r="D178" s="379"/>
      <c r="E178" s="380"/>
      <c r="F178" s="380"/>
      <c r="G178" s="347"/>
      <c r="H178" s="322"/>
      <c r="I178" s="79"/>
      <c r="J178" s="322"/>
      <c r="K178" s="322"/>
      <c r="L178" s="322"/>
      <c r="M178" s="352"/>
      <c r="N178" s="352"/>
    </row>
    <row r="179" s="262" customFormat="1" outlineLevel="1" spans="1:15">
      <c r="A179" s="263"/>
      <c r="B179" s="264"/>
      <c r="C179" s="264"/>
      <c r="D179" s="322"/>
      <c r="E179" s="347"/>
      <c r="F179" s="347"/>
      <c r="G179" s="347"/>
      <c r="H179" s="322"/>
      <c r="I179" s="79"/>
      <c r="J179" s="322"/>
      <c r="K179" s="322"/>
      <c r="L179" s="322"/>
      <c r="M179" s="352"/>
      <c r="N179" s="352"/>
    </row>
    <row r="180" s="262" customFormat="1" spans="1:15">
      <c r="A180" s="263"/>
      <c r="B180" s="264"/>
      <c r="C180" s="264"/>
      <c r="D180" s="322"/>
      <c r="E180" s="347"/>
      <c r="F180" s="347"/>
      <c r="G180" s="347"/>
      <c r="H180" s="322"/>
      <c r="I180" s="322"/>
      <c r="J180" s="322"/>
      <c r="K180" s="322"/>
      <c r="L180" s="322"/>
      <c r="M180" s="352"/>
      <c r="N180" s="352"/>
    </row>
    <row r="181" s="262" customFormat="1" spans="1:15">
      <c r="A181" s="263"/>
      <c r="B181" s="264"/>
      <c r="C181" s="264"/>
      <c r="D181" s="322"/>
      <c r="E181" s="347"/>
      <c r="F181" s="347"/>
      <c r="G181" s="347"/>
      <c r="H181" s="322"/>
      <c r="I181" s="322"/>
      <c r="J181" s="322"/>
      <c r="K181" s="322"/>
      <c r="L181" s="322"/>
      <c r="M181" s="352"/>
      <c r="N181" s="352"/>
    </row>
    <row r="182" s="262" customFormat="1" spans="1:15">
      <c r="A182" s="263"/>
      <c r="B182" s="264"/>
      <c r="C182" s="264"/>
      <c r="D182" s="322"/>
      <c r="E182" s="347"/>
      <c r="F182" s="347"/>
      <c r="G182" s="347"/>
      <c r="H182" s="322"/>
      <c r="I182" s="322"/>
      <c r="J182" s="322"/>
      <c r="K182" s="322"/>
      <c r="L182" s="322"/>
      <c r="M182" s="352"/>
      <c r="N182" s="352"/>
    </row>
    <row r="183" s="262" customFormat="1" spans="1:15">
      <c r="A183" s="263"/>
      <c r="B183" s="264"/>
      <c r="C183" s="264"/>
      <c r="D183" s="322"/>
      <c r="E183" s="347"/>
      <c r="F183" s="347"/>
      <c r="G183" s="347"/>
      <c r="H183" s="322"/>
      <c r="I183" s="322"/>
      <c r="J183" s="322"/>
      <c r="K183" s="322"/>
      <c r="L183" s="322"/>
      <c r="M183" s="352"/>
      <c r="N183" s="352"/>
    </row>
    <row r="184" s="262" customFormat="1" spans="1:15">
      <c r="A184" s="263"/>
      <c r="B184" s="264"/>
      <c r="C184" s="264"/>
      <c r="D184" s="322"/>
      <c r="E184" s="347"/>
      <c r="F184" s="347"/>
      <c r="G184" s="347"/>
      <c r="H184" s="322"/>
      <c r="I184" s="322"/>
      <c r="J184" s="322"/>
      <c r="K184" s="322"/>
      <c r="L184" s="322"/>
      <c r="M184" s="352"/>
      <c r="N184" s="352"/>
    </row>
    <row r="185" s="262" customFormat="1" spans="1:15">
      <c r="A185" s="263"/>
      <c r="B185" s="264"/>
      <c r="C185" s="264"/>
      <c r="D185" s="322"/>
      <c r="E185" s="347"/>
      <c r="F185" s="347"/>
      <c r="G185" s="347"/>
      <c r="H185" s="322"/>
      <c r="I185" s="322"/>
      <c r="J185" s="322"/>
      <c r="K185" s="322"/>
      <c r="L185" s="322"/>
      <c r="M185" s="352"/>
      <c r="N185" s="352"/>
    </row>
    <row r="186" s="262" customFormat="1" spans="1:15">
      <c r="A186" s="263"/>
      <c r="B186" s="264"/>
      <c r="C186" s="264"/>
      <c r="D186" s="322"/>
      <c r="E186" s="347"/>
      <c r="F186" s="347"/>
      <c r="G186" s="347"/>
      <c r="H186" s="322"/>
      <c r="I186" s="322"/>
      <c r="J186" s="322"/>
      <c r="K186" s="322"/>
      <c r="L186" s="322"/>
      <c r="M186" s="352"/>
      <c r="N186" s="352"/>
    </row>
    <row r="187" s="262" customFormat="1" spans="1:15">
      <c r="A187" s="263"/>
      <c r="B187" s="264"/>
      <c r="C187" s="264"/>
      <c r="D187" s="322"/>
      <c r="E187" s="347"/>
      <c r="F187" s="347"/>
      <c r="G187" s="347"/>
      <c r="H187" s="322"/>
      <c r="I187" s="322"/>
      <c r="J187" s="322"/>
      <c r="K187" s="322"/>
      <c r="L187" s="322"/>
      <c r="M187" s="352"/>
      <c r="N187" s="352"/>
    </row>
    <row r="188" s="262" customFormat="1" spans="1:15">
      <c r="A188" s="263"/>
      <c r="B188" s="264"/>
      <c r="C188" s="264"/>
      <c r="D188" s="322"/>
      <c r="E188" s="347"/>
      <c r="F188" s="347"/>
      <c r="G188" s="347"/>
      <c r="H188" s="322"/>
      <c r="I188" s="322"/>
      <c r="J188" s="322"/>
      <c r="K188" s="322"/>
      <c r="L188" s="322"/>
      <c r="M188" s="352"/>
      <c r="N188" s="352"/>
    </row>
    <row r="189" s="262" customFormat="1" spans="1:15">
      <c r="A189" s="263"/>
      <c r="B189" s="264"/>
      <c r="C189" s="351"/>
      <c r="D189" s="347"/>
      <c r="E189" s="347"/>
      <c r="F189" s="347"/>
      <c r="G189" s="347"/>
      <c r="H189" s="322"/>
      <c r="I189" s="322"/>
      <c r="J189" s="322"/>
      <c r="K189" s="322"/>
      <c r="L189" s="322"/>
      <c r="M189" s="352"/>
      <c r="N189" s="352"/>
    </row>
    <row r="190" s="262" customFormat="1" spans="1:15">
      <c r="A190" s="263"/>
      <c r="B190" s="264"/>
      <c r="C190" s="264"/>
      <c r="D190" s="322"/>
      <c r="E190" s="347"/>
      <c r="F190" s="347"/>
      <c r="G190" s="347"/>
      <c r="H190" s="322"/>
      <c r="I190" s="322"/>
      <c r="J190" s="322"/>
      <c r="K190" s="322"/>
      <c r="L190" s="322"/>
      <c r="M190" s="352"/>
      <c r="N190" s="352"/>
    </row>
    <row r="191" s="262" customFormat="1" spans="1:15">
      <c r="A191" s="263"/>
      <c r="B191" s="264"/>
      <c r="C191" s="264"/>
      <c r="D191" s="322"/>
      <c r="E191" s="347"/>
      <c r="F191" s="347"/>
      <c r="G191" s="347"/>
      <c r="H191" s="322"/>
      <c r="I191" s="322"/>
      <c r="J191" s="322"/>
      <c r="K191" s="322"/>
      <c r="L191" s="322"/>
      <c r="M191" s="352"/>
      <c r="N191" s="352"/>
    </row>
    <row r="192" s="262" customFormat="1" spans="1:15">
      <c r="A192" s="263"/>
      <c r="B192" s="264"/>
      <c r="C192" s="264"/>
      <c r="D192" s="322"/>
      <c r="E192" s="347"/>
      <c r="F192" s="347"/>
      <c r="G192" s="347"/>
      <c r="H192" s="322"/>
      <c r="I192" s="322"/>
      <c r="J192" s="322"/>
      <c r="K192" s="322"/>
      <c r="L192" s="322"/>
      <c r="M192" s="352"/>
      <c r="N192" s="352"/>
    </row>
    <row r="193" s="262" customFormat="1" spans="1:14">
      <c r="A193" s="263"/>
      <c r="B193" s="264"/>
      <c r="C193" s="264"/>
      <c r="D193" s="322"/>
      <c r="E193" s="347"/>
      <c r="F193" s="347"/>
      <c r="G193" s="347"/>
      <c r="H193" s="322"/>
      <c r="I193" s="322"/>
      <c r="J193" s="322"/>
      <c r="K193" s="322"/>
      <c r="L193" s="322"/>
      <c r="M193" s="352"/>
      <c r="N193" s="352"/>
    </row>
    <row r="194" s="262" customFormat="1" spans="1:14">
      <c r="A194" s="263"/>
      <c r="B194" s="264"/>
      <c r="C194" s="264"/>
      <c r="D194" s="322"/>
      <c r="E194" s="347"/>
      <c r="F194" s="347"/>
      <c r="G194" s="347"/>
      <c r="H194" s="322"/>
      <c r="I194" s="322"/>
      <c r="J194" s="322"/>
      <c r="K194" s="322"/>
      <c r="L194" s="322"/>
      <c r="M194" s="352"/>
      <c r="N194" s="352"/>
    </row>
    <row r="195" s="262" customFormat="1" spans="1:14">
      <c r="A195" s="263"/>
      <c r="B195" s="264"/>
      <c r="C195" s="264"/>
      <c r="D195" s="322"/>
      <c r="E195" s="347"/>
      <c r="F195" s="347"/>
      <c r="G195" s="347"/>
      <c r="H195" s="322"/>
      <c r="I195" s="322"/>
      <c r="J195" s="322"/>
      <c r="K195" s="322"/>
      <c r="L195" s="322"/>
      <c r="M195" s="352"/>
      <c r="N195" s="352"/>
    </row>
    <row r="196" s="262" customFormat="1" spans="1:14">
      <c r="A196" s="263"/>
      <c r="B196" s="264"/>
      <c r="C196" s="264"/>
      <c r="D196" s="322"/>
      <c r="E196" s="347"/>
      <c r="F196" s="347"/>
      <c r="G196" s="347"/>
      <c r="H196" s="322"/>
      <c r="I196" s="322"/>
      <c r="J196" s="322"/>
      <c r="K196" s="322"/>
      <c r="L196" s="322"/>
      <c r="M196" s="352"/>
      <c r="N196" s="352"/>
    </row>
    <row r="197" s="262" customFormat="1" spans="1:14">
      <c r="A197" s="263"/>
      <c r="B197" s="264"/>
      <c r="C197" s="264"/>
      <c r="D197" s="322"/>
      <c r="E197" s="347"/>
      <c r="F197" s="347"/>
      <c r="G197" s="347"/>
      <c r="H197" s="322"/>
      <c r="I197" s="322"/>
      <c r="J197" s="322"/>
      <c r="K197" s="322"/>
      <c r="L197" s="322"/>
      <c r="M197" s="352"/>
      <c r="N197" s="352"/>
    </row>
    <row r="198" s="262" customFormat="1" spans="1:14">
      <c r="A198" s="263"/>
      <c r="B198" s="264"/>
      <c r="C198" s="264"/>
      <c r="D198" s="322"/>
      <c r="E198" s="347"/>
      <c r="F198" s="347"/>
      <c r="G198" s="347"/>
      <c r="H198" s="322"/>
      <c r="I198" s="322"/>
      <c r="J198" s="322"/>
      <c r="K198" s="322"/>
      <c r="L198" s="322"/>
      <c r="M198" s="352"/>
      <c r="N198" s="352"/>
    </row>
    <row r="199" s="262" customFormat="1" spans="1:14">
      <c r="A199" s="263"/>
      <c r="B199" s="264"/>
      <c r="C199" s="264"/>
      <c r="D199" s="322"/>
      <c r="E199" s="347"/>
      <c r="F199" s="347"/>
      <c r="G199" s="347"/>
      <c r="H199" s="322"/>
      <c r="I199" s="322"/>
      <c r="J199" s="322"/>
      <c r="K199" s="322"/>
      <c r="L199" s="322"/>
      <c r="M199" s="352"/>
      <c r="N199" s="352"/>
    </row>
    <row r="200" s="262" customFormat="1" spans="1:14">
      <c r="A200" s="263"/>
      <c r="B200" s="264"/>
      <c r="C200" s="264"/>
      <c r="D200" s="322"/>
      <c r="E200" s="347"/>
      <c r="F200" s="347"/>
      <c r="G200" s="347"/>
      <c r="H200" s="322"/>
      <c r="I200" s="322"/>
      <c r="J200" s="322"/>
      <c r="K200" s="322"/>
      <c r="L200" s="322"/>
      <c r="M200" s="352"/>
      <c r="N200" s="352"/>
    </row>
    <row r="201" s="262" customFormat="1" spans="1:14">
      <c r="A201" s="263"/>
      <c r="B201" s="264"/>
      <c r="C201" s="264"/>
      <c r="D201" s="322"/>
      <c r="E201" s="347"/>
      <c r="F201" s="347"/>
      <c r="G201" s="347"/>
      <c r="H201" s="322"/>
      <c r="I201" s="322"/>
      <c r="J201" s="322"/>
      <c r="K201" s="322"/>
      <c r="L201" s="322"/>
      <c r="M201" s="352"/>
      <c r="N201" s="352"/>
    </row>
    <row r="202" s="262" customFormat="1" spans="1:14">
      <c r="A202" s="263"/>
      <c r="B202" s="264"/>
      <c r="C202" s="264"/>
      <c r="D202" s="322"/>
      <c r="E202" s="347"/>
      <c r="F202" s="347"/>
      <c r="G202" s="347"/>
      <c r="H202" s="322"/>
      <c r="I202" s="322"/>
      <c r="J202" s="322"/>
      <c r="K202" s="322"/>
      <c r="L202" s="322"/>
      <c r="M202" s="352"/>
      <c r="N202" s="352"/>
    </row>
    <row r="203" s="262" customFormat="1" spans="1:14">
      <c r="A203" s="263"/>
      <c r="B203" s="264"/>
      <c r="C203" s="264"/>
      <c r="D203" s="322"/>
      <c r="E203" s="347"/>
      <c r="F203" s="347"/>
      <c r="G203" s="347"/>
      <c r="H203" s="322"/>
      <c r="I203" s="322"/>
      <c r="J203" s="322"/>
      <c r="K203" s="322"/>
      <c r="L203" s="322"/>
      <c r="M203" s="352"/>
      <c r="N203" s="352"/>
    </row>
    <row r="204" s="262" customFormat="1" spans="1:14">
      <c r="A204" s="263"/>
      <c r="B204" s="264"/>
      <c r="C204" s="264"/>
      <c r="D204" s="322"/>
      <c r="E204" s="347"/>
      <c r="F204" s="347"/>
      <c r="G204" s="347"/>
      <c r="H204" s="322"/>
      <c r="I204" s="322"/>
      <c r="J204" s="322"/>
      <c r="K204" s="322"/>
      <c r="L204" s="322"/>
      <c r="M204" s="352"/>
      <c r="N204" s="352"/>
    </row>
    <row r="205" s="262" customFormat="1" spans="1:14">
      <c r="A205" s="263"/>
      <c r="B205" s="264"/>
      <c r="C205" s="264"/>
      <c r="D205" s="322"/>
      <c r="E205" s="347"/>
      <c r="F205" s="347"/>
      <c r="G205" s="347"/>
      <c r="H205" s="322"/>
      <c r="I205" s="322"/>
      <c r="J205" s="322"/>
      <c r="K205" s="322"/>
      <c r="L205" s="322"/>
      <c r="M205" s="352"/>
      <c r="N205" s="352"/>
    </row>
    <row r="206" s="262" customFormat="1" spans="1:14">
      <c r="A206" s="263"/>
      <c r="B206" s="264"/>
      <c r="C206" s="264"/>
      <c r="D206" s="322"/>
      <c r="E206" s="347"/>
      <c r="F206" s="347"/>
      <c r="G206" s="347"/>
      <c r="H206" s="322"/>
      <c r="I206" s="322"/>
      <c r="J206" s="322"/>
      <c r="K206" s="322"/>
      <c r="L206" s="322"/>
      <c r="M206" s="352"/>
      <c r="N206" s="352"/>
    </row>
    <row r="207" s="262" customFormat="1" spans="1:14">
      <c r="A207" s="263"/>
      <c r="B207" s="264"/>
      <c r="C207" s="264"/>
      <c r="D207" s="322"/>
      <c r="E207" s="347"/>
      <c r="F207" s="347"/>
      <c r="G207" s="347"/>
      <c r="H207" s="322"/>
      <c r="I207" s="322"/>
      <c r="J207" s="322"/>
      <c r="K207" s="322"/>
      <c r="L207" s="322"/>
      <c r="M207" s="352"/>
      <c r="N207" s="352"/>
    </row>
    <row r="208" s="262" customFormat="1" spans="1:14">
      <c r="A208" s="263"/>
      <c r="B208" s="264"/>
      <c r="C208" s="264"/>
      <c r="D208" s="79"/>
      <c r="E208" s="347"/>
      <c r="F208" s="347"/>
      <c r="G208" s="347"/>
      <c r="H208" s="79"/>
      <c r="I208" s="79"/>
      <c r="J208" s="79"/>
      <c r="K208" s="79"/>
      <c r="L208" s="79"/>
      <c r="M208" s="352"/>
      <c r="N208" s="352"/>
    </row>
    <row r="209" s="262" customFormat="1" spans="1:14">
      <c r="A209" s="263"/>
      <c r="B209" s="264"/>
      <c r="C209" s="264"/>
      <c r="D209" s="79"/>
      <c r="E209" s="347"/>
      <c r="F209" s="347"/>
      <c r="G209" s="347"/>
      <c r="H209" s="79"/>
      <c r="I209" s="79"/>
      <c r="J209" s="79"/>
      <c r="K209" s="79"/>
      <c r="L209" s="79"/>
      <c r="M209" s="352"/>
      <c r="N209" s="352"/>
    </row>
    <row r="210" s="262" customFormat="1" spans="1:14">
      <c r="A210" s="263"/>
      <c r="B210" s="264"/>
      <c r="C210" s="264"/>
      <c r="D210" s="403"/>
      <c r="E210" s="347"/>
      <c r="F210" s="347"/>
      <c r="G210" s="347"/>
      <c r="H210" s="79"/>
      <c r="I210" s="79"/>
      <c r="J210" s="79"/>
      <c r="K210" s="79"/>
      <c r="L210" s="79"/>
      <c r="M210" s="352"/>
      <c r="N210" s="352"/>
    </row>
    <row r="211" s="262" customFormat="1" spans="1:14">
      <c r="A211" s="263"/>
      <c r="B211" s="264"/>
      <c r="C211" s="264"/>
      <c r="D211" s="347"/>
      <c r="E211" s="347"/>
      <c r="F211" s="347"/>
      <c r="G211" s="347"/>
      <c r="H211" s="347"/>
      <c r="I211" s="347"/>
      <c r="J211" s="347"/>
      <c r="K211" s="347"/>
      <c r="L211" s="347"/>
      <c r="M211" s="352"/>
      <c r="N211" s="352"/>
    </row>
  </sheetData>
  <mergeCells count="3">
    <mergeCell ref="K170:O170"/>
    <mergeCell ref="I162:I167"/>
    <mergeCell ref="I172:I177"/>
  </mergeCells>
  <dataValidations count="1">
    <dataValidation type="list" allowBlank="1" showInputMessage="1" showErrorMessage="1" sqref="E6">
      <formula1>Scenarios!$D$5:$D$7</formula1>
    </dataValidation>
  </dataValidations>
  <pageMargins left="0.75" right="0.75" top="1" bottom="1" header="0.5" footer="0.5"/>
  <headerFooter/>
  <ignoredErrors>
    <ignoredError sqref="D65:Q65 A67:Q71 E66:G66 E107:H108 A60:G60 D61:G61 A56:G56 D57:G57 A53:G53 D54:G54 A44:L44 D45:L48 A39:L39 D40:L42 A23:G24 A29:L29 E116:G116" evalError="1"/>
    <ignoredError sqref="E113:G113 J146:Q146 E146:H146 A145:Q145 O144:Q144 E144:H144 A144:C144 A143:Q143 O142:Q142 E115:G115 E121:Q121 A119:Q120 A117:Q117 A87:G87 A72:G75 E141:H142" evalError="1" formula="1"/>
    <ignoredError sqref="M148:Q148 G148:H148 B20:Q20 E19:Q19 A19:C19 M2:Q2 I1:Q1 A148:C148 E114:H114 J112:Q112 D112:H112 A112:B112 A111:G111 E109:G110 I111:Q111 J106:Q106 D106:H106 A106:B106 A95:G95 D99:Q99 A99:B99 B98:Q98 A96:Q96 A92:Q92 A88:G91 A87:G87 A87:G87 A85:Q86 E93:G93 A93:B93 A105:Q105 E100:G101 A61:C61 A58:G58 A59:Q59 A57:C57 A54:C54 A45:C48 A40:C42 H23:L24 A25:L28 A55:Q55 A50:Q52 A49:K49 A43:Q43 B35:Q35 A36:Q38 A34:Q34 A33:K33 A32:L32 A31:K31 A30:G30 A77:Q78 A76:G76 A72:G75 A72:G75 A66:C66 B2:G2 A1:G1 A100:C101 A82:G82 N80:Q80 J148:K148 E148 M82:Q82 A160:H167 A179:Q211 Q170:Q178 A170:H178 A168:Q169 A135:H135 O131:O134 E133:H134 E131:G132 A131:C134 A129:Q130 G124:Q128 Q131 Q123 G123:O123 G122:Q122 N157:Q158 A157:G159 A156:Q156 B155:Q155 A154:Q154 G153:Q153 E153 E152:Q152 G150:Q151 A21:Q21 A22:L22 A113:C115 A107:C110 A62:G64 Q159:Q167 N136:Q141 E136:H140 A136:C142 A122:C123 A123:C123 E122:E128" evalError="1" formula="1" formulaRange="1"/>
    <ignoredError sqref="H62:K62 A15:G17 N14:Q14 D100:D104 H63:L63 J147:K147 E147 A98 A34:Q34 A35 A36:Q38 H115:Q115 H79:L82 M22:Q24 A113:D113 A114:C114 A115:D115 B2:G2" formula="1"/>
    <ignoredError sqref="D109:D110 H83:L83 M25:Q28 A14:L14 E13:Q13 A13:C13 A7:Q12 A18:Q18 A3:Q5 B118:Q118 H91:K91 H89:L90 H88:K88 H87:L87 H84:K84 H104:K104 H100:L103 H76:K76 H72:L75 H64:K64 F6:Q6 A6:C6 M147:Q147 G147:H147 A146:C147 D114 A113:C115 M149:Q149 G149:H149 A20 A21:Q21 A19:D19 H2:L2 A1:H1 A149:C153 I114:Q114 C112:I112 H109:Q111 A105:Q105 A106:I106 H95:K95 A99:C99 A97:Q97 A93:D93 H58:K58 H30:L30 J149:K149 E149:E151 H113:Q113" formula="1" formulaRange="1"/>
    <ignoredError sqref="R113:R114 A67:R71 R109:R111 A94:R94 A60:R60 A56:R56 A53:G53 A44:L44 A29:R29 A39:L39 M80 M79:R79 M81:R81 D136:D140 R1:R6 R18:R22 R105:R106 R160:R211 R136:R140 A65:R65 I148:K148 D148:E148 R92 R85:R86 H93:R93 E102:G103 D61:R61 R59 D57:R57 D54:G54 D45:L48 D40:L42 A22:L22 A23:G24 R77:R78 D66:R66 A2 A102:C103 A79:G81 R80 R82 I160:P167 A170:P178 A129:R134 I135:R135 F123:R123 F124:F128 R124:R128 R122 I136:M140 D123 A124:D128 A83:G83 M83:R83 A84:R84 R25:R28 H87:R90 L91:R91 M100:R103 H72:R75 L76:R76 D6 L95:R95 L58:R58 M30:R30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zoomScale="103" zoomScaleNormal="103" workbookViewId="0">
      <selection activeCell="H11" sqref="H11"/>
    </sheetView>
  </sheetViews>
  <sheetFormatPr defaultColWidth="9.14285714285714" defaultRowHeight="16.8"/>
  <cols>
    <col min="1" max="3" width="1.23214285714286" customWidth="1"/>
    <col min="4" max="4" width="12.5178571428571" customWidth="1"/>
    <col min="5" max="17" width="11.3928571428571" customWidth="1"/>
  </cols>
  <sheetData>
    <row r="1" ht="29" customHeight="1" spans="1:12">
      <c r="A1" s="7" t="s">
        <v>0</v>
      </c>
      <c r="B1" s="8"/>
      <c r="C1" s="8"/>
      <c r="D1" s="8"/>
      <c r="E1" s="8"/>
      <c r="F1" s="8"/>
      <c r="G1" s="245"/>
      <c r="H1" s="245"/>
      <c r="I1" s="245"/>
      <c r="J1" s="245"/>
      <c r="K1" s="245"/>
      <c r="L1" s="245"/>
    </row>
    <row r="2" ht="15" customHeight="1" spans="1:12">
      <c r="A2" s="183" t="s">
        <v>255</v>
      </c>
      <c r="B2" s="14"/>
      <c r="C2" s="14"/>
      <c r="D2" s="14"/>
      <c r="E2" s="8"/>
      <c r="F2" s="8"/>
      <c r="G2" s="245"/>
      <c r="H2" s="245"/>
      <c r="I2" s="245"/>
      <c r="J2" s="245"/>
      <c r="K2" s="245"/>
      <c r="L2" s="246"/>
    </row>
    <row r="4" spans="1:12">
      <c r="D4" s="2"/>
      <c r="E4" s="2"/>
      <c r="F4" s="2"/>
      <c r="G4" s="2"/>
      <c r="H4" s="2"/>
    </row>
    <row r="5" spans="1:12">
      <c r="D5" s="254"/>
      <c r="E5" s="255" t="s">
        <v>256</v>
      </c>
      <c r="F5" s="255" t="s">
        <v>257</v>
      </c>
      <c r="G5" s="255" t="s">
        <v>258</v>
      </c>
      <c r="H5" s="255" t="s">
        <v>259</v>
      </c>
    </row>
    <row r="6" spans="1:12">
      <c r="D6" s="254" t="s">
        <v>260</v>
      </c>
      <c r="E6" s="254">
        <v>800</v>
      </c>
      <c r="F6" s="254">
        <v>5</v>
      </c>
      <c r="G6" s="256">
        <v>0.085</v>
      </c>
      <c r="H6" s="254">
        <f t="shared" ref="H6:H8" si="0">E6/F6</f>
        <v>160</v>
      </c>
    </row>
    <row r="7" spans="1:12">
      <c r="D7" s="254" t="s">
        <v>261</v>
      </c>
      <c r="E7" s="254">
        <v>1259.4</v>
      </c>
      <c r="F7" s="254">
        <v>5</v>
      </c>
      <c r="G7" s="256">
        <v>0.0549</v>
      </c>
      <c r="H7" s="254">
        <f t="shared" si="0"/>
        <v>251.88</v>
      </c>
    </row>
    <row r="8" spans="1:12">
      <c r="D8" s="254" t="s">
        <v>262</v>
      </c>
      <c r="E8" s="254">
        <v>1205.2</v>
      </c>
      <c r="F8" s="254">
        <v>5</v>
      </c>
      <c r="G8" s="256">
        <v>0.0489</v>
      </c>
      <c r="H8" s="254">
        <f t="shared" si="0"/>
        <v>241.04</v>
      </c>
    </row>
    <row r="9" spans="1:12">
      <c r="D9" s="254" t="s">
        <v>263</v>
      </c>
      <c r="E9" s="254">
        <v>4242.3</v>
      </c>
      <c r="F9" s="254"/>
      <c r="G9" s="254"/>
      <c r="H9" s="254"/>
    </row>
    <row r="10" spans="1:12">
      <c r="D10" s="254" t="s">
        <v>264</v>
      </c>
      <c r="E10" s="254">
        <v>3106.6</v>
      </c>
      <c r="F10" s="254"/>
      <c r="G10" s="254"/>
      <c r="H10" s="254"/>
    </row>
    <row r="11" spans="1:12">
      <c r="B11" s="257"/>
      <c r="C11" s="257"/>
      <c r="D11" s="254" t="s">
        <v>265</v>
      </c>
      <c r="E11" s="254">
        <v>3195.5</v>
      </c>
      <c r="F11" s="258"/>
      <c r="G11" s="258"/>
      <c r="H11" s="254">
        <v>260</v>
      </c>
    </row>
    <row r="12" spans="1:12">
      <c r="D12" s="254"/>
      <c r="E12" s="259">
        <f>SUM(E6:E11)</f>
        <v>13809</v>
      </c>
      <c r="F12" s="259"/>
      <c r="G12" s="259"/>
      <c r="H12" s="259">
        <f>SUM(H6:H11)</f>
        <v>912.92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5"/>
  <sheetViews>
    <sheetView showGridLines="0" zoomScale="117" zoomScaleNormal="117" workbookViewId="0">
      <selection activeCell="B3" sqref="B3:L13"/>
    </sheetView>
  </sheetViews>
  <sheetFormatPr defaultColWidth="9.14285714285714" defaultRowHeight="16.8"/>
  <cols>
    <col min="1" max="1" width="1.23214285714286" style="1" customWidth="1"/>
    <col min="2" max="3" width="1.23214285714286" style="5" customWidth="1"/>
    <col min="4" max="4" width="40.6428571428571" style="5" customWidth="1"/>
    <col min="5" max="5" width="12.7857142857143" style="5"/>
    <col min="6" max="6" width="9.14285714285714" style="5"/>
    <col min="7" max="7" width="2.64285714285714" style="5" customWidth="1"/>
    <col min="8" max="11" width="12.6428571428571" style="5" customWidth="1"/>
    <col min="12" max="12" width="12.6428571428571" style="6" customWidth="1"/>
    <col min="13" max="16384" width="12.6428571428571" style="2" customWidth="1"/>
  </cols>
  <sheetData>
    <row r="1" s="1" customFormat="1" ht="36" spans="1:13">
      <c r="A1" s="7" t="s">
        <v>0</v>
      </c>
      <c r="B1" s="8"/>
      <c r="C1" s="8"/>
      <c r="D1" s="8"/>
      <c r="E1" s="8"/>
      <c r="F1" s="8"/>
      <c r="G1" s="245"/>
      <c r="H1" s="245"/>
      <c r="I1" s="245"/>
      <c r="J1" s="245"/>
      <c r="K1" s="245"/>
      <c r="L1" s="245"/>
      <c r="M1" s="2"/>
    </row>
    <row r="2" s="1" customFormat="1" ht="17.6" spans="1:13">
      <c r="A2" s="81" t="s">
        <v>266</v>
      </c>
      <c r="B2" s="14"/>
      <c r="C2" s="14"/>
      <c r="D2" s="14"/>
      <c r="E2" s="8"/>
      <c r="F2" s="8"/>
      <c r="G2" s="245"/>
      <c r="H2" s="245"/>
      <c r="I2" s="245"/>
      <c r="J2" s="245"/>
      <c r="K2" s="245"/>
      <c r="L2" s="246"/>
      <c r="M2" s="2"/>
    </row>
    <row r="3" s="1" customFormat="1" spans="1:13">
      <c r="G3" s="2"/>
      <c r="H3" s="2"/>
      <c r="I3" s="2"/>
      <c r="J3" s="2"/>
      <c r="K3" s="2"/>
      <c r="L3" s="2"/>
      <c r="M3" s="2"/>
    </row>
    <row r="4" s="1" customFormat="1" spans="1:13">
      <c r="B4" s="38"/>
      <c r="C4" s="5"/>
      <c r="D4" s="55" t="s">
        <v>267</v>
      </c>
      <c r="E4" s="38" t="s">
        <v>268</v>
      </c>
      <c r="F4" s="5"/>
      <c r="H4" s="55">
        <f>[1]Model!L2+1</f>
        <v>2026</v>
      </c>
      <c r="I4" s="55">
        <f>[1]Model!M2+1</f>
        <v>2027</v>
      </c>
      <c r="J4" s="55">
        <f>[1]Model!N2+1</f>
        <v>2028</v>
      </c>
      <c r="K4" s="55">
        <f>[1]Model!O2+1</f>
        <v>2029</v>
      </c>
      <c r="L4" s="55">
        <f>[1]Model!P2+1</f>
        <v>2030</v>
      </c>
    </row>
    <row r="5" s="1" customFormat="1" spans="1:13">
      <c r="B5" s="5"/>
      <c r="C5" s="5"/>
      <c r="D5" s="225" t="s">
        <v>138</v>
      </c>
      <c r="E5" s="247">
        <f>AVERAGE(Model!I7:L7)</f>
        <v>0.101465964558434</v>
      </c>
      <c r="F5" s="225"/>
      <c r="G5" s="248"/>
      <c r="H5" s="249">
        <f>E5</f>
        <v>0.101465964558434</v>
      </c>
      <c r="I5" s="249">
        <f>H5*(1-$E$8)</f>
        <v>0.0913193681025907</v>
      </c>
      <c r="J5" s="249">
        <f>I5*(1-$E$8)</f>
        <v>0.0821874312923316</v>
      </c>
      <c r="K5" s="249">
        <f>J5*(1-$E$8)</f>
        <v>0.0739686881630985</v>
      </c>
      <c r="L5" s="249">
        <f>K5*(1-$E$8)</f>
        <v>0.0665718193467886</v>
      </c>
    </row>
    <row r="6" s="1" customFormat="1" spans="1:13">
      <c r="B6" s="5"/>
      <c r="C6" s="5"/>
      <c r="D6" s="5" t="s">
        <v>269</v>
      </c>
      <c r="E6" s="250">
        <f>MAX(Model!I7:L7)</f>
        <v>0.199568866814589</v>
      </c>
      <c r="F6" s="5"/>
      <c r="H6" s="251">
        <f>E6</f>
        <v>0.199568866814589</v>
      </c>
      <c r="I6" s="251">
        <f>H6*(1-$E$8)</f>
        <v>0.17961198013313</v>
      </c>
      <c r="J6" s="251">
        <f>I6*(1-$E$8)</f>
        <v>0.161650782119817</v>
      </c>
      <c r="K6" s="251">
        <f>J6*(1-$E$8)</f>
        <v>0.145485703907835</v>
      </c>
      <c r="L6" s="251">
        <f>K6*(1-$E$8)</f>
        <v>0.130937133517052</v>
      </c>
    </row>
    <row r="7" s="1" customFormat="1" spans="1:13">
      <c r="B7" s="5"/>
      <c r="C7" s="5"/>
      <c r="D7" s="5" t="s">
        <v>270</v>
      </c>
      <c r="E7" s="252">
        <f>MIN(Model!I7:L7)</f>
        <v>0.0234409413637016</v>
      </c>
      <c r="F7" s="5"/>
      <c r="H7" s="251">
        <f>E7</f>
        <v>0.0234409413637016</v>
      </c>
      <c r="I7" s="251">
        <f>H7*(1-$E$8)</f>
        <v>0.0210968472273314</v>
      </c>
      <c r="J7" s="251">
        <f>I7*(1-$E$8)</f>
        <v>0.0189871625045983</v>
      </c>
      <c r="K7" s="251">
        <f>J7*(1-$E$8)</f>
        <v>0.0170884462541384</v>
      </c>
      <c r="L7" s="251">
        <f>K7*(1-$E$8)</f>
        <v>0.0153796016287246</v>
      </c>
    </row>
    <row r="8" s="1" customFormat="1" spans="1:13">
      <c r="B8" s="38"/>
      <c r="C8" s="5"/>
      <c r="D8" s="5" t="s">
        <v>271</v>
      </c>
      <c r="E8" s="253">
        <f>10%</f>
        <v>0.1</v>
      </c>
      <c r="F8" s="5"/>
      <c r="H8" s="5"/>
      <c r="I8" s="5"/>
      <c r="J8" s="5"/>
      <c r="K8" s="5"/>
      <c r="L8" s="5"/>
    </row>
    <row r="9" s="1" customFormat="1" spans="1:13">
      <c r="B9" s="5"/>
      <c r="C9" s="5"/>
      <c r="D9" s="5"/>
      <c r="E9" s="5"/>
      <c r="F9" s="5"/>
      <c r="H9" s="60"/>
      <c r="I9" s="60"/>
      <c r="J9" s="60"/>
      <c r="K9" s="60"/>
      <c r="L9" s="60"/>
    </row>
    <row r="10" s="1" customFormat="1" spans="1:13">
      <c r="B10" s="5"/>
      <c r="C10" s="5"/>
      <c r="D10" s="5"/>
      <c r="E10" s="5"/>
      <c r="F10" s="5"/>
      <c r="H10" s="60"/>
      <c r="I10" s="60"/>
      <c r="J10" s="60"/>
      <c r="K10" s="60"/>
      <c r="L10" s="60"/>
    </row>
    <row r="11" s="1" customFormat="1" spans="1:13">
      <c r="B11" s="5"/>
      <c r="C11" s="5"/>
      <c r="D11" s="5"/>
      <c r="E11" s="5"/>
      <c r="F11" s="5"/>
      <c r="H11" s="5"/>
      <c r="I11" s="5"/>
      <c r="J11" s="5"/>
      <c r="K11" s="5"/>
      <c r="L11" s="60"/>
    </row>
    <row r="12" s="1" customFormat="1" spans="1:13">
      <c r="B12" s="5"/>
      <c r="C12" s="5"/>
      <c r="D12" s="5"/>
      <c r="E12" s="5"/>
      <c r="F12" s="5"/>
      <c r="H12" s="60"/>
      <c r="I12" s="60"/>
      <c r="J12" s="60"/>
      <c r="K12" s="60"/>
      <c r="L12" s="60"/>
    </row>
    <row r="13" s="1" customFormat="1" spans="1:13">
      <c r="B13" s="5"/>
      <c r="C13" s="5"/>
      <c r="D13" s="5"/>
      <c r="E13" s="5"/>
      <c r="F13" s="5"/>
      <c r="H13" s="60"/>
      <c r="I13" s="60"/>
      <c r="J13" s="60"/>
      <c r="K13" s="60"/>
      <c r="L13" s="60"/>
    </row>
    <row r="14" s="1" customFormat="1" spans="1:13">
      <c r="B14" s="5"/>
      <c r="C14" s="5"/>
      <c r="D14" s="5"/>
      <c r="E14" s="5"/>
      <c r="F14" s="5"/>
      <c r="H14" s="60"/>
      <c r="I14" s="60"/>
      <c r="J14" s="60"/>
      <c r="K14" s="60"/>
      <c r="L14" s="60"/>
    </row>
    <row r="15" s="1" customFormat="1" spans="1:13">
      <c r="B15" s="5"/>
      <c r="C15" s="5"/>
      <c r="D15" s="5"/>
      <c r="E15" s="5"/>
      <c r="F15" s="5"/>
      <c r="H15" s="60"/>
      <c r="I15" s="60"/>
      <c r="J15" s="60"/>
      <c r="K15" s="60"/>
      <c r="L15" s="60"/>
    </row>
    <row r="16" s="1" customFormat="1" spans="1:13">
      <c r="B16" s="5"/>
      <c r="C16" s="38"/>
      <c r="D16" s="5"/>
      <c r="E16" s="5"/>
      <c r="F16" s="5"/>
      <c r="H16" s="57"/>
      <c r="I16" s="57"/>
      <c r="J16" s="57"/>
      <c r="K16" s="57"/>
      <c r="L16" s="57"/>
    </row>
    <row r="17" s="1" customFormat="1" spans="2:13">
      <c r="B17" s="5"/>
      <c r="C17" s="38"/>
      <c r="D17" s="5"/>
      <c r="E17" s="5"/>
      <c r="F17" s="5"/>
      <c r="H17" s="60"/>
      <c r="I17" s="60"/>
      <c r="J17" s="60"/>
      <c r="K17" s="60"/>
      <c r="L17" s="57"/>
    </row>
    <row r="18" s="1" customFormat="1" spans="2:13">
      <c r="B18" s="5"/>
      <c r="C18" s="5"/>
      <c r="D18" s="5"/>
      <c r="E18" s="5"/>
      <c r="F18" s="5"/>
      <c r="H18" s="60"/>
      <c r="I18" s="60"/>
      <c r="J18" s="60"/>
      <c r="K18" s="60"/>
      <c r="L18" s="5"/>
      <c r="M18" s="2"/>
    </row>
    <row r="19" s="1" customFormat="1" spans="2:13">
      <c r="B19" s="5"/>
      <c r="C19" s="5"/>
      <c r="D19" s="5"/>
      <c r="E19" s="5"/>
      <c r="F19" s="5"/>
      <c r="H19" s="60"/>
      <c r="I19" s="60"/>
      <c r="J19" s="60"/>
      <c r="K19" s="60"/>
      <c r="L19" s="60"/>
    </row>
    <row r="20" s="1" customFormat="1" spans="2:13">
      <c r="B20" s="5"/>
      <c r="C20" s="5"/>
      <c r="D20" s="5"/>
      <c r="E20" s="5"/>
      <c r="F20" s="5"/>
      <c r="H20" s="60"/>
      <c r="I20" s="60"/>
      <c r="J20" s="60"/>
      <c r="K20" s="60"/>
      <c r="L20" s="60"/>
    </row>
    <row r="21" s="1" customFormat="1" spans="2:13">
      <c r="B21" s="5"/>
      <c r="C21" s="5"/>
      <c r="D21" s="5"/>
      <c r="E21" s="5"/>
      <c r="F21" s="5"/>
      <c r="H21" s="60"/>
      <c r="I21" s="60"/>
      <c r="J21" s="60"/>
      <c r="K21" s="60"/>
      <c r="L21" s="60"/>
    </row>
    <row r="22" s="1" customFormat="1" spans="2:13">
      <c r="B22" s="5"/>
      <c r="C22" s="38"/>
      <c r="D22" s="38"/>
      <c r="E22" s="38"/>
      <c r="F22" s="38"/>
      <c r="H22" s="57"/>
      <c r="I22" s="57"/>
      <c r="J22" s="57"/>
      <c r="K22" s="57"/>
      <c r="L22" s="57"/>
    </row>
    <row r="23" s="1" customFormat="1" spans="2:13">
      <c r="B23" s="5"/>
      <c r="C23" s="5"/>
      <c r="D23" s="5"/>
      <c r="E23" s="5"/>
      <c r="F23" s="5"/>
      <c r="H23" s="5"/>
      <c r="I23" s="5"/>
      <c r="J23" s="5"/>
      <c r="K23" s="5"/>
      <c r="L23" s="5"/>
    </row>
    <row r="24" s="1" customFormat="1" spans="2:13">
      <c r="B24" s="5"/>
      <c r="C24" s="38"/>
      <c r="D24" s="5"/>
      <c r="E24" s="5"/>
      <c r="F24" s="5"/>
      <c r="H24" s="57"/>
      <c r="I24" s="57"/>
      <c r="J24" s="57"/>
      <c r="K24" s="57"/>
      <c r="L24" s="57"/>
    </row>
    <row r="25" s="1" customFormat="1" spans="2:13">
      <c r="B25" s="5"/>
      <c r="C25" s="38"/>
      <c r="D25" s="5"/>
      <c r="E25" s="5"/>
      <c r="F25" s="5"/>
      <c r="H25" s="57"/>
      <c r="I25" s="57"/>
      <c r="J25" s="57"/>
      <c r="K25" s="57"/>
      <c r="L25" s="57"/>
    </row>
    <row r="26" spans="2:13">
      <c r="C26" s="58"/>
      <c r="L26" s="221"/>
    </row>
    <row r="27" spans="2:13">
      <c r="L27" s="221"/>
    </row>
    <row r="28" spans="2:13">
      <c r="C28" s="38"/>
      <c r="L28" s="221"/>
    </row>
    <row r="30" spans="2:13">
      <c r="G30" s="59"/>
      <c r="H30" s="59"/>
      <c r="I30" s="59"/>
      <c r="J30" s="59"/>
      <c r="K30" s="60"/>
      <c r="L30" s="60"/>
    </row>
    <row r="31" spans="2:13">
      <c r="G31" s="59"/>
      <c r="H31" s="59"/>
      <c r="I31" s="59"/>
      <c r="J31" s="59"/>
      <c r="K31" s="60"/>
      <c r="L31" s="60"/>
    </row>
    <row r="32" spans="2:13">
      <c r="G32" s="59"/>
      <c r="H32" s="59"/>
      <c r="I32" s="59"/>
      <c r="J32" s="59"/>
      <c r="K32" s="60"/>
      <c r="L32" s="60"/>
    </row>
    <row r="33" spans="1:12">
      <c r="G33" s="59"/>
      <c r="H33" s="59"/>
      <c r="I33" s="59"/>
      <c r="J33" s="59"/>
      <c r="K33" s="60"/>
      <c r="L33" s="60"/>
    </row>
    <row r="34" spans="1:12">
      <c r="G34" s="59"/>
      <c r="H34" s="59"/>
      <c r="I34" s="59"/>
      <c r="J34" s="61"/>
      <c r="L34" s="5"/>
    </row>
    <row r="35" spans="1:12">
      <c r="G35" s="61"/>
      <c r="H35" s="61"/>
      <c r="I35" s="61"/>
      <c r="J35" s="61"/>
      <c r="L35" s="5"/>
    </row>
    <row r="36" spans="1:12">
      <c r="C36" s="58"/>
      <c r="G36" s="61"/>
      <c r="H36" s="61"/>
      <c r="I36" s="61"/>
      <c r="J36" s="61"/>
      <c r="L36" s="5"/>
    </row>
    <row r="37" spans="1:12">
      <c r="C37" s="62"/>
      <c r="G37" s="59"/>
      <c r="H37" s="59"/>
      <c r="I37" s="59"/>
      <c r="J37" s="59"/>
      <c r="L37" s="5"/>
    </row>
    <row r="38" spans="1:12">
      <c r="C38" s="62"/>
      <c r="G38" s="61"/>
      <c r="H38" s="61"/>
      <c r="I38" s="61"/>
      <c r="J38" s="61"/>
      <c r="K38" s="60"/>
      <c r="L38" s="60"/>
    </row>
    <row r="39" spans="1:12">
      <c r="C39" s="62"/>
      <c r="G39" s="59"/>
      <c r="H39" s="59"/>
      <c r="I39" s="59"/>
      <c r="J39" s="59"/>
      <c r="K39" s="60"/>
      <c r="L39" s="60"/>
    </row>
    <row r="40" spans="1:12">
      <c r="G40" s="59"/>
      <c r="H40" s="59"/>
      <c r="I40" s="59"/>
      <c r="J40" s="59"/>
      <c r="K40" s="60"/>
      <c r="L40" s="60"/>
    </row>
    <row r="41" spans="1:12">
      <c r="G41" s="61"/>
      <c r="H41" s="61"/>
      <c r="I41" s="61"/>
      <c r="J41" s="61"/>
      <c r="L41" s="5"/>
    </row>
    <row r="42" spans="1:12">
      <c r="G42" s="61"/>
      <c r="H42" s="61"/>
      <c r="I42" s="61"/>
      <c r="J42" s="61"/>
      <c r="L42" s="60"/>
    </row>
    <row r="43" spans="1:12">
      <c r="C43" s="38"/>
      <c r="D43" s="38"/>
      <c r="E43" s="38"/>
      <c r="F43" s="38"/>
      <c r="G43" s="63"/>
      <c r="H43" s="63"/>
      <c r="I43" s="63"/>
      <c r="J43" s="63"/>
      <c r="K43" s="57"/>
      <c r="L43" s="57"/>
    </row>
    <row r="44" spans="1:12">
      <c r="G44" s="61"/>
      <c r="L44" s="5"/>
    </row>
    <row r="45" spans="1:12">
      <c r="C45" s="58"/>
    </row>
    <row r="46" spans="1:12">
      <c r="G46" s="59"/>
      <c r="H46" s="59"/>
      <c r="I46" s="59"/>
      <c r="J46" s="59"/>
      <c r="K46" s="60"/>
      <c r="L46" s="60"/>
    </row>
    <row r="47" spans="1:12">
      <c r="C47" s="64"/>
      <c r="G47" s="61"/>
      <c r="H47" s="61"/>
      <c r="I47" s="61"/>
      <c r="J47" s="61"/>
      <c r="L47" s="60"/>
    </row>
    <row r="48" s="2" customFormat="1" spans="1:12">
      <c r="A48" s="1"/>
      <c r="B48" s="5"/>
      <c r="C48" s="62"/>
      <c r="D48" s="5"/>
      <c r="E48" s="5"/>
      <c r="F48" s="5"/>
      <c r="G48" s="59"/>
      <c r="H48" s="59"/>
      <c r="I48" s="59"/>
      <c r="J48" s="59"/>
      <c r="K48" s="60"/>
      <c r="L48" s="60"/>
    </row>
    <row r="49" s="3" customFormat="1" ht="17.6" spans="1:14">
      <c r="A49" s="1"/>
      <c r="B49" s="5"/>
      <c r="C49" s="62"/>
      <c r="D49" s="5"/>
      <c r="E49" s="5"/>
      <c r="F49" s="5"/>
      <c r="G49" s="59"/>
      <c r="H49" s="59"/>
      <c r="I49" s="59"/>
      <c r="J49" s="59"/>
      <c r="K49" s="60"/>
      <c r="L49" s="60"/>
      <c r="N49" s="65"/>
    </row>
    <row r="50" s="3" customFormat="1" ht="17.6" spans="1:14">
      <c r="A50" s="1"/>
      <c r="B50" s="5"/>
      <c r="C50" s="62"/>
      <c r="D50" s="5"/>
      <c r="E50" s="5"/>
      <c r="F50" s="5"/>
      <c r="G50" s="59"/>
      <c r="H50" s="59"/>
      <c r="I50" s="59"/>
      <c r="J50" s="59"/>
      <c r="K50" s="60"/>
      <c r="L50" s="60"/>
    </row>
    <row r="51" s="3" customFormat="1" ht="17.6" spans="1:14">
      <c r="A51" s="1"/>
      <c r="B51" s="5"/>
      <c r="C51" s="62"/>
      <c r="D51" s="5"/>
      <c r="E51" s="5"/>
      <c r="F51" s="5"/>
      <c r="G51" s="59"/>
      <c r="H51" s="59"/>
      <c r="I51" s="59"/>
      <c r="J51" s="59"/>
      <c r="K51" s="60"/>
      <c r="L51" s="60"/>
    </row>
    <row r="52" s="3" customFormat="1" ht="17.6" spans="1:14">
      <c r="A52" s="1"/>
      <c r="B52" s="5"/>
      <c r="C52" s="62"/>
      <c r="D52" s="5"/>
      <c r="E52" s="5"/>
      <c r="F52" s="5"/>
      <c r="G52" s="61"/>
      <c r="H52" s="61"/>
      <c r="I52" s="61"/>
      <c r="J52" s="61"/>
      <c r="K52" s="5"/>
      <c r="L52" s="5"/>
    </row>
    <row r="53" s="3" customFormat="1" ht="17.6" spans="1:14">
      <c r="A53" s="1"/>
      <c r="B53" s="5"/>
      <c r="C53" s="62"/>
      <c r="D53" s="5"/>
      <c r="E53" s="5"/>
      <c r="F53" s="5"/>
      <c r="G53" s="59"/>
      <c r="H53" s="59"/>
      <c r="I53" s="61"/>
      <c r="J53" s="59"/>
      <c r="K53" s="60"/>
      <c r="L53" s="60"/>
    </row>
    <row r="54" s="3" customFormat="1" ht="17.6" spans="1:14">
      <c r="A54" s="1"/>
      <c r="B54" s="5"/>
      <c r="C54" s="5"/>
      <c r="D54" s="5"/>
      <c r="E54" s="5"/>
      <c r="F54" s="5"/>
      <c r="G54" s="59"/>
      <c r="H54" s="59"/>
      <c r="I54" s="59"/>
      <c r="J54" s="59"/>
      <c r="K54" s="60"/>
      <c r="L54" s="60"/>
    </row>
    <row r="55" s="3" customFormat="1" ht="17.6" spans="1:14">
      <c r="A55" s="1"/>
      <c r="B55" s="5"/>
      <c r="C55" s="5"/>
      <c r="D55" s="5"/>
      <c r="E55" s="5"/>
      <c r="F55" s="5"/>
      <c r="G55" s="63"/>
      <c r="H55" s="63"/>
      <c r="I55" s="63"/>
      <c r="J55" s="63"/>
      <c r="K55" s="57"/>
      <c r="L55" s="57"/>
    </row>
    <row r="56" s="3" customFormat="1" ht="17.6" spans="1:14">
      <c r="A56" s="1"/>
      <c r="B56" s="5"/>
      <c r="C56" s="5"/>
      <c r="D56" s="5"/>
      <c r="E56" s="5"/>
      <c r="F56" s="5"/>
      <c r="G56" s="61"/>
      <c r="H56" s="61"/>
      <c r="I56" s="61"/>
      <c r="J56" s="59"/>
      <c r="K56" s="5"/>
      <c r="L56" s="60"/>
    </row>
    <row r="57" s="3" customFormat="1" ht="17.6" spans="1:14">
      <c r="A57" s="1"/>
      <c r="B57" s="5"/>
      <c r="C57" s="38"/>
      <c r="D57" s="38"/>
      <c r="E57" s="38"/>
      <c r="F57" s="38"/>
      <c r="G57" s="63"/>
      <c r="H57" s="63"/>
      <c r="I57" s="63"/>
      <c r="J57" s="63"/>
      <c r="K57" s="57"/>
      <c r="L57" s="57"/>
    </row>
    <row r="58" s="3" customFormat="1" ht="17.6" spans="1:14">
      <c r="A58" s="1"/>
      <c r="B58" s="5"/>
      <c r="C58" s="5"/>
      <c r="D58" s="5"/>
      <c r="E58" s="5"/>
      <c r="F58" s="5"/>
      <c r="G58" s="5"/>
      <c r="H58" s="61"/>
      <c r="I58" s="61"/>
      <c r="J58" s="61"/>
      <c r="K58" s="5"/>
      <c r="L58" s="5"/>
    </row>
    <row r="59" s="3" customFormat="1" ht="17.6" spans="1:14">
      <c r="A59" s="1"/>
      <c r="B59" s="5"/>
      <c r="C59" s="38"/>
      <c r="D59" s="5"/>
      <c r="E59" s="5"/>
      <c r="F59" s="5"/>
      <c r="G59" s="61"/>
      <c r="H59" s="59"/>
      <c r="I59" s="59"/>
      <c r="J59" s="59"/>
      <c r="K59" s="5"/>
      <c r="L59" s="5"/>
    </row>
    <row r="60" s="3" customFormat="1" ht="17.6" spans="1:14">
      <c r="A60" s="1"/>
      <c r="B60" s="5"/>
      <c r="C60" s="5"/>
      <c r="D60" s="5"/>
      <c r="E60" s="5"/>
      <c r="F60" s="5"/>
      <c r="G60" s="59"/>
    </row>
    <row r="61" s="3" customFormat="1" ht="17.6" spans="1:14">
      <c r="A61" s="1"/>
      <c r="B61" s="5"/>
      <c r="C61" s="5"/>
      <c r="D61" s="5"/>
      <c r="E61" s="5"/>
      <c r="F61" s="5"/>
      <c r="G61" s="61"/>
      <c r="H61" s="61"/>
      <c r="I61" s="61"/>
      <c r="J61" s="61"/>
      <c r="K61" s="5"/>
      <c r="L61" s="5"/>
    </row>
    <row r="62" s="3" customFormat="1" ht="17.6" spans="1:14">
      <c r="A62" s="1"/>
      <c r="B62" s="5"/>
      <c r="C62" s="5"/>
      <c r="D62" s="5"/>
      <c r="E62" s="5"/>
      <c r="F62" s="5"/>
      <c r="G62" s="59"/>
      <c r="H62" s="59"/>
      <c r="I62" s="59"/>
      <c r="J62" s="59"/>
      <c r="K62" s="60"/>
      <c r="L62" s="60"/>
    </row>
    <row r="63" s="3" customFormat="1" ht="17.6" spans="1:14">
      <c r="A63" s="1"/>
      <c r="B63" s="5"/>
      <c r="C63" s="5"/>
      <c r="D63" s="5"/>
      <c r="E63" s="5"/>
      <c r="F63" s="5"/>
      <c r="G63" s="59"/>
      <c r="H63" s="59"/>
      <c r="I63" s="59"/>
      <c r="J63" s="59"/>
      <c r="K63" s="60"/>
      <c r="L63" s="60"/>
    </row>
    <row r="64" s="3" customFormat="1" ht="17.6" spans="1:14">
      <c r="A64" s="1"/>
      <c r="B64" s="5"/>
      <c r="C64" s="5"/>
      <c r="D64" s="5"/>
      <c r="E64" s="5"/>
      <c r="F64" s="5"/>
      <c r="G64" s="59"/>
      <c r="H64" s="59"/>
      <c r="I64" s="59"/>
      <c r="J64" s="59"/>
      <c r="K64" s="60"/>
      <c r="L64" s="60"/>
    </row>
    <row r="65" s="3" customFormat="1" ht="17.6" spans="1:12">
      <c r="A65" s="1"/>
      <c r="B65" s="5"/>
      <c r="C65" s="38"/>
      <c r="D65" s="38"/>
      <c r="E65" s="38"/>
      <c r="F65" s="38"/>
      <c r="G65" s="63"/>
      <c r="H65" s="63"/>
      <c r="I65" s="63"/>
      <c r="J65" s="63"/>
      <c r="K65" s="57"/>
      <c r="L65" s="57"/>
    </row>
    <row r="66" s="3" customFormat="1" ht="17.6" spans="1:12">
      <c r="A66" s="1"/>
      <c r="B66" s="5"/>
      <c r="C66" s="38"/>
      <c r="D66" s="38"/>
      <c r="E66" s="38"/>
      <c r="F66" s="38"/>
      <c r="G66" s="61"/>
      <c r="H66" s="61"/>
      <c r="I66" s="61"/>
      <c r="J66" s="61"/>
      <c r="K66" s="5"/>
      <c r="L66" s="5"/>
    </row>
    <row r="67" s="3" customFormat="1" ht="17.6" spans="1:12">
      <c r="A67" s="1"/>
      <c r="B67" s="5"/>
      <c r="C67" s="38"/>
      <c r="D67" s="5"/>
      <c r="E67" s="5"/>
      <c r="F67" s="5"/>
      <c r="G67" s="61"/>
      <c r="H67" s="61"/>
      <c r="I67" s="61"/>
      <c r="J67" s="61"/>
      <c r="K67" s="5"/>
      <c r="L67" s="5"/>
    </row>
    <row r="68" s="3" customFormat="1" ht="17.6" spans="1:12">
      <c r="A68" s="1"/>
      <c r="B68" s="5"/>
      <c r="C68" s="38"/>
      <c r="D68" s="5"/>
      <c r="E68" s="5"/>
      <c r="F68" s="5"/>
      <c r="G68" s="61"/>
      <c r="H68" s="5"/>
      <c r="I68" s="5"/>
      <c r="J68" s="5"/>
      <c r="K68" s="5"/>
      <c r="L68" s="5"/>
    </row>
    <row r="69" s="3" customFormat="1" ht="17.6" spans="1:12">
      <c r="A69" s="1"/>
      <c r="B69" s="5"/>
      <c r="C69" s="64"/>
      <c r="D69" s="5"/>
      <c r="E69" s="5"/>
      <c r="F69" s="5"/>
      <c r="G69" s="5"/>
    </row>
    <row r="70" s="3" customFormat="1" ht="17.6" spans="1:12">
      <c r="A70" s="1"/>
      <c r="B70" s="5"/>
      <c r="C70" s="62"/>
      <c r="D70" s="5"/>
      <c r="E70" s="5"/>
      <c r="F70" s="5"/>
      <c r="G70" s="61"/>
      <c r="H70" s="61"/>
      <c r="I70" s="61"/>
      <c r="J70" s="61"/>
      <c r="K70" s="5"/>
      <c r="L70" s="60"/>
    </row>
    <row r="71" s="3" customFormat="1" ht="17.6" spans="1:12">
      <c r="A71" s="1"/>
      <c r="B71" s="5"/>
      <c r="C71" s="62"/>
      <c r="D71" s="5"/>
      <c r="E71" s="5"/>
      <c r="F71" s="5"/>
      <c r="G71" s="61"/>
      <c r="H71" s="61"/>
      <c r="I71" s="61"/>
      <c r="J71" s="61"/>
      <c r="K71" s="60"/>
      <c r="L71" s="60"/>
    </row>
    <row r="72" s="3" customFormat="1" ht="17.6" spans="1:12">
      <c r="A72" s="1"/>
      <c r="B72" s="5"/>
      <c r="C72" s="62"/>
      <c r="D72" s="5"/>
      <c r="E72" s="5"/>
      <c r="F72" s="5"/>
      <c r="G72" s="61"/>
      <c r="H72" s="61"/>
      <c r="I72" s="61"/>
      <c r="J72" s="59"/>
      <c r="K72" s="60"/>
      <c r="L72" s="60"/>
    </row>
    <row r="73" s="3" customFormat="1" ht="17.6" spans="1:12">
      <c r="A73" s="1"/>
      <c r="B73" s="5"/>
      <c r="C73" s="5"/>
      <c r="D73" s="5"/>
      <c r="E73" s="5"/>
      <c r="F73" s="5"/>
      <c r="G73" s="59"/>
      <c r="H73" s="59"/>
      <c r="I73" s="59"/>
      <c r="J73" s="59"/>
      <c r="K73" s="60"/>
      <c r="L73" s="60"/>
    </row>
    <row r="74" s="3" customFormat="1" ht="17.6" spans="1:12">
      <c r="A74" s="1"/>
      <c r="B74" s="5"/>
      <c r="C74" s="5"/>
      <c r="D74" s="5"/>
      <c r="E74" s="5"/>
      <c r="F74" s="5"/>
      <c r="G74" s="61"/>
      <c r="H74" s="61"/>
      <c r="I74" s="61"/>
      <c r="J74" s="61"/>
      <c r="K74" s="5"/>
      <c r="L74" s="5"/>
    </row>
    <row r="75" s="3" customFormat="1" ht="17.6" spans="1:12">
      <c r="A75" s="1"/>
      <c r="B75" s="5"/>
      <c r="C75" s="38"/>
      <c r="D75" s="38"/>
      <c r="E75" s="38"/>
      <c r="F75" s="38"/>
      <c r="G75" s="63"/>
      <c r="H75" s="63"/>
      <c r="I75" s="63"/>
      <c r="J75" s="63"/>
      <c r="K75" s="57"/>
      <c r="L75" s="57"/>
    </row>
    <row r="76" s="3" customFormat="1" ht="17.6" spans="1:12">
      <c r="A76" s="1"/>
      <c r="B76" s="5"/>
      <c r="C76" s="38"/>
      <c r="D76" s="38"/>
      <c r="E76" s="38"/>
      <c r="F76" s="38"/>
      <c r="G76" s="5"/>
      <c r="H76" s="61"/>
      <c r="I76" s="61"/>
      <c r="J76" s="61"/>
      <c r="K76" s="5"/>
      <c r="L76" s="5"/>
    </row>
    <row r="77" s="3" customFormat="1" ht="17.6" spans="1:12">
      <c r="A77" s="1"/>
      <c r="B77" s="5"/>
      <c r="C77" s="38"/>
      <c r="D77" s="5"/>
      <c r="E77" s="5"/>
      <c r="F77" s="5"/>
      <c r="G77" s="61"/>
      <c r="H77" s="5"/>
      <c r="I77" s="5"/>
      <c r="J77" s="5"/>
      <c r="K77" s="5"/>
      <c r="L77" s="5"/>
    </row>
    <row r="78" s="3" customFormat="1" ht="17.6" spans="1:12">
      <c r="A78" s="1"/>
      <c r="B78" s="5"/>
      <c r="C78" s="38"/>
      <c r="D78" s="5"/>
      <c r="E78" s="5"/>
      <c r="F78" s="5"/>
      <c r="G78" s="5"/>
    </row>
    <row r="79" s="3" customFormat="1" ht="17.6" spans="1:12">
      <c r="A79" s="1"/>
      <c r="B79" s="5"/>
      <c r="C79" s="62"/>
      <c r="D79" s="5"/>
      <c r="E79" s="5"/>
      <c r="F79" s="5"/>
      <c r="G79" s="59"/>
      <c r="H79" s="59"/>
      <c r="I79" s="59"/>
      <c r="J79" s="59"/>
      <c r="K79" s="60"/>
      <c r="L79" s="60"/>
    </row>
    <row r="80" s="3" customFormat="1" ht="17.6" spans="1:12">
      <c r="A80" s="1"/>
      <c r="B80" s="5"/>
      <c r="C80" s="62"/>
      <c r="D80" s="5"/>
      <c r="E80" s="5"/>
      <c r="F80" s="5"/>
      <c r="G80" s="59"/>
      <c r="H80" s="59"/>
      <c r="I80" s="59"/>
      <c r="J80" s="61"/>
      <c r="K80" s="5"/>
      <c r="L80" s="5"/>
    </row>
    <row r="81" s="3" customFormat="1" ht="17.6" spans="1:12">
      <c r="A81" s="1"/>
      <c r="B81" s="5"/>
      <c r="C81" s="66"/>
      <c r="D81" s="5"/>
      <c r="E81" s="5"/>
      <c r="F81" s="5"/>
      <c r="G81" s="59"/>
      <c r="H81" s="59"/>
      <c r="I81" s="59"/>
      <c r="J81" s="61"/>
      <c r="K81" s="5"/>
      <c r="L81" s="5"/>
    </row>
    <row r="82" s="3" customFormat="1" ht="17.6" spans="1:12">
      <c r="A82" s="1"/>
      <c r="B82" s="5"/>
      <c r="C82" s="62"/>
      <c r="D82" s="5"/>
      <c r="E82" s="5"/>
      <c r="F82" s="5"/>
      <c r="G82" s="59"/>
      <c r="H82" s="59"/>
      <c r="I82" s="61"/>
      <c r="J82" s="59"/>
      <c r="K82" s="5"/>
      <c r="L82" s="5"/>
    </row>
    <row r="83" s="3" customFormat="1" ht="17.6" spans="1:12">
      <c r="A83" s="1"/>
      <c r="B83" s="5"/>
      <c r="C83" s="62"/>
      <c r="D83" s="5"/>
      <c r="E83" s="5"/>
      <c r="F83" s="5"/>
      <c r="G83" s="59"/>
      <c r="H83" s="59"/>
      <c r="I83" s="59"/>
      <c r="J83" s="59"/>
      <c r="K83" s="60"/>
      <c r="L83" s="60"/>
    </row>
    <row r="84" s="3" customFormat="1" ht="17.6" spans="1:12">
      <c r="A84" s="1"/>
      <c r="B84" s="5"/>
      <c r="C84" s="62"/>
      <c r="D84" s="5"/>
      <c r="E84" s="5"/>
      <c r="F84" s="5"/>
      <c r="G84" s="59"/>
      <c r="H84" s="59"/>
      <c r="I84" s="59"/>
      <c r="J84" s="59"/>
      <c r="K84" s="60"/>
      <c r="L84" s="60"/>
    </row>
    <row r="85" s="3" customFormat="1" ht="17.6" spans="1:12">
      <c r="A85" s="1"/>
      <c r="B85" s="5"/>
      <c r="C85" s="5"/>
      <c r="D85" s="5"/>
      <c r="E85" s="5"/>
      <c r="F85" s="5"/>
      <c r="G85" s="59"/>
      <c r="H85" s="59"/>
      <c r="I85" s="59"/>
      <c r="J85" s="59"/>
      <c r="K85" s="60"/>
      <c r="L85" s="60"/>
    </row>
    <row r="86" s="3" customFormat="1" ht="17.6" spans="1:12">
      <c r="A86" s="1"/>
      <c r="B86" s="5"/>
      <c r="C86" s="5"/>
      <c r="D86" s="5"/>
      <c r="E86" s="5"/>
      <c r="F86" s="5"/>
      <c r="G86" s="59"/>
      <c r="H86" s="59"/>
      <c r="I86" s="59"/>
      <c r="J86" s="59"/>
      <c r="K86" s="60"/>
      <c r="L86" s="60"/>
    </row>
    <row r="87" s="3" customFormat="1" ht="17.6" spans="1:12">
      <c r="A87" s="1"/>
      <c r="B87" s="5"/>
      <c r="C87" s="5"/>
      <c r="D87" s="5"/>
      <c r="E87" s="5"/>
      <c r="F87" s="5"/>
      <c r="G87" s="59"/>
      <c r="H87" s="59"/>
      <c r="I87" s="59"/>
      <c r="J87" s="61"/>
      <c r="K87" s="5"/>
      <c r="L87" s="5"/>
    </row>
    <row r="88" s="3" customFormat="1" ht="17.6" spans="1:12">
      <c r="A88" s="1"/>
      <c r="B88" s="5"/>
      <c r="C88" s="38"/>
      <c r="D88" s="38"/>
      <c r="E88" s="38"/>
      <c r="F88" s="38"/>
      <c r="G88" s="63"/>
      <c r="H88" s="63"/>
      <c r="I88" s="63"/>
      <c r="J88" s="63"/>
      <c r="K88" s="57"/>
      <c r="L88" s="57"/>
    </row>
    <row r="89" s="3" customFormat="1" ht="17.6" spans="1:12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="3" customFormat="1" ht="17.6" spans="1:12">
      <c r="A90" s="1"/>
      <c r="B90" s="5"/>
      <c r="C90" s="38"/>
      <c r="D90" s="38"/>
      <c r="E90" s="38"/>
      <c r="F90" s="38"/>
      <c r="G90" s="63"/>
      <c r="H90" s="63"/>
      <c r="I90" s="63"/>
      <c r="J90" s="63"/>
      <c r="K90" s="57"/>
      <c r="L90" s="57"/>
    </row>
    <row r="91" s="3" customFormat="1" ht="17.6" spans="1:12">
      <c r="A91" s="1"/>
      <c r="B91" s="5"/>
      <c r="C91" s="38"/>
      <c r="D91" s="38"/>
      <c r="E91" s="38"/>
      <c r="F91" s="38"/>
      <c r="G91" s="63"/>
      <c r="H91" s="63"/>
      <c r="I91" s="63"/>
      <c r="J91" s="63"/>
      <c r="K91" s="57"/>
      <c r="L91" s="57"/>
    </row>
    <row r="92" s="3" customFormat="1" ht="17.6" spans="1:12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="3" customFormat="1" ht="17.6" spans="1:12">
      <c r="A93" s="1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="3" customFormat="1" ht="17.6" spans="1:12">
      <c r="A94" s="1"/>
      <c r="B94" s="5"/>
      <c r="C94" s="58"/>
      <c r="D94" s="5"/>
      <c r="E94" s="5"/>
      <c r="F94" s="5"/>
      <c r="G94" s="5"/>
      <c r="H94" s="5"/>
      <c r="I94" s="5"/>
      <c r="J94" s="5"/>
      <c r="K94" s="5"/>
      <c r="L94" s="5"/>
    </row>
    <row r="95" s="3" customFormat="1" ht="17.6" spans="1:12">
      <c r="A95" s="1"/>
      <c r="B95" s="5"/>
      <c r="C95" s="38"/>
      <c r="D95" s="38"/>
      <c r="E95" s="38"/>
      <c r="F95" s="38"/>
      <c r="G95" s="38"/>
      <c r="H95" s="38"/>
      <c r="I95" s="38"/>
      <c r="J95" s="38"/>
      <c r="K95" s="38"/>
      <c r="L95" s="38"/>
    </row>
    <row r="96" s="3" customFormat="1" ht="17.6" spans="1:12">
      <c r="A96" s="1"/>
      <c r="B96" s="5"/>
      <c r="C96" s="38"/>
      <c r="D96" s="38"/>
      <c r="E96" s="38"/>
      <c r="F96" s="38"/>
      <c r="G96" s="63"/>
      <c r="H96" s="63"/>
      <c r="I96" s="63"/>
      <c r="J96" s="63"/>
      <c r="K96" s="57"/>
      <c r="L96" s="57"/>
    </row>
    <row r="97" s="3" customFormat="1" ht="17.6" spans="1:14">
      <c r="A97" s="1"/>
      <c r="B97" s="5"/>
      <c r="C97" s="5"/>
      <c r="D97" s="5"/>
      <c r="E97" s="5"/>
      <c r="F97" s="5"/>
      <c r="G97" s="59"/>
      <c r="H97" s="59"/>
      <c r="I97" s="59"/>
      <c r="J97" s="61"/>
      <c r="K97" s="5"/>
      <c r="L97" s="5"/>
    </row>
    <row r="98" s="3" customFormat="1" ht="17.6" spans="1:14">
      <c r="A98" s="1"/>
      <c r="B98" s="5"/>
      <c r="C98" s="5"/>
      <c r="D98" s="5"/>
      <c r="E98" s="5"/>
      <c r="F98" s="5"/>
      <c r="G98" s="59"/>
      <c r="H98" s="59"/>
      <c r="I98" s="61"/>
      <c r="J98" s="59"/>
      <c r="K98" s="60"/>
      <c r="L98" s="60"/>
    </row>
    <row r="99" s="3" customFormat="1" ht="17.6" spans="1:14">
      <c r="A99" s="1"/>
      <c r="B99" s="5"/>
      <c r="C99" s="5"/>
      <c r="D99" s="5"/>
      <c r="E99" s="5"/>
      <c r="F99" s="5"/>
      <c r="G99" s="61"/>
      <c r="H99" s="61"/>
      <c r="I99" s="61"/>
      <c r="J99" s="61"/>
      <c r="K99" s="5"/>
      <c r="L99" s="5"/>
    </row>
    <row r="100" s="3" customFormat="1" ht="17.6" spans="1:14">
      <c r="A100" s="1"/>
      <c r="B100" s="5"/>
      <c r="C100" s="5"/>
      <c r="D100" s="5"/>
      <c r="E100" s="5"/>
      <c r="F100" s="5"/>
      <c r="G100" s="61"/>
      <c r="H100" s="61"/>
      <c r="I100" s="59"/>
      <c r="J100" s="61"/>
      <c r="K100" s="5"/>
      <c r="L100" s="5"/>
    </row>
    <row r="101" s="3" customFormat="1" ht="17.6" spans="1:14">
      <c r="A101" s="1"/>
      <c r="B101" s="5"/>
      <c r="C101" s="5"/>
      <c r="D101" s="5"/>
      <c r="E101" s="5"/>
      <c r="F101" s="5"/>
      <c r="G101" s="59"/>
      <c r="H101" s="59"/>
      <c r="I101" s="61"/>
      <c r="J101" s="61"/>
      <c r="K101" s="5"/>
      <c r="L101" s="5"/>
    </row>
    <row r="102" s="3" customFormat="1" ht="17.6" spans="1:14">
      <c r="A102" s="1"/>
      <c r="B102" s="5"/>
      <c r="C102" s="5"/>
      <c r="D102" s="5"/>
      <c r="E102" s="5"/>
      <c r="F102" s="5"/>
      <c r="G102" s="61"/>
      <c r="H102" s="61"/>
      <c r="I102" s="61"/>
      <c r="J102" s="61"/>
      <c r="K102" s="5"/>
      <c r="L102" s="5"/>
    </row>
    <row r="103" s="3" customFormat="1" ht="17.6" spans="1:14">
      <c r="A103" s="1"/>
      <c r="B103" s="5"/>
      <c r="C103" s="5"/>
      <c r="D103" s="5"/>
      <c r="E103" s="5"/>
      <c r="F103" s="5"/>
      <c r="G103" s="61"/>
      <c r="H103" s="61"/>
      <c r="I103" s="61"/>
      <c r="J103" s="61"/>
      <c r="K103" s="5"/>
      <c r="L103" s="5"/>
    </row>
    <row r="104" s="3" customFormat="1" ht="17.6" spans="1:14">
      <c r="A104" s="1"/>
      <c r="B104" s="5"/>
      <c r="C104" s="5"/>
      <c r="D104" s="5"/>
      <c r="E104" s="5"/>
      <c r="F104" s="5"/>
      <c r="G104" s="59"/>
      <c r="H104" s="59"/>
      <c r="I104" s="59"/>
      <c r="J104" s="61"/>
      <c r="K104" s="5"/>
      <c r="L104" s="5"/>
    </row>
    <row r="105" s="3" customFormat="1" ht="17.6" spans="1:14">
      <c r="A105" s="1"/>
      <c r="B105" s="5"/>
      <c r="C105" s="5"/>
      <c r="D105" s="5"/>
      <c r="E105" s="5"/>
      <c r="F105" s="5"/>
      <c r="G105" s="61"/>
      <c r="H105" s="61"/>
      <c r="I105" s="59"/>
      <c r="J105" s="61"/>
      <c r="K105" s="5"/>
      <c r="L105" s="5"/>
    </row>
    <row r="106" s="3" customFormat="1" ht="17.6" spans="1:14">
      <c r="A106" s="1"/>
      <c r="B106" s="5"/>
      <c r="C106" s="5"/>
      <c r="D106" s="5"/>
      <c r="E106" s="5"/>
      <c r="F106" s="5"/>
      <c r="G106" s="61"/>
      <c r="H106" s="61"/>
      <c r="I106" s="59"/>
      <c r="J106" s="59"/>
      <c r="K106" s="60"/>
      <c r="L106" s="60"/>
    </row>
    <row r="107" s="3" customFormat="1" ht="17.6" spans="1:14">
      <c r="A107" s="1"/>
      <c r="B107" s="5"/>
      <c r="C107" s="5"/>
      <c r="D107" s="5"/>
      <c r="E107" s="5"/>
      <c r="F107" s="5"/>
      <c r="G107" s="61"/>
      <c r="H107" s="61"/>
      <c r="I107" s="59"/>
      <c r="J107" s="59"/>
      <c r="K107" s="5"/>
      <c r="L107" s="5"/>
    </row>
    <row r="108" s="3" customFormat="1" ht="17.6" spans="1:14">
      <c r="A108" s="1"/>
      <c r="B108" s="5"/>
      <c r="C108" s="5"/>
      <c r="D108" s="5"/>
      <c r="E108" s="5"/>
      <c r="F108" s="5"/>
      <c r="G108" s="61"/>
      <c r="H108" s="61"/>
      <c r="I108" s="59"/>
      <c r="J108" s="59"/>
      <c r="K108" s="60"/>
      <c r="L108" s="60"/>
    </row>
    <row r="109" s="3" customFormat="1" ht="17.6" spans="1:14">
      <c r="A109" s="1"/>
      <c r="B109" s="5"/>
      <c r="C109" s="5"/>
      <c r="D109" s="5"/>
      <c r="E109" s="5"/>
      <c r="F109" s="5"/>
      <c r="G109" s="61"/>
      <c r="H109" s="61"/>
      <c r="I109" s="59"/>
      <c r="J109" s="61"/>
      <c r="K109" s="5"/>
      <c r="L109" s="5"/>
    </row>
    <row r="110" s="3" customFormat="1" ht="17.6" spans="1:14">
      <c r="A110" s="1"/>
      <c r="B110" s="5"/>
      <c r="C110" s="5"/>
      <c r="D110" s="5"/>
      <c r="E110" s="5"/>
      <c r="F110" s="5"/>
      <c r="G110" s="61"/>
      <c r="H110" s="61"/>
      <c r="I110" s="59"/>
      <c r="J110" s="61"/>
      <c r="K110" s="5"/>
      <c r="L110" s="5"/>
    </row>
    <row r="111" s="4" customFormat="1" spans="1:14">
      <c r="A111" s="1"/>
      <c r="B111" s="38"/>
      <c r="C111" s="38"/>
      <c r="D111" s="38"/>
      <c r="E111" s="38"/>
      <c r="F111" s="38"/>
      <c r="G111" s="63"/>
      <c r="H111" s="63"/>
      <c r="I111" s="63"/>
      <c r="J111" s="63"/>
      <c r="K111" s="57"/>
      <c r="L111" s="57"/>
    </row>
    <row r="112" s="4" customFormat="1" spans="1:14">
      <c r="A112" s="1"/>
      <c r="B112" s="38"/>
      <c r="C112" s="38"/>
      <c r="D112" s="38"/>
      <c r="E112" s="38"/>
      <c r="F112" s="38"/>
      <c r="G112" s="63"/>
      <c r="H112" s="63"/>
      <c r="I112" s="63"/>
      <c r="J112" s="63"/>
      <c r="K112" s="57"/>
      <c r="L112" s="57"/>
      <c r="M112" s="67"/>
      <c r="N112" s="67"/>
    </row>
    <row r="113" s="4" customFormat="1" spans="1:14">
      <c r="A113" s="1"/>
      <c r="B113" s="5"/>
      <c r="C113" s="38"/>
      <c r="D113" s="5"/>
      <c r="E113" s="5"/>
      <c r="F113" s="5"/>
      <c r="G113" s="61"/>
      <c r="H113" s="61"/>
      <c r="I113" s="59"/>
      <c r="J113" s="61"/>
      <c r="K113" s="5"/>
      <c r="L113" s="5"/>
      <c r="M113" s="68"/>
      <c r="N113" s="68"/>
    </row>
    <row r="114" s="4" customFormat="1" spans="1:14">
      <c r="A114" s="1"/>
      <c r="B114" s="5"/>
      <c r="C114" s="5"/>
      <c r="D114" s="5"/>
      <c r="E114" s="5"/>
      <c r="F114" s="5"/>
      <c r="G114" s="59"/>
      <c r="H114" s="59"/>
      <c r="I114" s="59"/>
      <c r="J114" s="59"/>
      <c r="K114" s="60"/>
      <c r="L114" s="60"/>
      <c r="M114" s="69"/>
      <c r="N114" s="69"/>
    </row>
    <row r="115" s="4" customFormat="1" spans="1:14">
      <c r="A115" s="1"/>
      <c r="B115" s="5"/>
      <c r="C115" s="5"/>
      <c r="D115" s="5"/>
      <c r="E115" s="5"/>
      <c r="F115" s="5"/>
      <c r="G115" s="61"/>
      <c r="H115" s="61"/>
      <c r="I115" s="61"/>
      <c r="J115" s="61"/>
      <c r="K115" s="60"/>
      <c r="L115" s="5"/>
      <c r="M115" s="69"/>
      <c r="N115" s="69"/>
    </row>
    <row r="116" s="4" customFormat="1" spans="1:14">
      <c r="A116" s="1"/>
      <c r="B116" s="5"/>
      <c r="C116" s="5"/>
      <c r="D116" s="5"/>
      <c r="E116" s="5"/>
      <c r="F116" s="5"/>
      <c r="G116" s="59"/>
      <c r="H116" s="59"/>
      <c r="I116" s="59"/>
      <c r="J116" s="59"/>
      <c r="K116" s="5"/>
      <c r="L116" s="60"/>
      <c r="M116" s="69"/>
      <c r="N116" s="69"/>
    </row>
    <row r="117" s="4" customFormat="1" spans="1:14">
      <c r="A117" s="1"/>
      <c r="B117" s="5"/>
      <c r="C117" s="5"/>
      <c r="D117" s="5"/>
      <c r="E117" s="5"/>
      <c r="F117" s="5"/>
      <c r="G117" s="59"/>
      <c r="H117" s="59"/>
      <c r="I117" s="59"/>
      <c r="J117" s="61"/>
      <c r="K117" s="60"/>
      <c r="L117" s="60"/>
      <c r="M117" s="69"/>
      <c r="N117" s="69"/>
    </row>
    <row r="118" s="4" customFormat="1" spans="1:14">
      <c r="A118" s="1"/>
      <c r="B118" s="5"/>
      <c r="C118" s="5"/>
      <c r="D118" s="5"/>
      <c r="E118" s="5"/>
      <c r="F118" s="5"/>
      <c r="G118" s="61"/>
      <c r="H118" s="61"/>
      <c r="I118" s="61"/>
      <c r="J118" s="61"/>
      <c r="K118" s="60"/>
      <c r="L118" s="5"/>
      <c r="M118" s="69"/>
      <c r="N118" s="69"/>
    </row>
    <row r="119" s="4" customFormat="1" spans="1:14">
      <c r="A119" s="1"/>
      <c r="B119" s="38"/>
      <c r="C119" s="38"/>
      <c r="D119" s="38"/>
      <c r="E119" s="38"/>
      <c r="F119" s="38"/>
      <c r="G119" s="63"/>
      <c r="H119" s="63"/>
      <c r="I119" s="63"/>
      <c r="J119" s="63"/>
      <c r="K119" s="38"/>
      <c r="L119" s="57"/>
      <c r="M119" s="69"/>
      <c r="N119" s="69"/>
    </row>
    <row r="120" s="4" customFormat="1" spans="1:14">
      <c r="A120" s="1"/>
      <c r="B120" s="5"/>
      <c r="C120" s="5"/>
      <c r="D120" s="5"/>
      <c r="E120" s="5"/>
      <c r="F120" s="5"/>
      <c r="G120" s="70"/>
      <c r="H120" s="59"/>
      <c r="I120" s="59"/>
      <c r="J120" s="59"/>
      <c r="K120" s="60"/>
      <c r="L120" s="60"/>
      <c r="M120" s="69"/>
      <c r="N120" s="69"/>
    </row>
    <row r="121" s="4" customFormat="1" spans="1:14">
      <c r="A121" s="1"/>
      <c r="B121" s="5"/>
      <c r="C121" s="5"/>
      <c r="D121" s="5"/>
      <c r="E121" s="5"/>
      <c r="F121" s="5"/>
      <c r="G121" s="70"/>
      <c r="H121" s="59"/>
      <c r="I121" s="59"/>
      <c r="J121" s="59"/>
      <c r="K121" s="60"/>
      <c r="L121" s="60"/>
      <c r="M121" s="69"/>
      <c r="N121" s="69"/>
    </row>
    <row r="122" s="4" customFormat="1" spans="1:14">
      <c r="A122" s="1"/>
      <c r="B122" s="38"/>
      <c r="C122" s="38"/>
      <c r="D122" s="38"/>
      <c r="E122" s="38"/>
      <c r="F122" s="38"/>
      <c r="G122" s="71"/>
      <c r="H122" s="72"/>
      <c r="I122" s="72"/>
      <c r="J122" s="72"/>
      <c r="K122" s="73"/>
      <c r="L122" s="73"/>
      <c r="M122" s="69"/>
      <c r="N122" s="69"/>
    </row>
    <row r="123" s="4" customFormat="1" spans="1:14">
      <c r="A123" s="1"/>
      <c r="B123" s="5"/>
      <c r="C123" s="5"/>
      <c r="D123" s="5"/>
      <c r="E123" s="5"/>
      <c r="F123" s="5"/>
      <c r="G123" s="26"/>
      <c r="H123" s="5"/>
      <c r="I123" s="5"/>
      <c r="J123" s="5"/>
      <c r="K123" s="5"/>
      <c r="L123" s="5"/>
      <c r="M123" s="69"/>
      <c r="N123" s="69"/>
    </row>
    <row r="124" s="4" customFormat="1" spans="1:14">
      <c r="A124" s="1"/>
      <c r="B124" s="5"/>
      <c r="C124" s="5"/>
      <c r="D124" s="5"/>
      <c r="E124" s="5"/>
      <c r="F124" s="5"/>
      <c r="G124" s="70"/>
      <c r="H124" s="59"/>
      <c r="I124" s="59"/>
      <c r="J124" s="59"/>
      <c r="K124" s="60"/>
      <c r="L124" s="60"/>
      <c r="M124" s="69"/>
      <c r="N124" s="69"/>
    </row>
    <row r="125" s="4" customFormat="1" spans="1:14">
      <c r="A125" s="1"/>
      <c r="B125" s="5"/>
      <c r="C125" s="5"/>
      <c r="D125" s="5"/>
      <c r="E125" s="5"/>
      <c r="F125" s="5"/>
      <c r="G125" s="70"/>
      <c r="H125" s="59"/>
      <c r="I125" s="59"/>
      <c r="J125" s="61"/>
      <c r="K125" s="5"/>
      <c r="L125" s="5"/>
      <c r="M125" s="69"/>
      <c r="N125" s="69"/>
    </row>
    <row r="126" s="4" customFormat="1" spans="1:14">
      <c r="A126" s="1"/>
      <c r="B126" s="5"/>
      <c r="C126" s="5"/>
      <c r="D126" s="5"/>
      <c r="E126" s="5"/>
      <c r="F126" s="5"/>
      <c r="G126" s="70"/>
      <c r="H126" s="59"/>
      <c r="I126" s="59"/>
      <c r="J126" s="59"/>
      <c r="K126" s="60"/>
      <c r="L126" s="60"/>
      <c r="M126" s="69"/>
      <c r="N126" s="69"/>
    </row>
    <row r="127" s="4" customFormat="1" spans="1:14">
      <c r="A127" s="1"/>
      <c r="B127" s="5"/>
      <c r="C127" s="5"/>
      <c r="D127" s="5"/>
      <c r="E127" s="5"/>
      <c r="F127" s="5"/>
      <c r="G127" s="70"/>
      <c r="H127" s="59"/>
      <c r="I127" s="59"/>
      <c r="J127" s="59"/>
      <c r="K127" s="60"/>
      <c r="L127" s="60"/>
      <c r="M127" s="69"/>
      <c r="N127" s="69"/>
    </row>
    <row r="128" s="4" customFormat="1" spans="1:14">
      <c r="A128" s="1"/>
      <c r="B128" s="5"/>
      <c r="C128" s="5"/>
      <c r="D128" s="5"/>
      <c r="E128" s="5"/>
      <c r="F128" s="5"/>
      <c r="G128" s="70"/>
      <c r="H128" s="59"/>
      <c r="I128" s="59"/>
      <c r="J128" s="59"/>
      <c r="K128" s="5"/>
      <c r="L128" s="60"/>
      <c r="M128" s="69"/>
      <c r="N128" s="69"/>
    </row>
    <row r="129" s="4" customFormat="1" spans="1:14">
      <c r="A129" s="1"/>
      <c r="B129" s="5"/>
      <c r="C129" s="5"/>
      <c r="D129" s="5"/>
      <c r="E129" s="5"/>
      <c r="F129" s="5"/>
      <c r="G129" s="70"/>
      <c r="H129" s="59"/>
      <c r="I129" s="59"/>
      <c r="J129" s="59"/>
      <c r="K129" s="60"/>
      <c r="L129" s="60"/>
      <c r="M129" s="69"/>
      <c r="N129" s="69"/>
    </row>
    <row r="130" s="4" customFormat="1" spans="1:14">
      <c r="A130" s="1"/>
      <c r="B130" s="5"/>
      <c r="C130" s="5"/>
      <c r="D130" s="5"/>
      <c r="E130" s="5"/>
      <c r="F130" s="5"/>
      <c r="G130" s="74"/>
      <c r="H130" s="61"/>
      <c r="I130" s="61"/>
      <c r="J130" s="61"/>
      <c r="K130" s="5"/>
      <c r="L130" s="5"/>
      <c r="M130" s="69"/>
      <c r="N130" s="69"/>
    </row>
    <row r="131" s="4" customFormat="1" spans="1:14">
      <c r="A131" s="1"/>
      <c r="B131" s="5"/>
      <c r="C131" s="5"/>
      <c r="D131" s="5"/>
      <c r="E131" s="5"/>
      <c r="F131" s="5"/>
      <c r="G131" s="70"/>
      <c r="H131" s="59"/>
      <c r="I131" s="59"/>
      <c r="J131" s="59"/>
      <c r="K131" s="5"/>
      <c r="L131" s="5"/>
      <c r="M131" s="69"/>
      <c r="N131" s="69"/>
    </row>
    <row r="132" s="4" customFormat="1" spans="1:14">
      <c r="A132" s="1"/>
      <c r="B132" s="5"/>
      <c r="C132" s="5"/>
      <c r="D132" s="5"/>
      <c r="E132" s="5"/>
      <c r="F132" s="5"/>
      <c r="G132" s="70"/>
      <c r="H132" s="59"/>
      <c r="I132" s="59"/>
      <c r="J132" s="59"/>
      <c r="K132" s="60"/>
      <c r="L132" s="60"/>
      <c r="M132" s="69"/>
      <c r="N132" s="69"/>
    </row>
    <row r="133" s="4" customFormat="1" spans="1:14">
      <c r="A133" s="1"/>
      <c r="B133" s="5"/>
      <c r="C133" s="38"/>
      <c r="D133" s="5"/>
      <c r="E133" s="5"/>
      <c r="F133" s="5"/>
      <c r="G133" s="71"/>
      <c r="H133" s="72"/>
      <c r="I133" s="72"/>
      <c r="J133" s="72"/>
      <c r="K133" s="72"/>
      <c r="L133" s="72"/>
      <c r="M133" s="69"/>
      <c r="N133" s="69"/>
    </row>
    <row r="134" s="4" customFormat="1" spans="1:14">
      <c r="A134" s="1"/>
      <c r="B134" s="5"/>
      <c r="C134" s="5"/>
      <c r="D134" s="5"/>
      <c r="E134" s="5"/>
      <c r="F134" s="5"/>
      <c r="G134" s="70"/>
      <c r="H134" s="59"/>
      <c r="I134" s="59"/>
      <c r="J134" s="61"/>
      <c r="K134" s="5"/>
      <c r="L134" s="5"/>
      <c r="M134" s="69"/>
      <c r="N134" s="69"/>
    </row>
    <row r="135" s="4" customFormat="1" spans="1:14">
      <c r="A135" s="1"/>
      <c r="B135" s="5"/>
      <c r="C135" s="5"/>
      <c r="D135" s="5"/>
      <c r="E135" s="5"/>
      <c r="F135" s="5"/>
      <c r="G135" s="74"/>
      <c r="H135" s="61"/>
      <c r="I135" s="61"/>
      <c r="J135" s="61"/>
      <c r="K135" s="5"/>
      <c r="L135" s="60"/>
      <c r="M135" s="69"/>
      <c r="N135" s="69"/>
    </row>
    <row r="136" s="4" customFormat="1" spans="1:14">
      <c r="A136" s="1"/>
      <c r="B136" s="5"/>
      <c r="C136" s="5"/>
      <c r="D136" s="5"/>
      <c r="E136" s="5"/>
      <c r="F136" s="5"/>
      <c r="G136" s="70"/>
      <c r="H136" s="59"/>
      <c r="I136" s="59"/>
      <c r="J136" s="59"/>
      <c r="K136" s="60"/>
      <c r="L136" s="60"/>
      <c r="M136" s="69"/>
      <c r="N136" s="69"/>
    </row>
    <row r="137" s="4" customFormat="1" spans="1:14">
      <c r="A137" s="1"/>
      <c r="B137" s="5"/>
      <c r="C137" s="59"/>
      <c r="D137" s="5"/>
      <c r="E137" s="5"/>
      <c r="F137" s="5"/>
      <c r="G137" s="70"/>
      <c r="H137" s="59"/>
      <c r="I137" s="59"/>
      <c r="J137" s="59"/>
      <c r="K137" s="5"/>
      <c r="L137" s="5"/>
      <c r="M137" s="69"/>
      <c r="N137" s="69"/>
    </row>
    <row r="138" s="4" customFormat="1" spans="1:14">
      <c r="A138" s="1"/>
      <c r="B138" s="5"/>
      <c r="C138" s="5"/>
      <c r="D138" s="5"/>
      <c r="E138" s="5"/>
      <c r="F138" s="5"/>
      <c r="G138" s="70"/>
      <c r="H138" s="59"/>
      <c r="I138" s="59"/>
      <c r="J138" s="59"/>
      <c r="K138" s="60"/>
      <c r="L138" s="60"/>
      <c r="M138" s="69"/>
      <c r="N138" s="69"/>
    </row>
    <row r="139" s="4" customFormat="1" spans="1:14">
      <c r="A139" s="1"/>
      <c r="B139" s="5"/>
      <c r="C139" s="5"/>
      <c r="D139" s="5"/>
      <c r="E139" s="5"/>
      <c r="F139" s="5"/>
      <c r="G139" s="74"/>
      <c r="H139" s="61"/>
      <c r="I139" s="61"/>
      <c r="J139" s="61"/>
      <c r="K139" s="5"/>
      <c r="L139" s="5"/>
      <c r="M139" s="69"/>
      <c r="N139" s="69"/>
    </row>
    <row r="140" s="4" customFormat="1" spans="1:14">
      <c r="A140" s="1"/>
      <c r="B140" s="5"/>
      <c r="C140" s="5"/>
      <c r="D140" s="5"/>
      <c r="E140" s="5"/>
      <c r="F140" s="5"/>
      <c r="G140" s="74"/>
      <c r="H140" s="61"/>
      <c r="I140" s="61"/>
      <c r="J140" s="61"/>
      <c r="K140" s="5"/>
      <c r="L140" s="5"/>
      <c r="M140" s="69"/>
      <c r="N140" s="69"/>
    </row>
    <row r="141" s="4" customFormat="1" spans="1:14">
      <c r="A141" s="1"/>
      <c r="B141" s="5"/>
      <c r="C141" s="38"/>
      <c r="D141" s="5"/>
      <c r="E141" s="5"/>
      <c r="F141" s="5"/>
      <c r="G141" s="71"/>
      <c r="H141" s="72"/>
      <c r="I141" s="72"/>
      <c r="J141" s="72"/>
      <c r="K141" s="72"/>
      <c r="L141" s="72"/>
      <c r="M141" s="69"/>
      <c r="N141" s="69"/>
    </row>
    <row r="142" s="4" customFormat="1" spans="1:14">
      <c r="A142" s="1"/>
      <c r="B142" s="5"/>
      <c r="C142" s="5"/>
      <c r="D142" s="5"/>
      <c r="E142" s="5"/>
      <c r="F142" s="5"/>
      <c r="G142" s="74"/>
      <c r="H142" s="61"/>
      <c r="I142" s="61"/>
      <c r="J142" s="61"/>
      <c r="K142" s="60"/>
      <c r="L142" s="60"/>
      <c r="M142" s="69"/>
      <c r="N142" s="69"/>
    </row>
    <row r="143" s="4" customFormat="1" spans="1:14">
      <c r="A143" s="1"/>
      <c r="B143" s="5"/>
      <c r="C143" s="38"/>
      <c r="D143" s="5"/>
      <c r="E143" s="5"/>
      <c r="F143" s="5"/>
      <c r="G143" s="71"/>
      <c r="H143" s="63"/>
      <c r="I143" s="63"/>
      <c r="J143" s="63"/>
      <c r="K143" s="57"/>
      <c r="L143" s="38"/>
      <c r="M143" s="69"/>
      <c r="N143" s="69"/>
    </row>
    <row r="144" s="4" customFormat="1" spans="1:14">
      <c r="A144" s="1"/>
      <c r="B144" s="5"/>
      <c r="C144" s="38"/>
      <c r="D144" s="5"/>
      <c r="E144" s="5"/>
      <c r="F144" s="5"/>
      <c r="G144" s="75"/>
      <c r="H144" s="76"/>
      <c r="I144" s="76"/>
      <c r="J144" s="76"/>
      <c r="K144" s="38"/>
      <c r="L144" s="38"/>
      <c r="M144" s="69"/>
      <c r="N144" s="69"/>
    </row>
    <row r="145" s="4" customFormat="1" spans="1:14">
      <c r="A145" s="1"/>
      <c r="B145" s="5"/>
      <c r="C145" s="38"/>
      <c r="D145" s="5"/>
      <c r="E145" s="5"/>
      <c r="F145" s="5"/>
      <c r="G145" s="71"/>
      <c r="H145" s="63"/>
      <c r="I145" s="63"/>
      <c r="J145" s="63"/>
      <c r="K145" s="38"/>
      <c r="L145" s="57"/>
      <c r="M145" s="69"/>
      <c r="N145" s="69"/>
    </row>
    <row r="146" s="4" customFormat="1" spans="1:14">
      <c r="A146" s="1"/>
      <c r="B146" s="5"/>
      <c r="C146" s="5"/>
      <c r="D146" s="5"/>
      <c r="E146" s="5"/>
      <c r="F146" s="5"/>
      <c r="G146" s="26"/>
      <c r="H146" s="5"/>
      <c r="I146" s="5"/>
      <c r="J146" s="5"/>
      <c r="K146" s="5"/>
      <c r="L146" s="5"/>
      <c r="M146" s="69"/>
      <c r="N146" s="69"/>
    </row>
    <row r="147" s="4" customFormat="1" spans="1:14">
      <c r="A147" s="1"/>
      <c r="B147" s="5"/>
      <c r="C147" s="38"/>
      <c r="D147" s="5"/>
      <c r="E147" s="5"/>
      <c r="F147" s="5"/>
      <c r="G147" s="56"/>
      <c r="H147" s="77"/>
      <c r="I147" s="77"/>
      <c r="J147" s="77"/>
      <c r="K147" s="77"/>
      <c r="L147" s="77"/>
      <c r="M147" s="69"/>
      <c r="N147" s="69"/>
    </row>
    <row r="148" s="4" customFormat="1" ht="17.6" spans="1:14">
      <c r="A148" s="1"/>
      <c r="B148" s="5"/>
      <c r="C148" s="5"/>
      <c r="D148" s="5"/>
      <c r="E148" s="5"/>
      <c r="F148" s="5"/>
      <c r="G148" s="26"/>
      <c r="H148" s="56"/>
      <c r="I148" s="56"/>
      <c r="J148" s="56"/>
      <c r="K148" s="56"/>
      <c r="L148" s="78"/>
      <c r="M148" s="69"/>
      <c r="N148" s="69"/>
    </row>
    <row r="149" s="4" customFormat="1" ht="17.6" spans="1:14">
      <c r="A149" s="1"/>
      <c r="B149" s="5"/>
      <c r="C149" s="5"/>
      <c r="D149" s="5"/>
      <c r="E149" s="5"/>
      <c r="F149" s="5"/>
      <c r="G149" s="26"/>
      <c r="H149" s="5"/>
      <c r="I149" s="5"/>
      <c r="J149" s="5"/>
      <c r="K149" s="5"/>
      <c r="L149" s="78"/>
      <c r="M149" s="69"/>
      <c r="N149" s="69"/>
    </row>
    <row r="150" s="4" customFormat="1" ht="17.6" spans="1:14">
      <c r="A150" s="1"/>
      <c r="B150" s="5"/>
      <c r="C150" s="5"/>
      <c r="D150" s="5"/>
      <c r="E150" s="5"/>
      <c r="F150" s="5"/>
      <c r="G150" s="26"/>
      <c r="H150" s="5"/>
      <c r="I150" s="5"/>
      <c r="J150" s="5"/>
      <c r="K150" s="5"/>
      <c r="L150" s="78"/>
      <c r="M150" s="69"/>
      <c r="N150" s="69"/>
    </row>
    <row r="151" s="4" customFormat="1" ht="17.6" spans="1:14">
      <c r="A151" s="1"/>
      <c r="B151" s="5"/>
      <c r="C151" s="5"/>
      <c r="D151" s="5"/>
      <c r="E151" s="5"/>
      <c r="F151" s="5"/>
      <c r="G151" s="26"/>
      <c r="H151" s="5"/>
      <c r="I151" s="5"/>
      <c r="J151" s="5"/>
      <c r="K151" s="5"/>
      <c r="L151" s="78"/>
      <c r="M151" s="69"/>
      <c r="N151" s="69"/>
    </row>
    <row r="152" s="4" customFormat="1" ht="17.6" spans="1:14">
      <c r="A152" s="1"/>
      <c r="B152" s="5"/>
      <c r="C152" s="5"/>
      <c r="D152" s="5"/>
      <c r="E152" s="5"/>
      <c r="F152" s="5"/>
      <c r="G152" s="26"/>
      <c r="H152" s="5"/>
      <c r="I152" s="5"/>
      <c r="J152" s="5"/>
      <c r="K152" s="5"/>
      <c r="L152" s="78"/>
      <c r="M152" s="69"/>
      <c r="N152" s="69"/>
    </row>
    <row r="153" s="4" customFormat="1" ht="17.6" spans="1:14">
      <c r="A153" s="1"/>
      <c r="B153" s="5"/>
      <c r="C153" s="5"/>
      <c r="D153" s="5"/>
      <c r="E153" s="5"/>
      <c r="F153" s="5"/>
      <c r="G153" s="26"/>
      <c r="H153" s="5"/>
      <c r="I153" s="5"/>
      <c r="J153" s="5"/>
      <c r="K153" s="5"/>
      <c r="L153" s="79"/>
      <c r="M153" s="69"/>
      <c r="N153" s="69"/>
    </row>
    <row r="154" s="4" customFormat="1" ht="17.6" spans="1:14">
      <c r="A154" s="1"/>
      <c r="B154" s="5"/>
      <c r="C154" s="5"/>
      <c r="D154" s="5"/>
      <c r="E154" s="5"/>
      <c r="F154" s="5"/>
      <c r="G154" s="26"/>
      <c r="H154" s="5"/>
      <c r="I154" s="5"/>
      <c r="J154" s="5"/>
      <c r="K154" s="5"/>
      <c r="L154" s="78"/>
      <c r="M154" s="69"/>
      <c r="N154" s="69"/>
    </row>
    <row r="155" s="4" customFormat="1" ht="17.6" spans="1:14">
      <c r="A155" s="1"/>
      <c r="B155" s="5"/>
      <c r="C155" s="5"/>
      <c r="D155" s="5"/>
      <c r="E155" s="5"/>
      <c r="F155" s="5"/>
      <c r="G155" s="26"/>
      <c r="H155" s="5"/>
      <c r="I155" s="5"/>
      <c r="J155" s="5"/>
      <c r="K155" s="5"/>
      <c r="L155" s="78"/>
      <c r="M155" s="69"/>
      <c r="N155" s="69"/>
    </row>
    <row r="156" s="4" customFormat="1" ht="17.6" spans="1:14">
      <c r="A156" s="1"/>
      <c r="B156" s="5"/>
      <c r="C156" s="5"/>
      <c r="D156" s="5"/>
      <c r="E156" s="5"/>
      <c r="F156" s="5"/>
      <c r="G156" s="26"/>
      <c r="H156" s="5"/>
      <c r="I156" s="5"/>
      <c r="J156" s="5"/>
      <c r="K156" s="5"/>
      <c r="L156" s="78"/>
      <c r="M156" s="69"/>
      <c r="N156" s="69"/>
    </row>
    <row r="157" s="4" customFormat="1" ht="17.6" spans="1:14">
      <c r="A157" s="1"/>
      <c r="B157" s="5"/>
      <c r="C157" s="5"/>
      <c r="D157" s="5"/>
      <c r="E157" s="5"/>
      <c r="F157" s="5"/>
      <c r="G157" s="26"/>
      <c r="H157" s="5"/>
      <c r="I157" s="5"/>
      <c r="J157" s="5"/>
      <c r="K157" s="5"/>
      <c r="L157" s="78"/>
      <c r="M157" s="69"/>
      <c r="N157" s="69"/>
    </row>
    <row r="158" s="4" customFormat="1" ht="17.6" spans="1:14">
      <c r="A158" s="1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78"/>
      <c r="M158" s="69"/>
      <c r="N158" s="69"/>
    </row>
    <row r="159" s="4" customFormat="1" ht="17.6" spans="1:14">
      <c r="A159" s="1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78"/>
      <c r="M159" s="69"/>
      <c r="N159" s="69"/>
    </row>
    <row r="160" s="4" customFormat="1" ht="17.6" spans="1:14">
      <c r="A160" s="1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78"/>
      <c r="M160" s="69"/>
      <c r="N160" s="69"/>
    </row>
    <row r="161" s="4" customFormat="1" ht="17.6" spans="1:14">
      <c r="A161" s="1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78"/>
      <c r="M161" s="69"/>
      <c r="N161" s="69"/>
    </row>
    <row r="162" s="4" customFormat="1" ht="17.6" spans="1:14">
      <c r="A162" s="1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78"/>
      <c r="M162" s="69"/>
      <c r="N162" s="69"/>
    </row>
    <row r="163" s="4" customFormat="1" ht="17.6" spans="1:14">
      <c r="A163" s="1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78"/>
      <c r="M163" s="69"/>
      <c r="N163" s="69"/>
    </row>
    <row r="164" s="4" customFormat="1" ht="17.6" spans="1:14">
      <c r="A164" s="1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78"/>
      <c r="M164" s="69"/>
      <c r="N164" s="69"/>
    </row>
    <row r="165" s="4" customFormat="1" ht="17.6" spans="1:14">
      <c r="A165" s="1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78"/>
      <c r="M165" s="69"/>
      <c r="N165" s="69"/>
    </row>
    <row r="166" s="4" customFormat="1" ht="17.6" spans="1:14">
      <c r="A166" s="1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78"/>
      <c r="M166" s="69"/>
      <c r="N166" s="69"/>
    </row>
    <row r="167" s="4" customFormat="1" ht="17.6" spans="1:14">
      <c r="A167" s="1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78"/>
      <c r="M167" s="69"/>
      <c r="N167" s="69"/>
    </row>
    <row r="168" s="4" customFormat="1" ht="17.6" spans="1:14">
      <c r="A168" s="1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78"/>
      <c r="M168" s="69"/>
      <c r="N168" s="69"/>
    </row>
    <row r="169" s="4" customFormat="1" ht="17.6" spans="1:14">
      <c r="A169" s="1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78"/>
      <c r="M169" s="69"/>
      <c r="N169" s="69"/>
    </row>
    <row r="170" s="4" customFormat="1" ht="17.6" spans="1:14">
      <c r="A170" s="1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78"/>
      <c r="M170" s="69"/>
      <c r="N170" s="69"/>
    </row>
    <row r="171" s="4" customFormat="1" ht="17.6" spans="1:14">
      <c r="A171" s="1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78"/>
      <c r="M171" s="69"/>
      <c r="N171" s="69"/>
    </row>
    <row r="172" s="4" customFormat="1" ht="17.6" spans="1:14">
      <c r="A172" s="1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78"/>
      <c r="M172" s="69"/>
      <c r="N172" s="69"/>
    </row>
    <row r="173" s="4" customFormat="1" ht="17.6" spans="1:14">
      <c r="A173" s="1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78"/>
      <c r="M173" s="69"/>
      <c r="N173" s="69"/>
    </row>
    <row r="174" s="4" customFormat="1" ht="17.6" spans="1:14">
      <c r="A174" s="1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78"/>
      <c r="M174" s="69"/>
      <c r="N174" s="69"/>
    </row>
    <row r="175" s="4" customFormat="1" ht="17.6" spans="1:14">
      <c r="A175" s="1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78"/>
      <c r="M175" s="69"/>
      <c r="N175" s="69"/>
    </row>
    <row r="176" s="4" customFormat="1" ht="17.6" spans="1:14">
      <c r="A176" s="1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78"/>
      <c r="M176" s="69"/>
      <c r="N176" s="69"/>
    </row>
    <row r="177" s="4" customFormat="1" ht="17.6" spans="1:14">
      <c r="A177" s="1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78"/>
      <c r="M177" s="69"/>
      <c r="N177" s="69"/>
    </row>
    <row r="178" s="4" customFormat="1" ht="17.6" spans="1:14">
      <c r="A178" s="1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78"/>
      <c r="M178" s="69"/>
      <c r="N178" s="69"/>
    </row>
    <row r="179" s="4" customFormat="1" ht="17.6" spans="1:14">
      <c r="A179" s="1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78"/>
      <c r="M179" s="69"/>
      <c r="N179" s="69"/>
    </row>
    <row r="180" s="4" customFormat="1" ht="17.6" spans="1:14">
      <c r="A180" s="1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78"/>
      <c r="M180" s="69"/>
      <c r="N180" s="69"/>
    </row>
    <row r="181" s="4" customFormat="1" ht="17.6" spans="1:14">
      <c r="A181" s="1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78"/>
      <c r="M181" s="69"/>
      <c r="N181" s="69"/>
    </row>
    <row r="182" s="4" customFormat="1" ht="17.6" spans="1:14">
      <c r="A182" s="1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78"/>
      <c r="M182" s="69"/>
      <c r="N182" s="69"/>
    </row>
    <row r="183" s="4" customFormat="1" ht="17.6" spans="1:14">
      <c r="A183" s="1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78"/>
      <c r="M183" s="69"/>
      <c r="N183" s="69"/>
    </row>
    <row r="184" s="4" customFormat="1" ht="17.6" spans="1:14">
      <c r="A184" s="1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78"/>
      <c r="M184" s="69"/>
      <c r="N184" s="69"/>
    </row>
    <row r="185" s="4" customFormat="1" ht="17.6" spans="1:14">
      <c r="A185" s="1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78"/>
      <c r="M185" s="69"/>
      <c r="N185" s="69"/>
    </row>
    <row r="186" s="4" customFormat="1" ht="17.6" spans="1:14">
      <c r="A186" s="1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78"/>
      <c r="M186" s="69"/>
      <c r="N186" s="69"/>
    </row>
    <row r="187" s="4" customFormat="1" ht="17.6" spans="1:14">
      <c r="A187" s="1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78"/>
      <c r="M187" s="69"/>
      <c r="N187" s="69"/>
    </row>
    <row r="188" s="4" customFormat="1" ht="17.6" spans="1:14">
      <c r="A188" s="1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78"/>
      <c r="M188" s="69"/>
      <c r="N188" s="69"/>
    </row>
    <row r="189" s="4" customFormat="1" ht="17.6" spans="1:14">
      <c r="A189" s="1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78"/>
      <c r="M189" s="69"/>
      <c r="N189" s="69"/>
    </row>
    <row r="190" s="4" customFormat="1" ht="17.6" spans="1:14">
      <c r="A190" s="1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78"/>
      <c r="M190" s="69"/>
      <c r="N190" s="69"/>
    </row>
    <row r="191" s="4" customFormat="1" ht="17.6" spans="1:14">
      <c r="A191" s="1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78"/>
      <c r="M191" s="69"/>
      <c r="N191" s="69"/>
    </row>
    <row r="192" s="4" customFormat="1" ht="17.6" spans="1:14">
      <c r="A192" s="1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80"/>
      <c r="M192" s="69"/>
      <c r="N192" s="69"/>
    </row>
    <row r="193" s="4" customFormat="1" ht="17.6" spans="1:14">
      <c r="A193" s="1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80"/>
      <c r="M193" s="69"/>
      <c r="N193" s="69"/>
    </row>
    <row r="194" s="4" customFormat="1" ht="17.6" spans="1:14">
      <c r="A194" s="1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80"/>
      <c r="M194" s="69"/>
      <c r="N194" s="69"/>
    </row>
    <row r="195" s="4" customFormat="1" spans="1:14">
      <c r="A195" s="1"/>
      <c r="B195" s="5"/>
      <c r="C195" s="5"/>
      <c r="D195" s="5"/>
      <c r="E195" s="5"/>
      <c r="F195" s="5"/>
      <c r="G195" s="5"/>
      <c r="H195" s="5"/>
      <c r="I195" s="5"/>
      <c r="J195" s="5"/>
      <c r="K195" s="5"/>
      <c r="M195" s="69"/>
      <c r="N195" s="69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5"/>
  <sheetViews>
    <sheetView showGridLines="0" tabSelected="1" zoomScale="81" zoomScaleNormal="81" topLeftCell="A25" workbookViewId="0">
      <selection activeCell="I46" sqref="I46"/>
    </sheetView>
  </sheetViews>
  <sheetFormatPr defaultColWidth="9.14285714285714" defaultRowHeight="16.8"/>
  <cols>
    <col min="1" max="1" width="1.23214285714286" style="1" customWidth="1"/>
    <col min="2" max="3" width="1.23214285714286" style="5" customWidth="1"/>
    <col min="4" max="4" width="40.6428571428571" style="5" customWidth="1"/>
    <col min="5" max="6" width="9.14285714285714" style="5"/>
    <col min="7" max="7" width="2.64285714285714" style="5" customWidth="1"/>
    <col min="8" max="11" width="12.6428571428571" style="5" customWidth="1"/>
    <col min="12" max="12" width="12.6428571428571" style="6" customWidth="1"/>
    <col min="13" max="16384" width="12.6428571428571" style="2" customWidth="1"/>
  </cols>
  <sheetData>
    <row r="1" s="1" customFormat="1" ht="34" customHeight="1" spans="1:17">
      <c r="A1" s="179" t="s">
        <v>0</v>
      </c>
      <c r="B1" s="180"/>
      <c r="C1" s="181"/>
      <c r="D1" s="181"/>
      <c r="E1" s="181"/>
      <c r="F1" s="182"/>
      <c r="G1" s="10"/>
      <c r="H1" s="10"/>
      <c r="I1" s="10"/>
      <c r="J1" s="10"/>
      <c r="K1" s="10"/>
      <c r="L1" s="10"/>
      <c r="M1" s="11"/>
      <c r="N1" s="12"/>
      <c r="O1" s="82"/>
      <c r="P1" s="82"/>
      <c r="Q1" s="82"/>
    </row>
    <row r="2" s="1" customFormat="1" ht="14" customHeight="1" spans="1:17">
      <c r="A2" s="183" t="s">
        <v>272</v>
      </c>
      <c r="B2" s="14"/>
      <c r="C2" s="14"/>
      <c r="D2" s="14"/>
      <c r="E2" s="8"/>
      <c r="F2" s="9"/>
      <c r="G2" s="10"/>
      <c r="H2" s="10"/>
      <c r="I2" s="10"/>
      <c r="J2" s="10"/>
      <c r="K2" s="10"/>
      <c r="L2" s="16"/>
      <c r="M2" s="11"/>
      <c r="N2" s="12"/>
      <c r="O2" s="82"/>
      <c r="P2" s="82"/>
      <c r="Q2" s="82"/>
    </row>
    <row r="3" s="1" customFormat="1" ht="16" customHeight="1" spans="1:17">
      <c r="A3" s="184" t="s">
        <v>273</v>
      </c>
      <c r="B3" s="12"/>
      <c r="C3" s="12"/>
      <c r="D3" s="12"/>
      <c r="E3" s="12"/>
      <c r="F3" s="12"/>
      <c r="G3" s="11"/>
      <c r="H3" s="11"/>
      <c r="I3" s="11"/>
      <c r="J3" s="11"/>
      <c r="K3" s="11"/>
      <c r="L3" s="11"/>
      <c r="M3" s="11"/>
      <c r="N3" s="12"/>
      <c r="O3" s="82"/>
      <c r="P3" s="82"/>
      <c r="Q3" s="82"/>
    </row>
    <row r="4" s="1" customFormat="1" spans="1:17">
      <c r="B4" s="38"/>
      <c r="C4" s="5"/>
      <c r="D4" s="5"/>
      <c r="E4" s="5"/>
      <c r="F4" s="5"/>
      <c r="H4" s="38"/>
      <c r="I4" s="38"/>
      <c r="J4" s="38"/>
      <c r="K4" s="38"/>
      <c r="L4" s="38"/>
      <c r="O4" s="82"/>
      <c r="P4" s="82"/>
      <c r="Q4" s="82"/>
    </row>
    <row r="5" s="1" customFormat="1" ht="20.4" spans="1:17">
      <c r="A5" s="185" t="s">
        <v>274</v>
      </c>
      <c r="B5" s="186"/>
      <c r="C5" s="187"/>
      <c r="D5" s="188"/>
      <c r="E5" s="186"/>
      <c r="F5" s="189"/>
      <c r="G5" s="189"/>
      <c r="H5" s="190"/>
      <c r="I5" s="190"/>
      <c r="J5" s="190"/>
      <c r="K5" s="190"/>
      <c r="L5" s="190"/>
      <c r="M5" s="191"/>
      <c r="N5" s="191"/>
      <c r="O5" s="192"/>
      <c r="P5" s="192"/>
      <c r="Q5" s="192"/>
    </row>
    <row r="6" s="1" customFormat="1" spans="1:17">
      <c r="B6" s="5"/>
      <c r="C6" s="5"/>
      <c r="D6" s="5"/>
      <c r="E6" s="5"/>
      <c r="F6" s="5"/>
      <c r="H6" s="60"/>
      <c r="I6" s="60"/>
      <c r="J6" s="60"/>
      <c r="K6" s="60"/>
      <c r="L6" s="60"/>
      <c r="O6" s="82"/>
      <c r="P6" s="82"/>
      <c r="Q6" s="82"/>
    </row>
    <row r="7" s="1" customFormat="1" ht="17.6" spans="1:17">
      <c r="B7" s="5"/>
      <c r="C7" s="5"/>
      <c r="E7" s="193"/>
      <c r="F7" s="193"/>
      <c r="G7" s="193"/>
      <c r="H7" s="193"/>
      <c r="I7" s="194"/>
      <c r="J7" s="194"/>
      <c r="K7" s="194"/>
      <c r="L7" s="194"/>
      <c r="M7" s="194"/>
      <c r="N7" s="194"/>
      <c r="O7" s="195"/>
      <c r="P7" s="27"/>
      <c r="Q7" s="82"/>
    </row>
    <row r="8" s="1" customFormat="1" ht="17.6" spans="1:17">
      <c r="B8" s="38"/>
      <c r="C8" s="5"/>
      <c r="E8" s="196"/>
      <c r="F8" s="197"/>
      <c r="G8" s="197"/>
      <c r="H8" s="198" t="s">
        <v>54</v>
      </c>
      <c r="I8" s="198" t="s">
        <v>208</v>
      </c>
      <c r="J8" s="198" t="s">
        <v>275</v>
      </c>
      <c r="K8" s="198" t="s">
        <v>275</v>
      </c>
      <c r="L8" s="198" t="s">
        <v>276</v>
      </c>
      <c r="M8" s="198" t="s">
        <v>277</v>
      </c>
      <c r="N8" s="198" t="s">
        <v>278</v>
      </c>
      <c r="O8" s="195"/>
      <c r="P8" s="27"/>
      <c r="Q8" s="82"/>
    </row>
    <row r="9" s="1" customFormat="1" ht="17.6" spans="1:17">
      <c r="B9" s="5"/>
      <c r="C9" s="5"/>
      <c r="D9" s="199" t="s">
        <v>279</v>
      </c>
      <c r="E9" s="200"/>
      <c r="F9" s="200"/>
      <c r="G9" s="201"/>
      <c r="H9" s="202" t="s">
        <v>280</v>
      </c>
      <c r="I9" s="202" t="s">
        <v>181</v>
      </c>
      <c r="J9" s="202" t="s">
        <v>54</v>
      </c>
      <c r="K9" s="202" t="s">
        <v>281</v>
      </c>
      <c r="L9" s="202" t="s">
        <v>282</v>
      </c>
      <c r="M9" s="202" t="s">
        <v>283</v>
      </c>
      <c r="N9" s="202" t="s">
        <v>283</v>
      </c>
      <c r="O9" s="89"/>
      <c r="P9" s="89"/>
    </row>
    <row r="10" s="1" customFormat="1" ht="18" spans="1:17">
      <c r="B10" s="5"/>
      <c r="C10" s="5"/>
      <c r="D10" s="109" t="s">
        <v>284</v>
      </c>
      <c r="E10" s="26"/>
      <c r="F10" s="26"/>
      <c r="G10" s="89"/>
      <c r="H10" s="203">
        <f>Comps!N8</f>
        <v>1134356</v>
      </c>
      <c r="I10" s="127">
        <f>Comps!L8</f>
        <v>46770</v>
      </c>
      <c r="J10" s="204">
        <f>I10/H10</f>
        <v>0.0412304426476344</v>
      </c>
      <c r="K10" s="204">
        <f>I10/(H10+I10)</f>
        <v>0.0395978075158789</v>
      </c>
      <c r="L10" s="205">
        <v>0.3</v>
      </c>
      <c r="M10" s="89">
        <v>0.26</v>
      </c>
      <c r="N10" s="206">
        <f>M10/(1+J10*(1+K10))</f>
        <v>0.249313649643852</v>
      </c>
      <c r="O10" s="89"/>
      <c r="P10" s="89"/>
    </row>
    <row r="11" s="1" customFormat="1" ht="18" spans="1:17">
      <c r="B11" s="5"/>
      <c r="C11" s="5"/>
      <c r="D11" s="109" t="s">
        <v>285</v>
      </c>
      <c r="E11" s="26"/>
      <c r="F11" s="26"/>
      <c r="G11" s="89"/>
      <c r="H11" s="203">
        <f>Comps!N9</f>
        <v>1066200</v>
      </c>
      <c r="I11" s="127">
        <f>Comps!L9</f>
        <v>32130</v>
      </c>
      <c r="J11" s="204">
        <f t="shared" ref="J11:J19" si="0">I11/H11</f>
        <v>0.0301350590883512</v>
      </c>
      <c r="K11" s="204">
        <f t="shared" ref="K11:K19" si="1">I11/(H11+I11)</f>
        <v>0.0292535030455328</v>
      </c>
      <c r="L11" s="205">
        <f>L10</f>
        <v>0.3</v>
      </c>
      <c r="M11" s="89">
        <v>0.4</v>
      </c>
      <c r="N11" s="206">
        <f t="shared" ref="N11:N19" si="2">M11/(1+J11*(1+K11))</f>
        <v>0.387966589606425</v>
      </c>
      <c r="O11" s="89"/>
      <c r="P11" s="89"/>
    </row>
    <row r="12" s="1" customFormat="1" ht="18" spans="1:17">
      <c r="B12" s="5"/>
      <c r="C12" s="5"/>
      <c r="D12" s="109" t="s">
        <v>286</v>
      </c>
      <c r="E12" s="5"/>
      <c r="F12" s="5"/>
      <c r="H12" s="203">
        <f>Comps!N10</f>
        <v>1578482</v>
      </c>
      <c r="I12" s="127">
        <f>Comps!L10</f>
        <v>32020</v>
      </c>
      <c r="J12" s="204">
        <f t="shared" si="0"/>
        <v>0.0202853120909836</v>
      </c>
      <c r="K12" s="204">
        <f t="shared" si="1"/>
        <v>0.0198819995256138</v>
      </c>
      <c r="L12" s="205">
        <f t="shared" ref="L12:L19" si="3">L11</f>
        <v>0.3</v>
      </c>
      <c r="M12" s="1">
        <v>0.14</v>
      </c>
      <c r="N12" s="206">
        <f t="shared" si="2"/>
        <v>0.137162300644955</v>
      </c>
    </row>
    <row r="13" s="1" customFormat="1" ht="18" spans="1:17">
      <c r="B13" s="5"/>
      <c r="C13" s="5"/>
      <c r="D13" s="109" t="s">
        <v>287</v>
      </c>
      <c r="E13" s="5"/>
      <c r="F13" s="5"/>
      <c r="H13" s="203">
        <f>Comps!N11</f>
        <v>1043740</v>
      </c>
      <c r="I13" s="127">
        <f>Comps!L11</f>
        <v>85110</v>
      </c>
      <c r="J13" s="204">
        <f t="shared" si="0"/>
        <v>0.0815432962231974</v>
      </c>
      <c r="K13" s="204">
        <f t="shared" si="1"/>
        <v>0.0753953138149444</v>
      </c>
      <c r="L13" s="205">
        <f t="shared" si="3"/>
        <v>0.3</v>
      </c>
      <c r="M13" s="1">
        <v>0.45</v>
      </c>
      <c r="N13" s="206">
        <f t="shared" si="2"/>
        <v>0.413720334841883</v>
      </c>
    </row>
    <row r="14" s="1" customFormat="1" ht="18" spans="1:17">
      <c r="B14" s="5"/>
      <c r="C14" s="5"/>
      <c r="D14" s="109" t="s">
        <v>288</v>
      </c>
      <c r="E14" s="5"/>
      <c r="F14" s="5"/>
      <c r="H14" s="203">
        <f>Comps!N12</f>
        <v>1033390</v>
      </c>
      <c r="I14" s="127">
        <f>Comps!L12</f>
        <v>54480</v>
      </c>
      <c r="J14" s="204">
        <f t="shared" si="0"/>
        <v>0.0527196895654109</v>
      </c>
      <c r="K14" s="204">
        <f t="shared" si="1"/>
        <v>0.0500795131771259</v>
      </c>
      <c r="L14" s="205">
        <f t="shared" si="3"/>
        <v>0.3</v>
      </c>
      <c r="M14" s="1">
        <v>0.18</v>
      </c>
      <c r="N14" s="206">
        <f t="shared" si="2"/>
        <v>0.170557935550581</v>
      </c>
    </row>
    <row r="15" s="1" customFormat="1" ht="18" spans="1:17">
      <c r="B15" s="5"/>
      <c r="C15" s="5"/>
      <c r="D15" s="109" t="s">
        <v>289</v>
      </c>
      <c r="E15" s="5"/>
      <c r="F15" s="5"/>
      <c r="H15" s="203">
        <f>Comps!N13</f>
        <v>843550</v>
      </c>
      <c r="I15" s="127">
        <f>Comps!L13</f>
        <v>82630</v>
      </c>
      <c r="J15" s="204">
        <f t="shared" si="0"/>
        <v>0.0979550708316045</v>
      </c>
      <c r="K15" s="204">
        <f t="shared" si="1"/>
        <v>0.0892159191517848</v>
      </c>
      <c r="L15" s="205">
        <f t="shared" si="3"/>
        <v>0.3</v>
      </c>
      <c r="M15" s="1">
        <v>0.02</v>
      </c>
      <c r="N15" s="206">
        <f t="shared" si="2"/>
        <v>0.0180718391703663</v>
      </c>
    </row>
    <row r="16" s="1" customFormat="1" ht="18" spans="1:17">
      <c r="B16" s="5"/>
      <c r="C16" s="38"/>
      <c r="D16" s="109" t="s">
        <v>290</v>
      </c>
      <c r="E16" s="5"/>
      <c r="F16" s="5"/>
      <c r="H16" s="203">
        <f>Comps!N14</f>
        <v>538403</v>
      </c>
      <c r="I16" s="127">
        <f>Comps!L14</f>
        <v>1970</v>
      </c>
      <c r="J16" s="204">
        <f t="shared" si="0"/>
        <v>0.00365896921079563</v>
      </c>
      <c r="K16" s="204">
        <f t="shared" si="1"/>
        <v>0.00364562996300703</v>
      </c>
      <c r="L16" s="205">
        <f t="shared" si="3"/>
        <v>0.3</v>
      </c>
      <c r="M16" s="1">
        <v>0.02</v>
      </c>
      <c r="N16" s="206">
        <f t="shared" si="2"/>
        <v>0.0199268225609567</v>
      </c>
    </row>
    <row r="17" s="1" customFormat="1" ht="17.6" spans="1:14">
      <c r="B17" s="5"/>
      <c r="C17" s="38"/>
      <c r="D17" s="119" t="s">
        <v>291</v>
      </c>
      <c r="E17" s="5"/>
      <c r="F17" s="5"/>
      <c r="H17" s="203">
        <f>Comps!N15</f>
        <v>339336</v>
      </c>
      <c r="I17" s="127">
        <f>Comps!L15</f>
        <v>100</v>
      </c>
      <c r="J17" s="204">
        <f t="shared" si="0"/>
        <v>0.000294693165476106</v>
      </c>
      <c r="K17" s="204">
        <f t="shared" si="1"/>
        <v>0.00029460634699914</v>
      </c>
      <c r="L17" s="205">
        <f t="shared" si="3"/>
        <v>0.3</v>
      </c>
      <c r="M17" s="1">
        <v>0.05</v>
      </c>
      <c r="N17" s="206">
        <f t="shared" si="2"/>
        <v>0.0499852653442839</v>
      </c>
    </row>
    <row r="18" s="1" customFormat="1" ht="18" spans="1:14">
      <c r="B18" s="5"/>
      <c r="C18" s="5"/>
      <c r="D18" s="109" t="s">
        <v>292</v>
      </c>
      <c r="E18" s="5"/>
      <c r="F18" s="5"/>
      <c r="H18" s="203">
        <f>Comps!N16</f>
        <v>416530</v>
      </c>
      <c r="I18" s="127">
        <f>Comps!L16</f>
        <v>13630</v>
      </c>
      <c r="J18" s="204">
        <f t="shared" si="0"/>
        <v>0.0327227330564425</v>
      </c>
      <c r="K18" s="204">
        <f t="shared" si="1"/>
        <v>0.0316858843221127</v>
      </c>
      <c r="L18" s="205">
        <f t="shared" si="3"/>
        <v>0.3</v>
      </c>
      <c r="M18" s="1">
        <v>0.05</v>
      </c>
      <c r="N18" s="206">
        <f t="shared" si="2"/>
        <v>0.048367145398919</v>
      </c>
    </row>
    <row r="19" s="1" customFormat="1" ht="18.75" spans="1:14">
      <c r="B19" s="5"/>
      <c r="C19" s="5"/>
      <c r="D19" s="109" t="s">
        <v>293</v>
      </c>
      <c r="E19" s="5"/>
      <c r="F19" s="5"/>
      <c r="H19" s="203">
        <f>Comps!N17</f>
        <v>376160</v>
      </c>
      <c r="I19" s="127">
        <f>Comps!L17</f>
        <v>3140</v>
      </c>
      <c r="J19" s="204">
        <f t="shared" si="0"/>
        <v>0.00834751169715015</v>
      </c>
      <c r="K19" s="204">
        <f t="shared" si="1"/>
        <v>0.00827840759293435</v>
      </c>
      <c r="L19" s="205">
        <f t="shared" si="3"/>
        <v>0.3</v>
      </c>
      <c r="M19" s="1">
        <v>0.49</v>
      </c>
      <c r="N19" s="206">
        <f t="shared" si="2"/>
        <v>0.48591027986048</v>
      </c>
    </row>
    <row r="20" s="1" customFormat="1" ht="17.6" spans="1:14">
      <c r="B20" s="5"/>
      <c r="C20" s="5"/>
      <c r="D20" s="207" t="s">
        <v>233</v>
      </c>
      <c r="E20" s="207"/>
      <c r="F20" s="207"/>
      <c r="G20" s="208"/>
      <c r="H20" s="209"/>
      <c r="I20" s="209"/>
      <c r="J20" s="210">
        <f>AVERAGE(J10:J19)</f>
        <v>0.0368892777577046</v>
      </c>
      <c r="K20" s="210">
        <f>AVERAGE(K10:K19)</f>
        <v>0.0347328584455934</v>
      </c>
      <c r="L20" s="210">
        <f>AVERAGE(L10:L19)</f>
        <v>0.3</v>
      </c>
      <c r="M20" s="211">
        <f>AVERAGE(M10:M19)</f>
        <v>0.206</v>
      </c>
      <c r="N20" s="211">
        <f>AVERAGE(N10:N19)</f>
        <v>0.19809821626227</v>
      </c>
    </row>
    <row r="21" s="1" customFormat="1" ht="17.6" spans="1:14">
      <c r="B21" s="5"/>
      <c r="C21" s="5"/>
      <c r="D21" s="212" t="s">
        <v>294</v>
      </c>
      <c r="E21" s="212"/>
      <c r="F21" s="212"/>
      <c r="G21" s="213"/>
      <c r="H21" s="214"/>
      <c r="I21" s="214"/>
      <c r="J21" s="215">
        <f>MEDIAN(J10:J19)</f>
        <v>0.0314288960723968</v>
      </c>
      <c r="K21" s="215">
        <f>MEDIAN(K10:K19)</f>
        <v>0.0304696936838227</v>
      </c>
      <c r="L21" s="215">
        <f>MEDIAN(L10:L19)</f>
        <v>0.3</v>
      </c>
      <c r="M21" s="216">
        <f>MEDIAN(M10:M19)</f>
        <v>0.16</v>
      </c>
      <c r="N21" s="216">
        <f>MEDIAN(N10:N19)</f>
        <v>0.153860118097768</v>
      </c>
    </row>
    <row r="22" s="1" customFormat="1" ht="17.6" spans="1:14">
      <c r="B22" s="5"/>
      <c r="C22" s="38"/>
      <c r="D22" s="217"/>
      <c r="E22" s="107"/>
      <c r="F22" s="107"/>
      <c r="G22" s="117"/>
      <c r="H22" s="218"/>
      <c r="I22" s="218"/>
      <c r="J22" s="218"/>
      <c r="K22" s="218"/>
      <c r="L22" s="218"/>
      <c r="M22" s="117"/>
      <c r="N22" s="117"/>
    </row>
    <row r="23" s="1" customFormat="1" ht="17.6" spans="1:14">
      <c r="D23" s="219" t="s">
        <v>295</v>
      </c>
      <c r="E23" s="219"/>
      <c r="F23" s="219"/>
      <c r="G23" s="219"/>
      <c r="H23" s="219">
        <f>Comps!K23</f>
        <v>654960</v>
      </c>
      <c r="I23" s="219">
        <f>Comps!L23</f>
        <v>13810</v>
      </c>
      <c r="J23" s="219"/>
      <c r="K23" s="219"/>
      <c r="L23" s="219"/>
      <c r="M23" s="219"/>
      <c r="N23" s="219"/>
    </row>
    <row r="24" s="1" customFormat="1" spans="1:14">
      <c r="B24" s="5"/>
      <c r="C24" s="38"/>
      <c r="D24" s="26"/>
      <c r="E24" s="5"/>
      <c r="F24" s="5"/>
      <c r="H24" s="57"/>
      <c r="I24" s="57"/>
      <c r="J24" s="57"/>
      <c r="K24" s="57"/>
      <c r="L24" s="57"/>
    </row>
    <row r="25" s="1" customFormat="1" spans="1:14">
      <c r="A25" s="12"/>
      <c r="B25" s="19"/>
      <c r="C25" s="19"/>
      <c r="D25" s="220" t="s">
        <v>296</v>
      </c>
      <c r="E25" s="19"/>
      <c r="F25" s="19"/>
      <c r="G25" s="12"/>
      <c r="H25" s="19"/>
      <c r="I25" s="19"/>
      <c r="J25" s="19"/>
      <c r="K25" s="19"/>
      <c r="L25" s="19"/>
      <c r="M25" s="12"/>
      <c r="N25" s="12"/>
    </row>
    <row r="26" spans="1:14">
      <c r="C26" s="58"/>
      <c r="L26" s="221"/>
    </row>
    <row r="27" spans="1:14">
      <c r="C27" s="222" t="s">
        <v>297</v>
      </c>
      <c r="D27" s="222"/>
      <c r="E27" s="222"/>
      <c r="F27" s="222"/>
      <c r="G27" s="222"/>
      <c r="H27" s="222"/>
      <c r="I27" s="223"/>
      <c r="L27" s="221"/>
    </row>
    <row r="28" spans="1:14">
      <c r="C28" s="38"/>
      <c r="L28" s="221"/>
    </row>
    <row r="29" ht="17.6" spans="1:14">
      <c r="D29" s="224" t="s">
        <v>298</v>
      </c>
      <c r="E29" s="225"/>
      <c r="F29" s="225"/>
      <c r="G29" s="225"/>
      <c r="H29" s="225"/>
      <c r="I29" s="226">
        <f>K20</f>
        <v>0.0347328584455934</v>
      </c>
    </row>
    <row r="30" ht="17.6" spans="1:14">
      <c r="D30" s="227" t="s">
        <v>299</v>
      </c>
      <c r="G30" s="59"/>
      <c r="H30" s="59"/>
      <c r="I30" s="228">
        <f>1-I29</f>
        <v>0.965267141554407</v>
      </c>
      <c r="J30" s="59"/>
      <c r="K30" s="60"/>
      <c r="L30" s="60"/>
    </row>
    <row r="31" spans="1:14">
      <c r="G31" s="59"/>
      <c r="H31" s="59"/>
      <c r="I31" s="59"/>
      <c r="J31" s="59"/>
      <c r="K31" s="60"/>
      <c r="L31" s="60"/>
    </row>
    <row r="32" spans="1:14">
      <c r="C32" s="222" t="s">
        <v>300</v>
      </c>
      <c r="D32" s="223"/>
      <c r="E32" s="223"/>
      <c r="F32" s="229"/>
      <c r="G32" s="229"/>
      <c r="H32" s="229"/>
      <c r="I32" s="223"/>
      <c r="J32" s="59"/>
      <c r="K32" s="60"/>
      <c r="L32" s="60"/>
    </row>
    <row r="33" ht="17.6" spans="1:12">
      <c r="D33" s="227" t="s">
        <v>301</v>
      </c>
      <c r="G33" s="59"/>
      <c r="H33" s="59"/>
      <c r="I33" s="59">
        <f>H23</f>
        <v>654960</v>
      </c>
      <c r="J33" s="59"/>
      <c r="K33" s="60"/>
      <c r="L33" s="60"/>
    </row>
    <row r="34" ht="17.6" spans="1:12">
      <c r="D34" s="227" t="s">
        <v>302</v>
      </c>
      <c r="G34" s="59"/>
      <c r="H34" s="59"/>
      <c r="I34" s="59">
        <f>I23</f>
        <v>13810</v>
      </c>
      <c r="J34" s="61"/>
      <c r="L34" s="5"/>
    </row>
    <row r="35" ht="17.6" spans="1:12">
      <c r="D35" s="230" t="s">
        <v>303</v>
      </c>
      <c r="E35" s="231"/>
      <c r="F35" s="231"/>
      <c r="G35" s="232"/>
      <c r="H35" s="232"/>
      <c r="I35" s="233">
        <f>I34/I33</f>
        <v>0.0210852571149383</v>
      </c>
      <c r="J35" s="61"/>
      <c r="L35" s="5"/>
    </row>
    <row r="36" spans="1:12">
      <c r="C36" s="58"/>
      <c r="G36" s="61"/>
      <c r="H36" s="61"/>
      <c r="I36" s="61"/>
      <c r="J36" s="61"/>
      <c r="L36" s="5"/>
    </row>
    <row r="37" spans="1:12">
      <c r="C37" s="222" t="s">
        <v>300</v>
      </c>
      <c r="D37" s="223"/>
      <c r="E37" s="223"/>
      <c r="F37" s="229"/>
      <c r="G37" s="229"/>
      <c r="H37" s="229"/>
      <c r="I37" s="223"/>
      <c r="J37" s="59"/>
      <c r="L37" s="5"/>
    </row>
    <row r="38" ht="17.6" spans="1:12">
      <c r="C38" s="62"/>
      <c r="D38" s="227" t="s">
        <v>304</v>
      </c>
      <c r="G38" s="61"/>
      <c r="H38" s="61"/>
      <c r="I38" s="234">
        <f>Model!M11</f>
        <v>0.0593514019367771</v>
      </c>
      <c r="J38" s="61"/>
      <c r="K38" s="60"/>
      <c r="L38" s="60"/>
    </row>
    <row r="39" ht="17.6" spans="1:12">
      <c r="C39" s="62"/>
      <c r="D39" s="197" t="s">
        <v>220</v>
      </c>
      <c r="G39" s="59"/>
      <c r="H39" s="59"/>
      <c r="I39" s="234">
        <f>Model!M13</f>
        <v>0.133349947402503</v>
      </c>
      <c r="J39" s="59"/>
      <c r="K39" s="60"/>
      <c r="L39" s="60"/>
    </row>
    <row r="40" ht="17.6" spans="1:12">
      <c r="D40" s="235" t="s">
        <v>305</v>
      </c>
      <c r="E40" s="225"/>
      <c r="F40" s="225"/>
      <c r="G40" s="236"/>
      <c r="H40" s="236"/>
      <c r="I40" s="237">
        <f>I38*(1-I39)</f>
        <v>0.0514368956102431</v>
      </c>
      <c r="J40" s="59"/>
      <c r="K40" s="60"/>
      <c r="L40" s="60"/>
    </row>
    <row r="41" spans="1:12">
      <c r="G41" s="61"/>
      <c r="H41" s="61"/>
      <c r="I41" s="61"/>
      <c r="J41" s="61"/>
      <c r="L41" s="5"/>
    </row>
    <row r="42" spans="1:12">
      <c r="C42" s="222" t="s">
        <v>306</v>
      </c>
      <c r="D42" s="223"/>
      <c r="E42" s="223"/>
      <c r="F42" s="229"/>
      <c r="G42" s="229"/>
      <c r="H42" s="229"/>
      <c r="I42" s="223"/>
      <c r="J42" s="61"/>
      <c r="L42" s="60"/>
    </row>
    <row r="43" ht="17.6" spans="1:12">
      <c r="C43" s="38"/>
      <c r="D43" s="227" t="s">
        <v>307</v>
      </c>
      <c r="E43" s="38"/>
      <c r="F43" s="38"/>
      <c r="G43" s="63"/>
      <c r="H43" s="63"/>
      <c r="I43" s="238">
        <v>0.065</v>
      </c>
      <c r="J43" s="63"/>
      <c r="K43" s="57"/>
      <c r="L43" s="57"/>
    </row>
    <row r="44" ht="17.6" spans="1:12">
      <c r="D44" s="227" t="s">
        <v>308</v>
      </c>
      <c r="G44" s="61"/>
      <c r="I44" s="239">
        <f>Market_Data!I8</f>
        <v>0.130388716842143</v>
      </c>
      <c r="L44" s="5"/>
    </row>
    <row r="45" ht="17.6" spans="1:12">
      <c r="C45" s="58"/>
      <c r="D45" s="227" t="s">
        <v>309</v>
      </c>
      <c r="I45" s="239">
        <f>I44-I43</f>
        <v>0.0653887168421429</v>
      </c>
    </row>
    <row r="46" ht="17.6" spans="1:12">
      <c r="D46" s="197" t="s">
        <v>310</v>
      </c>
      <c r="G46" s="59"/>
      <c r="H46" s="59"/>
      <c r="I46" s="240">
        <f>N21*(1+I35)*(1-I39)</f>
        <v>0.13615444833957</v>
      </c>
      <c r="J46" s="59"/>
      <c r="K46" s="60"/>
      <c r="L46" s="60"/>
    </row>
    <row r="47" ht="17.6" spans="1:12">
      <c r="C47" s="64"/>
      <c r="D47" s="224" t="s">
        <v>306</v>
      </c>
      <c r="E47" s="225"/>
      <c r="F47" s="225"/>
      <c r="G47" s="241"/>
      <c r="H47" s="241"/>
      <c r="I47" s="237">
        <f>I43+I46*I45</f>
        <v>0.0739029646692743</v>
      </c>
      <c r="J47" s="61"/>
      <c r="L47" s="60"/>
    </row>
    <row r="48" s="2" customFormat="1" spans="1:12">
      <c r="A48" s="1"/>
      <c r="B48" s="5"/>
      <c r="C48" s="62"/>
      <c r="D48" s="5"/>
      <c r="E48" s="5"/>
      <c r="F48" s="5"/>
      <c r="G48" s="59"/>
      <c r="H48" s="59"/>
      <c r="I48" s="59"/>
      <c r="J48" s="59"/>
      <c r="K48" s="60"/>
      <c r="L48" s="60"/>
    </row>
    <row r="49" s="3" customFormat="1" ht="17.6" spans="1:14">
      <c r="A49" s="1"/>
      <c r="B49" s="5"/>
      <c r="C49" s="62"/>
      <c r="D49" s="242" t="s">
        <v>311</v>
      </c>
      <c r="E49" s="242"/>
      <c r="F49" s="242"/>
      <c r="G49" s="243"/>
      <c r="H49" s="243"/>
      <c r="I49" s="244">
        <f>(I29*I40)+(I47*I30)</f>
        <v>0.0731226538728181</v>
      </c>
      <c r="J49" s="59"/>
      <c r="K49" s="60"/>
      <c r="L49" s="60"/>
      <c r="N49" s="65"/>
    </row>
    <row r="50" s="3" customFormat="1" ht="17.6" spans="1:14">
      <c r="A50" s="1"/>
      <c r="B50" s="5"/>
      <c r="C50" s="62"/>
      <c r="D50" s="5"/>
      <c r="E50" s="5"/>
      <c r="F50" s="5"/>
      <c r="G50" s="59"/>
      <c r="H50" s="59"/>
      <c r="I50" s="59"/>
      <c r="J50" s="59"/>
      <c r="K50" s="60"/>
      <c r="L50" s="60"/>
    </row>
    <row r="51" s="3" customFormat="1" ht="17.6" spans="1:14">
      <c r="A51" s="1"/>
      <c r="B51" s="5"/>
      <c r="C51" s="62"/>
      <c r="D51" s="5"/>
      <c r="E51" s="5"/>
      <c r="F51" s="5"/>
      <c r="G51" s="59"/>
      <c r="H51" s="59"/>
      <c r="I51" s="59"/>
      <c r="J51" s="59"/>
      <c r="K51" s="60"/>
      <c r="L51" s="60"/>
    </row>
    <row r="52" s="3" customFormat="1" ht="17.6" spans="1:14">
      <c r="A52" s="1"/>
      <c r="B52" s="5"/>
      <c r="C52" s="62"/>
      <c r="D52" s="5"/>
      <c r="E52" s="5"/>
      <c r="F52" s="5"/>
      <c r="G52" s="61"/>
      <c r="H52" s="61"/>
      <c r="I52" s="61"/>
      <c r="J52" s="61"/>
      <c r="K52" s="5"/>
      <c r="L52" s="5"/>
    </row>
    <row r="53" s="3" customFormat="1" ht="17.6" spans="1:14">
      <c r="A53" s="1"/>
      <c r="B53" s="5"/>
      <c r="C53" s="62"/>
      <c r="D53" s="5"/>
      <c r="E53" s="5"/>
      <c r="F53" s="5"/>
      <c r="G53" s="59"/>
      <c r="H53" s="59"/>
      <c r="I53" s="61"/>
      <c r="J53" s="59"/>
      <c r="K53" s="60"/>
      <c r="L53" s="60"/>
    </row>
    <row r="54" s="3" customFormat="1" ht="17.6" spans="1:14">
      <c r="A54" s="1"/>
      <c r="B54" s="5"/>
      <c r="C54" s="5"/>
      <c r="D54" s="5"/>
      <c r="E54" s="5"/>
      <c r="F54" s="5"/>
      <c r="G54" s="59"/>
      <c r="H54" s="59"/>
      <c r="I54" s="59"/>
      <c r="J54" s="59"/>
      <c r="K54" s="60"/>
      <c r="L54" s="60"/>
    </row>
    <row r="55" s="3" customFormat="1" ht="17.6" spans="1:14">
      <c r="A55" s="1"/>
      <c r="B55" s="5"/>
      <c r="C55" s="5"/>
      <c r="D55" s="5"/>
      <c r="E55" s="5"/>
      <c r="F55" s="5"/>
      <c r="G55" s="63"/>
      <c r="H55" s="63"/>
      <c r="I55" s="63"/>
      <c r="J55" s="63"/>
      <c r="K55" s="57"/>
      <c r="L55" s="57"/>
    </row>
    <row r="56" s="3" customFormat="1" ht="17.6" spans="1:14">
      <c r="A56" s="1"/>
      <c r="B56" s="5"/>
      <c r="C56" s="5"/>
      <c r="D56" s="5"/>
      <c r="E56" s="5"/>
      <c r="F56" s="5"/>
      <c r="G56" s="61"/>
      <c r="H56" s="61"/>
      <c r="I56" s="61"/>
      <c r="J56" s="59"/>
      <c r="K56" s="5"/>
      <c r="L56" s="60"/>
    </row>
    <row r="57" s="3" customFormat="1" ht="17.6" spans="1:14">
      <c r="A57" s="1"/>
      <c r="B57" s="5"/>
      <c r="C57" s="38"/>
      <c r="D57" s="38"/>
      <c r="E57" s="38"/>
      <c r="F57" s="38"/>
      <c r="G57" s="63"/>
      <c r="H57" s="63"/>
      <c r="I57" s="63"/>
      <c r="J57" s="63"/>
      <c r="K57" s="57"/>
      <c r="L57" s="57"/>
    </row>
    <row r="58" s="3" customFormat="1" ht="17.6" spans="1:14">
      <c r="A58" s="1"/>
      <c r="B58" s="5"/>
      <c r="C58" s="5"/>
      <c r="D58" s="5"/>
      <c r="E58" s="5"/>
      <c r="F58" s="5"/>
      <c r="G58" s="5"/>
      <c r="H58" s="61"/>
      <c r="I58" s="61"/>
      <c r="J58" s="61"/>
      <c r="K58" s="5"/>
      <c r="L58" s="5"/>
    </row>
    <row r="59" s="3" customFormat="1" ht="17.6" spans="1:14">
      <c r="A59" s="1"/>
      <c r="B59" s="5"/>
      <c r="C59" s="38"/>
      <c r="D59" s="5"/>
      <c r="E59" s="5"/>
      <c r="F59" s="5"/>
      <c r="G59" s="61"/>
      <c r="H59" s="59"/>
      <c r="I59" s="59"/>
      <c r="J59" s="59"/>
      <c r="K59" s="5"/>
      <c r="L59" s="5"/>
    </row>
    <row r="60" s="3" customFormat="1" ht="17.6" spans="1:14">
      <c r="A60" s="1"/>
      <c r="B60" s="5"/>
      <c r="C60" s="5"/>
      <c r="D60" s="5"/>
      <c r="E60" s="5"/>
      <c r="F60" s="5"/>
      <c r="G60" s="59"/>
    </row>
    <row r="61" s="3" customFormat="1" ht="17.6" spans="1:14">
      <c r="A61" s="1"/>
      <c r="B61" s="5"/>
      <c r="C61" s="5"/>
      <c r="D61" s="5"/>
      <c r="E61" s="5"/>
      <c r="F61" s="5"/>
      <c r="G61" s="61"/>
      <c r="H61" s="61"/>
      <c r="I61" s="61"/>
      <c r="J61" s="61"/>
      <c r="K61" s="5"/>
      <c r="L61" s="5"/>
    </row>
    <row r="62" s="3" customFormat="1" ht="17.6" spans="1:14">
      <c r="A62" s="1"/>
      <c r="B62" s="5"/>
      <c r="C62" s="5"/>
      <c r="D62" s="5"/>
      <c r="E62" s="5"/>
      <c r="F62" s="5"/>
      <c r="G62" s="59"/>
      <c r="H62" s="59"/>
      <c r="I62" s="59"/>
      <c r="J62" s="59"/>
      <c r="K62" s="60"/>
      <c r="L62" s="60"/>
    </row>
    <row r="63" s="3" customFormat="1" ht="17.6" spans="1:14">
      <c r="A63" s="1"/>
      <c r="B63" s="5"/>
      <c r="C63" s="5"/>
      <c r="D63" s="5"/>
      <c r="E63" s="5"/>
      <c r="F63" s="5"/>
      <c r="G63" s="59"/>
      <c r="H63" s="59"/>
      <c r="I63" s="59"/>
      <c r="J63" s="59"/>
      <c r="K63" s="60"/>
      <c r="L63" s="60"/>
    </row>
    <row r="64" s="3" customFormat="1" ht="17.6" spans="1:14">
      <c r="A64" s="1"/>
      <c r="B64" s="5"/>
      <c r="C64" s="5"/>
      <c r="D64" s="5"/>
      <c r="E64" s="5"/>
      <c r="F64" s="5"/>
      <c r="G64" s="59"/>
      <c r="H64" s="59"/>
      <c r="I64" s="59"/>
      <c r="J64" s="59"/>
      <c r="K64" s="60"/>
      <c r="L64" s="60"/>
    </row>
    <row r="65" s="3" customFormat="1" ht="17.6" spans="1:12">
      <c r="A65" s="1"/>
      <c r="B65" s="5"/>
      <c r="C65" s="38"/>
      <c r="D65" s="38"/>
      <c r="E65" s="38"/>
      <c r="F65" s="38"/>
      <c r="G65" s="63"/>
      <c r="H65" s="63"/>
      <c r="I65" s="63"/>
      <c r="J65" s="63"/>
      <c r="K65" s="57"/>
      <c r="L65" s="57"/>
    </row>
    <row r="66" s="3" customFormat="1" ht="17.6" spans="1:12">
      <c r="A66" s="1"/>
      <c r="B66" s="5"/>
      <c r="C66" s="38"/>
      <c r="D66" s="38"/>
      <c r="E66" s="38"/>
      <c r="F66" s="38"/>
      <c r="G66" s="61"/>
      <c r="H66" s="61"/>
      <c r="I66" s="61"/>
      <c r="J66" s="61"/>
      <c r="K66" s="5"/>
      <c r="L66" s="5"/>
    </row>
    <row r="67" s="3" customFormat="1" ht="17.6" spans="1:12">
      <c r="A67" s="1"/>
      <c r="B67" s="5"/>
      <c r="C67" s="38"/>
      <c r="D67" s="5"/>
      <c r="E67" s="5"/>
      <c r="F67" s="5"/>
      <c r="G67" s="61"/>
      <c r="H67" s="61"/>
      <c r="I67" s="61"/>
      <c r="J67" s="61"/>
      <c r="K67" s="5"/>
      <c r="L67" s="5"/>
    </row>
    <row r="68" s="3" customFormat="1" ht="17.6" spans="1:12">
      <c r="A68" s="1"/>
      <c r="B68" s="5"/>
      <c r="C68" s="38"/>
      <c r="D68" s="5"/>
      <c r="E68" s="5"/>
      <c r="F68" s="5"/>
      <c r="G68" s="61"/>
      <c r="H68" s="5"/>
      <c r="I68" s="5"/>
      <c r="J68" s="5"/>
      <c r="K68" s="5"/>
      <c r="L68" s="5"/>
    </row>
    <row r="69" s="3" customFormat="1" ht="17.6" spans="1:12">
      <c r="A69" s="1"/>
      <c r="B69" s="5"/>
      <c r="C69" s="64"/>
      <c r="D69" s="5"/>
      <c r="E69" s="5"/>
      <c r="F69" s="5"/>
      <c r="G69" s="5"/>
    </row>
    <row r="70" s="3" customFormat="1" ht="17.6" spans="1:12">
      <c r="A70" s="1"/>
      <c r="B70" s="5"/>
      <c r="C70" s="62"/>
      <c r="D70" s="5"/>
      <c r="E70" s="5"/>
      <c r="F70" s="5"/>
      <c r="G70" s="61"/>
      <c r="H70" s="61"/>
      <c r="I70" s="61"/>
      <c r="J70" s="61"/>
      <c r="K70" s="5"/>
      <c r="L70" s="60"/>
    </row>
    <row r="71" s="3" customFormat="1" ht="17.6" spans="1:12">
      <c r="A71" s="1"/>
      <c r="B71" s="5"/>
      <c r="C71" s="62"/>
      <c r="D71" s="5"/>
      <c r="E71" s="5"/>
      <c r="F71" s="5"/>
      <c r="G71" s="61"/>
      <c r="H71" s="61"/>
      <c r="I71" s="61"/>
      <c r="J71" s="61"/>
      <c r="K71" s="60"/>
      <c r="L71" s="60"/>
    </row>
    <row r="72" s="3" customFormat="1" ht="17.6" spans="1:12">
      <c r="A72" s="1"/>
      <c r="B72" s="5"/>
      <c r="C72" s="62"/>
      <c r="D72" s="5"/>
      <c r="E72" s="5"/>
      <c r="F72" s="5"/>
      <c r="G72" s="61"/>
      <c r="H72" s="61"/>
      <c r="I72" s="61"/>
      <c r="J72" s="59"/>
      <c r="K72" s="60"/>
      <c r="L72" s="60"/>
    </row>
    <row r="73" s="3" customFormat="1" ht="17.6" spans="1:12">
      <c r="A73" s="1"/>
      <c r="B73" s="5"/>
      <c r="C73" s="5"/>
      <c r="D73" s="5"/>
      <c r="E73" s="5"/>
      <c r="F73" s="5"/>
      <c r="G73" s="59"/>
      <c r="H73" s="59"/>
      <c r="I73" s="59"/>
      <c r="J73" s="59"/>
      <c r="K73" s="60"/>
      <c r="L73" s="60"/>
    </row>
    <row r="74" s="3" customFormat="1" ht="17.6" spans="1:12">
      <c r="A74" s="1"/>
      <c r="B74" s="5"/>
      <c r="C74" s="5"/>
      <c r="D74" s="5"/>
      <c r="E74" s="5"/>
      <c r="F74" s="5"/>
      <c r="G74" s="61"/>
      <c r="H74" s="61"/>
      <c r="I74" s="61"/>
      <c r="J74" s="61"/>
      <c r="K74" s="5"/>
      <c r="L74" s="5"/>
    </row>
    <row r="75" s="3" customFormat="1" ht="17.6" spans="1:12">
      <c r="A75" s="1"/>
      <c r="B75" s="5"/>
      <c r="C75" s="38"/>
      <c r="D75" s="38"/>
      <c r="E75" s="38"/>
      <c r="F75" s="38"/>
      <c r="G75" s="63"/>
      <c r="H75" s="63"/>
      <c r="I75" s="63"/>
      <c r="J75" s="63"/>
      <c r="K75" s="57"/>
      <c r="L75" s="57"/>
    </row>
    <row r="76" s="3" customFormat="1" ht="17.6" spans="1:12">
      <c r="A76" s="1"/>
      <c r="B76" s="5"/>
      <c r="C76" s="38"/>
      <c r="D76" s="38"/>
      <c r="E76" s="38"/>
      <c r="F76" s="38"/>
      <c r="G76" s="5"/>
      <c r="H76" s="61"/>
      <c r="I76" s="61"/>
      <c r="J76" s="61"/>
      <c r="K76" s="5"/>
      <c r="L76" s="5"/>
    </row>
    <row r="77" s="3" customFormat="1" ht="17.6" spans="1:12">
      <c r="A77" s="1"/>
      <c r="B77" s="5"/>
      <c r="C77" s="38"/>
      <c r="D77" s="5"/>
      <c r="E77" s="5"/>
      <c r="F77" s="5"/>
      <c r="G77" s="61"/>
      <c r="H77" s="5"/>
      <c r="I77" s="5"/>
      <c r="J77" s="5"/>
      <c r="K77" s="5"/>
      <c r="L77" s="5"/>
    </row>
    <row r="78" s="3" customFormat="1" ht="17.6" spans="1:12">
      <c r="A78" s="1"/>
      <c r="B78" s="5"/>
      <c r="C78" s="38"/>
      <c r="D78" s="5"/>
      <c r="E78" s="5"/>
      <c r="F78" s="5"/>
      <c r="G78" s="5"/>
    </row>
    <row r="79" s="3" customFormat="1" ht="17.6" spans="1:12">
      <c r="A79" s="1"/>
      <c r="B79" s="5"/>
      <c r="C79" s="62"/>
      <c r="D79" s="5"/>
      <c r="E79" s="5"/>
      <c r="F79" s="5"/>
      <c r="G79" s="59"/>
      <c r="H79" s="59"/>
      <c r="I79" s="59"/>
      <c r="J79" s="59"/>
      <c r="K79" s="60"/>
      <c r="L79" s="60"/>
    </row>
    <row r="80" s="3" customFormat="1" ht="17.6" spans="1:12">
      <c r="A80" s="1"/>
      <c r="B80" s="5"/>
      <c r="C80" s="62"/>
      <c r="D80" s="5"/>
      <c r="E80" s="5"/>
      <c r="F80" s="5"/>
      <c r="G80" s="59"/>
      <c r="H80" s="59"/>
      <c r="I80" s="59"/>
      <c r="J80" s="61"/>
      <c r="K80" s="5"/>
      <c r="L80" s="5"/>
    </row>
    <row r="81" s="3" customFormat="1" ht="17.6" spans="1:12">
      <c r="A81" s="1"/>
      <c r="B81" s="5"/>
      <c r="C81" s="66"/>
      <c r="D81" s="5"/>
      <c r="E81" s="5"/>
      <c r="F81" s="5"/>
      <c r="G81" s="59"/>
      <c r="H81" s="59"/>
      <c r="I81" s="59"/>
      <c r="J81" s="61"/>
      <c r="K81" s="5"/>
      <c r="L81" s="5"/>
    </row>
    <row r="82" s="3" customFormat="1" ht="17.6" spans="1:12">
      <c r="A82" s="1"/>
      <c r="B82" s="5"/>
      <c r="C82" s="62"/>
      <c r="D82" s="5"/>
      <c r="E82" s="5"/>
      <c r="F82" s="5"/>
      <c r="G82" s="59"/>
      <c r="H82" s="59"/>
      <c r="I82" s="61"/>
      <c r="J82" s="59"/>
      <c r="K82" s="5"/>
      <c r="L82" s="5"/>
    </row>
    <row r="83" s="3" customFormat="1" ht="17.6" spans="1:12">
      <c r="A83" s="1"/>
      <c r="B83" s="5"/>
      <c r="C83" s="62"/>
      <c r="D83" s="5"/>
      <c r="E83" s="5"/>
      <c r="F83" s="5"/>
      <c r="G83" s="59"/>
      <c r="H83" s="59"/>
      <c r="I83" s="59"/>
      <c r="J83" s="59"/>
      <c r="K83" s="60"/>
      <c r="L83" s="60"/>
    </row>
    <row r="84" s="3" customFormat="1" ht="17.6" spans="1:12">
      <c r="A84" s="1"/>
      <c r="B84" s="5"/>
      <c r="C84" s="62"/>
      <c r="D84" s="5"/>
      <c r="E84" s="5"/>
      <c r="F84" s="5"/>
      <c r="G84" s="59"/>
      <c r="H84" s="59"/>
      <c r="I84" s="59"/>
      <c r="J84" s="59"/>
      <c r="K84" s="60"/>
      <c r="L84" s="60"/>
    </row>
    <row r="85" s="3" customFormat="1" ht="17.6" spans="1:12">
      <c r="A85" s="1"/>
      <c r="B85" s="5"/>
      <c r="C85" s="5"/>
      <c r="D85" s="5"/>
      <c r="E85" s="5"/>
      <c r="F85" s="5"/>
      <c r="G85" s="59"/>
      <c r="H85" s="59"/>
      <c r="I85" s="59"/>
      <c r="J85" s="59"/>
      <c r="K85" s="60"/>
      <c r="L85" s="60"/>
    </row>
    <row r="86" s="3" customFormat="1" ht="17.6" spans="1:12">
      <c r="A86" s="1"/>
      <c r="B86" s="5"/>
      <c r="C86" s="5"/>
      <c r="D86" s="5"/>
      <c r="E86" s="5"/>
      <c r="F86" s="5"/>
      <c r="G86" s="59"/>
      <c r="H86" s="59"/>
      <c r="I86" s="59"/>
      <c r="J86" s="59"/>
      <c r="K86" s="60"/>
      <c r="L86" s="60"/>
    </row>
    <row r="87" s="3" customFormat="1" ht="17.6" spans="1:12">
      <c r="A87" s="1"/>
      <c r="B87" s="5"/>
      <c r="C87" s="5"/>
      <c r="D87" s="5"/>
      <c r="E87" s="5"/>
      <c r="F87" s="5"/>
      <c r="G87" s="59"/>
      <c r="H87" s="59"/>
      <c r="I87" s="59"/>
      <c r="J87" s="61"/>
      <c r="K87" s="5"/>
      <c r="L87" s="5"/>
    </row>
    <row r="88" s="3" customFormat="1" ht="17.6" spans="1:12">
      <c r="A88" s="1"/>
      <c r="B88" s="5"/>
      <c r="C88" s="38"/>
      <c r="D88" s="38"/>
      <c r="E88" s="38"/>
      <c r="F88" s="38"/>
      <c r="G88" s="63"/>
      <c r="H88" s="63"/>
      <c r="I88" s="63"/>
      <c r="J88" s="63"/>
      <c r="K88" s="57"/>
      <c r="L88" s="57"/>
    </row>
    <row r="89" s="3" customFormat="1" ht="17.6" spans="1:12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="3" customFormat="1" ht="17.6" spans="1:12">
      <c r="A90" s="1"/>
      <c r="B90" s="5"/>
      <c r="C90" s="38"/>
      <c r="D90" s="38"/>
      <c r="E90" s="38"/>
      <c r="F90" s="38"/>
      <c r="G90" s="63"/>
      <c r="H90" s="63"/>
      <c r="I90" s="63"/>
      <c r="J90" s="63"/>
      <c r="K90" s="57"/>
      <c r="L90" s="57"/>
    </row>
    <row r="91" s="3" customFormat="1" ht="17.6" spans="1:12">
      <c r="A91" s="1"/>
      <c r="B91" s="5"/>
      <c r="C91" s="38"/>
      <c r="D91" s="38"/>
      <c r="E91" s="38"/>
      <c r="F91" s="38"/>
      <c r="G91" s="63"/>
      <c r="H91" s="63"/>
      <c r="I91" s="63"/>
      <c r="J91" s="63"/>
      <c r="K91" s="57"/>
      <c r="L91" s="57"/>
    </row>
    <row r="92" s="3" customFormat="1" ht="17.6" spans="1:12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="3" customFormat="1" ht="17.6" spans="1:12">
      <c r="A93" s="1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="3" customFormat="1" ht="17.6" spans="1:12">
      <c r="A94" s="1"/>
      <c r="B94" s="5"/>
      <c r="C94" s="58"/>
      <c r="D94" s="5"/>
      <c r="E94" s="5"/>
      <c r="F94" s="5"/>
      <c r="G94" s="5"/>
      <c r="H94" s="5"/>
      <c r="I94" s="5"/>
      <c r="J94" s="5"/>
      <c r="K94" s="5"/>
      <c r="L94" s="5"/>
    </row>
    <row r="95" s="3" customFormat="1" ht="17.6" spans="1:12">
      <c r="A95" s="1"/>
      <c r="B95" s="5"/>
      <c r="C95" s="38"/>
      <c r="D95" s="38"/>
      <c r="E95" s="38"/>
      <c r="F95" s="38"/>
      <c r="G95" s="38"/>
      <c r="H95" s="38"/>
      <c r="I95" s="38"/>
      <c r="J95" s="38"/>
      <c r="K95" s="38"/>
      <c r="L95" s="38"/>
    </row>
    <row r="96" s="3" customFormat="1" ht="17.6" spans="1:12">
      <c r="A96" s="1"/>
      <c r="B96" s="5"/>
      <c r="C96" s="38"/>
      <c r="D96" s="38"/>
      <c r="E96" s="38"/>
      <c r="F96" s="38"/>
      <c r="G96" s="63"/>
      <c r="H96" s="63"/>
      <c r="I96" s="63"/>
      <c r="J96" s="63"/>
      <c r="K96" s="57"/>
      <c r="L96" s="57"/>
    </row>
    <row r="97" s="3" customFormat="1" ht="17.6" spans="1:14">
      <c r="A97" s="1"/>
      <c r="B97" s="5"/>
      <c r="C97" s="5"/>
      <c r="D97" s="5"/>
      <c r="E97" s="5"/>
      <c r="F97" s="5"/>
      <c r="G97" s="59"/>
      <c r="H97" s="59"/>
      <c r="I97" s="59"/>
      <c r="J97" s="61"/>
      <c r="K97" s="5"/>
      <c r="L97" s="5"/>
    </row>
    <row r="98" s="3" customFormat="1" ht="17.6" spans="1:14">
      <c r="A98" s="1"/>
      <c r="B98" s="5"/>
      <c r="C98" s="5"/>
      <c r="D98" s="5"/>
      <c r="E98" s="5"/>
      <c r="F98" s="5"/>
      <c r="G98" s="59"/>
      <c r="H98" s="59"/>
      <c r="I98" s="61"/>
      <c r="J98" s="59"/>
      <c r="K98" s="60"/>
      <c r="L98" s="60"/>
    </row>
    <row r="99" s="3" customFormat="1" ht="17.6" spans="1:14">
      <c r="A99" s="1"/>
      <c r="B99" s="5"/>
      <c r="C99" s="5"/>
      <c r="D99" s="5"/>
      <c r="E99" s="5"/>
      <c r="F99" s="5"/>
      <c r="G99" s="61"/>
      <c r="H99" s="61"/>
      <c r="I99" s="61"/>
      <c r="J99" s="61"/>
      <c r="K99" s="5"/>
      <c r="L99" s="5"/>
    </row>
    <row r="100" s="3" customFormat="1" ht="17.6" spans="1:14">
      <c r="A100" s="1"/>
      <c r="B100" s="5"/>
      <c r="C100" s="5"/>
      <c r="D100" s="5"/>
      <c r="E100" s="5"/>
      <c r="F100" s="5"/>
      <c r="G100" s="61"/>
      <c r="H100" s="61"/>
      <c r="I100" s="59"/>
      <c r="J100" s="61"/>
      <c r="K100" s="5"/>
      <c r="L100" s="5"/>
    </row>
    <row r="101" s="3" customFormat="1" ht="17.6" spans="1:14">
      <c r="A101" s="1"/>
      <c r="B101" s="5"/>
      <c r="C101" s="5"/>
      <c r="D101" s="5"/>
      <c r="E101" s="5"/>
      <c r="F101" s="5"/>
      <c r="G101" s="59"/>
      <c r="H101" s="59"/>
      <c r="I101" s="61"/>
      <c r="J101" s="61"/>
      <c r="K101" s="5"/>
      <c r="L101" s="5"/>
    </row>
    <row r="102" s="3" customFormat="1" ht="17.6" spans="1:14">
      <c r="A102" s="1"/>
      <c r="B102" s="5"/>
      <c r="C102" s="5"/>
      <c r="D102" s="5"/>
      <c r="E102" s="5"/>
      <c r="F102" s="5"/>
      <c r="G102" s="61"/>
      <c r="H102" s="61"/>
      <c r="I102" s="61"/>
      <c r="J102" s="61"/>
      <c r="K102" s="5"/>
      <c r="L102" s="5"/>
    </row>
    <row r="103" s="3" customFormat="1" ht="17.6" spans="1:14">
      <c r="A103" s="1"/>
      <c r="B103" s="5"/>
      <c r="C103" s="5"/>
      <c r="D103" s="5"/>
      <c r="E103" s="5"/>
      <c r="F103" s="5"/>
      <c r="G103" s="61"/>
      <c r="H103" s="61"/>
      <c r="I103" s="61"/>
      <c r="J103" s="61"/>
      <c r="K103" s="5"/>
      <c r="L103" s="5"/>
    </row>
    <row r="104" s="3" customFormat="1" ht="17.6" spans="1:14">
      <c r="A104" s="1"/>
      <c r="B104" s="5"/>
      <c r="C104" s="5"/>
      <c r="D104" s="5"/>
      <c r="E104" s="5"/>
      <c r="F104" s="5"/>
      <c r="G104" s="59"/>
      <c r="H104" s="59"/>
      <c r="I104" s="59"/>
      <c r="J104" s="61"/>
      <c r="K104" s="5"/>
      <c r="L104" s="5"/>
    </row>
    <row r="105" s="3" customFormat="1" ht="17.6" spans="1:14">
      <c r="A105" s="1"/>
      <c r="B105" s="5"/>
      <c r="C105" s="5"/>
      <c r="D105" s="5"/>
      <c r="E105" s="5"/>
      <c r="F105" s="5"/>
      <c r="G105" s="61"/>
      <c r="H105" s="61"/>
      <c r="I105" s="59"/>
      <c r="J105" s="61"/>
      <c r="K105" s="5"/>
      <c r="L105" s="5"/>
    </row>
    <row r="106" s="3" customFormat="1" ht="17.6" spans="1:14">
      <c r="A106" s="1"/>
      <c r="B106" s="5"/>
      <c r="C106" s="5"/>
      <c r="D106" s="5"/>
      <c r="E106" s="5"/>
      <c r="F106" s="5"/>
      <c r="G106" s="61"/>
      <c r="H106" s="61"/>
      <c r="I106" s="59"/>
      <c r="J106" s="59"/>
      <c r="K106" s="60"/>
      <c r="L106" s="60"/>
    </row>
    <row r="107" s="3" customFormat="1" ht="17.6" spans="1:14">
      <c r="A107" s="1"/>
      <c r="B107" s="5"/>
      <c r="C107" s="5"/>
      <c r="D107" s="5"/>
      <c r="E107" s="5"/>
      <c r="F107" s="5"/>
      <c r="G107" s="61"/>
      <c r="H107" s="61"/>
      <c r="I107" s="59"/>
      <c r="J107" s="59"/>
      <c r="K107" s="5"/>
      <c r="L107" s="5"/>
    </row>
    <row r="108" s="3" customFormat="1" ht="17.6" spans="1:14">
      <c r="A108" s="1"/>
      <c r="B108" s="5"/>
      <c r="C108" s="5"/>
      <c r="D108" s="5"/>
      <c r="E108" s="5"/>
      <c r="F108" s="5"/>
      <c r="G108" s="61"/>
      <c r="H108" s="61"/>
      <c r="I108" s="59"/>
      <c r="J108" s="59"/>
      <c r="K108" s="60"/>
      <c r="L108" s="60"/>
    </row>
    <row r="109" s="3" customFormat="1" ht="17.6" spans="1:14">
      <c r="A109" s="1"/>
      <c r="B109" s="5"/>
      <c r="C109" s="5"/>
      <c r="D109" s="5"/>
      <c r="E109" s="5"/>
      <c r="F109" s="5"/>
      <c r="G109" s="61"/>
      <c r="H109" s="61"/>
      <c r="I109" s="59"/>
      <c r="J109" s="61"/>
      <c r="K109" s="5"/>
      <c r="L109" s="5"/>
    </row>
    <row r="110" s="3" customFormat="1" ht="17.6" spans="1:14">
      <c r="A110" s="1"/>
      <c r="B110" s="5"/>
      <c r="C110" s="5"/>
      <c r="D110" s="5"/>
      <c r="E110" s="5"/>
      <c r="F110" s="5"/>
      <c r="G110" s="61"/>
      <c r="H110" s="61"/>
      <c r="I110" s="59"/>
      <c r="J110" s="61"/>
      <c r="K110" s="5"/>
      <c r="L110" s="5"/>
    </row>
    <row r="111" s="4" customFormat="1" spans="1:14">
      <c r="A111" s="1"/>
      <c r="B111" s="38"/>
      <c r="C111" s="38"/>
      <c r="D111" s="38"/>
      <c r="E111" s="38"/>
      <c r="F111" s="38"/>
      <c r="G111" s="63"/>
      <c r="H111" s="63"/>
      <c r="I111" s="63"/>
      <c r="J111" s="63"/>
      <c r="K111" s="57"/>
      <c r="L111" s="57"/>
    </row>
    <row r="112" s="4" customFormat="1" spans="1:14">
      <c r="A112" s="1"/>
      <c r="B112" s="38"/>
      <c r="C112" s="38"/>
      <c r="D112" s="38"/>
      <c r="E112" s="38"/>
      <c r="F112" s="38"/>
      <c r="G112" s="63"/>
      <c r="H112" s="63"/>
      <c r="I112" s="63"/>
      <c r="J112" s="63"/>
      <c r="K112" s="57"/>
      <c r="L112" s="57"/>
      <c r="M112" s="67"/>
      <c r="N112" s="67"/>
    </row>
    <row r="113" s="4" customFormat="1" spans="1:14">
      <c r="A113" s="1"/>
      <c r="B113" s="5"/>
      <c r="C113" s="38"/>
      <c r="D113" s="5"/>
      <c r="E113" s="5"/>
      <c r="F113" s="5"/>
      <c r="G113" s="61"/>
      <c r="H113" s="61"/>
      <c r="I113" s="59"/>
      <c r="J113" s="61"/>
      <c r="K113" s="5"/>
      <c r="L113" s="5"/>
      <c r="M113" s="68"/>
      <c r="N113" s="68"/>
    </row>
    <row r="114" s="4" customFormat="1" spans="1:14">
      <c r="A114" s="1"/>
      <c r="B114" s="5"/>
      <c r="C114" s="5"/>
      <c r="D114" s="5"/>
      <c r="E114" s="5"/>
      <c r="F114" s="5"/>
      <c r="G114" s="59"/>
      <c r="H114" s="59"/>
      <c r="I114" s="59"/>
      <c r="J114" s="59"/>
      <c r="K114" s="60"/>
      <c r="L114" s="60"/>
      <c r="M114" s="69"/>
      <c r="N114" s="69"/>
    </row>
    <row r="115" s="4" customFormat="1" spans="1:14">
      <c r="A115" s="1"/>
      <c r="B115" s="5"/>
      <c r="C115" s="5"/>
      <c r="D115" s="5"/>
      <c r="E115" s="5"/>
      <c r="F115" s="5"/>
      <c r="G115" s="61"/>
      <c r="H115" s="61"/>
      <c r="I115" s="61"/>
      <c r="J115" s="61"/>
      <c r="K115" s="60"/>
      <c r="L115" s="5"/>
      <c r="M115" s="69"/>
      <c r="N115" s="69"/>
    </row>
    <row r="116" s="4" customFormat="1" spans="1:14">
      <c r="A116" s="1"/>
      <c r="B116" s="5"/>
      <c r="C116" s="5"/>
      <c r="D116" s="5"/>
      <c r="E116" s="5"/>
      <c r="F116" s="5"/>
      <c r="G116" s="59"/>
      <c r="H116" s="59"/>
      <c r="I116" s="59"/>
      <c r="J116" s="59"/>
      <c r="K116" s="5"/>
      <c r="L116" s="60"/>
      <c r="M116" s="69"/>
      <c r="N116" s="69"/>
    </row>
    <row r="117" s="4" customFormat="1" spans="1:14">
      <c r="A117" s="1"/>
      <c r="B117" s="5"/>
      <c r="C117" s="5"/>
      <c r="D117" s="5"/>
      <c r="E117" s="5"/>
      <c r="F117" s="5"/>
      <c r="G117" s="59"/>
      <c r="H117" s="59"/>
      <c r="I117" s="59"/>
      <c r="J117" s="61"/>
      <c r="K117" s="60"/>
      <c r="L117" s="60"/>
      <c r="M117" s="69"/>
      <c r="N117" s="69"/>
    </row>
    <row r="118" s="4" customFormat="1" spans="1:14">
      <c r="A118" s="1"/>
      <c r="B118" s="5"/>
      <c r="C118" s="5"/>
      <c r="D118" s="5"/>
      <c r="E118" s="5"/>
      <c r="F118" s="5"/>
      <c r="G118" s="61"/>
      <c r="H118" s="61"/>
      <c r="I118" s="61"/>
      <c r="J118" s="61"/>
      <c r="K118" s="60"/>
      <c r="L118" s="5"/>
      <c r="M118" s="69"/>
      <c r="N118" s="69"/>
    </row>
    <row r="119" s="4" customFormat="1" spans="1:14">
      <c r="A119" s="1"/>
      <c r="B119" s="38"/>
      <c r="C119" s="38"/>
      <c r="D119" s="38"/>
      <c r="E119" s="38"/>
      <c r="F119" s="38"/>
      <c r="G119" s="63"/>
      <c r="H119" s="63"/>
      <c r="I119" s="63"/>
      <c r="J119" s="63"/>
      <c r="K119" s="38"/>
      <c r="L119" s="57"/>
      <c r="M119" s="69"/>
      <c r="N119" s="69"/>
    </row>
    <row r="120" s="4" customFormat="1" spans="1:14">
      <c r="A120" s="1"/>
      <c r="B120" s="5"/>
      <c r="C120" s="5"/>
      <c r="D120" s="5"/>
      <c r="E120" s="5"/>
      <c r="F120" s="5"/>
      <c r="G120" s="70"/>
      <c r="H120" s="59"/>
      <c r="I120" s="59"/>
      <c r="J120" s="59"/>
      <c r="K120" s="60"/>
      <c r="L120" s="60"/>
      <c r="M120" s="69"/>
      <c r="N120" s="69"/>
    </row>
    <row r="121" s="4" customFormat="1" spans="1:14">
      <c r="A121" s="1"/>
      <c r="B121" s="5"/>
      <c r="C121" s="5"/>
      <c r="D121" s="5"/>
      <c r="E121" s="5"/>
      <c r="F121" s="5"/>
      <c r="G121" s="70"/>
      <c r="H121" s="59"/>
      <c r="I121" s="59"/>
      <c r="J121" s="59"/>
      <c r="K121" s="60"/>
      <c r="L121" s="60"/>
      <c r="M121" s="69"/>
      <c r="N121" s="69"/>
    </row>
    <row r="122" s="4" customFormat="1" spans="1:14">
      <c r="A122" s="1"/>
      <c r="B122" s="38"/>
      <c r="C122" s="38"/>
      <c r="D122" s="38"/>
      <c r="E122" s="38"/>
      <c r="F122" s="38"/>
      <c r="G122" s="71"/>
      <c r="H122" s="72"/>
      <c r="I122" s="72"/>
      <c r="J122" s="72"/>
      <c r="K122" s="73"/>
      <c r="L122" s="73"/>
      <c r="M122" s="69"/>
      <c r="N122" s="69"/>
    </row>
    <row r="123" s="4" customFormat="1" spans="1:14">
      <c r="A123" s="1"/>
      <c r="B123" s="5"/>
      <c r="C123" s="5"/>
      <c r="D123" s="5"/>
      <c r="E123" s="5"/>
      <c r="F123" s="5"/>
      <c r="G123" s="26"/>
      <c r="H123" s="5"/>
      <c r="I123" s="5"/>
      <c r="J123" s="5"/>
      <c r="K123" s="5"/>
      <c r="L123" s="5"/>
      <c r="M123" s="69"/>
      <c r="N123" s="69"/>
    </row>
    <row r="124" s="4" customFormat="1" spans="1:14">
      <c r="A124" s="1"/>
      <c r="B124" s="5"/>
      <c r="C124" s="5"/>
      <c r="D124" s="5"/>
      <c r="E124" s="5"/>
      <c r="F124" s="5"/>
      <c r="G124" s="70"/>
      <c r="H124" s="59"/>
      <c r="I124" s="59"/>
      <c r="J124" s="59"/>
      <c r="K124" s="60"/>
      <c r="L124" s="60"/>
      <c r="M124" s="69"/>
      <c r="N124" s="69"/>
    </row>
    <row r="125" s="4" customFormat="1" spans="1:14">
      <c r="A125" s="1"/>
      <c r="B125" s="5"/>
      <c r="C125" s="5"/>
      <c r="D125" s="5"/>
      <c r="E125" s="5"/>
      <c r="F125" s="5"/>
      <c r="G125" s="70"/>
      <c r="H125" s="59"/>
      <c r="I125" s="59"/>
      <c r="J125" s="61"/>
      <c r="K125" s="5"/>
      <c r="L125" s="5"/>
      <c r="M125" s="69"/>
      <c r="N125" s="69"/>
    </row>
    <row r="126" s="4" customFormat="1" spans="1:14">
      <c r="A126" s="1"/>
      <c r="B126" s="5"/>
      <c r="C126" s="5"/>
      <c r="D126" s="5"/>
      <c r="E126" s="5"/>
      <c r="F126" s="5"/>
      <c r="G126" s="70"/>
      <c r="H126" s="59"/>
      <c r="I126" s="59"/>
      <c r="J126" s="59"/>
      <c r="K126" s="60"/>
      <c r="L126" s="60"/>
      <c r="M126" s="69"/>
      <c r="N126" s="69"/>
    </row>
    <row r="127" s="4" customFormat="1" spans="1:14">
      <c r="A127" s="1"/>
      <c r="B127" s="5"/>
      <c r="C127" s="5"/>
      <c r="D127" s="5"/>
      <c r="E127" s="5"/>
      <c r="F127" s="5"/>
      <c r="G127" s="70"/>
      <c r="H127" s="59"/>
      <c r="I127" s="59"/>
      <c r="J127" s="59"/>
      <c r="K127" s="60"/>
      <c r="L127" s="60"/>
      <c r="M127" s="69"/>
      <c r="N127" s="69"/>
    </row>
    <row r="128" s="4" customFormat="1" spans="1:14">
      <c r="A128" s="1"/>
      <c r="B128" s="5"/>
      <c r="C128" s="5"/>
      <c r="D128" s="5"/>
      <c r="E128" s="5"/>
      <c r="F128" s="5"/>
      <c r="G128" s="70"/>
      <c r="H128" s="59"/>
      <c r="I128" s="59"/>
      <c r="J128" s="59"/>
      <c r="K128" s="5"/>
      <c r="L128" s="60"/>
      <c r="M128" s="69"/>
      <c r="N128" s="69"/>
    </row>
    <row r="129" s="4" customFormat="1" spans="1:14">
      <c r="A129" s="1"/>
      <c r="B129" s="5"/>
      <c r="C129" s="5"/>
      <c r="D129" s="5"/>
      <c r="E129" s="5"/>
      <c r="F129" s="5"/>
      <c r="G129" s="70"/>
      <c r="H129" s="59"/>
      <c r="I129" s="59"/>
      <c r="J129" s="59"/>
      <c r="K129" s="60"/>
      <c r="L129" s="60"/>
      <c r="M129" s="69"/>
      <c r="N129" s="69"/>
    </row>
    <row r="130" s="4" customFormat="1" spans="1:14">
      <c r="A130" s="1"/>
      <c r="B130" s="5"/>
      <c r="C130" s="5"/>
      <c r="D130" s="5"/>
      <c r="E130" s="5"/>
      <c r="F130" s="5"/>
      <c r="G130" s="74"/>
      <c r="H130" s="61"/>
      <c r="I130" s="61"/>
      <c r="J130" s="61"/>
      <c r="K130" s="5"/>
      <c r="L130" s="5"/>
      <c r="M130" s="69"/>
      <c r="N130" s="69"/>
    </row>
    <row r="131" s="4" customFormat="1" spans="1:14">
      <c r="A131" s="1"/>
      <c r="B131" s="5"/>
      <c r="C131" s="5"/>
      <c r="D131" s="5"/>
      <c r="E131" s="5"/>
      <c r="F131" s="5"/>
      <c r="G131" s="70"/>
      <c r="H131" s="59"/>
      <c r="I131" s="59"/>
      <c r="J131" s="59"/>
      <c r="K131" s="5"/>
      <c r="L131" s="5"/>
      <c r="M131" s="69"/>
      <c r="N131" s="69"/>
    </row>
    <row r="132" s="4" customFormat="1" spans="1:14">
      <c r="A132" s="1"/>
      <c r="B132" s="5"/>
      <c r="C132" s="5"/>
      <c r="D132" s="5"/>
      <c r="E132" s="5"/>
      <c r="F132" s="5"/>
      <c r="G132" s="70"/>
      <c r="H132" s="59"/>
      <c r="I132" s="59"/>
      <c r="J132" s="59"/>
      <c r="K132" s="60"/>
      <c r="L132" s="60"/>
      <c r="M132" s="69"/>
      <c r="N132" s="69"/>
    </row>
    <row r="133" s="4" customFormat="1" spans="1:14">
      <c r="A133" s="1"/>
      <c r="B133" s="5"/>
      <c r="C133" s="38"/>
      <c r="D133" s="5"/>
      <c r="E133" s="5"/>
      <c r="F133" s="5"/>
      <c r="G133" s="71"/>
      <c r="H133" s="72"/>
      <c r="I133" s="72"/>
      <c r="J133" s="72"/>
      <c r="K133" s="72"/>
      <c r="L133" s="72"/>
      <c r="M133" s="69"/>
      <c r="N133" s="69"/>
    </row>
    <row r="134" s="4" customFormat="1" spans="1:14">
      <c r="A134" s="1"/>
      <c r="B134" s="5"/>
      <c r="C134" s="5"/>
      <c r="D134" s="5"/>
      <c r="E134" s="5"/>
      <c r="F134" s="5"/>
      <c r="G134" s="70"/>
      <c r="H134" s="59"/>
      <c r="I134" s="59"/>
      <c r="J134" s="61"/>
      <c r="K134" s="5"/>
      <c r="L134" s="5"/>
      <c r="M134" s="69"/>
      <c r="N134" s="69"/>
    </row>
    <row r="135" s="4" customFormat="1" spans="1:14">
      <c r="A135" s="1"/>
      <c r="B135" s="5"/>
      <c r="C135" s="5"/>
      <c r="D135" s="5"/>
      <c r="E135" s="5"/>
      <c r="F135" s="5"/>
      <c r="G135" s="74"/>
      <c r="H135" s="61"/>
      <c r="I135" s="61"/>
      <c r="J135" s="61"/>
      <c r="K135" s="5"/>
      <c r="L135" s="60"/>
      <c r="M135" s="69"/>
      <c r="N135" s="69"/>
    </row>
    <row r="136" s="4" customFormat="1" spans="1:14">
      <c r="A136" s="1"/>
      <c r="B136" s="5"/>
      <c r="C136" s="5"/>
      <c r="D136" s="5"/>
      <c r="E136" s="5"/>
      <c r="F136" s="5"/>
      <c r="G136" s="70"/>
      <c r="H136" s="59"/>
      <c r="I136" s="59"/>
      <c r="J136" s="59"/>
      <c r="K136" s="60"/>
      <c r="L136" s="60"/>
      <c r="M136" s="69"/>
      <c r="N136" s="69"/>
    </row>
    <row r="137" s="4" customFormat="1" spans="1:14">
      <c r="A137" s="1"/>
      <c r="B137" s="5"/>
      <c r="C137" s="59"/>
      <c r="D137" s="5"/>
      <c r="E137" s="5"/>
      <c r="F137" s="5"/>
      <c r="G137" s="70"/>
      <c r="H137" s="59"/>
      <c r="I137" s="59"/>
      <c r="J137" s="59"/>
      <c r="K137" s="5"/>
      <c r="L137" s="5"/>
      <c r="M137" s="69"/>
      <c r="N137" s="69"/>
    </row>
    <row r="138" s="4" customFormat="1" spans="1:14">
      <c r="A138" s="1"/>
      <c r="B138" s="5"/>
      <c r="C138" s="5"/>
      <c r="D138" s="5"/>
      <c r="E138" s="5"/>
      <c r="F138" s="5"/>
      <c r="G138" s="70"/>
      <c r="H138" s="59"/>
      <c r="I138" s="59"/>
      <c r="J138" s="59"/>
      <c r="K138" s="60"/>
      <c r="L138" s="60"/>
      <c r="M138" s="69"/>
      <c r="N138" s="69"/>
    </row>
    <row r="139" s="4" customFormat="1" spans="1:14">
      <c r="A139" s="1"/>
      <c r="B139" s="5"/>
      <c r="C139" s="5"/>
      <c r="D139" s="5"/>
      <c r="E139" s="5"/>
      <c r="F139" s="5"/>
      <c r="G139" s="74"/>
      <c r="H139" s="61"/>
      <c r="I139" s="61"/>
      <c r="J139" s="61"/>
      <c r="K139" s="5"/>
      <c r="L139" s="5"/>
      <c r="M139" s="69"/>
      <c r="N139" s="69"/>
    </row>
    <row r="140" s="4" customFormat="1" spans="1:14">
      <c r="A140" s="1"/>
      <c r="B140" s="5"/>
      <c r="C140" s="5"/>
      <c r="D140" s="5"/>
      <c r="E140" s="5"/>
      <c r="F140" s="5"/>
      <c r="G140" s="74"/>
      <c r="H140" s="61"/>
      <c r="I140" s="61"/>
      <c r="J140" s="61"/>
      <c r="K140" s="5"/>
      <c r="L140" s="5"/>
      <c r="M140" s="69"/>
      <c r="N140" s="69"/>
    </row>
    <row r="141" s="4" customFormat="1" spans="1:14">
      <c r="A141" s="1"/>
      <c r="B141" s="5"/>
      <c r="C141" s="38"/>
      <c r="D141" s="5"/>
      <c r="E141" s="5"/>
      <c r="F141" s="5"/>
      <c r="G141" s="71"/>
      <c r="H141" s="72"/>
      <c r="I141" s="72"/>
      <c r="J141" s="72"/>
      <c r="K141" s="72"/>
      <c r="L141" s="72"/>
      <c r="M141" s="69"/>
      <c r="N141" s="69"/>
    </row>
    <row r="142" s="4" customFormat="1" spans="1:14">
      <c r="A142" s="1"/>
      <c r="B142" s="5"/>
      <c r="C142" s="5"/>
      <c r="D142" s="5"/>
      <c r="E142" s="5"/>
      <c r="F142" s="5"/>
      <c r="G142" s="74"/>
      <c r="H142" s="61"/>
      <c r="I142" s="61"/>
      <c r="J142" s="61"/>
      <c r="K142" s="60"/>
      <c r="L142" s="60"/>
      <c r="M142" s="69"/>
      <c r="N142" s="69"/>
    </row>
    <row r="143" s="4" customFormat="1" spans="1:14">
      <c r="A143" s="1"/>
      <c r="B143" s="5"/>
      <c r="C143" s="38"/>
      <c r="D143" s="5"/>
      <c r="E143" s="5"/>
      <c r="F143" s="5"/>
      <c r="G143" s="71"/>
      <c r="H143" s="63"/>
      <c r="I143" s="63"/>
      <c r="J143" s="63"/>
      <c r="K143" s="57"/>
      <c r="L143" s="38"/>
      <c r="M143" s="69"/>
      <c r="N143" s="69"/>
    </row>
    <row r="144" s="4" customFormat="1" spans="1:14">
      <c r="A144" s="1"/>
      <c r="B144" s="5"/>
      <c r="C144" s="38"/>
      <c r="D144" s="5"/>
      <c r="E144" s="5"/>
      <c r="F144" s="5"/>
      <c r="G144" s="75"/>
      <c r="H144" s="76"/>
      <c r="I144" s="76"/>
      <c r="J144" s="76"/>
      <c r="K144" s="38"/>
      <c r="L144" s="38"/>
      <c r="M144" s="69"/>
      <c r="N144" s="69"/>
    </row>
    <row r="145" s="4" customFormat="1" spans="1:14">
      <c r="A145" s="1"/>
      <c r="B145" s="5"/>
      <c r="C145" s="38"/>
      <c r="D145" s="5"/>
      <c r="E145" s="5"/>
      <c r="F145" s="5"/>
      <c r="G145" s="71"/>
      <c r="H145" s="63"/>
      <c r="I145" s="63"/>
      <c r="J145" s="63"/>
      <c r="K145" s="38"/>
      <c r="L145" s="57"/>
      <c r="M145" s="69"/>
      <c r="N145" s="69"/>
    </row>
    <row r="146" s="4" customFormat="1" spans="1:14">
      <c r="A146" s="1"/>
      <c r="B146" s="5"/>
      <c r="C146" s="5"/>
      <c r="D146" s="5"/>
      <c r="E146" s="5"/>
      <c r="F146" s="5"/>
      <c r="G146" s="26"/>
      <c r="H146" s="5"/>
      <c r="I146" s="5"/>
      <c r="J146" s="5"/>
      <c r="K146" s="5"/>
      <c r="L146" s="5"/>
      <c r="M146" s="69"/>
      <c r="N146" s="69"/>
    </row>
    <row r="147" s="4" customFormat="1" spans="1:14">
      <c r="A147" s="1"/>
      <c r="B147" s="5"/>
      <c r="C147" s="38"/>
      <c r="D147" s="5"/>
      <c r="E147" s="5"/>
      <c r="F147" s="5"/>
      <c r="G147" s="56"/>
      <c r="H147" s="77"/>
      <c r="I147" s="77"/>
      <c r="J147" s="77"/>
      <c r="K147" s="77"/>
      <c r="L147" s="77"/>
      <c r="M147" s="69"/>
      <c r="N147" s="69"/>
    </row>
    <row r="148" s="4" customFormat="1" ht="17.6" spans="1:14">
      <c r="A148" s="1"/>
      <c r="B148" s="5"/>
      <c r="C148" s="5"/>
      <c r="D148" s="5"/>
      <c r="E148" s="5"/>
      <c r="F148" s="5"/>
      <c r="G148" s="26"/>
      <c r="H148" s="56"/>
      <c r="I148" s="56"/>
      <c r="J148" s="56"/>
      <c r="K148" s="56"/>
      <c r="L148" s="78"/>
      <c r="M148" s="69"/>
      <c r="N148" s="69"/>
    </row>
    <row r="149" s="4" customFormat="1" ht="17.6" spans="1:14">
      <c r="A149" s="1"/>
      <c r="B149" s="5"/>
      <c r="C149" s="5"/>
      <c r="D149" s="5"/>
      <c r="E149" s="5"/>
      <c r="F149" s="5"/>
      <c r="G149" s="26"/>
      <c r="H149" s="5"/>
      <c r="I149" s="5"/>
      <c r="J149" s="5"/>
      <c r="K149" s="5"/>
      <c r="L149" s="78"/>
      <c r="M149" s="69"/>
      <c r="N149" s="69"/>
    </row>
    <row r="150" s="4" customFormat="1" ht="17.6" spans="1:14">
      <c r="A150" s="1"/>
      <c r="B150" s="5"/>
      <c r="C150" s="5"/>
      <c r="D150" s="5"/>
      <c r="E150" s="5"/>
      <c r="F150" s="5"/>
      <c r="G150" s="26"/>
      <c r="H150" s="5"/>
      <c r="I150" s="5"/>
      <c r="J150" s="5"/>
      <c r="K150" s="5"/>
      <c r="L150" s="78"/>
      <c r="M150" s="69"/>
      <c r="N150" s="69"/>
    </row>
    <row r="151" s="4" customFormat="1" ht="17.6" spans="1:14">
      <c r="A151" s="1"/>
      <c r="B151" s="5"/>
      <c r="C151" s="5"/>
      <c r="D151" s="5"/>
      <c r="E151" s="5"/>
      <c r="F151" s="5"/>
      <c r="G151" s="26"/>
      <c r="H151" s="5"/>
      <c r="I151" s="5"/>
      <c r="J151" s="5"/>
      <c r="K151" s="5"/>
      <c r="L151" s="78"/>
      <c r="M151" s="69"/>
      <c r="N151" s="69"/>
    </row>
    <row r="152" s="4" customFormat="1" ht="17.6" spans="1:14">
      <c r="A152" s="1"/>
      <c r="B152" s="5"/>
      <c r="C152" s="5"/>
      <c r="D152" s="5"/>
      <c r="E152" s="5"/>
      <c r="F152" s="5"/>
      <c r="G152" s="26"/>
      <c r="H152" s="5"/>
      <c r="I152" s="5"/>
      <c r="J152" s="5"/>
      <c r="K152" s="5"/>
      <c r="L152" s="78"/>
      <c r="M152" s="69"/>
      <c r="N152" s="69"/>
    </row>
    <row r="153" s="4" customFormat="1" ht="17.6" spans="1:14">
      <c r="A153" s="1"/>
      <c r="B153" s="5"/>
      <c r="C153" s="5"/>
      <c r="D153" s="5"/>
      <c r="E153" s="5"/>
      <c r="F153" s="5"/>
      <c r="G153" s="26"/>
      <c r="H153" s="5"/>
      <c r="I153" s="5"/>
      <c r="J153" s="5"/>
      <c r="K153" s="5"/>
      <c r="L153" s="79"/>
      <c r="M153" s="69"/>
      <c r="N153" s="69"/>
    </row>
    <row r="154" s="4" customFormat="1" ht="17.6" spans="1:14">
      <c r="A154" s="1"/>
      <c r="B154" s="5"/>
      <c r="C154" s="5"/>
      <c r="D154" s="5"/>
      <c r="E154" s="5"/>
      <c r="F154" s="5"/>
      <c r="G154" s="26"/>
      <c r="H154" s="5"/>
      <c r="I154" s="5"/>
      <c r="J154" s="5"/>
      <c r="K154" s="5"/>
      <c r="L154" s="78"/>
      <c r="M154" s="69"/>
      <c r="N154" s="69"/>
    </row>
    <row r="155" s="4" customFormat="1" ht="17.6" spans="1:14">
      <c r="A155" s="1"/>
      <c r="B155" s="5"/>
      <c r="C155" s="5"/>
      <c r="D155" s="5"/>
      <c r="E155" s="5"/>
      <c r="F155" s="5"/>
      <c r="G155" s="26"/>
      <c r="H155" s="5"/>
      <c r="I155" s="5"/>
      <c r="J155" s="5"/>
      <c r="K155" s="5"/>
      <c r="L155" s="78"/>
      <c r="M155" s="69"/>
      <c r="N155" s="69"/>
    </row>
    <row r="156" s="4" customFormat="1" ht="17.6" spans="1:14">
      <c r="A156" s="1"/>
      <c r="B156" s="5"/>
      <c r="C156" s="5"/>
      <c r="D156" s="5"/>
      <c r="E156" s="5"/>
      <c r="F156" s="5"/>
      <c r="G156" s="26"/>
      <c r="H156" s="5"/>
      <c r="I156" s="5"/>
      <c r="J156" s="5"/>
      <c r="K156" s="5"/>
      <c r="L156" s="78"/>
      <c r="M156" s="69"/>
      <c r="N156" s="69"/>
    </row>
    <row r="157" s="4" customFormat="1" ht="17.6" spans="1:14">
      <c r="A157" s="1"/>
      <c r="B157" s="5"/>
      <c r="C157" s="5"/>
      <c r="D157" s="5"/>
      <c r="E157" s="5"/>
      <c r="F157" s="5"/>
      <c r="G157" s="26"/>
      <c r="H157" s="5"/>
      <c r="I157" s="5"/>
      <c r="J157" s="5"/>
      <c r="K157" s="5"/>
      <c r="L157" s="78"/>
      <c r="M157" s="69"/>
      <c r="N157" s="69"/>
    </row>
    <row r="158" s="4" customFormat="1" ht="17.6" spans="1:14">
      <c r="A158" s="1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78"/>
      <c r="M158" s="69"/>
      <c r="N158" s="69"/>
    </row>
    <row r="159" s="4" customFormat="1" ht="17.6" spans="1:14">
      <c r="A159" s="1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78"/>
      <c r="M159" s="69"/>
      <c r="N159" s="69"/>
    </row>
    <row r="160" s="4" customFormat="1" ht="17.6" spans="1:14">
      <c r="A160" s="1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78"/>
      <c r="M160" s="69"/>
      <c r="N160" s="69"/>
    </row>
    <row r="161" s="4" customFormat="1" ht="17.6" spans="1:14">
      <c r="A161" s="1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78"/>
      <c r="M161" s="69"/>
      <c r="N161" s="69"/>
    </row>
    <row r="162" s="4" customFormat="1" ht="17.6" spans="1:14">
      <c r="A162" s="1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78"/>
      <c r="M162" s="69"/>
      <c r="N162" s="69"/>
    </row>
    <row r="163" s="4" customFormat="1" ht="17.6" spans="1:14">
      <c r="A163" s="1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78"/>
      <c r="M163" s="69"/>
      <c r="N163" s="69"/>
    </row>
    <row r="164" s="4" customFormat="1" ht="17.6" spans="1:14">
      <c r="A164" s="1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78"/>
      <c r="M164" s="69"/>
      <c r="N164" s="69"/>
    </row>
    <row r="165" s="4" customFormat="1" ht="17.6" spans="1:14">
      <c r="A165" s="1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78"/>
      <c r="M165" s="69"/>
      <c r="N165" s="69"/>
    </row>
    <row r="166" s="4" customFormat="1" ht="17.6" spans="1:14">
      <c r="A166" s="1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78"/>
      <c r="M166" s="69"/>
      <c r="N166" s="69"/>
    </row>
    <row r="167" s="4" customFormat="1" ht="17.6" spans="1:14">
      <c r="A167" s="1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78"/>
      <c r="M167" s="69"/>
      <c r="N167" s="69"/>
    </row>
    <row r="168" s="4" customFormat="1" ht="17.6" spans="1:14">
      <c r="A168" s="1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78"/>
      <c r="M168" s="69"/>
      <c r="N168" s="69"/>
    </row>
    <row r="169" s="4" customFormat="1" ht="17.6" spans="1:14">
      <c r="A169" s="1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78"/>
      <c r="M169" s="69"/>
      <c r="N169" s="69"/>
    </row>
    <row r="170" s="4" customFormat="1" ht="17.6" spans="1:14">
      <c r="A170" s="1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78"/>
      <c r="M170" s="69"/>
      <c r="N170" s="69"/>
    </row>
    <row r="171" s="4" customFormat="1" ht="17.6" spans="1:14">
      <c r="A171" s="1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78"/>
      <c r="M171" s="69"/>
      <c r="N171" s="69"/>
    </row>
    <row r="172" s="4" customFormat="1" ht="17.6" spans="1:14">
      <c r="A172" s="1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78"/>
      <c r="M172" s="69"/>
      <c r="N172" s="69"/>
    </row>
    <row r="173" s="4" customFormat="1" ht="17.6" spans="1:14">
      <c r="A173" s="1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78"/>
      <c r="M173" s="69"/>
      <c r="N173" s="69"/>
    </row>
    <row r="174" s="4" customFormat="1" ht="17.6" spans="1:14">
      <c r="A174" s="1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78"/>
      <c r="M174" s="69"/>
      <c r="N174" s="69"/>
    </row>
    <row r="175" s="4" customFormat="1" ht="17.6" spans="1:14">
      <c r="A175" s="1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78"/>
      <c r="M175" s="69"/>
      <c r="N175" s="69"/>
    </row>
    <row r="176" s="4" customFormat="1" ht="17.6" spans="1:14">
      <c r="A176" s="1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78"/>
      <c r="M176" s="69"/>
      <c r="N176" s="69"/>
    </row>
    <row r="177" s="4" customFormat="1" ht="17.6" spans="1:14">
      <c r="A177" s="1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78"/>
      <c r="M177" s="69"/>
      <c r="N177" s="69"/>
    </row>
    <row r="178" s="4" customFormat="1" ht="17.6" spans="1:14">
      <c r="A178" s="1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78"/>
      <c r="M178" s="69"/>
      <c r="N178" s="69"/>
    </row>
    <row r="179" s="4" customFormat="1" ht="17.6" spans="1:14">
      <c r="A179" s="1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78"/>
      <c r="M179" s="69"/>
      <c r="N179" s="69"/>
    </row>
    <row r="180" s="4" customFormat="1" ht="17.6" spans="1:14">
      <c r="A180" s="1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78"/>
      <c r="M180" s="69"/>
      <c r="N180" s="69"/>
    </row>
    <row r="181" s="4" customFormat="1" ht="17.6" spans="1:14">
      <c r="A181" s="1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78"/>
      <c r="M181" s="69"/>
      <c r="N181" s="69"/>
    </row>
    <row r="182" s="4" customFormat="1" ht="17.6" spans="1:14">
      <c r="A182" s="1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78"/>
      <c r="M182" s="69"/>
      <c r="N182" s="69"/>
    </row>
    <row r="183" s="4" customFormat="1" ht="17.6" spans="1:14">
      <c r="A183" s="1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78"/>
      <c r="M183" s="69"/>
      <c r="N183" s="69"/>
    </row>
    <row r="184" s="4" customFormat="1" ht="17.6" spans="1:14">
      <c r="A184" s="1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78"/>
      <c r="M184" s="69"/>
      <c r="N184" s="69"/>
    </row>
    <row r="185" s="4" customFormat="1" ht="17.6" spans="1:14">
      <c r="A185" s="1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78"/>
      <c r="M185" s="69"/>
      <c r="N185" s="69"/>
    </row>
    <row r="186" s="4" customFormat="1" ht="17.6" spans="1:14">
      <c r="A186" s="1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78"/>
      <c r="M186" s="69"/>
      <c r="N186" s="69"/>
    </row>
    <row r="187" s="4" customFormat="1" ht="17.6" spans="1:14">
      <c r="A187" s="1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78"/>
      <c r="M187" s="69"/>
      <c r="N187" s="69"/>
    </row>
    <row r="188" s="4" customFormat="1" ht="17.6" spans="1:14">
      <c r="A188" s="1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78"/>
      <c r="M188" s="69"/>
      <c r="N188" s="69"/>
    </row>
    <row r="189" s="4" customFormat="1" ht="17.6" spans="1:14">
      <c r="A189" s="1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78"/>
      <c r="M189" s="69"/>
      <c r="N189" s="69"/>
    </row>
    <row r="190" s="4" customFormat="1" ht="17.6" spans="1:14">
      <c r="A190" s="1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78"/>
      <c r="M190" s="69"/>
      <c r="N190" s="69"/>
    </row>
    <row r="191" s="4" customFormat="1" ht="17.6" spans="1:14">
      <c r="A191" s="1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78"/>
      <c r="M191" s="69"/>
      <c r="N191" s="69"/>
    </row>
    <row r="192" s="4" customFormat="1" ht="17.6" spans="1:14">
      <c r="A192" s="1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80"/>
      <c r="M192" s="69"/>
      <c r="N192" s="69"/>
    </row>
    <row r="193" s="4" customFormat="1" ht="17.6" spans="1:14">
      <c r="A193" s="1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80"/>
      <c r="M193" s="69"/>
      <c r="N193" s="69"/>
    </row>
    <row r="194" s="4" customFormat="1" ht="17.6" spans="1:14">
      <c r="A194" s="1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80"/>
      <c r="M194" s="69"/>
      <c r="N194" s="69"/>
    </row>
    <row r="195" s="4" customFormat="1" spans="1:14">
      <c r="A195" s="1"/>
      <c r="B195" s="5"/>
      <c r="C195" s="5"/>
      <c r="D195" s="5"/>
      <c r="E195" s="5"/>
      <c r="F195" s="5"/>
      <c r="G195" s="5"/>
      <c r="H195" s="5"/>
      <c r="I195" s="5"/>
      <c r="J195" s="5"/>
      <c r="K195" s="5"/>
      <c r="M195" s="69"/>
      <c r="N195" s="69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622"/>
  <sheetViews>
    <sheetView zoomScale="105" zoomScaleNormal="105" workbookViewId="0">
      <selection activeCell="I9" sqref="I9"/>
    </sheetView>
  </sheetViews>
  <sheetFormatPr defaultColWidth="9.14285714285714" defaultRowHeight="16.8"/>
  <cols>
    <col min="1" max="3" width="1.23214285714286" customWidth="1"/>
    <col min="4" max="16384" width="12.6428571428571" customWidth="1"/>
  </cols>
  <sheetData>
    <row r="1" ht="24" customHeight="1" spans="1:22">
      <c r="A1" s="7" t="s">
        <v>0</v>
      </c>
      <c r="B1" s="8"/>
      <c r="C1" s="8"/>
      <c r="D1" s="9"/>
      <c r="E1" s="9"/>
      <c r="F1" s="9"/>
      <c r="G1" s="10"/>
      <c r="H1" s="10"/>
      <c r="I1" s="10"/>
      <c r="J1" s="10"/>
      <c r="K1" s="10"/>
      <c r="L1" s="10"/>
      <c r="M1" s="11"/>
      <c r="N1" s="12"/>
      <c r="O1" s="12"/>
      <c r="P1" s="12"/>
      <c r="Q1" s="12"/>
      <c r="R1" s="12"/>
      <c r="S1" s="12"/>
      <c r="T1" s="12"/>
      <c r="U1" s="12"/>
      <c r="V1" s="12"/>
    </row>
    <row r="2" ht="19" customHeight="1" spans="1:22">
      <c r="A2" s="172" t="s">
        <v>312</v>
      </c>
      <c r="B2" s="14"/>
      <c r="C2" s="14"/>
      <c r="D2" s="15"/>
      <c r="E2" s="9"/>
      <c r="F2" s="9"/>
      <c r="G2" s="10"/>
      <c r="H2" s="10"/>
      <c r="I2" s="10"/>
      <c r="J2" s="10"/>
      <c r="K2" s="10"/>
      <c r="L2" s="16"/>
      <c r="M2" s="11"/>
      <c r="N2" s="12"/>
      <c r="O2" s="12"/>
      <c r="P2" s="12"/>
      <c r="Q2" s="12"/>
      <c r="R2" s="12"/>
      <c r="S2" s="12"/>
      <c r="T2" s="12"/>
      <c r="U2" s="12"/>
      <c r="V2" s="12"/>
    </row>
    <row r="3" spans="1:22">
      <c r="D3" s="173"/>
      <c r="E3" s="173"/>
    </row>
    <row r="4" ht="17.6" spans="1:22">
      <c r="D4" s="174"/>
      <c r="E4" s="174" t="s">
        <v>313</v>
      </c>
      <c r="F4" s="3"/>
      <c r="G4" s="3"/>
    </row>
    <row r="5" ht="17.6" spans="1:22">
      <c r="D5" s="174" t="s">
        <v>229</v>
      </c>
      <c r="E5" s="174" t="s">
        <v>314</v>
      </c>
      <c r="F5" s="3"/>
      <c r="G5" s="3"/>
      <c r="H5" s="2"/>
      <c r="I5" s="2"/>
    </row>
    <row r="6" ht="17.6" spans="1:22">
      <c r="D6" s="175">
        <v>46230</v>
      </c>
      <c r="E6" s="176">
        <v>23995.95</v>
      </c>
      <c r="F6" s="3"/>
      <c r="G6" s="3" t="s">
        <v>315</v>
      </c>
      <c r="I6" s="177">
        <v>9</v>
      </c>
    </row>
    <row r="7" ht="17.6" spans="1:22">
      <c r="D7" s="175">
        <v>46227</v>
      </c>
      <c r="E7" s="176">
        <v>23767.45</v>
      </c>
      <c r="F7" s="3"/>
      <c r="G7" s="3"/>
      <c r="I7" s="2"/>
    </row>
    <row r="8" ht="17.6" spans="1:22">
      <c r="D8" s="175">
        <v>46226</v>
      </c>
      <c r="E8" s="176">
        <v>23869.6</v>
      </c>
      <c r="F8" s="3"/>
      <c r="G8" s="3" t="s">
        <v>316</v>
      </c>
      <c r="I8" s="178">
        <f>_xlfn.RRI(I6,E2622,E6)</f>
        <v>0.130388716842143</v>
      </c>
    </row>
    <row r="9" ht="17.6" spans="1:22">
      <c r="D9" s="175">
        <v>46225</v>
      </c>
      <c r="E9" s="176">
        <v>23996.25</v>
      </c>
      <c r="F9" s="3"/>
      <c r="G9" s="3"/>
      <c r="H9" s="2"/>
      <c r="I9" s="2"/>
    </row>
    <row r="10" ht="17.6" spans="1:22">
      <c r="D10" s="175">
        <v>46224</v>
      </c>
      <c r="E10" s="176">
        <v>24187.7</v>
      </c>
      <c r="F10" s="3"/>
      <c r="G10" s="3"/>
      <c r="H10" s="2"/>
      <c r="I10" s="2"/>
    </row>
    <row r="11" ht="17.6" spans="1:22">
      <c r="D11" s="175">
        <v>46223</v>
      </c>
      <c r="E11" s="176">
        <v>24238.5</v>
      </c>
      <c r="F11" s="3"/>
      <c r="G11" s="3"/>
      <c r="H11" s="2"/>
      <c r="I11" s="2"/>
    </row>
    <row r="12" ht="17.6" spans="1:22">
      <c r="D12" s="175">
        <v>46220</v>
      </c>
      <c r="E12" s="176">
        <v>24334.3</v>
      </c>
      <c r="F12" s="3"/>
      <c r="G12" s="3"/>
    </row>
    <row r="13" ht="17.6" spans="1:22">
      <c r="D13" s="175">
        <v>46219</v>
      </c>
      <c r="E13" s="176">
        <v>24072.75</v>
      </c>
      <c r="F13" s="3"/>
      <c r="G13" s="3"/>
    </row>
    <row r="14" ht="17.6" spans="1:22">
      <c r="D14" s="175">
        <v>46218</v>
      </c>
      <c r="E14" s="176">
        <v>24078.5</v>
      </c>
      <c r="F14" s="3"/>
      <c r="G14" s="3"/>
    </row>
    <row r="15" ht="17.6" spans="1:22">
      <c r="D15" s="175">
        <v>46217</v>
      </c>
      <c r="E15" s="176">
        <v>24052.05</v>
      </c>
      <c r="F15" s="3"/>
      <c r="G15" s="3"/>
    </row>
    <row r="16" ht="17.6" spans="1:22">
      <c r="D16" s="175">
        <v>46216</v>
      </c>
      <c r="E16" s="176">
        <v>24211</v>
      </c>
      <c r="F16" s="3"/>
      <c r="G16" s="3"/>
    </row>
    <row r="17" ht="17.6" spans="4:7">
      <c r="D17" s="175">
        <v>46213</v>
      </c>
      <c r="E17" s="176">
        <v>24206.9</v>
      </c>
      <c r="F17" s="3"/>
      <c r="G17" s="3"/>
    </row>
    <row r="18" ht="17.6" spans="4:7">
      <c r="D18" s="175">
        <v>46212</v>
      </c>
      <c r="E18" s="176">
        <v>23962.8</v>
      </c>
      <c r="F18" s="3"/>
      <c r="G18" s="3"/>
    </row>
    <row r="19" ht="17.6" spans="4:7">
      <c r="D19" s="175">
        <v>46211</v>
      </c>
      <c r="E19" s="176">
        <v>23882.05</v>
      </c>
      <c r="F19" s="3"/>
      <c r="G19" s="3"/>
    </row>
    <row r="20" ht="17.6" spans="4:7">
      <c r="D20" s="175">
        <v>46210</v>
      </c>
      <c r="E20" s="176">
        <v>24398.7</v>
      </c>
      <c r="F20" s="3"/>
      <c r="G20" s="3"/>
    </row>
    <row r="21" ht="17.6" spans="4:7">
      <c r="D21" s="175">
        <v>46209</v>
      </c>
      <c r="E21" s="176">
        <v>24430.35</v>
      </c>
      <c r="F21" s="3"/>
      <c r="G21" s="3"/>
    </row>
    <row r="22" ht="17.6" spans="4:7">
      <c r="D22" s="175">
        <v>46206</v>
      </c>
      <c r="E22" s="176">
        <v>24270.85</v>
      </c>
      <c r="F22" s="3"/>
      <c r="G22" s="3"/>
    </row>
    <row r="23" ht="17.6" spans="4:7">
      <c r="D23" s="175">
        <v>46205</v>
      </c>
      <c r="E23" s="176">
        <v>24175.7</v>
      </c>
      <c r="F23" s="3"/>
      <c r="G23" s="3"/>
    </row>
    <row r="24" ht="17.6" spans="4:7">
      <c r="D24" s="175">
        <v>46204</v>
      </c>
      <c r="E24" s="176">
        <v>24005.85</v>
      </c>
      <c r="F24" s="3"/>
      <c r="G24" s="3"/>
    </row>
    <row r="25" ht="17.6" spans="4:7">
      <c r="D25" s="175">
        <v>46203</v>
      </c>
      <c r="E25" s="176">
        <v>23865.75</v>
      </c>
      <c r="F25" s="3"/>
      <c r="G25" s="3"/>
    </row>
    <row r="26" ht="17.6" spans="4:7">
      <c r="D26" s="175">
        <v>46202</v>
      </c>
      <c r="E26" s="176">
        <v>23946.25</v>
      </c>
      <c r="F26" s="3"/>
      <c r="G26" s="3"/>
    </row>
    <row r="27" ht="17.6" spans="4:7">
      <c r="D27" s="175">
        <v>46198</v>
      </c>
      <c r="E27" s="176">
        <v>24056</v>
      </c>
      <c r="F27" s="3"/>
      <c r="G27" s="3"/>
    </row>
    <row r="28" ht="17.6" spans="4:7">
      <c r="D28" s="175">
        <v>46197</v>
      </c>
      <c r="E28" s="176">
        <v>24021.65</v>
      </c>
      <c r="F28" s="3"/>
      <c r="G28" s="3"/>
    </row>
    <row r="29" ht="17.6" spans="4:7">
      <c r="D29" s="175">
        <v>46196</v>
      </c>
      <c r="E29" s="176">
        <v>23824.1</v>
      </c>
      <c r="F29" s="3"/>
      <c r="G29" s="3"/>
    </row>
    <row r="30" ht="17.6" spans="4:7">
      <c r="D30" s="175">
        <v>46195</v>
      </c>
      <c r="E30" s="176">
        <v>24102.9</v>
      </c>
      <c r="F30" s="3"/>
      <c r="G30" s="3"/>
    </row>
    <row r="31" ht="17.6" spans="4:7">
      <c r="D31" s="175">
        <v>46192</v>
      </c>
      <c r="E31" s="176">
        <v>24013.1</v>
      </c>
      <c r="F31" s="3"/>
      <c r="G31" s="3"/>
    </row>
    <row r="32" ht="17.6" spans="4:7">
      <c r="D32" s="175">
        <v>46191</v>
      </c>
      <c r="E32" s="176">
        <v>24168</v>
      </c>
      <c r="F32" s="3"/>
      <c r="G32" s="3"/>
    </row>
    <row r="33" ht="17.6" spans="4:7">
      <c r="D33" s="175">
        <v>46190</v>
      </c>
      <c r="E33" s="176">
        <v>24085.7</v>
      </c>
      <c r="F33" s="3"/>
      <c r="G33" s="3"/>
    </row>
    <row r="34" ht="17.6" spans="4:7">
      <c r="D34" s="175">
        <v>46189</v>
      </c>
      <c r="E34" s="176">
        <v>23989.15</v>
      </c>
      <c r="F34" s="3"/>
      <c r="G34" s="3"/>
    </row>
    <row r="35" ht="17.6" spans="4:7">
      <c r="D35" s="175">
        <v>46188</v>
      </c>
      <c r="E35" s="176">
        <v>23853.9</v>
      </c>
      <c r="F35" s="3"/>
      <c r="G35" s="3"/>
    </row>
    <row r="36" ht="17.6" spans="4:7">
      <c r="D36" s="175">
        <v>46185</v>
      </c>
      <c r="E36" s="176">
        <v>23622.9</v>
      </c>
      <c r="F36" s="3"/>
      <c r="G36" s="3"/>
    </row>
    <row r="37" ht="17.6" spans="4:7">
      <c r="D37" s="175">
        <v>46184</v>
      </c>
      <c r="E37" s="176">
        <v>23161.6</v>
      </c>
      <c r="F37" s="3"/>
      <c r="G37" s="3"/>
    </row>
    <row r="38" ht="17.6" spans="4:7">
      <c r="D38" s="175">
        <v>46183</v>
      </c>
      <c r="E38" s="176">
        <v>23214.95</v>
      </c>
      <c r="F38" s="3"/>
      <c r="G38" s="3"/>
    </row>
    <row r="39" ht="17.6" spans="4:7">
      <c r="D39" s="175">
        <v>46182</v>
      </c>
      <c r="E39" s="176">
        <v>23242.1</v>
      </c>
      <c r="F39" s="3"/>
      <c r="G39" s="3"/>
    </row>
    <row r="40" ht="17.6" spans="4:7">
      <c r="D40" s="175">
        <v>46181</v>
      </c>
      <c r="E40" s="176">
        <v>23123</v>
      </c>
      <c r="F40" s="3"/>
      <c r="G40" s="3"/>
    </row>
    <row r="41" ht="17.6" spans="4:7">
      <c r="D41" s="175">
        <v>46178</v>
      </c>
      <c r="E41" s="176">
        <v>23366.7</v>
      </c>
      <c r="F41" s="3"/>
      <c r="G41" s="3"/>
    </row>
    <row r="42" ht="17.6" spans="4:7">
      <c r="D42" s="175">
        <v>46177</v>
      </c>
      <c r="E42" s="176">
        <v>23416.55</v>
      </c>
      <c r="F42" s="3"/>
      <c r="G42" s="3"/>
    </row>
    <row r="43" ht="17.6" spans="4:7">
      <c r="D43" s="175">
        <v>46176</v>
      </c>
      <c r="E43" s="176">
        <v>23405.6</v>
      </c>
      <c r="F43" s="3"/>
      <c r="G43" s="3"/>
    </row>
    <row r="44" ht="17.6" spans="4:7">
      <c r="D44" s="175">
        <v>46175</v>
      </c>
      <c r="E44" s="176">
        <v>23483.55</v>
      </c>
      <c r="F44" s="3"/>
      <c r="G44" s="3"/>
    </row>
    <row r="45" ht="17.6" spans="4:7">
      <c r="D45" s="175">
        <v>46174</v>
      </c>
      <c r="E45" s="176">
        <v>23382.6</v>
      </c>
      <c r="F45" s="3"/>
      <c r="G45" s="3"/>
    </row>
    <row r="46" ht="17.6" spans="4:7">
      <c r="D46" s="175">
        <v>46171</v>
      </c>
      <c r="E46" s="176">
        <v>23547.75</v>
      </c>
      <c r="F46" s="3"/>
      <c r="G46" s="3"/>
    </row>
    <row r="47" ht="17.6" spans="4:7">
      <c r="D47" s="175">
        <v>46169</v>
      </c>
      <c r="E47" s="176">
        <v>23907.15</v>
      </c>
      <c r="F47" s="3"/>
      <c r="G47" s="3"/>
    </row>
    <row r="48" ht="17.6" spans="4:7">
      <c r="D48" s="175">
        <v>46168</v>
      </c>
      <c r="E48" s="176">
        <v>23913.7</v>
      </c>
      <c r="F48" s="3"/>
      <c r="G48" s="3"/>
    </row>
    <row r="49" ht="17.6" spans="4:7">
      <c r="D49" s="175">
        <v>46167</v>
      </c>
      <c r="E49" s="176">
        <v>24031.7</v>
      </c>
      <c r="F49" s="3"/>
      <c r="G49" s="3"/>
    </row>
    <row r="50" ht="17.6" spans="4:7">
      <c r="D50" s="175">
        <v>46164</v>
      </c>
      <c r="E50" s="176">
        <v>23719.3</v>
      </c>
      <c r="F50" s="3"/>
      <c r="G50" s="3"/>
    </row>
    <row r="51" ht="17.6" spans="4:7">
      <c r="D51" s="175">
        <v>46163</v>
      </c>
      <c r="E51" s="176">
        <v>23654.7</v>
      </c>
      <c r="F51" s="3"/>
      <c r="G51" s="3"/>
    </row>
    <row r="52" ht="17.6" spans="4:7">
      <c r="D52" s="175">
        <v>46162</v>
      </c>
      <c r="E52" s="176">
        <v>23659</v>
      </c>
      <c r="F52" s="3"/>
      <c r="G52" s="3"/>
    </row>
    <row r="53" ht="17.6" spans="4:7">
      <c r="D53" s="175">
        <v>46161</v>
      </c>
      <c r="E53" s="176">
        <v>23618</v>
      </c>
      <c r="F53" s="3"/>
      <c r="G53" s="3"/>
    </row>
    <row r="54" ht="17.6" spans="4:7">
      <c r="D54" s="175">
        <v>46160</v>
      </c>
      <c r="E54" s="176">
        <v>23649.95</v>
      </c>
      <c r="F54" s="3"/>
      <c r="G54" s="3"/>
    </row>
    <row r="55" ht="17.6" spans="4:7">
      <c r="D55" s="175">
        <v>46157</v>
      </c>
      <c r="E55" s="176">
        <v>23643.5</v>
      </c>
      <c r="F55" s="3"/>
      <c r="G55" s="3"/>
    </row>
    <row r="56" ht="17.6" spans="4:7">
      <c r="D56" s="175">
        <v>46156</v>
      </c>
      <c r="E56" s="176">
        <v>23689.6</v>
      </c>
      <c r="F56" s="3"/>
      <c r="G56" s="3"/>
    </row>
    <row r="57" ht="17.6" spans="4:7">
      <c r="D57" s="175">
        <v>46155</v>
      </c>
      <c r="E57" s="176">
        <v>23412.6</v>
      </c>
      <c r="F57" s="3"/>
      <c r="G57" s="3"/>
    </row>
    <row r="58" ht="17.6" spans="4:7">
      <c r="D58" s="175">
        <v>46154</v>
      </c>
      <c r="E58" s="176">
        <v>23379.55</v>
      </c>
      <c r="F58" s="3"/>
      <c r="G58" s="3"/>
    </row>
    <row r="59" ht="17.6" spans="4:7">
      <c r="D59" s="175">
        <v>46153</v>
      </c>
      <c r="E59" s="176">
        <v>23815.85</v>
      </c>
      <c r="F59" s="3"/>
      <c r="G59" s="3"/>
    </row>
    <row r="60" ht="17.6" spans="4:7">
      <c r="D60" s="175">
        <v>46150</v>
      </c>
      <c r="E60" s="176">
        <v>24176.15</v>
      </c>
      <c r="F60" s="3"/>
      <c r="G60" s="3"/>
    </row>
    <row r="61" ht="17.6" spans="4:7">
      <c r="D61" s="175">
        <v>46149</v>
      </c>
      <c r="E61" s="176">
        <v>24326.65</v>
      </c>
      <c r="F61" s="3"/>
      <c r="G61" s="3"/>
    </row>
    <row r="62" ht="17.6" spans="4:7">
      <c r="D62" s="175">
        <v>46148</v>
      </c>
      <c r="E62" s="176">
        <v>24330.95</v>
      </c>
      <c r="F62" s="3"/>
      <c r="G62" s="3"/>
    </row>
    <row r="63" ht="17.6" spans="4:7">
      <c r="D63" s="175">
        <v>46147</v>
      </c>
      <c r="E63" s="176">
        <v>24032.8</v>
      </c>
      <c r="F63" s="3"/>
      <c r="G63" s="3"/>
    </row>
    <row r="64" ht="17.6" spans="4:7">
      <c r="D64" s="175">
        <v>46146</v>
      </c>
      <c r="E64" s="176">
        <v>24119.3</v>
      </c>
      <c r="F64" s="3"/>
      <c r="G64" s="3"/>
    </row>
    <row r="65" ht="17.6" spans="4:7">
      <c r="D65" s="175">
        <v>46142</v>
      </c>
      <c r="E65" s="176">
        <v>23997.55</v>
      </c>
      <c r="F65" s="3"/>
      <c r="G65" s="3"/>
    </row>
    <row r="66" ht="17.6" spans="4:7">
      <c r="D66" s="175">
        <v>46141</v>
      </c>
      <c r="E66" s="176">
        <v>24177.65</v>
      </c>
      <c r="F66" s="3"/>
      <c r="G66" s="3"/>
    </row>
    <row r="67" ht="17.6" spans="4:7">
      <c r="D67" s="175">
        <v>46140</v>
      </c>
      <c r="E67" s="176">
        <v>23995.7</v>
      </c>
      <c r="F67" s="3"/>
      <c r="G67" s="3"/>
    </row>
    <row r="68" ht="17.6" spans="4:7">
      <c r="D68" s="175">
        <v>46139</v>
      </c>
      <c r="E68" s="176">
        <v>24092.7</v>
      </c>
      <c r="F68" s="3"/>
      <c r="G68" s="3"/>
    </row>
    <row r="69" ht="17.6" spans="4:7">
      <c r="D69" s="175">
        <v>46136</v>
      </c>
      <c r="E69" s="176">
        <v>23897.95</v>
      </c>
      <c r="F69" s="3"/>
      <c r="G69" s="3"/>
    </row>
    <row r="70" ht="17.6" spans="4:7">
      <c r="D70" s="175">
        <v>46135</v>
      </c>
      <c r="E70" s="176">
        <v>24173.05</v>
      </c>
      <c r="F70" s="3"/>
      <c r="G70" s="3"/>
    </row>
    <row r="71" ht="17.6" spans="4:7">
      <c r="D71" s="175">
        <v>46134</v>
      </c>
      <c r="E71" s="176">
        <v>24378.1</v>
      </c>
      <c r="F71" s="3"/>
      <c r="G71" s="3"/>
    </row>
    <row r="72" ht="17.6" spans="4:7">
      <c r="D72" s="175">
        <v>46133</v>
      </c>
      <c r="E72" s="176">
        <v>24576.6</v>
      </c>
      <c r="F72" s="3"/>
      <c r="G72" s="3"/>
    </row>
    <row r="73" ht="17.6" spans="4:7">
      <c r="D73" s="175">
        <v>46132</v>
      </c>
      <c r="E73" s="176">
        <v>24364.85</v>
      </c>
      <c r="F73" s="3"/>
      <c r="G73" s="3"/>
    </row>
    <row r="74" ht="17.6" spans="4:7">
      <c r="D74" s="175">
        <v>46129</v>
      </c>
      <c r="E74" s="176">
        <v>24353.55</v>
      </c>
      <c r="F74" s="3"/>
      <c r="G74" s="3"/>
    </row>
    <row r="75" ht="17.6" spans="4:7">
      <c r="D75" s="175">
        <v>46128</v>
      </c>
      <c r="E75" s="176">
        <v>24196.75</v>
      </c>
      <c r="F75" s="3"/>
      <c r="G75" s="3"/>
    </row>
    <row r="76" ht="17.6" spans="4:7">
      <c r="D76" s="175">
        <v>46127</v>
      </c>
      <c r="E76" s="176">
        <v>24231.3</v>
      </c>
      <c r="F76" s="3"/>
      <c r="G76" s="3"/>
    </row>
    <row r="77" ht="17.6" spans="4:7">
      <c r="D77" s="175">
        <v>46125</v>
      </c>
      <c r="E77" s="176">
        <v>23842.65</v>
      </c>
      <c r="F77" s="3"/>
      <c r="G77" s="3"/>
    </row>
    <row r="78" ht="17.6" spans="4:7">
      <c r="D78" s="175">
        <v>46122</v>
      </c>
      <c r="E78" s="176">
        <v>24050.6</v>
      </c>
      <c r="F78" s="3"/>
      <c r="G78" s="3"/>
    </row>
    <row r="79" ht="17.6" spans="4:7">
      <c r="D79" s="175">
        <v>46121</v>
      </c>
      <c r="E79" s="176">
        <v>23775.1</v>
      </c>
      <c r="F79" s="3"/>
      <c r="G79" s="3"/>
    </row>
    <row r="80" ht="17.6" spans="4:7">
      <c r="D80" s="175">
        <v>46120</v>
      </c>
      <c r="E80" s="176">
        <v>23997.35</v>
      </c>
      <c r="F80" s="3"/>
      <c r="G80" s="3"/>
    </row>
    <row r="81" ht="17.6" spans="4:7">
      <c r="D81" s="175">
        <v>46119</v>
      </c>
      <c r="E81" s="176">
        <v>23123.65</v>
      </c>
      <c r="F81" s="3"/>
      <c r="G81" s="3"/>
    </row>
    <row r="82" ht="17.6" spans="4:7">
      <c r="D82" s="175">
        <v>46118</v>
      </c>
      <c r="E82" s="176">
        <v>22968.25</v>
      </c>
      <c r="F82" s="3"/>
      <c r="G82" s="3"/>
    </row>
    <row r="83" ht="17.6" spans="4:7">
      <c r="D83" s="175">
        <v>46114</v>
      </c>
      <c r="E83" s="176">
        <v>22713.1</v>
      </c>
      <c r="F83" s="3"/>
      <c r="G83" s="3"/>
    </row>
    <row r="84" ht="17.6" spans="4:7">
      <c r="D84" s="175">
        <v>46113</v>
      </c>
      <c r="E84" s="176">
        <v>22679.4</v>
      </c>
      <c r="F84" s="3"/>
      <c r="G84" s="3"/>
    </row>
    <row r="85" ht="17.6" spans="4:7">
      <c r="D85" s="175">
        <v>46111</v>
      </c>
      <c r="E85" s="176">
        <v>22331.4</v>
      </c>
      <c r="F85" s="3"/>
      <c r="G85" s="3"/>
    </row>
    <row r="86" ht="17.6" spans="4:7">
      <c r="D86" s="175">
        <v>46108</v>
      </c>
      <c r="E86" s="176">
        <v>22819.6</v>
      </c>
      <c r="F86" s="3"/>
      <c r="G86" s="3"/>
    </row>
    <row r="87" ht="17.6" spans="4:7">
      <c r="D87" s="175">
        <v>46106</v>
      </c>
      <c r="E87" s="176">
        <v>23306.45</v>
      </c>
      <c r="F87" s="3"/>
      <c r="G87" s="3"/>
    </row>
    <row r="88" ht="17.6" spans="4:7">
      <c r="D88" s="175">
        <v>46105</v>
      </c>
      <c r="E88" s="176">
        <v>22912.4</v>
      </c>
      <c r="F88" s="3"/>
      <c r="G88" s="3"/>
    </row>
    <row r="89" ht="17.6" spans="4:7">
      <c r="D89" s="175">
        <v>46104</v>
      </c>
      <c r="E89" s="176">
        <v>22512.65</v>
      </c>
      <c r="F89" s="3"/>
      <c r="G89" s="3"/>
    </row>
    <row r="90" ht="17.6" spans="4:7">
      <c r="D90" s="175">
        <v>46101</v>
      </c>
      <c r="E90" s="176">
        <v>23114.5</v>
      </c>
      <c r="F90" s="3"/>
      <c r="G90" s="3"/>
    </row>
    <row r="91" ht="17.6" spans="4:7">
      <c r="D91" s="175">
        <v>46100</v>
      </c>
      <c r="E91" s="176">
        <v>23002.15</v>
      </c>
      <c r="F91" s="3"/>
      <c r="G91" s="3"/>
    </row>
    <row r="92" ht="17.6" spans="4:7">
      <c r="D92" s="175">
        <v>46099</v>
      </c>
      <c r="E92" s="176">
        <v>23777.8</v>
      </c>
      <c r="F92" s="3"/>
      <c r="G92" s="3"/>
    </row>
    <row r="93" ht="17.6" spans="4:7">
      <c r="D93" s="175">
        <v>46098</v>
      </c>
      <c r="E93" s="176">
        <v>23581.15</v>
      </c>
      <c r="F93" s="3"/>
      <c r="G93" s="3"/>
    </row>
    <row r="94" ht="17.6" spans="4:7">
      <c r="D94" s="175">
        <v>46097</v>
      </c>
      <c r="E94" s="176">
        <v>23408.8</v>
      </c>
      <c r="F94" s="3"/>
      <c r="G94" s="3"/>
    </row>
    <row r="95" ht="17.6" spans="4:7">
      <c r="D95" s="175">
        <v>46094</v>
      </c>
      <c r="E95" s="176">
        <v>23151.1</v>
      </c>
      <c r="F95" s="3"/>
      <c r="G95" s="3"/>
    </row>
    <row r="96" ht="17.6" spans="4:7">
      <c r="D96" s="175">
        <v>46093</v>
      </c>
      <c r="E96" s="176">
        <v>23639.15</v>
      </c>
      <c r="F96" s="3"/>
      <c r="G96" s="3"/>
    </row>
    <row r="97" ht="17.6" spans="4:7">
      <c r="D97" s="175">
        <v>46092</v>
      </c>
      <c r="E97" s="176">
        <v>23866.85</v>
      </c>
      <c r="F97" s="3"/>
      <c r="G97" s="3"/>
    </row>
    <row r="98" ht="17.6" spans="4:7">
      <c r="D98" s="175">
        <v>46091</v>
      </c>
      <c r="E98" s="176">
        <v>24261.6</v>
      </c>
      <c r="F98" s="3"/>
      <c r="G98" s="3"/>
    </row>
    <row r="99" ht="17.6" spans="4:7">
      <c r="D99" s="175">
        <v>46090</v>
      </c>
      <c r="E99" s="176">
        <v>24028.05</v>
      </c>
      <c r="F99" s="3"/>
      <c r="G99" s="3"/>
    </row>
    <row r="100" ht="17.6" spans="4:7">
      <c r="D100" s="175">
        <v>46087</v>
      </c>
      <c r="E100" s="176">
        <v>24450.45</v>
      </c>
      <c r="F100" s="3"/>
      <c r="G100" s="3"/>
    </row>
    <row r="101" ht="17.6" spans="4:7">
      <c r="D101" s="175">
        <v>46086</v>
      </c>
      <c r="E101" s="176">
        <v>24765.9</v>
      </c>
      <c r="F101" s="3"/>
      <c r="G101" s="3"/>
    </row>
    <row r="102" ht="17.6" spans="4:7">
      <c r="D102" s="175">
        <v>46085</v>
      </c>
      <c r="E102" s="176">
        <v>24480.5</v>
      </c>
      <c r="F102" s="3"/>
      <c r="G102" s="3"/>
    </row>
    <row r="103" ht="17.6" spans="4:7">
      <c r="D103" s="175">
        <v>46083</v>
      </c>
      <c r="E103" s="176">
        <v>24865.7</v>
      </c>
      <c r="F103" s="3"/>
      <c r="G103" s="3"/>
    </row>
    <row r="104" ht="17.6" spans="4:7">
      <c r="D104" s="175">
        <v>46080</v>
      </c>
      <c r="E104" s="176">
        <v>25178.65</v>
      </c>
      <c r="F104" s="3"/>
      <c r="G104" s="3"/>
    </row>
    <row r="105" ht="17.6" spans="4:7">
      <c r="D105" s="175">
        <v>46079</v>
      </c>
      <c r="E105" s="176">
        <v>25496.55</v>
      </c>
      <c r="F105" s="3"/>
      <c r="G105" s="3"/>
    </row>
    <row r="106" ht="17.6" spans="4:7">
      <c r="D106" s="175">
        <v>46078</v>
      </c>
      <c r="E106" s="176">
        <v>25482.5</v>
      </c>
      <c r="F106" s="3"/>
      <c r="G106" s="3"/>
    </row>
    <row r="107" ht="17.6" spans="4:7">
      <c r="D107" s="175">
        <v>46077</v>
      </c>
      <c r="E107" s="176">
        <v>25424.65</v>
      </c>
      <c r="F107" s="3"/>
      <c r="G107" s="3"/>
    </row>
    <row r="108" ht="17.6" spans="4:7">
      <c r="D108" s="175">
        <v>46076</v>
      </c>
      <c r="E108" s="176">
        <v>25713</v>
      </c>
      <c r="F108" s="3"/>
      <c r="G108" s="3"/>
    </row>
    <row r="109" ht="17.6" spans="4:7">
      <c r="D109" s="175">
        <v>46073</v>
      </c>
      <c r="E109" s="176">
        <v>25571.25</v>
      </c>
      <c r="F109" s="3"/>
      <c r="G109" s="3"/>
    </row>
    <row r="110" ht="17.6" spans="4:7">
      <c r="D110" s="175">
        <v>46072</v>
      </c>
      <c r="E110" s="176">
        <v>25454.35</v>
      </c>
      <c r="F110" s="3"/>
      <c r="G110" s="3"/>
    </row>
    <row r="111" ht="17.6" spans="4:7">
      <c r="D111" s="175">
        <v>46071</v>
      </c>
      <c r="E111" s="176">
        <v>25819.35</v>
      </c>
      <c r="F111" s="3"/>
      <c r="G111" s="3"/>
    </row>
    <row r="112" ht="17.6" spans="4:7">
      <c r="D112" s="175">
        <v>46070</v>
      </c>
      <c r="E112" s="176">
        <v>25725.4</v>
      </c>
      <c r="F112" s="3"/>
      <c r="G112" s="3"/>
    </row>
    <row r="113" ht="17.6" spans="4:7">
      <c r="D113" s="175">
        <v>46069</v>
      </c>
      <c r="E113" s="176">
        <v>25682.75</v>
      </c>
      <c r="F113" s="3"/>
      <c r="G113" s="3"/>
    </row>
    <row r="114" ht="17.6" spans="4:7">
      <c r="D114" s="175">
        <v>46066</v>
      </c>
      <c r="E114" s="176">
        <v>25471.1</v>
      </c>
      <c r="F114" s="3"/>
      <c r="G114" s="3"/>
    </row>
    <row r="115" ht="17.6" spans="4:7">
      <c r="D115" s="175">
        <v>46065</v>
      </c>
      <c r="E115" s="176">
        <v>25807.2</v>
      </c>
      <c r="F115" s="3"/>
      <c r="G115" s="3"/>
    </row>
    <row r="116" ht="17.6" spans="4:7">
      <c r="D116" s="175">
        <v>46064</v>
      </c>
      <c r="E116" s="176">
        <v>25953.85</v>
      </c>
      <c r="F116" s="3"/>
      <c r="G116" s="3"/>
    </row>
    <row r="117" ht="17.6" spans="4:7">
      <c r="D117" s="175">
        <v>46063</v>
      </c>
      <c r="E117" s="176">
        <v>25935.15</v>
      </c>
      <c r="F117" s="3"/>
      <c r="G117" s="3"/>
    </row>
    <row r="118" ht="17.6" spans="4:7">
      <c r="D118" s="175">
        <v>46062</v>
      </c>
      <c r="E118" s="176">
        <v>25867.3</v>
      </c>
      <c r="F118" s="3"/>
      <c r="G118" s="3"/>
    </row>
    <row r="119" ht="17.6" spans="4:7">
      <c r="D119" s="175">
        <v>46059</v>
      </c>
      <c r="E119" s="176">
        <v>25693.7</v>
      </c>
      <c r="F119" s="3"/>
      <c r="G119" s="3"/>
    </row>
    <row r="120" ht="17.6" spans="4:7">
      <c r="D120" s="175">
        <v>46058</v>
      </c>
      <c r="E120" s="176">
        <v>25642.8</v>
      </c>
      <c r="F120" s="3"/>
      <c r="G120" s="3"/>
    </row>
    <row r="121" ht="17.6" spans="4:7">
      <c r="D121" s="175">
        <v>46057</v>
      </c>
      <c r="E121" s="176">
        <v>25776</v>
      </c>
      <c r="F121" s="3"/>
      <c r="G121" s="3"/>
    </row>
    <row r="122" ht="17.6" spans="4:7">
      <c r="D122" s="175">
        <v>46056</v>
      </c>
      <c r="E122" s="176">
        <v>25727.55</v>
      </c>
      <c r="F122" s="3"/>
      <c r="G122" s="3"/>
    </row>
    <row r="123" ht="17.6" spans="4:7">
      <c r="D123" s="175">
        <v>46055</v>
      </c>
      <c r="E123" s="176">
        <v>25088.4</v>
      </c>
      <c r="F123" s="3"/>
      <c r="G123" s="3"/>
    </row>
    <row r="124" ht="17.6" spans="4:7">
      <c r="D124" s="175">
        <v>46054</v>
      </c>
      <c r="E124" s="176">
        <v>24825.45</v>
      </c>
      <c r="F124" s="3"/>
      <c r="G124" s="3"/>
    </row>
    <row r="125" ht="17.6" spans="4:7">
      <c r="D125" s="175">
        <v>46052</v>
      </c>
      <c r="E125" s="176">
        <v>25320.65</v>
      </c>
      <c r="F125" s="3"/>
      <c r="G125" s="3"/>
    </row>
    <row r="126" ht="17.6" spans="4:7">
      <c r="D126" s="175">
        <v>46051</v>
      </c>
      <c r="E126" s="176">
        <v>25418.9</v>
      </c>
      <c r="F126" s="3"/>
      <c r="G126" s="3"/>
    </row>
    <row r="127" ht="17.6" spans="4:7">
      <c r="D127" s="175">
        <v>46050</v>
      </c>
      <c r="E127" s="176">
        <v>25342.75</v>
      </c>
      <c r="F127" s="3"/>
      <c r="G127" s="3"/>
    </row>
    <row r="128" ht="17.6" spans="4:7">
      <c r="D128" s="175">
        <v>46049</v>
      </c>
      <c r="E128" s="176">
        <v>25175.4</v>
      </c>
      <c r="F128" s="3"/>
      <c r="G128" s="3"/>
    </row>
    <row r="129" ht="17.6" spans="4:7">
      <c r="D129" s="175">
        <v>46045</v>
      </c>
      <c r="E129" s="176">
        <v>25048.65</v>
      </c>
      <c r="F129" s="3"/>
      <c r="G129" s="3"/>
    </row>
    <row r="130" ht="17.6" spans="4:7">
      <c r="D130" s="175">
        <v>46044</v>
      </c>
      <c r="E130" s="176">
        <v>25289.9</v>
      </c>
      <c r="F130" s="3"/>
      <c r="G130" s="3"/>
    </row>
    <row r="131" ht="17.6" spans="4:7">
      <c r="D131" s="175">
        <v>46043</v>
      </c>
      <c r="E131" s="176">
        <v>25157.5</v>
      </c>
      <c r="F131" s="3"/>
      <c r="G131" s="3"/>
    </row>
    <row r="132" ht="17.6" spans="4:7">
      <c r="D132" s="175">
        <v>46042</v>
      </c>
      <c r="E132" s="176">
        <v>25232.5</v>
      </c>
      <c r="F132" s="3"/>
      <c r="G132" s="3"/>
    </row>
    <row r="133" ht="17.6" spans="4:7">
      <c r="D133" s="175">
        <v>46041</v>
      </c>
      <c r="E133" s="176">
        <v>25585.5</v>
      </c>
      <c r="F133" s="3"/>
      <c r="G133" s="3"/>
    </row>
    <row r="134" ht="17.6" spans="4:7">
      <c r="D134" s="175">
        <v>46038</v>
      </c>
      <c r="E134" s="176">
        <v>25694.35</v>
      </c>
      <c r="F134" s="3"/>
      <c r="G134" s="3"/>
    </row>
    <row r="135" ht="17.6" spans="4:7">
      <c r="D135" s="175">
        <v>46036</v>
      </c>
      <c r="E135" s="176">
        <v>25665.6</v>
      </c>
      <c r="F135" s="3"/>
      <c r="G135" s="3"/>
    </row>
    <row r="136" ht="17.6" spans="4:7">
      <c r="D136" s="175">
        <v>46035</v>
      </c>
      <c r="E136" s="176">
        <v>25732.3</v>
      </c>
      <c r="F136" s="3"/>
      <c r="G136" s="3"/>
    </row>
    <row r="137" ht="17.6" spans="4:7">
      <c r="D137" s="175">
        <v>46034</v>
      </c>
      <c r="E137" s="176">
        <v>25790.25</v>
      </c>
      <c r="F137" s="3"/>
      <c r="G137" s="3"/>
    </row>
    <row r="138" ht="17.6" spans="4:7">
      <c r="D138" s="175">
        <v>46031</v>
      </c>
      <c r="E138" s="176">
        <v>25683.3</v>
      </c>
      <c r="F138" s="3"/>
      <c r="G138" s="3"/>
    </row>
    <row r="139" ht="17.6" spans="4:7">
      <c r="D139" s="175">
        <v>46030</v>
      </c>
      <c r="E139" s="176">
        <v>25876.85</v>
      </c>
      <c r="F139" s="3"/>
      <c r="G139" s="3"/>
    </row>
    <row r="140" ht="17.6" spans="4:7">
      <c r="D140" s="175">
        <v>46029</v>
      </c>
      <c r="E140" s="176">
        <v>26140.75</v>
      </c>
      <c r="F140" s="3"/>
      <c r="G140" s="3"/>
    </row>
    <row r="141" ht="17.6" spans="4:7">
      <c r="D141" s="175">
        <v>46028</v>
      </c>
      <c r="E141" s="176">
        <v>26178.7</v>
      </c>
      <c r="F141" s="3"/>
      <c r="G141" s="3"/>
    </row>
    <row r="142" ht="17.6" spans="4:7">
      <c r="D142" s="175">
        <v>46027</v>
      </c>
      <c r="E142" s="176">
        <v>26250.3</v>
      </c>
      <c r="F142" s="3"/>
      <c r="G142" s="3"/>
    </row>
    <row r="143" ht="17.6" spans="4:7">
      <c r="D143" s="175">
        <v>46024</v>
      </c>
      <c r="E143" s="176">
        <v>26328.55</v>
      </c>
      <c r="F143" s="3"/>
      <c r="G143" s="3"/>
    </row>
    <row r="144" ht="17.6" spans="4:7">
      <c r="D144" s="175">
        <v>46023</v>
      </c>
      <c r="E144" s="176">
        <v>26146.55</v>
      </c>
      <c r="F144" s="3"/>
      <c r="G144" s="3"/>
    </row>
    <row r="145" ht="17.6" spans="4:7">
      <c r="D145" s="175">
        <v>46022</v>
      </c>
      <c r="E145" s="176">
        <v>26129.6</v>
      </c>
      <c r="F145" s="3"/>
      <c r="G145" s="3"/>
    </row>
    <row r="146" ht="17.6" spans="4:7">
      <c r="D146" s="175">
        <v>46021</v>
      </c>
      <c r="E146" s="176">
        <v>25938.85</v>
      </c>
      <c r="F146" s="3"/>
      <c r="G146" s="3"/>
    </row>
    <row r="147" ht="17.6" spans="4:7">
      <c r="D147" s="175">
        <v>46020</v>
      </c>
      <c r="E147" s="176">
        <v>25942.1</v>
      </c>
      <c r="F147" s="3"/>
      <c r="G147" s="3"/>
    </row>
    <row r="148" ht="17.6" spans="4:7">
      <c r="D148" s="175">
        <v>46017</v>
      </c>
      <c r="E148" s="176">
        <v>26042.3</v>
      </c>
      <c r="F148" s="3"/>
      <c r="G148" s="3"/>
    </row>
    <row r="149" ht="17.6" spans="4:7">
      <c r="D149" s="175">
        <v>46015</v>
      </c>
      <c r="E149" s="176">
        <v>26142.1</v>
      </c>
      <c r="F149" s="3"/>
      <c r="G149" s="3"/>
    </row>
    <row r="150" ht="17.6" spans="4:7">
      <c r="D150" s="175">
        <v>46014</v>
      </c>
      <c r="E150" s="176">
        <v>26177.15</v>
      </c>
      <c r="F150" s="3"/>
      <c r="G150" s="3"/>
    </row>
    <row r="151" ht="17.6" spans="4:7">
      <c r="D151" s="175">
        <v>46013</v>
      </c>
      <c r="E151" s="176">
        <v>26172.4</v>
      </c>
      <c r="F151" s="3"/>
      <c r="G151" s="3"/>
    </row>
    <row r="152" ht="17.6" spans="4:7">
      <c r="D152" s="175">
        <v>46010</v>
      </c>
      <c r="E152" s="176">
        <v>25966.4</v>
      </c>
      <c r="F152" s="3"/>
      <c r="G152" s="3"/>
    </row>
    <row r="153" ht="17.6" spans="4:7">
      <c r="D153" s="175">
        <v>46009</v>
      </c>
      <c r="E153" s="176">
        <v>25815.55</v>
      </c>
      <c r="F153" s="3"/>
      <c r="G153" s="3"/>
    </row>
    <row r="154" ht="17.6" spans="4:7">
      <c r="D154" s="175">
        <v>46008</v>
      </c>
      <c r="E154" s="176">
        <v>25818.55</v>
      </c>
      <c r="F154" s="3"/>
      <c r="G154" s="3"/>
    </row>
    <row r="155" ht="17.6" spans="4:7">
      <c r="D155" s="175">
        <v>46007</v>
      </c>
      <c r="E155" s="176">
        <v>25860.1</v>
      </c>
      <c r="F155" s="3"/>
      <c r="G155" s="3"/>
    </row>
    <row r="156" ht="17.6" spans="4:7">
      <c r="D156" s="175">
        <v>46006</v>
      </c>
      <c r="E156" s="176">
        <v>26027.3</v>
      </c>
      <c r="F156" s="3"/>
      <c r="G156" s="3"/>
    </row>
    <row r="157" ht="17.6" spans="4:7">
      <c r="D157" s="175">
        <v>46003</v>
      </c>
      <c r="E157" s="176">
        <v>26046.95</v>
      </c>
      <c r="F157" s="3"/>
      <c r="G157" s="3"/>
    </row>
    <row r="158" ht="17.6" spans="4:7">
      <c r="D158" s="175">
        <v>46002</v>
      </c>
      <c r="E158" s="176">
        <v>25898.55</v>
      </c>
      <c r="F158" s="3"/>
      <c r="G158" s="3"/>
    </row>
    <row r="159" ht="17.6" spans="4:7">
      <c r="D159" s="175">
        <v>46001</v>
      </c>
      <c r="E159" s="176">
        <v>25758</v>
      </c>
      <c r="F159" s="3"/>
      <c r="G159" s="3"/>
    </row>
    <row r="160" ht="17.6" spans="4:7">
      <c r="D160" s="175">
        <v>46000</v>
      </c>
      <c r="E160" s="176">
        <v>25839.65</v>
      </c>
      <c r="F160" s="3"/>
      <c r="G160" s="3"/>
    </row>
    <row r="161" ht="17.6" spans="4:7">
      <c r="D161" s="175">
        <v>45999</v>
      </c>
      <c r="E161" s="176">
        <v>25960.55</v>
      </c>
      <c r="F161" s="3"/>
      <c r="G161" s="3"/>
    </row>
    <row r="162" ht="17.6" spans="4:7">
      <c r="D162" s="175">
        <v>45996</v>
      </c>
      <c r="E162" s="176">
        <v>26186.45</v>
      </c>
      <c r="F162" s="3"/>
      <c r="G162" s="3"/>
    </row>
    <row r="163" ht="17.6" spans="4:7">
      <c r="D163" s="175">
        <v>45995</v>
      </c>
      <c r="E163" s="176">
        <v>26033.75</v>
      </c>
      <c r="F163" s="3"/>
      <c r="G163" s="3"/>
    </row>
    <row r="164" ht="17.6" spans="4:7">
      <c r="D164" s="175">
        <v>45994</v>
      </c>
      <c r="E164" s="176">
        <v>25986</v>
      </c>
      <c r="F164" s="3"/>
      <c r="G164" s="3"/>
    </row>
    <row r="165" ht="17.6" spans="4:7">
      <c r="D165" s="175">
        <v>45993</v>
      </c>
      <c r="E165" s="176">
        <v>26032.2</v>
      </c>
      <c r="F165" s="3"/>
      <c r="G165" s="3"/>
    </row>
    <row r="166" ht="17.6" spans="4:7">
      <c r="D166" s="175">
        <v>45992</v>
      </c>
      <c r="E166" s="176">
        <v>26175.75</v>
      </c>
      <c r="F166" s="3"/>
      <c r="G166" s="3"/>
    </row>
    <row r="167" ht="17.6" spans="4:7">
      <c r="D167" s="175">
        <v>45989</v>
      </c>
      <c r="E167" s="176">
        <v>26202.95</v>
      </c>
      <c r="F167" s="3"/>
      <c r="G167" s="3"/>
    </row>
    <row r="168" ht="17.6" spans="4:7">
      <c r="D168" s="175">
        <v>45988</v>
      </c>
      <c r="E168" s="176">
        <v>26215.55</v>
      </c>
      <c r="F168" s="3"/>
      <c r="G168" s="3"/>
    </row>
    <row r="169" ht="17.6" spans="4:7">
      <c r="D169" s="175">
        <v>45987</v>
      </c>
      <c r="E169" s="176">
        <v>26205.3</v>
      </c>
      <c r="F169" s="3"/>
      <c r="G169" s="3"/>
    </row>
    <row r="170" ht="17.6" spans="4:7">
      <c r="D170" s="175">
        <v>45986</v>
      </c>
      <c r="E170" s="176">
        <v>25884.8</v>
      </c>
      <c r="F170" s="3"/>
      <c r="G170" s="3"/>
    </row>
    <row r="171" ht="17.6" spans="4:7">
      <c r="D171" s="175">
        <v>45985</v>
      </c>
      <c r="E171" s="176">
        <v>25959.5</v>
      </c>
      <c r="F171" s="3"/>
      <c r="G171" s="3"/>
    </row>
    <row r="172" ht="17.6" spans="4:7">
      <c r="D172" s="175">
        <v>45982</v>
      </c>
      <c r="E172" s="176">
        <v>26068.15</v>
      </c>
      <c r="F172" s="3"/>
      <c r="G172" s="3"/>
    </row>
    <row r="173" ht="17.6" spans="4:7">
      <c r="D173" s="175">
        <v>45981</v>
      </c>
      <c r="E173" s="176">
        <v>26192.15</v>
      </c>
      <c r="F173" s="3"/>
      <c r="G173" s="3"/>
    </row>
    <row r="174" ht="17.6" spans="4:7">
      <c r="D174" s="175">
        <v>45980</v>
      </c>
      <c r="E174" s="176">
        <v>26052.65</v>
      </c>
      <c r="F174" s="3"/>
      <c r="G174" s="3"/>
    </row>
    <row r="175" ht="17.6" spans="4:7">
      <c r="D175" s="175">
        <v>45979</v>
      </c>
      <c r="E175" s="176">
        <v>25910.05</v>
      </c>
      <c r="F175" s="3"/>
      <c r="G175" s="3"/>
    </row>
    <row r="176" ht="17.6" spans="4:7">
      <c r="D176" s="175">
        <v>45978</v>
      </c>
      <c r="E176" s="176">
        <v>26013.45</v>
      </c>
      <c r="F176" s="3"/>
      <c r="G176" s="3"/>
    </row>
    <row r="177" ht="17.6" spans="4:7">
      <c r="D177" s="175">
        <v>45975</v>
      </c>
      <c r="E177" s="176">
        <v>25910.05</v>
      </c>
      <c r="F177" s="3"/>
      <c r="G177" s="3"/>
    </row>
    <row r="178" ht="17.6" spans="4:7">
      <c r="D178" s="175">
        <v>45974</v>
      </c>
      <c r="E178" s="176">
        <v>25879.15</v>
      </c>
      <c r="F178" s="3"/>
      <c r="G178" s="3"/>
    </row>
    <row r="179" ht="17.6" spans="4:7">
      <c r="D179" s="175">
        <v>45973</v>
      </c>
      <c r="E179" s="176">
        <v>25875.8</v>
      </c>
      <c r="F179" s="3"/>
      <c r="G179" s="3"/>
    </row>
    <row r="180" ht="17.6" spans="4:7">
      <c r="D180" s="175">
        <v>45972</v>
      </c>
      <c r="E180" s="176">
        <v>25694.95</v>
      </c>
      <c r="F180" s="3"/>
      <c r="G180" s="3"/>
    </row>
    <row r="181" ht="17.6" spans="4:7">
      <c r="D181" s="175">
        <v>45971</v>
      </c>
      <c r="E181" s="176">
        <v>25574.35</v>
      </c>
      <c r="F181" s="3"/>
      <c r="G181" s="3"/>
    </row>
    <row r="182" ht="17.6" spans="4:7">
      <c r="D182" s="175">
        <v>45968</v>
      </c>
      <c r="E182" s="176">
        <v>25492.3</v>
      </c>
      <c r="F182" s="3"/>
      <c r="G182" s="3"/>
    </row>
    <row r="183" ht="17.6" spans="4:7">
      <c r="D183" s="175">
        <v>45967</v>
      </c>
      <c r="E183" s="176">
        <v>25509.7</v>
      </c>
      <c r="F183" s="3"/>
      <c r="G183" s="3"/>
    </row>
    <row r="184" ht="17.6" spans="4:7">
      <c r="D184" s="175">
        <v>45965</v>
      </c>
      <c r="E184" s="176">
        <v>25597.65</v>
      </c>
      <c r="F184" s="3"/>
      <c r="G184" s="3"/>
    </row>
    <row r="185" ht="17.6" spans="4:7">
      <c r="D185" s="175">
        <v>45964</v>
      </c>
      <c r="E185" s="176">
        <v>25763.35</v>
      </c>
      <c r="F185" s="3"/>
      <c r="G185" s="3"/>
    </row>
    <row r="186" ht="17.6" spans="4:7">
      <c r="D186" s="175">
        <v>45961</v>
      </c>
      <c r="E186" s="176">
        <v>25722.1</v>
      </c>
      <c r="F186" s="3"/>
      <c r="G186" s="3"/>
    </row>
    <row r="187" ht="17.6" spans="4:7">
      <c r="D187" s="175">
        <v>45960</v>
      </c>
      <c r="E187" s="176">
        <v>25877.85</v>
      </c>
      <c r="F187" s="3"/>
      <c r="G187" s="3"/>
    </row>
    <row r="188" ht="17.6" spans="4:7">
      <c r="D188" s="175">
        <v>45959</v>
      </c>
      <c r="E188" s="176">
        <v>26053.9</v>
      </c>
      <c r="F188" s="3"/>
      <c r="G188" s="3"/>
    </row>
    <row r="189" ht="17.6" spans="4:7">
      <c r="D189" s="175">
        <v>45958</v>
      </c>
      <c r="E189" s="176">
        <v>25936.2</v>
      </c>
      <c r="F189" s="3"/>
      <c r="G189" s="3"/>
    </row>
    <row r="190" ht="17.6" spans="4:7">
      <c r="D190" s="175">
        <v>45957</v>
      </c>
      <c r="E190" s="176">
        <v>25966.05</v>
      </c>
      <c r="F190" s="3"/>
      <c r="G190" s="3"/>
    </row>
    <row r="191" ht="17.6" spans="4:7">
      <c r="D191" s="175">
        <v>45954</v>
      </c>
      <c r="E191" s="176">
        <v>25795.15</v>
      </c>
      <c r="F191" s="3"/>
      <c r="G191" s="3"/>
    </row>
    <row r="192" ht="17.6" spans="4:7">
      <c r="D192" s="175">
        <v>45953</v>
      </c>
      <c r="E192" s="176">
        <v>25891.4</v>
      </c>
      <c r="F192" s="3"/>
      <c r="G192" s="3"/>
    </row>
    <row r="193" ht="17.6" spans="4:7">
      <c r="D193" s="175">
        <v>45951</v>
      </c>
      <c r="E193" s="176">
        <v>25868.6</v>
      </c>
      <c r="F193" s="3"/>
      <c r="G193" s="3"/>
    </row>
    <row r="194" ht="17.6" spans="4:7">
      <c r="D194" s="175">
        <v>45950</v>
      </c>
      <c r="E194" s="176">
        <v>25843.15</v>
      </c>
      <c r="F194" s="3"/>
      <c r="G194" s="3"/>
    </row>
    <row r="195" ht="17.6" spans="4:7">
      <c r="D195" s="175">
        <v>45947</v>
      </c>
      <c r="E195" s="176">
        <v>25709.85</v>
      </c>
      <c r="F195" s="3"/>
      <c r="G195" s="3"/>
    </row>
    <row r="196" ht="17.6" spans="4:7">
      <c r="D196" s="175">
        <v>45946</v>
      </c>
      <c r="E196" s="176">
        <v>25585.3</v>
      </c>
      <c r="F196" s="3"/>
      <c r="G196" s="3"/>
    </row>
    <row r="197" ht="17.6" spans="4:7">
      <c r="D197" s="175">
        <v>45945</v>
      </c>
      <c r="E197" s="176">
        <v>25323.55</v>
      </c>
      <c r="F197" s="3"/>
      <c r="G197" s="3"/>
    </row>
    <row r="198" ht="17.6" spans="4:7">
      <c r="D198" s="175">
        <v>45944</v>
      </c>
      <c r="E198" s="176">
        <v>25145.5</v>
      </c>
      <c r="F198" s="3"/>
      <c r="G198" s="3"/>
    </row>
    <row r="199" ht="17.6" spans="4:7">
      <c r="D199" s="175">
        <v>45943</v>
      </c>
      <c r="E199" s="176">
        <v>25227.35</v>
      </c>
      <c r="F199" s="3"/>
      <c r="G199" s="3"/>
    </row>
    <row r="200" ht="17.6" spans="4:7">
      <c r="D200" s="175">
        <v>45940</v>
      </c>
      <c r="E200" s="176">
        <v>25285.35</v>
      </c>
      <c r="F200" s="3"/>
      <c r="G200" s="3"/>
    </row>
    <row r="201" ht="17.6" spans="4:7">
      <c r="D201" s="175">
        <v>45939</v>
      </c>
      <c r="E201" s="176">
        <v>25181.8</v>
      </c>
      <c r="F201" s="3"/>
      <c r="G201" s="3"/>
    </row>
    <row r="202" ht="17.6" spans="4:7">
      <c r="D202" s="175">
        <v>45938</v>
      </c>
      <c r="E202" s="176">
        <v>25046.15</v>
      </c>
      <c r="F202" s="3"/>
      <c r="G202" s="3"/>
    </row>
    <row r="203" ht="17.6" spans="4:7">
      <c r="D203" s="175">
        <v>45937</v>
      </c>
      <c r="E203" s="176">
        <v>25108.3</v>
      </c>
      <c r="F203" s="3"/>
      <c r="G203" s="3"/>
    </row>
    <row r="204" ht="17.6" spans="4:7">
      <c r="D204" s="175">
        <v>45936</v>
      </c>
      <c r="E204" s="176">
        <v>25077.65</v>
      </c>
      <c r="F204" s="3"/>
      <c r="G204" s="3"/>
    </row>
    <row r="205" ht="17.6" spans="4:7">
      <c r="D205" s="175">
        <v>45933</v>
      </c>
      <c r="E205" s="176">
        <v>24894.25</v>
      </c>
      <c r="F205" s="3"/>
      <c r="G205" s="3"/>
    </row>
    <row r="206" ht="17.6" spans="4:7">
      <c r="D206" s="175">
        <v>45931</v>
      </c>
      <c r="E206" s="176">
        <v>24836.3</v>
      </c>
      <c r="F206" s="3"/>
      <c r="G206" s="3"/>
    </row>
    <row r="207" ht="17.6" spans="4:7">
      <c r="D207" s="175">
        <v>45930</v>
      </c>
      <c r="E207" s="176">
        <v>24611.1</v>
      </c>
      <c r="F207" s="3"/>
      <c r="G207" s="3"/>
    </row>
    <row r="208" ht="17.6" spans="4:7">
      <c r="D208" s="175">
        <v>45929</v>
      </c>
      <c r="E208" s="176">
        <v>24634.9</v>
      </c>
      <c r="F208" s="3"/>
      <c r="G208" s="3"/>
    </row>
    <row r="209" ht="17.6" spans="4:7">
      <c r="D209" s="175">
        <v>45926</v>
      </c>
      <c r="E209" s="176">
        <v>24654.7</v>
      </c>
      <c r="F209" s="3"/>
      <c r="G209" s="3"/>
    </row>
    <row r="210" ht="17.6" spans="4:7">
      <c r="D210" s="175">
        <v>45925</v>
      </c>
      <c r="E210" s="176">
        <v>24890.85</v>
      </c>
      <c r="F210" s="3"/>
      <c r="G210" s="3"/>
    </row>
    <row r="211" ht="17.6" spans="4:7">
      <c r="D211" s="175">
        <v>45924</v>
      </c>
      <c r="E211" s="176">
        <v>25056.9</v>
      </c>
      <c r="F211" s="3"/>
      <c r="G211" s="3"/>
    </row>
    <row r="212" ht="17.6" spans="4:7">
      <c r="D212" s="175">
        <v>45923</v>
      </c>
      <c r="E212" s="176">
        <v>25169.5</v>
      </c>
      <c r="F212" s="3"/>
      <c r="G212" s="3"/>
    </row>
    <row r="213" ht="17.6" spans="4:7">
      <c r="D213" s="175">
        <v>45922</v>
      </c>
      <c r="E213" s="176">
        <v>25202.35</v>
      </c>
      <c r="F213" s="3"/>
      <c r="G213" s="3"/>
    </row>
    <row r="214" ht="17.6" spans="4:7">
      <c r="D214" s="175">
        <v>45919</v>
      </c>
      <c r="E214" s="176">
        <v>25327.05</v>
      </c>
      <c r="F214" s="3"/>
      <c r="G214" s="3"/>
    </row>
    <row r="215" ht="17.6" spans="4:7">
      <c r="D215" s="175">
        <v>45918</v>
      </c>
      <c r="E215" s="176">
        <v>25423.6</v>
      </c>
      <c r="F215" s="3"/>
      <c r="G215" s="3"/>
    </row>
    <row r="216" ht="17.6" spans="4:7">
      <c r="D216" s="175">
        <v>45917</v>
      </c>
      <c r="E216" s="176">
        <v>25330.25</v>
      </c>
      <c r="F216" s="3"/>
      <c r="G216" s="3"/>
    </row>
    <row r="217" ht="17.6" spans="4:7">
      <c r="D217" s="175">
        <v>45916</v>
      </c>
      <c r="E217" s="176">
        <v>25239.1</v>
      </c>
      <c r="F217" s="3"/>
      <c r="G217" s="3"/>
    </row>
    <row r="218" ht="17.6" spans="4:7">
      <c r="D218" s="175">
        <v>45915</v>
      </c>
      <c r="E218" s="176">
        <v>25069.2</v>
      </c>
      <c r="F218" s="3"/>
      <c r="G218" s="3"/>
    </row>
    <row r="219" ht="17.6" spans="4:7">
      <c r="D219" s="175">
        <v>45912</v>
      </c>
      <c r="E219" s="176">
        <v>25114</v>
      </c>
      <c r="F219" s="3"/>
      <c r="G219" s="3"/>
    </row>
    <row r="220" ht="17.6" spans="4:7">
      <c r="D220" s="175">
        <v>45911</v>
      </c>
      <c r="E220" s="176">
        <v>25005.5</v>
      </c>
      <c r="F220" s="3"/>
      <c r="G220" s="3"/>
    </row>
    <row r="221" ht="17.6" spans="4:7">
      <c r="D221" s="175">
        <v>45910</v>
      </c>
      <c r="E221" s="176">
        <v>24973.1</v>
      </c>
      <c r="F221" s="3"/>
      <c r="G221" s="3"/>
    </row>
    <row r="222" ht="17.6" spans="4:7">
      <c r="D222" s="175">
        <v>45909</v>
      </c>
      <c r="E222" s="176">
        <v>24868.6</v>
      </c>
      <c r="F222" s="3"/>
      <c r="G222" s="3"/>
    </row>
    <row r="223" ht="17.6" spans="4:7">
      <c r="D223" s="175">
        <v>45908</v>
      </c>
      <c r="E223" s="176">
        <v>24773.15</v>
      </c>
      <c r="F223" s="3"/>
      <c r="G223" s="3"/>
    </row>
    <row r="224" ht="17.6" spans="4:7">
      <c r="D224" s="175">
        <v>45905</v>
      </c>
      <c r="E224" s="176">
        <v>24741</v>
      </c>
      <c r="F224" s="3"/>
      <c r="G224" s="3"/>
    </row>
    <row r="225" ht="17.6" spans="4:7">
      <c r="D225" s="175">
        <v>45904</v>
      </c>
      <c r="E225" s="176">
        <v>24734.3</v>
      </c>
      <c r="F225" s="3"/>
      <c r="G225" s="3"/>
    </row>
    <row r="226" ht="17.6" spans="4:7">
      <c r="D226" s="175">
        <v>45903</v>
      </c>
      <c r="E226" s="176">
        <v>24715.05</v>
      </c>
      <c r="F226" s="3"/>
      <c r="G226" s="3"/>
    </row>
    <row r="227" ht="17.6" spans="4:7">
      <c r="D227" s="175">
        <v>45902</v>
      </c>
      <c r="E227" s="176">
        <v>24579.6</v>
      </c>
      <c r="F227" s="3"/>
      <c r="G227" s="3"/>
    </row>
    <row r="228" ht="17.6" spans="4:7">
      <c r="D228" s="175">
        <v>45901</v>
      </c>
      <c r="E228" s="176">
        <v>24625.05</v>
      </c>
      <c r="F228" s="3"/>
      <c r="G228" s="3"/>
    </row>
    <row r="229" ht="17.6" spans="4:7">
      <c r="D229" s="175">
        <v>45898</v>
      </c>
      <c r="E229" s="176">
        <v>24426.85</v>
      </c>
      <c r="F229" s="3"/>
      <c r="G229" s="3"/>
    </row>
    <row r="230" ht="17.6" spans="4:7">
      <c r="D230" s="175">
        <v>45897</v>
      </c>
      <c r="E230" s="176">
        <v>24500.9</v>
      </c>
      <c r="F230" s="3"/>
      <c r="G230" s="3"/>
    </row>
    <row r="231" ht="17.6" spans="4:7">
      <c r="D231" s="175">
        <v>45895</v>
      </c>
      <c r="E231" s="176">
        <v>24712.05</v>
      </c>
      <c r="F231" s="3"/>
      <c r="G231" s="3"/>
    </row>
    <row r="232" ht="17.6" spans="4:7">
      <c r="D232" s="175">
        <v>45894</v>
      </c>
      <c r="E232" s="176">
        <v>24967.75</v>
      </c>
      <c r="F232" s="3"/>
      <c r="G232" s="3"/>
    </row>
    <row r="233" ht="17.6" spans="4:7">
      <c r="D233" s="175">
        <v>45891</v>
      </c>
      <c r="E233" s="176">
        <v>24870.1</v>
      </c>
      <c r="F233" s="3"/>
      <c r="G233" s="3"/>
    </row>
    <row r="234" ht="17.6" spans="4:7">
      <c r="D234" s="175">
        <v>45890</v>
      </c>
      <c r="E234" s="176">
        <v>25083.75</v>
      </c>
      <c r="F234" s="3"/>
      <c r="G234" s="3"/>
    </row>
    <row r="235" ht="17.6" spans="4:7">
      <c r="D235" s="175">
        <v>45889</v>
      </c>
      <c r="E235" s="176">
        <v>25050.55</v>
      </c>
      <c r="F235" s="3"/>
      <c r="G235" s="3"/>
    </row>
    <row r="236" ht="17.6" spans="4:7">
      <c r="D236" s="175">
        <v>45888</v>
      </c>
      <c r="E236" s="176">
        <v>24980.65</v>
      </c>
      <c r="F236" s="3"/>
      <c r="G236" s="3"/>
    </row>
    <row r="237" ht="17.6" spans="4:7">
      <c r="D237" s="175">
        <v>45887</v>
      </c>
      <c r="E237" s="176">
        <v>24876.95</v>
      </c>
      <c r="F237" s="3"/>
      <c r="G237" s="3"/>
    </row>
    <row r="238" ht="17.6" spans="4:7">
      <c r="D238" s="175">
        <v>45883</v>
      </c>
      <c r="E238" s="176">
        <v>24631.3</v>
      </c>
      <c r="F238" s="3"/>
      <c r="G238" s="3"/>
    </row>
    <row r="239" ht="17.6" spans="4:7">
      <c r="D239" s="175">
        <v>45882</v>
      </c>
      <c r="E239" s="176">
        <v>24619.35</v>
      </c>
      <c r="F239" s="3"/>
      <c r="G239" s="3"/>
    </row>
    <row r="240" ht="17.6" spans="4:7">
      <c r="D240" s="175">
        <v>45881</v>
      </c>
      <c r="E240" s="176">
        <v>24487.4</v>
      </c>
      <c r="F240" s="3"/>
      <c r="G240" s="3"/>
    </row>
    <row r="241" ht="17.6" spans="4:7">
      <c r="D241" s="175">
        <v>45880</v>
      </c>
      <c r="E241" s="176">
        <v>24585.05</v>
      </c>
      <c r="F241" s="3"/>
      <c r="G241" s="3"/>
    </row>
    <row r="242" ht="17.6" spans="4:7">
      <c r="D242" s="175">
        <v>45877</v>
      </c>
      <c r="E242" s="176">
        <v>24363.3</v>
      </c>
      <c r="F242" s="3"/>
      <c r="G242" s="3"/>
    </row>
    <row r="243" ht="17.6" spans="4:7">
      <c r="D243" s="175">
        <v>45876</v>
      </c>
      <c r="E243" s="176">
        <v>24596.15</v>
      </c>
      <c r="F243" s="3"/>
      <c r="G243" s="3"/>
    </row>
    <row r="244" ht="17.6" spans="4:7">
      <c r="D244" s="175">
        <v>45875</v>
      </c>
      <c r="E244" s="176">
        <v>24574.2</v>
      </c>
      <c r="F244" s="3"/>
      <c r="G244" s="3"/>
    </row>
    <row r="245" ht="17.6" spans="4:7">
      <c r="D245" s="175">
        <v>45874</v>
      </c>
      <c r="E245" s="176">
        <v>24649.55</v>
      </c>
      <c r="F245" s="3"/>
      <c r="G245" s="3"/>
    </row>
    <row r="246" ht="17.6" spans="4:7">
      <c r="D246" s="175">
        <v>45873</v>
      </c>
      <c r="E246" s="176">
        <v>24722.75</v>
      </c>
      <c r="F246" s="3"/>
      <c r="G246" s="3"/>
    </row>
    <row r="247" ht="17.6" spans="4:7">
      <c r="D247" s="175">
        <v>45870</v>
      </c>
      <c r="E247" s="176">
        <v>24565.35</v>
      </c>
      <c r="F247" s="3"/>
      <c r="G247" s="3"/>
    </row>
    <row r="248" ht="17.6" spans="4:7">
      <c r="D248" s="175">
        <v>45869</v>
      </c>
      <c r="E248" s="176">
        <v>24768.35</v>
      </c>
      <c r="F248" s="3"/>
      <c r="G248" s="3"/>
    </row>
    <row r="249" ht="17.6" spans="4:7">
      <c r="D249" s="175">
        <v>45868</v>
      </c>
      <c r="E249" s="176">
        <v>24855.05</v>
      </c>
      <c r="F249" s="3"/>
      <c r="G249" s="3"/>
    </row>
    <row r="250" ht="17.6" spans="4:7">
      <c r="D250" s="175">
        <v>45867</v>
      </c>
      <c r="E250" s="176">
        <v>24821.1</v>
      </c>
      <c r="F250" s="3"/>
      <c r="G250" s="3"/>
    </row>
    <row r="251" ht="17.6" spans="4:7">
      <c r="D251" s="175">
        <v>45866</v>
      </c>
      <c r="E251" s="176">
        <v>24680.9</v>
      </c>
      <c r="F251" s="3"/>
      <c r="G251" s="3"/>
    </row>
    <row r="252" ht="17.6" spans="4:7">
      <c r="D252" s="175">
        <v>45863</v>
      </c>
      <c r="E252" s="176">
        <v>24837</v>
      </c>
      <c r="F252" s="3"/>
      <c r="G252" s="3"/>
    </row>
    <row r="253" ht="17.6" spans="4:7">
      <c r="D253" s="175">
        <v>45862</v>
      </c>
      <c r="E253" s="176">
        <v>25062.1</v>
      </c>
      <c r="F253" s="3"/>
      <c r="G253" s="3"/>
    </row>
    <row r="254" ht="17.6" spans="4:7">
      <c r="D254" s="175">
        <v>45861</v>
      </c>
      <c r="E254" s="176">
        <v>25219.9</v>
      </c>
      <c r="F254" s="3"/>
      <c r="G254" s="3"/>
    </row>
    <row r="255" ht="17.6" spans="4:7">
      <c r="D255" s="175">
        <v>45860</v>
      </c>
      <c r="E255" s="176">
        <v>25060.9</v>
      </c>
      <c r="F255" s="3"/>
      <c r="G255" s="3"/>
    </row>
    <row r="256" ht="17.6" spans="4:7">
      <c r="D256" s="175">
        <v>45859</v>
      </c>
      <c r="E256" s="176">
        <v>25090.7</v>
      </c>
      <c r="F256" s="3"/>
      <c r="G256" s="3"/>
    </row>
    <row r="257" ht="17.6" spans="4:7">
      <c r="D257" s="175">
        <v>45856</v>
      </c>
      <c r="E257" s="176">
        <v>24968.4</v>
      </c>
      <c r="F257" s="3"/>
      <c r="G257" s="3"/>
    </row>
    <row r="258" ht="17.6" spans="4:7">
      <c r="D258" s="175">
        <v>45855</v>
      </c>
      <c r="E258" s="176">
        <v>25111.45</v>
      </c>
      <c r="F258" s="3"/>
      <c r="G258" s="3"/>
    </row>
    <row r="259" ht="17.6" spans="4:7">
      <c r="D259" s="175">
        <v>45854</v>
      </c>
      <c r="E259" s="176">
        <v>25212.05</v>
      </c>
      <c r="F259" s="3"/>
      <c r="G259" s="3"/>
    </row>
    <row r="260" ht="17.6" spans="4:7">
      <c r="D260" s="175">
        <v>45853</v>
      </c>
      <c r="E260" s="176">
        <v>25195.8</v>
      </c>
      <c r="F260" s="3"/>
      <c r="G260" s="3"/>
    </row>
    <row r="261" ht="17.6" spans="4:7">
      <c r="D261" s="175">
        <v>45852</v>
      </c>
      <c r="E261" s="176">
        <v>25082.3</v>
      </c>
      <c r="F261" s="3"/>
      <c r="G261" s="3"/>
    </row>
    <row r="262" ht="17.6" spans="4:7">
      <c r="D262" s="175">
        <v>45849</v>
      </c>
      <c r="E262" s="176">
        <v>25149.85</v>
      </c>
      <c r="F262" s="3"/>
      <c r="G262" s="3"/>
    </row>
    <row r="263" ht="17.6" spans="4:7">
      <c r="D263" s="175">
        <v>45848</v>
      </c>
      <c r="E263" s="176">
        <v>25355.25</v>
      </c>
      <c r="F263" s="3"/>
      <c r="G263" s="3"/>
    </row>
    <row r="264" ht="17.6" spans="4:7">
      <c r="D264" s="175">
        <v>45847</v>
      </c>
      <c r="E264" s="176">
        <v>25476.1</v>
      </c>
      <c r="F264" s="3"/>
      <c r="G264" s="3"/>
    </row>
    <row r="265" ht="17.6" spans="4:7">
      <c r="D265" s="175">
        <v>45846</v>
      </c>
      <c r="E265" s="176">
        <v>25522.5</v>
      </c>
      <c r="F265" s="3"/>
      <c r="G265" s="3"/>
    </row>
    <row r="266" ht="17.6" spans="4:7">
      <c r="D266" s="175">
        <v>45845</v>
      </c>
      <c r="E266" s="176">
        <v>25461.3</v>
      </c>
      <c r="F266" s="3"/>
      <c r="G266" s="3"/>
    </row>
    <row r="267" ht="17.6" spans="4:7">
      <c r="D267" s="175">
        <v>45842</v>
      </c>
      <c r="E267" s="176">
        <v>25461</v>
      </c>
      <c r="F267" s="3"/>
      <c r="G267" s="3"/>
    </row>
    <row r="268" ht="17.6" spans="4:7">
      <c r="D268" s="175">
        <v>45841</v>
      </c>
      <c r="E268" s="176">
        <v>25405.3</v>
      </c>
      <c r="F268" s="3"/>
      <c r="G268" s="3"/>
    </row>
    <row r="269" ht="17.6" spans="4:7">
      <c r="D269" s="175">
        <v>45840</v>
      </c>
      <c r="E269" s="176">
        <v>25453.4</v>
      </c>
      <c r="F269" s="3"/>
      <c r="G269" s="3"/>
    </row>
    <row r="270" ht="17.6" spans="4:7">
      <c r="D270" s="175">
        <v>45839</v>
      </c>
      <c r="E270" s="176">
        <v>25541.8</v>
      </c>
      <c r="F270" s="3"/>
      <c r="G270" s="3"/>
    </row>
    <row r="271" ht="17.6" spans="4:7">
      <c r="D271" s="175">
        <v>45838</v>
      </c>
      <c r="E271" s="176">
        <v>25517.05</v>
      </c>
      <c r="F271" s="3"/>
      <c r="G271" s="3"/>
    </row>
    <row r="272" ht="17.6" spans="4:7">
      <c r="D272" s="175">
        <v>45835</v>
      </c>
      <c r="E272" s="176">
        <v>25637.8</v>
      </c>
      <c r="F272" s="3"/>
      <c r="G272" s="3"/>
    </row>
    <row r="273" ht="17.6" spans="4:7">
      <c r="D273" s="175">
        <v>45834</v>
      </c>
      <c r="E273" s="176">
        <v>25549</v>
      </c>
      <c r="F273" s="3"/>
      <c r="G273" s="3"/>
    </row>
    <row r="274" ht="17.6" spans="4:7">
      <c r="D274" s="175">
        <v>45833</v>
      </c>
      <c r="E274" s="176">
        <v>25244.75</v>
      </c>
      <c r="F274" s="3"/>
      <c r="G274" s="3"/>
    </row>
    <row r="275" ht="17.6" spans="4:7">
      <c r="D275" s="175">
        <v>45832</v>
      </c>
      <c r="E275" s="176">
        <v>25044.35</v>
      </c>
      <c r="F275" s="3"/>
      <c r="G275" s="3"/>
    </row>
    <row r="276" ht="17.6" spans="4:7">
      <c r="D276" s="175">
        <v>45831</v>
      </c>
      <c r="E276" s="176">
        <v>24971.9</v>
      </c>
      <c r="F276" s="3"/>
      <c r="G276" s="3"/>
    </row>
    <row r="277" ht="17.6" spans="4:7">
      <c r="D277" s="175">
        <v>45828</v>
      </c>
      <c r="E277" s="176">
        <v>25112.4</v>
      </c>
      <c r="F277" s="3"/>
      <c r="G277" s="3"/>
    </row>
    <row r="278" ht="17.6" spans="4:7">
      <c r="D278" s="175">
        <v>45827</v>
      </c>
      <c r="E278" s="176">
        <v>24793.25</v>
      </c>
      <c r="F278" s="3"/>
      <c r="G278" s="3"/>
    </row>
    <row r="279" ht="17.6" spans="4:7">
      <c r="D279" s="175">
        <v>45826</v>
      </c>
      <c r="E279" s="176">
        <v>24812.05</v>
      </c>
      <c r="F279" s="3"/>
      <c r="G279" s="3"/>
    </row>
    <row r="280" ht="17.6" spans="4:7">
      <c r="D280" s="175">
        <v>45825</v>
      </c>
      <c r="E280" s="176">
        <v>24853.4</v>
      </c>
      <c r="F280" s="3"/>
      <c r="G280" s="3"/>
    </row>
    <row r="281" ht="17.6" spans="4:7">
      <c r="D281" s="175">
        <v>45824</v>
      </c>
      <c r="E281" s="176">
        <v>24946.5</v>
      </c>
      <c r="F281" s="3"/>
      <c r="G281" s="3"/>
    </row>
    <row r="282" ht="17.6" spans="4:7">
      <c r="D282" s="175">
        <v>45821</v>
      </c>
      <c r="E282" s="176">
        <v>24718.6</v>
      </c>
      <c r="F282" s="3"/>
      <c r="G282" s="3"/>
    </row>
    <row r="283" ht="17.6" spans="4:7">
      <c r="D283" s="175">
        <v>45820</v>
      </c>
      <c r="E283" s="176">
        <v>24888.2</v>
      </c>
      <c r="F283" s="3"/>
      <c r="G283" s="3"/>
    </row>
    <row r="284" ht="17.6" spans="4:7">
      <c r="D284" s="175">
        <v>45819</v>
      </c>
      <c r="E284" s="176">
        <v>25141.4</v>
      </c>
      <c r="F284" s="3"/>
      <c r="G284" s="3"/>
    </row>
    <row r="285" ht="17.6" spans="4:7">
      <c r="D285" s="175">
        <v>45818</v>
      </c>
      <c r="E285" s="176">
        <v>25104.25</v>
      </c>
      <c r="F285" s="3"/>
      <c r="G285" s="3"/>
    </row>
    <row r="286" ht="17.6" spans="4:7">
      <c r="D286" s="175">
        <v>45817</v>
      </c>
      <c r="E286" s="176">
        <v>25103.2</v>
      </c>
      <c r="F286" s="3"/>
      <c r="G286" s="3"/>
    </row>
    <row r="287" ht="17.6" spans="4:7">
      <c r="D287" s="175">
        <v>45814</v>
      </c>
      <c r="E287" s="176">
        <v>25003.05</v>
      </c>
      <c r="F287" s="3"/>
      <c r="G287" s="3"/>
    </row>
    <row r="288" ht="17.6" spans="4:7">
      <c r="D288" s="175">
        <v>45813</v>
      </c>
      <c r="E288" s="176">
        <v>24750.9</v>
      </c>
      <c r="F288" s="3"/>
      <c r="G288" s="3"/>
    </row>
    <row r="289" ht="17.6" spans="4:7">
      <c r="D289" s="175">
        <v>45812</v>
      </c>
      <c r="E289" s="176">
        <v>24620.2</v>
      </c>
      <c r="F289" s="3"/>
      <c r="G289" s="3"/>
    </row>
    <row r="290" ht="17.6" spans="4:7">
      <c r="D290" s="175">
        <v>45811</v>
      </c>
      <c r="E290" s="176">
        <v>24542.5</v>
      </c>
      <c r="F290" s="3"/>
      <c r="G290" s="3"/>
    </row>
    <row r="291" ht="17.6" spans="4:7">
      <c r="D291" s="175">
        <v>45810</v>
      </c>
      <c r="E291" s="176">
        <v>24716.6</v>
      </c>
      <c r="F291" s="3"/>
      <c r="G291" s="3"/>
    </row>
    <row r="292" ht="17.6" spans="4:7">
      <c r="D292" s="175">
        <v>45807</v>
      </c>
      <c r="E292" s="176">
        <v>24750.7</v>
      </c>
      <c r="F292" s="3"/>
      <c r="G292" s="3"/>
    </row>
    <row r="293" ht="17.6" spans="4:7">
      <c r="D293" s="175">
        <v>45806</v>
      </c>
      <c r="E293" s="176">
        <v>24833.6</v>
      </c>
      <c r="F293" s="3"/>
      <c r="G293" s="3"/>
    </row>
    <row r="294" ht="17.6" spans="4:7">
      <c r="D294" s="175">
        <v>45805</v>
      </c>
      <c r="E294" s="176">
        <v>24752.45</v>
      </c>
      <c r="F294" s="3"/>
      <c r="G294" s="3"/>
    </row>
    <row r="295" ht="17.6" spans="4:7">
      <c r="D295" s="175">
        <v>45804</v>
      </c>
      <c r="E295" s="176">
        <v>24826.2</v>
      </c>
      <c r="F295" s="3"/>
      <c r="G295" s="3"/>
    </row>
    <row r="296" ht="17.6" spans="4:7">
      <c r="D296" s="175">
        <v>45803</v>
      </c>
      <c r="E296" s="176">
        <v>25001.15</v>
      </c>
      <c r="F296" s="3"/>
      <c r="G296" s="3"/>
    </row>
    <row r="297" ht="17.6" spans="4:7">
      <c r="D297" s="175">
        <v>45800</v>
      </c>
      <c r="E297" s="176">
        <v>24853.15</v>
      </c>
      <c r="F297" s="3"/>
      <c r="G297" s="3"/>
    </row>
    <row r="298" ht="17.6" spans="4:7">
      <c r="D298" s="175">
        <v>45799</v>
      </c>
      <c r="E298" s="176">
        <v>24609.7</v>
      </c>
      <c r="F298" s="3"/>
      <c r="G298" s="3"/>
    </row>
    <row r="299" ht="17.6" spans="4:7">
      <c r="D299" s="175">
        <v>45798</v>
      </c>
      <c r="E299" s="176">
        <v>24813.45</v>
      </c>
      <c r="F299" s="3"/>
      <c r="G299" s="3"/>
    </row>
    <row r="300" ht="17.6" spans="4:7">
      <c r="D300" s="175">
        <v>45797</v>
      </c>
      <c r="E300" s="176">
        <v>24683.9</v>
      </c>
      <c r="F300" s="3"/>
      <c r="G300" s="3"/>
    </row>
    <row r="301" ht="17.6" spans="4:7">
      <c r="D301" s="175">
        <v>45796</v>
      </c>
      <c r="E301" s="176">
        <v>24945.45</v>
      </c>
      <c r="F301" s="3"/>
      <c r="G301" s="3"/>
    </row>
    <row r="302" ht="17.6" spans="4:7">
      <c r="D302" s="175">
        <v>45793</v>
      </c>
      <c r="E302" s="176">
        <v>25019.8</v>
      </c>
      <c r="F302" s="3"/>
      <c r="G302" s="3"/>
    </row>
    <row r="303" ht="17.6" spans="4:7">
      <c r="D303" s="175">
        <v>45792</v>
      </c>
      <c r="E303" s="176">
        <v>25062.1</v>
      </c>
      <c r="F303" s="3"/>
      <c r="G303" s="3"/>
    </row>
    <row r="304" ht="17.6" spans="4:7">
      <c r="D304" s="175">
        <v>45791</v>
      </c>
      <c r="E304" s="176">
        <v>24666.9</v>
      </c>
      <c r="F304" s="3"/>
      <c r="G304" s="3"/>
    </row>
    <row r="305" ht="17.6" spans="4:7">
      <c r="D305" s="175">
        <v>45790</v>
      </c>
      <c r="E305" s="176">
        <v>24578.35</v>
      </c>
      <c r="F305" s="3"/>
      <c r="G305" s="3"/>
    </row>
    <row r="306" ht="17.6" spans="4:7">
      <c r="D306" s="175">
        <v>45789</v>
      </c>
      <c r="E306" s="176">
        <v>24924.7</v>
      </c>
      <c r="F306" s="3"/>
      <c r="G306" s="3"/>
    </row>
    <row r="307" ht="17.6" spans="4:7">
      <c r="D307" s="175">
        <v>45786</v>
      </c>
      <c r="E307" s="176">
        <v>24008</v>
      </c>
      <c r="F307" s="3"/>
      <c r="G307" s="3"/>
    </row>
    <row r="308" ht="17.6" spans="4:7">
      <c r="D308" s="175">
        <v>45785</v>
      </c>
      <c r="E308" s="176">
        <v>24273.8</v>
      </c>
      <c r="F308" s="3"/>
      <c r="G308" s="3"/>
    </row>
    <row r="309" ht="17.6" spans="4:7">
      <c r="D309" s="175">
        <v>45784</v>
      </c>
      <c r="E309" s="176">
        <v>24414.4</v>
      </c>
      <c r="F309" s="3"/>
      <c r="G309" s="3"/>
    </row>
    <row r="310" ht="17.6" spans="4:7">
      <c r="D310" s="175">
        <v>45783</v>
      </c>
      <c r="E310" s="176">
        <v>24379.6</v>
      </c>
      <c r="F310" s="3"/>
      <c r="G310" s="3"/>
    </row>
    <row r="311" ht="17.6" spans="4:7">
      <c r="D311" s="175">
        <v>45782</v>
      </c>
      <c r="E311" s="176">
        <v>24461.15</v>
      </c>
      <c r="F311" s="3"/>
      <c r="G311" s="3"/>
    </row>
    <row r="312" ht="17.6" spans="4:7">
      <c r="D312" s="175">
        <v>45779</v>
      </c>
      <c r="E312" s="176">
        <v>24346.7</v>
      </c>
      <c r="F312" s="3"/>
      <c r="G312" s="3"/>
    </row>
    <row r="313" ht="17.6" spans="4:7">
      <c r="D313" s="175">
        <v>45777</v>
      </c>
      <c r="E313" s="176">
        <v>24334.2</v>
      </c>
      <c r="F313" s="3"/>
      <c r="G313" s="3"/>
    </row>
    <row r="314" ht="17.6" spans="4:7">
      <c r="D314" s="175">
        <v>45776</v>
      </c>
      <c r="E314" s="176">
        <v>24335.95</v>
      </c>
      <c r="F314" s="3"/>
      <c r="G314" s="3"/>
    </row>
    <row r="315" ht="17.6" spans="4:7">
      <c r="D315" s="175">
        <v>45775</v>
      </c>
      <c r="E315" s="176">
        <v>24328.5</v>
      </c>
      <c r="F315" s="3"/>
      <c r="G315" s="3"/>
    </row>
    <row r="316" ht="17.6" spans="4:7">
      <c r="D316" s="175">
        <v>45772</v>
      </c>
      <c r="E316" s="176">
        <v>24039.35</v>
      </c>
      <c r="F316" s="3"/>
      <c r="G316" s="3"/>
    </row>
    <row r="317" ht="17.6" spans="4:7">
      <c r="D317" s="175">
        <v>45771</v>
      </c>
      <c r="E317" s="176">
        <v>24246.7</v>
      </c>
      <c r="F317" s="3"/>
      <c r="G317" s="3"/>
    </row>
    <row r="318" ht="17.6" spans="4:7">
      <c r="D318" s="175">
        <v>45770</v>
      </c>
      <c r="E318" s="176">
        <v>24328.95</v>
      </c>
      <c r="F318" s="3"/>
      <c r="G318" s="3"/>
    </row>
    <row r="319" ht="17.6" spans="4:7">
      <c r="D319" s="175">
        <v>45769</v>
      </c>
      <c r="E319" s="176">
        <v>24167.25</v>
      </c>
      <c r="F319" s="3"/>
      <c r="G319" s="3"/>
    </row>
    <row r="320" ht="17.6" spans="4:7">
      <c r="D320" s="175">
        <v>45768</v>
      </c>
      <c r="E320" s="176">
        <v>24125.55</v>
      </c>
      <c r="F320" s="3"/>
      <c r="G320" s="3"/>
    </row>
    <row r="321" ht="17.6" spans="4:7">
      <c r="D321" s="175">
        <v>45764</v>
      </c>
      <c r="E321" s="176">
        <v>23851.65</v>
      </c>
      <c r="F321" s="3"/>
      <c r="G321" s="3"/>
    </row>
    <row r="322" ht="17.6" spans="4:7">
      <c r="D322" s="175">
        <v>45763</v>
      </c>
      <c r="E322" s="176">
        <v>23437.2</v>
      </c>
      <c r="F322" s="3"/>
      <c r="G322" s="3"/>
    </row>
    <row r="323" ht="17.6" spans="4:7">
      <c r="D323" s="175">
        <v>45762</v>
      </c>
      <c r="E323" s="176">
        <v>23328.55</v>
      </c>
      <c r="F323" s="3"/>
      <c r="G323" s="3"/>
    </row>
    <row r="324" ht="17.6" spans="4:7">
      <c r="D324" s="175">
        <v>45758</v>
      </c>
      <c r="E324" s="176">
        <v>22828.55</v>
      </c>
      <c r="F324" s="3"/>
      <c r="G324" s="3"/>
    </row>
    <row r="325" ht="17.6" spans="4:7">
      <c r="D325" s="175">
        <v>45756</v>
      </c>
      <c r="E325" s="176">
        <v>22399.15</v>
      </c>
      <c r="F325" s="3"/>
      <c r="G325" s="3"/>
    </row>
    <row r="326" ht="17.6" spans="4:7">
      <c r="D326" s="175">
        <v>45755</v>
      </c>
      <c r="E326" s="176">
        <v>22535.85</v>
      </c>
      <c r="F326" s="3"/>
      <c r="G326" s="3"/>
    </row>
    <row r="327" ht="17.6" spans="4:7">
      <c r="D327" s="175">
        <v>45754</v>
      </c>
      <c r="E327" s="176">
        <v>22161.6</v>
      </c>
      <c r="F327" s="3"/>
      <c r="G327" s="3"/>
    </row>
    <row r="328" ht="17.6" spans="4:7">
      <c r="D328" s="175">
        <v>45751</v>
      </c>
      <c r="E328" s="176">
        <v>22904.45</v>
      </c>
      <c r="F328" s="3"/>
      <c r="G328" s="3"/>
    </row>
    <row r="329" ht="17.6" spans="4:7">
      <c r="D329" s="175">
        <v>45750</v>
      </c>
      <c r="E329" s="176">
        <v>23250.1</v>
      </c>
      <c r="F329" s="3"/>
      <c r="G329" s="3"/>
    </row>
    <row r="330" ht="17.6" spans="4:7">
      <c r="D330" s="175">
        <v>45749</v>
      </c>
      <c r="E330" s="176">
        <v>23332.35</v>
      </c>
      <c r="F330" s="3"/>
      <c r="G330" s="3"/>
    </row>
    <row r="331" ht="17.6" spans="4:7">
      <c r="D331" s="175">
        <v>45748</v>
      </c>
      <c r="E331" s="176">
        <v>23165.7</v>
      </c>
      <c r="F331" s="3"/>
      <c r="G331" s="3"/>
    </row>
    <row r="332" ht="17.6" spans="4:7">
      <c r="D332" s="175">
        <v>45744</v>
      </c>
      <c r="E332" s="176">
        <v>23519.35</v>
      </c>
      <c r="F332" s="3"/>
      <c r="G332" s="3"/>
    </row>
    <row r="333" ht="17.6" spans="4:7">
      <c r="D333" s="175">
        <v>45743</v>
      </c>
      <c r="E333" s="176">
        <v>23591.95</v>
      </c>
      <c r="F333" s="3"/>
      <c r="G333" s="3"/>
    </row>
    <row r="334" ht="17.6" spans="4:7">
      <c r="D334" s="175">
        <v>45742</v>
      </c>
      <c r="E334" s="176">
        <v>23486.85</v>
      </c>
      <c r="F334" s="3"/>
      <c r="G334" s="3"/>
    </row>
    <row r="335" ht="17.6" spans="4:7">
      <c r="D335" s="175">
        <v>45741</v>
      </c>
      <c r="E335" s="176">
        <v>23668.65</v>
      </c>
      <c r="F335" s="3"/>
      <c r="G335" s="3"/>
    </row>
    <row r="336" ht="17.6" spans="4:7">
      <c r="D336" s="175">
        <v>45740</v>
      </c>
      <c r="E336" s="176">
        <v>23658.35</v>
      </c>
      <c r="F336" s="3"/>
      <c r="G336" s="3"/>
    </row>
    <row r="337" ht="17.6" spans="4:7">
      <c r="D337" s="175">
        <v>45737</v>
      </c>
      <c r="E337" s="176">
        <v>23350.4</v>
      </c>
      <c r="F337" s="3"/>
      <c r="G337" s="3"/>
    </row>
    <row r="338" ht="17.6" spans="4:7">
      <c r="D338" s="175">
        <v>45736</v>
      </c>
      <c r="E338" s="176">
        <v>23190.65</v>
      </c>
      <c r="F338" s="3"/>
      <c r="G338" s="3"/>
    </row>
    <row r="339" ht="17.6" spans="4:7">
      <c r="D339" s="175">
        <v>45735</v>
      </c>
      <c r="E339" s="176">
        <v>22907.6</v>
      </c>
      <c r="F339" s="3"/>
      <c r="G339" s="3"/>
    </row>
    <row r="340" ht="17.6" spans="4:7">
      <c r="D340" s="175">
        <v>45734</v>
      </c>
      <c r="E340" s="176">
        <v>22834.3</v>
      </c>
      <c r="F340" s="3"/>
      <c r="G340" s="3"/>
    </row>
    <row r="341" ht="17.6" spans="4:7">
      <c r="D341" s="175">
        <v>45733</v>
      </c>
      <c r="E341" s="176">
        <v>22508.75</v>
      </c>
      <c r="F341" s="3"/>
      <c r="G341" s="3"/>
    </row>
    <row r="342" ht="17.6" spans="4:7">
      <c r="D342" s="175">
        <v>45729</v>
      </c>
      <c r="E342" s="176">
        <v>22397.2</v>
      </c>
      <c r="F342" s="3"/>
      <c r="G342" s="3"/>
    </row>
    <row r="343" ht="17.6" spans="4:7">
      <c r="D343" s="175">
        <v>45728</v>
      </c>
      <c r="E343" s="176">
        <v>22470.5</v>
      </c>
      <c r="F343" s="3"/>
      <c r="G343" s="3"/>
    </row>
    <row r="344" ht="17.6" spans="4:7">
      <c r="D344" s="175">
        <v>45727</v>
      </c>
      <c r="E344" s="176">
        <v>22497.9</v>
      </c>
      <c r="F344" s="3"/>
      <c r="G344" s="3"/>
    </row>
    <row r="345" ht="17.6" spans="4:7">
      <c r="D345" s="175">
        <v>45726</v>
      </c>
      <c r="E345" s="176">
        <v>22460.3</v>
      </c>
      <c r="F345" s="3"/>
      <c r="G345" s="3"/>
    </row>
    <row r="346" ht="17.6" spans="4:7">
      <c r="D346" s="175">
        <v>45723</v>
      </c>
      <c r="E346" s="176">
        <v>22552.5</v>
      </c>
      <c r="F346" s="3"/>
      <c r="G346" s="3"/>
    </row>
    <row r="347" ht="17.6" spans="4:7">
      <c r="D347" s="175">
        <v>45722</v>
      </c>
      <c r="E347" s="176">
        <v>22544.7</v>
      </c>
      <c r="F347" s="3"/>
      <c r="G347" s="3"/>
    </row>
    <row r="348" ht="17.6" spans="4:7">
      <c r="D348" s="175">
        <v>45721</v>
      </c>
      <c r="E348" s="176">
        <v>22337.3</v>
      </c>
      <c r="F348" s="3"/>
      <c r="G348" s="3"/>
    </row>
    <row r="349" ht="17.6" spans="4:7">
      <c r="D349" s="175">
        <v>45720</v>
      </c>
      <c r="E349" s="176">
        <v>22082.65</v>
      </c>
      <c r="F349" s="3"/>
      <c r="G349" s="3"/>
    </row>
    <row r="350" ht="17.6" spans="4:7">
      <c r="D350" s="175">
        <v>45719</v>
      </c>
      <c r="E350" s="176">
        <v>22119.3</v>
      </c>
      <c r="F350" s="3"/>
      <c r="G350" s="3"/>
    </row>
    <row r="351" ht="17.6" spans="4:7">
      <c r="D351" s="175">
        <v>45716</v>
      </c>
      <c r="E351" s="176">
        <v>22124.7</v>
      </c>
      <c r="F351" s="3"/>
      <c r="G351" s="3"/>
    </row>
    <row r="352" ht="17.6" spans="4:7">
      <c r="D352" s="175">
        <v>45715</v>
      </c>
      <c r="E352" s="176">
        <v>22545.05</v>
      </c>
      <c r="F352" s="3"/>
      <c r="G352" s="3"/>
    </row>
    <row r="353" ht="17.6" spans="4:7">
      <c r="D353" s="175">
        <v>45713</v>
      </c>
      <c r="E353" s="176">
        <v>22547.55</v>
      </c>
      <c r="F353" s="3"/>
      <c r="G353" s="3"/>
    </row>
    <row r="354" ht="17.6" spans="4:7">
      <c r="D354" s="175">
        <v>45712</v>
      </c>
      <c r="E354" s="176">
        <v>22553.35</v>
      </c>
      <c r="F354" s="3"/>
      <c r="G354" s="3"/>
    </row>
    <row r="355" ht="17.6" spans="4:7">
      <c r="D355" s="175">
        <v>45709</v>
      </c>
      <c r="E355" s="176">
        <v>22795.9</v>
      </c>
      <c r="F355" s="3"/>
      <c r="G355" s="3"/>
    </row>
    <row r="356" ht="17.6" spans="4:7">
      <c r="D356" s="175">
        <v>45708</v>
      </c>
      <c r="E356" s="176">
        <v>22913.15</v>
      </c>
      <c r="F356" s="3"/>
      <c r="G356" s="3"/>
    </row>
    <row r="357" ht="17.6" spans="4:7">
      <c r="D357" s="175">
        <v>45707</v>
      </c>
      <c r="E357" s="176">
        <v>22932.9</v>
      </c>
      <c r="F357" s="3"/>
      <c r="G357" s="3"/>
    </row>
    <row r="358" ht="17.6" spans="4:7">
      <c r="D358" s="175">
        <v>45706</v>
      </c>
      <c r="E358" s="176">
        <v>22945.3</v>
      </c>
      <c r="F358" s="3"/>
      <c r="G358" s="3"/>
    </row>
    <row r="359" ht="17.6" spans="4:7">
      <c r="D359" s="175">
        <v>45705</v>
      </c>
      <c r="E359" s="176">
        <v>22959.5</v>
      </c>
      <c r="F359" s="3"/>
      <c r="G359" s="3"/>
    </row>
    <row r="360" ht="17.6" spans="4:7">
      <c r="D360" s="175">
        <v>45702</v>
      </c>
      <c r="E360" s="176">
        <v>22929.25</v>
      </c>
      <c r="F360" s="3"/>
      <c r="G360" s="3"/>
    </row>
    <row r="361" ht="17.6" spans="4:7">
      <c r="D361" s="175">
        <v>45701</v>
      </c>
      <c r="E361" s="176">
        <v>23031.4</v>
      </c>
      <c r="F361" s="3"/>
      <c r="G361" s="3"/>
    </row>
    <row r="362" ht="17.6" spans="4:7">
      <c r="D362" s="175">
        <v>45700</v>
      </c>
      <c r="E362" s="176">
        <v>23045.25</v>
      </c>
      <c r="F362" s="3"/>
      <c r="G362" s="3"/>
    </row>
    <row r="363" ht="17.6" spans="4:7">
      <c r="D363" s="175">
        <v>45699</v>
      </c>
      <c r="E363" s="176">
        <v>23071.8</v>
      </c>
      <c r="F363" s="3"/>
      <c r="G363" s="3"/>
    </row>
    <row r="364" ht="17.6" spans="4:7">
      <c r="D364" s="175">
        <v>45698</v>
      </c>
      <c r="E364" s="176">
        <v>23381.6</v>
      </c>
      <c r="F364" s="3"/>
      <c r="G364" s="3"/>
    </row>
    <row r="365" ht="17.6" spans="4:7">
      <c r="D365" s="175">
        <v>45695</v>
      </c>
      <c r="E365" s="176">
        <v>23559.95</v>
      </c>
      <c r="F365" s="3"/>
      <c r="G365" s="3"/>
    </row>
    <row r="366" ht="17.6" spans="4:7">
      <c r="D366" s="175">
        <v>45694</v>
      </c>
      <c r="E366" s="176">
        <v>23603.35</v>
      </c>
      <c r="F366" s="3"/>
      <c r="G366" s="3"/>
    </row>
    <row r="367" ht="17.6" spans="4:7">
      <c r="D367" s="175">
        <v>45693</v>
      </c>
      <c r="E367" s="176">
        <v>23696.3</v>
      </c>
      <c r="F367" s="3"/>
      <c r="G367" s="3"/>
    </row>
    <row r="368" ht="17.6" spans="4:7">
      <c r="D368" s="175">
        <v>45692</v>
      </c>
      <c r="E368" s="176">
        <v>23739.25</v>
      </c>
      <c r="F368" s="3"/>
      <c r="G368" s="3"/>
    </row>
    <row r="369" ht="17.6" spans="4:7">
      <c r="D369" s="175">
        <v>45691</v>
      </c>
      <c r="E369" s="176">
        <v>23361.05</v>
      </c>
      <c r="F369" s="3"/>
      <c r="G369" s="3"/>
    </row>
    <row r="370" ht="17.6" spans="4:7">
      <c r="D370" s="175">
        <v>45689</v>
      </c>
      <c r="E370" s="176">
        <v>23482.15</v>
      </c>
      <c r="F370" s="3"/>
      <c r="G370" s="3"/>
    </row>
    <row r="371" ht="17.6" spans="4:7">
      <c r="D371" s="175">
        <v>45688</v>
      </c>
      <c r="E371" s="176">
        <v>23508.4</v>
      </c>
      <c r="F371" s="3"/>
      <c r="G371" s="3"/>
    </row>
    <row r="372" ht="17.6" spans="4:7">
      <c r="D372" s="175">
        <v>45687</v>
      </c>
      <c r="E372" s="176">
        <v>23249.5</v>
      </c>
      <c r="F372" s="3"/>
      <c r="G372" s="3"/>
    </row>
    <row r="373" ht="17.6" spans="4:7">
      <c r="D373" s="175">
        <v>45686</v>
      </c>
      <c r="E373" s="176">
        <v>23163.1</v>
      </c>
      <c r="F373" s="3"/>
      <c r="G373" s="3"/>
    </row>
    <row r="374" ht="17.6" spans="4:7">
      <c r="D374" s="175">
        <v>45685</v>
      </c>
      <c r="E374" s="176">
        <v>22957.25</v>
      </c>
      <c r="F374" s="3"/>
      <c r="G374" s="3"/>
    </row>
    <row r="375" ht="17.6" spans="4:7">
      <c r="D375" s="175">
        <v>45684</v>
      </c>
      <c r="E375" s="176">
        <v>22829.15</v>
      </c>
      <c r="F375" s="3"/>
      <c r="G375" s="3"/>
    </row>
    <row r="376" ht="17.6" spans="4:7">
      <c r="D376" s="175">
        <v>45681</v>
      </c>
      <c r="E376" s="176">
        <v>23092.2</v>
      </c>
      <c r="F376" s="3"/>
      <c r="G376" s="3"/>
    </row>
    <row r="377" ht="17.6" spans="4:7">
      <c r="D377" s="175">
        <v>45680</v>
      </c>
      <c r="E377" s="176">
        <v>23205.35</v>
      </c>
      <c r="F377" s="3"/>
      <c r="G377" s="3"/>
    </row>
    <row r="378" ht="17.6" spans="4:7">
      <c r="D378" s="175">
        <v>45679</v>
      </c>
      <c r="E378" s="176">
        <v>23155.35</v>
      </c>
      <c r="F378" s="3"/>
      <c r="G378" s="3"/>
    </row>
    <row r="379" ht="17.6" spans="4:7">
      <c r="D379" s="175">
        <v>45678</v>
      </c>
      <c r="E379" s="176">
        <v>23024.65</v>
      </c>
      <c r="F379" s="3"/>
      <c r="G379" s="3"/>
    </row>
    <row r="380" ht="17.6" spans="4:7">
      <c r="D380" s="175">
        <v>45677</v>
      </c>
      <c r="E380" s="176">
        <v>23344.75</v>
      </c>
      <c r="F380" s="3"/>
      <c r="G380" s="3"/>
    </row>
    <row r="381" ht="17.6" spans="4:7">
      <c r="D381" s="175">
        <v>45674</v>
      </c>
      <c r="E381" s="176">
        <v>23203.2</v>
      </c>
      <c r="F381" s="3"/>
      <c r="G381" s="3"/>
    </row>
    <row r="382" ht="17.6" spans="4:7">
      <c r="D382" s="175">
        <v>45673</v>
      </c>
      <c r="E382" s="176">
        <v>23311.8</v>
      </c>
      <c r="F382" s="3"/>
      <c r="G382" s="3"/>
    </row>
    <row r="383" ht="17.6" spans="4:7">
      <c r="D383" s="175">
        <v>45672</v>
      </c>
      <c r="E383" s="176">
        <v>23213.2</v>
      </c>
      <c r="F383" s="3"/>
      <c r="G383" s="3"/>
    </row>
    <row r="384" ht="17.6" spans="4:7">
      <c r="D384" s="175">
        <v>45671</v>
      </c>
      <c r="E384" s="176">
        <v>23176.05</v>
      </c>
      <c r="F384" s="3"/>
      <c r="G384" s="3"/>
    </row>
    <row r="385" ht="17.6" spans="4:7">
      <c r="D385" s="175">
        <v>45670</v>
      </c>
      <c r="E385" s="176">
        <v>23085.95</v>
      </c>
      <c r="F385" s="3"/>
      <c r="G385" s="3"/>
    </row>
    <row r="386" ht="17.6" spans="4:7">
      <c r="D386" s="175">
        <v>45667</v>
      </c>
      <c r="E386" s="176">
        <v>23431.5</v>
      </c>
      <c r="F386" s="3"/>
      <c r="G386" s="3"/>
    </row>
    <row r="387" ht="17.6" spans="4:7">
      <c r="D387" s="175">
        <v>45666</v>
      </c>
      <c r="E387" s="176">
        <v>23526.5</v>
      </c>
      <c r="F387" s="3"/>
      <c r="G387" s="3"/>
    </row>
    <row r="388" ht="17.6" spans="4:7">
      <c r="D388" s="175">
        <v>45665</v>
      </c>
      <c r="E388" s="176">
        <v>23688.95</v>
      </c>
      <c r="F388" s="3"/>
      <c r="G388" s="3"/>
    </row>
    <row r="389" ht="17.6" spans="4:7">
      <c r="D389" s="175">
        <v>45664</v>
      </c>
      <c r="E389" s="176">
        <v>23707.9</v>
      </c>
      <c r="F389" s="3"/>
      <c r="G389" s="3"/>
    </row>
    <row r="390" ht="17.6" spans="4:7">
      <c r="D390" s="175">
        <v>45663</v>
      </c>
      <c r="E390" s="176">
        <v>23616.05</v>
      </c>
      <c r="F390" s="3"/>
      <c r="G390" s="3"/>
    </row>
    <row r="391" ht="17.6" spans="4:7">
      <c r="D391" s="175">
        <v>45660</v>
      </c>
      <c r="E391" s="176">
        <v>24004.75</v>
      </c>
      <c r="F391" s="3"/>
      <c r="G391" s="3"/>
    </row>
    <row r="392" ht="17.6" spans="4:7">
      <c r="D392" s="175">
        <v>45659</v>
      </c>
      <c r="E392" s="176">
        <v>24188.65</v>
      </c>
      <c r="F392" s="3"/>
      <c r="G392" s="3"/>
    </row>
    <row r="393" ht="17.6" spans="4:7">
      <c r="D393" s="175">
        <v>45658</v>
      </c>
      <c r="E393" s="176">
        <v>23742.9</v>
      </c>
      <c r="F393" s="3"/>
      <c r="G393" s="3"/>
    </row>
    <row r="394" ht="17.6" spans="4:7">
      <c r="D394" s="175">
        <v>45657</v>
      </c>
      <c r="E394" s="176">
        <v>23644.8</v>
      </c>
      <c r="F394" s="3"/>
      <c r="G394" s="3"/>
    </row>
    <row r="395" ht="17.6" spans="4:7">
      <c r="D395" s="175">
        <v>45656</v>
      </c>
      <c r="E395" s="176">
        <v>23644.9</v>
      </c>
      <c r="F395" s="3"/>
      <c r="G395" s="3"/>
    </row>
    <row r="396" ht="17.6" spans="4:7">
      <c r="D396" s="175">
        <v>45653</v>
      </c>
      <c r="E396" s="176">
        <v>23813.4</v>
      </c>
      <c r="F396" s="3"/>
      <c r="G396" s="3"/>
    </row>
    <row r="397" ht="17.6" spans="4:7">
      <c r="D397" s="175">
        <v>45652</v>
      </c>
      <c r="E397" s="176">
        <v>23750.2</v>
      </c>
      <c r="F397" s="3"/>
      <c r="G397" s="3"/>
    </row>
    <row r="398" ht="17.6" spans="4:7">
      <c r="D398" s="175">
        <v>45650</v>
      </c>
      <c r="E398" s="176">
        <v>23727.65</v>
      </c>
      <c r="F398" s="3"/>
      <c r="G398" s="3"/>
    </row>
    <row r="399" ht="17.6" spans="4:7">
      <c r="D399" s="175">
        <v>45649</v>
      </c>
      <c r="E399" s="176">
        <v>23753.45</v>
      </c>
      <c r="F399" s="3"/>
      <c r="G399" s="3"/>
    </row>
    <row r="400" ht="17.6" spans="4:7">
      <c r="D400" s="175">
        <v>45646</v>
      </c>
      <c r="E400" s="176">
        <v>23587.5</v>
      </c>
      <c r="F400" s="3"/>
      <c r="G400" s="3"/>
    </row>
    <row r="401" ht="17.6" spans="4:7">
      <c r="D401" s="175">
        <v>45645</v>
      </c>
      <c r="E401" s="176">
        <v>23951.7</v>
      </c>
      <c r="F401" s="3"/>
      <c r="G401" s="3"/>
    </row>
    <row r="402" ht="17.6" spans="4:7">
      <c r="D402" s="175">
        <v>45644</v>
      </c>
      <c r="E402" s="176">
        <v>24198.85</v>
      </c>
      <c r="F402" s="3"/>
      <c r="G402" s="3"/>
    </row>
    <row r="403" ht="17.6" spans="4:7">
      <c r="D403" s="175">
        <v>45643</v>
      </c>
      <c r="E403" s="176">
        <v>24336</v>
      </c>
      <c r="F403" s="3"/>
      <c r="G403" s="3"/>
    </row>
    <row r="404" ht="17.6" spans="4:7">
      <c r="D404" s="175">
        <v>45642</v>
      </c>
      <c r="E404" s="176">
        <v>24668.25</v>
      </c>
      <c r="F404" s="3"/>
      <c r="G404" s="3"/>
    </row>
    <row r="405" ht="17.6" spans="4:7">
      <c r="D405" s="175">
        <v>45639</v>
      </c>
      <c r="E405" s="176">
        <v>24768.3</v>
      </c>
      <c r="F405" s="3"/>
      <c r="G405" s="3"/>
    </row>
    <row r="406" ht="17.6" spans="4:7">
      <c r="D406" s="175">
        <v>45638</v>
      </c>
      <c r="E406" s="176">
        <v>24548.7</v>
      </c>
      <c r="F406" s="3"/>
      <c r="G406" s="3"/>
    </row>
    <row r="407" ht="17.6" spans="4:7">
      <c r="D407" s="175">
        <v>45637</v>
      </c>
      <c r="E407" s="176">
        <v>24641.8</v>
      </c>
      <c r="F407" s="3"/>
      <c r="G407" s="3"/>
    </row>
    <row r="408" ht="17.6" spans="4:7">
      <c r="D408" s="175">
        <v>45636</v>
      </c>
      <c r="E408" s="176">
        <v>24610.05</v>
      </c>
      <c r="F408" s="3"/>
      <c r="G408" s="3"/>
    </row>
    <row r="409" ht="17.6" spans="4:7">
      <c r="D409" s="175">
        <v>45635</v>
      </c>
      <c r="E409" s="176">
        <v>24619</v>
      </c>
      <c r="F409" s="3"/>
      <c r="G409" s="3"/>
    </row>
    <row r="410" ht="17.6" spans="4:7">
      <c r="D410" s="175">
        <v>45632</v>
      </c>
      <c r="E410" s="176">
        <v>24677.8</v>
      </c>
      <c r="F410" s="3"/>
      <c r="G410" s="3"/>
    </row>
    <row r="411" ht="17.6" spans="4:7">
      <c r="D411" s="175">
        <v>45631</v>
      </c>
      <c r="E411" s="176">
        <v>24708.4</v>
      </c>
      <c r="F411" s="3"/>
      <c r="G411" s="3"/>
    </row>
    <row r="412" ht="17.6" spans="4:7">
      <c r="D412" s="175">
        <v>45630</v>
      </c>
      <c r="E412" s="176">
        <v>24467.45</v>
      </c>
      <c r="F412" s="3"/>
      <c r="G412" s="3"/>
    </row>
    <row r="413" ht="17.6" spans="4:7">
      <c r="D413" s="175">
        <v>45629</v>
      </c>
      <c r="E413" s="176">
        <v>24457.15</v>
      </c>
      <c r="F413" s="3"/>
      <c r="G413" s="3"/>
    </row>
    <row r="414" ht="17.6" spans="4:7">
      <c r="D414" s="175">
        <v>45628</v>
      </c>
      <c r="E414" s="176">
        <v>24276.05</v>
      </c>
      <c r="F414" s="3"/>
      <c r="G414" s="3"/>
    </row>
    <row r="415" ht="17.6" spans="4:7">
      <c r="D415" s="175">
        <v>45625</v>
      </c>
      <c r="E415" s="176">
        <v>24131.1</v>
      </c>
      <c r="F415" s="3"/>
      <c r="G415" s="3"/>
    </row>
    <row r="416" ht="17.6" spans="4:7">
      <c r="D416" s="175">
        <v>45624</v>
      </c>
      <c r="E416" s="176">
        <v>23914.15</v>
      </c>
      <c r="F416" s="3"/>
      <c r="G416" s="3"/>
    </row>
    <row r="417" ht="17.6" spans="4:7">
      <c r="D417" s="175">
        <v>45623</v>
      </c>
      <c r="E417" s="176">
        <v>24274.9</v>
      </c>
      <c r="F417" s="3"/>
      <c r="G417" s="3"/>
    </row>
    <row r="418" ht="17.6" spans="4:7">
      <c r="D418" s="175">
        <v>45622</v>
      </c>
      <c r="E418" s="176">
        <v>24194.5</v>
      </c>
      <c r="F418" s="3"/>
      <c r="G418" s="3"/>
    </row>
    <row r="419" ht="17.6" spans="4:7">
      <c r="D419" s="175">
        <v>45621</v>
      </c>
      <c r="E419" s="176">
        <v>24221.9</v>
      </c>
      <c r="F419" s="3"/>
      <c r="G419" s="3"/>
    </row>
    <row r="420" ht="17.6" spans="4:7">
      <c r="D420" s="175">
        <v>45618</v>
      </c>
      <c r="E420" s="176">
        <v>23907.25</v>
      </c>
      <c r="F420" s="3"/>
      <c r="G420" s="3"/>
    </row>
    <row r="421" ht="17.6" spans="4:7">
      <c r="D421" s="175">
        <v>45617</v>
      </c>
      <c r="E421" s="176">
        <v>23349.9</v>
      </c>
      <c r="F421" s="3"/>
      <c r="G421" s="3"/>
    </row>
    <row r="422" ht="17.6" spans="4:7">
      <c r="D422" s="175">
        <v>45615</v>
      </c>
      <c r="E422" s="176">
        <v>23518.5</v>
      </c>
      <c r="F422" s="3"/>
      <c r="G422" s="3"/>
    </row>
    <row r="423" ht="17.6" spans="4:7">
      <c r="D423" s="175">
        <v>45614</v>
      </c>
      <c r="E423" s="176">
        <v>23453.8</v>
      </c>
      <c r="F423" s="3"/>
      <c r="G423" s="3"/>
    </row>
    <row r="424" ht="17.6" spans="4:7">
      <c r="D424" s="175">
        <v>45610</v>
      </c>
      <c r="E424" s="176">
        <v>23532.7</v>
      </c>
      <c r="F424" s="3"/>
      <c r="G424" s="3"/>
    </row>
    <row r="425" ht="17.6" spans="4:7">
      <c r="D425" s="175">
        <v>45609</v>
      </c>
      <c r="E425" s="176">
        <v>23559.05</v>
      </c>
      <c r="F425" s="3"/>
      <c r="G425" s="3"/>
    </row>
    <row r="426" ht="17.6" spans="4:7">
      <c r="D426" s="175">
        <v>45608</v>
      </c>
      <c r="E426" s="176">
        <v>23883.45</v>
      </c>
      <c r="F426" s="3"/>
      <c r="G426" s="3"/>
    </row>
    <row r="427" ht="17.6" spans="4:7">
      <c r="D427" s="175">
        <v>45607</v>
      </c>
      <c r="E427" s="176">
        <v>24141.3</v>
      </c>
      <c r="F427" s="3"/>
      <c r="G427" s="3"/>
    </row>
    <row r="428" ht="17.6" spans="4:7">
      <c r="D428" s="175">
        <v>45604</v>
      </c>
      <c r="E428" s="176">
        <v>24148.2</v>
      </c>
      <c r="F428" s="3"/>
      <c r="G428" s="3"/>
    </row>
    <row r="429" ht="17.6" spans="4:7">
      <c r="D429" s="175">
        <v>45603</v>
      </c>
      <c r="E429" s="176">
        <v>24199.35</v>
      </c>
      <c r="F429" s="3"/>
      <c r="G429" s="3"/>
    </row>
    <row r="430" ht="17.6" spans="4:7">
      <c r="D430" s="175">
        <v>45602</v>
      </c>
      <c r="E430" s="176">
        <v>24484.05</v>
      </c>
      <c r="F430" s="3"/>
      <c r="G430" s="3"/>
    </row>
    <row r="431" ht="17.6" spans="4:7">
      <c r="D431" s="175">
        <v>45601</v>
      </c>
      <c r="E431" s="176">
        <v>24213.3</v>
      </c>
      <c r="F431" s="3"/>
      <c r="G431" s="3"/>
    </row>
    <row r="432" ht="17.6" spans="4:7">
      <c r="D432" s="175">
        <v>45600</v>
      </c>
      <c r="E432" s="176">
        <v>23995.35</v>
      </c>
      <c r="F432" s="3"/>
      <c r="G432" s="3"/>
    </row>
    <row r="433" ht="17.6" spans="4:7">
      <c r="D433" s="175">
        <v>45597</v>
      </c>
      <c r="E433" s="176">
        <v>24304.35</v>
      </c>
      <c r="F433" s="3"/>
      <c r="G433" s="3"/>
    </row>
    <row r="434" ht="17.6" spans="4:7">
      <c r="D434" s="175">
        <v>45596</v>
      </c>
      <c r="E434" s="176">
        <v>24205.35</v>
      </c>
      <c r="F434" s="3"/>
      <c r="G434" s="3"/>
    </row>
    <row r="435" ht="17.6" spans="4:7">
      <c r="D435" s="175">
        <v>45595</v>
      </c>
      <c r="E435" s="176">
        <v>24340.85</v>
      </c>
      <c r="F435" s="3"/>
      <c r="G435" s="3"/>
    </row>
    <row r="436" ht="17.6" spans="4:7">
      <c r="D436" s="175">
        <v>45594</v>
      </c>
      <c r="E436" s="176">
        <v>24466.85</v>
      </c>
      <c r="F436" s="3"/>
      <c r="G436" s="3"/>
    </row>
    <row r="437" ht="17.6" spans="4:7">
      <c r="D437" s="175">
        <v>45593</v>
      </c>
      <c r="E437" s="176">
        <v>24339.15</v>
      </c>
      <c r="F437" s="3"/>
      <c r="G437" s="3"/>
    </row>
    <row r="438" ht="17.6" spans="4:7">
      <c r="D438" s="175">
        <v>45590</v>
      </c>
      <c r="E438" s="176">
        <v>24180.8</v>
      </c>
      <c r="F438" s="3"/>
      <c r="G438" s="3"/>
    </row>
    <row r="439" ht="17.6" spans="4:7">
      <c r="D439" s="175">
        <v>45589</v>
      </c>
      <c r="E439" s="176">
        <v>24399.4</v>
      </c>
      <c r="F439" s="3"/>
      <c r="G439" s="3"/>
    </row>
    <row r="440" ht="17.6" spans="4:7">
      <c r="D440" s="175">
        <v>45588</v>
      </c>
      <c r="E440" s="176">
        <v>24435.5</v>
      </c>
      <c r="F440" s="3"/>
      <c r="G440" s="3"/>
    </row>
    <row r="441" ht="17.6" spans="4:7">
      <c r="D441" s="175">
        <v>45587</v>
      </c>
      <c r="E441" s="176">
        <v>24472.1</v>
      </c>
      <c r="F441" s="3"/>
      <c r="G441" s="3"/>
    </row>
    <row r="442" ht="17.6" spans="4:7">
      <c r="D442" s="175">
        <v>45586</v>
      </c>
      <c r="E442" s="176">
        <v>24781.1</v>
      </c>
      <c r="F442" s="3"/>
      <c r="G442" s="3"/>
    </row>
    <row r="443" ht="17.6" spans="4:7">
      <c r="D443" s="175">
        <v>45583</v>
      </c>
      <c r="E443" s="176">
        <v>24854.05</v>
      </c>
      <c r="F443" s="3"/>
      <c r="G443" s="3"/>
    </row>
    <row r="444" ht="17.6" spans="4:7">
      <c r="D444" s="175">
        <v>45582</v>
      </c>
      <c r="E444" s="176">
        <v>24749.85</v>
      </c>
      <c r="F444" s="3"/>
      <c r="G444" s="3"/>
    </row>
    <row r="445" ht="17.6" spans="4:7">
      <c r="D445" s="175">
        <v>45581</v>
      </c>
      <c r="E445" s="176">
        <v>24971.3</v>
      </c>
      <c r="F445" s="3"/>
      <c r="G445" s="3"/>
    </row>
    <row r="446" ht="17.6" spans="4:7">
      <c r="D446" s="175">
        <v>45580</v>
      </c>
      <c r="E446" s="176">
        <v>25057.35</v>
      </c>
      <c r="F446" s="3"/>
      <c r="G446" s="3"/>
    </row>
    <row r="447" ht="17.6" spans="4:7">
      <c r="D447" s="175">
        <v>45579</v>
      </c>
      <c r="E447" s="176">
        <v>25127.95</v>
      </c>
      <c r="F447" s="3"/>
      <c r="G447" s="3"/>
    </row>
    <row r="448" ht="17.6" spans="4:7">
      <c r="D448" s="175">
        <v>45576</v>
      </c>
      <c r="E448" s="176">
        <v>24964.25</v>
      </c>
      <c r="F448" s="3"/>
      <c r="G448" s="3"/>
    </row>
    <row r="449" ht="17.6" spans="4:7">
      <c r="D449" s="175">
        <v>45575</v>
      </c>
      <c r="E449" s="176">
        <v>24998.45</v>
      </c>
      <c r="F449" s="3"/>
      <c r="G449" s="3"/>
    </row>
    <row r="450" ht="17.6" spans="4:7">
      <c r="D450" s="175">
        <v>45574</v>
      </c>
      <c r="E450" s="176">
        <v>24981.95</v>
      </c>
      <c r="F450" s="3"/>
      <c r="G450" s="3"/>
    </row>
    <row r="451" ht="17.6" spans="4:7">
      <c r="D451" s="175">
        <v>45573</v>
      </c>
      <c r="E451" s="176">
        <v>25013.15</v>
      </c>
      <c r="F451" s="3"/>
      <c r="G451" s="3"/>
    </row>
    <row r="452" ht="17.6" spans="4:7">
      <c r="D452" s="175">
        <v>45572</v>
      </c>
      <c r="E452" s="176">
        <v>24795.75</v>
      </c>
      <c r="F452" s="3"/>
      <c r="G452" s="3"/>
    </row>
    <row r="453" ht="17.6" spans="4:7">
      <c r="D453" s="175">
        <v>45569</v>
      </c>
      <c r="E453" s="176">
        <v>25014.6</v>
      </c>
      <c r="F453" s="3"/>
      <c r="G453" s="3"/>
    </row>
    <row r="454" ht="17.6" spans="4:7">
      <c r="D454" s="175">
        <v>45568</v>
      </c>
      <c r="E454" s="176">
        <v>25250.1</v>
      </c>
      <c r="F454" s="3"/>
      <c r="G454" s="3"/>
    </row>
    <row r="455" ht="17.6" spans="4:7">
      <c r="D455" s="175">
        <v>45566</v>
      </c>
      <c r="E455" s="176">
        <v>25796.9</v>
      </c>
      <c r="F455" s="3"/>
      <c r="G455" s="3"/>
    </row>
    <row r="456" ht="17.6" spans="4:7">
      <c r="D456" s="175">
        <v>45565</v>
      </c>
      <c r="E456" s="176">
        <v>25810.85</v>
      </c>
      <c r="F456" s="3"/>
      <c r="G456" s="3"/>
    </row>
    <row r="457" ht="17.6" spans="4:7">
      <c r="D457" s="175">
        <v>45562</v>
      </c>
      <c r="E457" s="176">
        <v>26178.95</v>
      </c>
      <c r="F457" s="3"/>
      <c r="G457" s="3"/>
    </row>
    <row r="458" ht="17.6" spans="4:7">
      <c r="D458" s="175">
        <v>45561</v>
      </c>
      <c r="E458" s="176">
        <v>26216.05</v>
      </c>
      <c r="F458" s="3"/>
      <c r="G458" s="3"/>
    </row>
    <row r="459" ht="17.6" spans="4:7">
      <c r="D459" s="175">
        <v>45560</v>
      </c>
      <c r="E459" s="176">
        <v>26004.15</v>
      </c>
      <c r="F459" s="3"/>
      <c r="G459" s="3"/>
    </row>
    <row r="460" ht="17.6" spans="4:7">
      <c r="D460" s="175">
        <v>45559</v>
      </c>
      <c r="E460" s="176">
        <v>25940.4</v>
      </c>
      <c r="F460" s="3"/>
      <c r="G460" s="3"/>
    </row>
    <row r="461" ht="17.6" spans="4:7">
      <c r="D461" s="175">
        <v>45558</v>
      </c>
      <c r="E461" s="176">
        <v>25939.05</v>
      </c>
      <c r="F461" s="3"/>
      <c r="G461" s="3"/>
    </row>
    <row r="462" ht="17.6" spans="4:7">
      <c r="D462" s="175">
        <v>45555</v>
      </c>
      <c r="E462" s="176">
        <v>25790.95</v>
      </c>
      <c r="F462" s="3"/>
      <c r="G462" s="3"/>
    </row>
    <row r="463" ht="17.6" spans="4:7">
      <c r="D463" s="175">
        <v>45554</v>
      </c>
      <c r="E463" s="176">
        <v>25415.8</v>
      </c>
      <c r="F463" s="3"/>
      <c r="G463" s="3"/>
    </row>
    <row r="464" ht="17.6" spans="4:7">
      <c r="D464" s="175">
        <v>45553</v>
      </c>
      <c r="E464" s="176">
        <v>25377.55</v>
      </c>
      <c r="F464" s="3"/>
      <c r="G464" s="3"/>
    </row>
    <row r="465" ht="17.6" spans="4:7">
      <c r="D465" s="175">
        <v>45552</v>
      </c>
      <c r="E465" s="176">
        <v>25418.55</v>
      </c>
      <c r="F465" s="3"/>
      <c r="G465" s="3"/>
    </row>
    <row r="466" ht="17.6" spans="4:7">
      <c r="D466" s="175">
        <v>45551</v>
      </c>
      <c r="E466" s="176">
        <v>25383.75</v>
      </c>
      <c r="F466" s="3"/>
      <c r="G466" s="3"/>
    </row>
    <row r="467" ht="17.6" spans="4:7">
      <c r="D467" s="175">
        <v>45548</v>
      </c>
      <c r="E467" s="176">
        <v>25356.5</v>
      </c>
      <c r="F467" s="3"/>
      <c r="G467" s="3"/>
    </row>
    <row r="468" ht="17.6" spans="4:7">
      <c r="D468" s="175">
        <v>45547</v>
      </c>
      <c r="E468" s="176">
        <v>25388.9</v>
      </c>
      <c r="F468" s="3"/>
      <c r="G468" s="3"/>
    </row>
    <row r="469" ht="17.6" spans="4:7">
      <c r="D469" s="175">
        <v>45546</v>
      </c>
      <c r="E469" s="176">
        <v>24918.45</v>
      </c>
      <c r="F469" s="3"/>
      <c r="G469" s="3"/>
    </row>
    <row r="470" ht="17.6" spans="4:7">
      <c r="D470" s="175">
        <v>45545</v>
      </c>
      <c r="E470" s="176">
        <v>25041.1</v>
      </c>
      <c r="F470" s="3"/>
      <c r="G470" s="3"/>
    </row>
    <row r="471" ht="17.6" spans="4:7">
      <c r="D471" s="175">
        <v>45544</v>
      </c>
      <c r="E471" s="176">
        <v>24936.4</v>
      </c>
      <c r="F471" s="3"/>
      <c r="G471" s="3"/>
    </row>
    <row r="472" ht="17.6" spans="4:7">
      <c r="D472" s="175">
        <v>45541</v>
      </c>
      <c r="E472" s="176">
        <v>24852.15</v>
      </c>
      <c r="F472" s="3"/>
      <c r="G472" s="3"/>
    </row>
    <row r="473" ht="17.6" spans="4:7">
      <c r="D473" s="175">
        <v>45540</v>
      </c>
      <c r="E473" s="176">
        <v>25145.1</v>
      </c>
      <c r="F473" s="3"/>
      <c r="G473" s="3"/>
    </row>
    <row r="474" ht="17.6" spans="4:7">
      <c r="D474" s="175">
        <v>45539</v>
      </c>
      <c r="E474" s="176">
        <v>25198.7</v>
      </c>
      <c r="F474" s="3"/>
      <c r="G474" s="3"/>
    </row>
    <row r="475" ht="17.6" spans="4:7">
      <c r="D475" s="175">
        <v>45538</v>
      </c>
      <c r="E475" s="176">
        <v>25279.85</v>
      </c>
      <c r="F475" s="3"/>
      <c r="G475" s="3"/>
    </row>
    <row r="476" ht="17.6" spans="4:7">
      <c r="D476" s="175">
        <v>45537</v>
      </c>
      <c r="E476" s="176">
        <v>25278.7</v>
      </c>
      <c r="F476" s="3"/>
      <c r="G476" s="3"/>
    </row>
    <row r="477" ht="17.6" spans="4:7">
      <c r="D477" s="175">
        <v>45534</v>
      </c>
      <c r="E477" s="176">
        <v>25235.9</v>
      </c>
      <c r="F477" s="3"/>
      <c r="G477" s="3"/>
    </row>
    <row r="478" ht="17.6" spans="4:7">
      <c r="D478" s="175">
        <v>45533</v>
      </c>
      <c r="E478" s="176">
        <v>25151.95</v>
      </c>
      <c r="F478" s="3"/>
      <c r="G478" s="3"/>
    </row>
    <row r="479" ht="17.6" spans="4:7">
      <c r="D479" s="175">
        <v>45532</v>
      </c>
      <c r="E479" s="176">
        <v>25052.35</v>
      </c>
      <c r="F479" s="3"/>
      <c r="G479" s="3"/>
    </row>
    <row r="480" ht="17.6" spans="4:7">
      <c r="D480" s="175">
        <v>45531</v>
      </c>
      <c r="E480" s="176">
        <v>25017.75</v>
      </c>
      <c r="F480" s="3"/>
      <c r="G480" s="3"/>
    </row>
    <row r="481" ht="17.6" spans="4:7">
      <c r="D481" s="175">
        <v>45530</v>
      </c>
      <c r="E481" s="176">
        <v>25010.6</v>
      </c>
      <c r="F481" s="3"/>
      <c r="G481" s="3"/>
    </row>
    <row r="482" ht="17.6" spans="4:7">
      <c r="D482" s="175">
        <v>45527</v>
      </c>
      <c r="E482" s="176">
        <v>24823.15</v>
      </c>
      <c r="F482" s="3"/>
      <c r="G482" s="3"/>
    </row>
    <row r="483" ht="17.6" spans="4:7">
      <c r="D483" s="175">
        <v>45526</v>
      </c>
      <c r="E483" s="176">
        <v>24811.5</v>
      </c>
      <c r="F483" s="3"/>
      <c r="G483" s="3"/>
    </row>
    <row r="484" ht="17.6" spans="4:7">
      <c r="D484" s="175">
        <v>45525</v>
      </c>
      <c r="E484" s="176">
        <v>24770.2</v>
      </c>
      <c r="F484" s="3"/>
      <c r="G484" s="3"/>
    </row>
    <row r="485" ht="17.6" spans="4:7">
      <c r="D485" s="175">
        <v>45524</v>
      </c>
      <c r="E485" s="176">
        <v>24698.85</v>
      </c>
      <c r="F485" s="3"/>
      <c r="G485" s="3"/>
    </row>
    <row r="486" ht="17.6" spans="4:7">
      <c r="D486" s="175">
        <v>45523</v>
      </c>
      <c r="E486" s="176">
        <v>24572.65</v>
      </c>
      <c r="F486" s="3"/>
      <c r="G486" s="3"/>
    </row>
    <row r="487" ht="17.6" spans="4:7">
      <c r="D487" s="175">
        <v>45520</v>
      </c>
      <c r="E487" s="176">
        <v>24541.15</v>
      </c>
      <c r="F487" s="3"/>
      <c r="G487" s="3"/>
    </row>
    <row r="488" ht="17.6" spans="4:7">
      <c r="D488" s="175">
        <v>45518</v>
      </c>
      <c r="E488" s="176">
        <v>24143.75</v>
      </c>
      <c r="F488" s="3"/>
      <c r="G488" s="3"/>
    </row>
    <row r="489" ht="17.6" spans="4:7">
      <c r="D489" s="175">
        <v>45517</v>
      </c>
      <c r="E489" s="176">
        <v>24139</v>
      </c>
      <c r="F489" s="3"/>
      <c r="G489" s="3"/>
    </row>
    <row r="490" ht="17.6" spans="4:7">
      <c r="D490" s="175">
        <v>45516</v>
      </c>
      <c r="E490" s="176">
        <v>24347</v>
      </c>
      <c r="F490" s="3"/>
      <c r="G490" s="3"/>
    </row>
    <row r="491" ht="17.6" spans="4:7">
      <c r="D491" s="175">
        <v>45513</v>
      </c>
      <c r="E491" s="176">
        <v>24367.5</v>
      </c>
      <c r="F491" s="3"/>
      <c r="G491" s="3"/>
    </row>
    <row r="492" ht="17.6" spans="4:7">
      <c r="D492" s="175">
        <v>45512</v>
      </c>
      <c r="E492" s="176">
        <v>24117</v>
      </c>
      <c r="F492" s="3"/>
      <c r="G492" s="3"/>
    </row>
    <row r="493" ht="17.6" spans="4:7">
      <c r="D493" s="175">
        <v>45511</v>
      </c>
      <c r="E493" s="176">
        <v>24297.5</v>
      </c>
      <c r="F493" s="3"/>
      <c r="G493" s="3"/>
    </row>
    <row r="494" ht="17.6" spans="4:7">
      <c r="D494" s="175">
        <v>45510</v>
      </c>
      <c r="E494" s="176">
        <v>23992.55</v>
      </c>
      <c r="F494" s="3"/>
      <c r="G494" s="3"/>
    </row>
    <row r="495" ht="17.6" spans="4:7">
      <c r="D495" s="175">
        <v>45509</v>
      </c>
      <c r="E495" s="176">
        <v>24055.6</v>
      </c>
      <c r="F495" s="3"/>
      <c r="G495" s="3"/>
    </row>
    <row r="496" ht="17.6" spans="4:7">
      <c r="D496" s="175">
        <v>45506</v>
      </c>
      <c r="E496" s="176">
        <v>24717.7</v>
      </c>
      <c r="F496" s="3"/>
      <c r="G496" s="3"/>
    </row>
    <row r="497" ht="17.6" spans="4:7">
      <c r="D497" s="175">
        <v>45505</v>
      </c>
      <c r="E497" s="176">
        <v>25010.9</v>
      </c>
      <c r="F497" s="3"/>
      <c r="G497" s="3"/>
    </row>
    <row r="498" ht="17.6" spans="4:7">
      <c r="D498" s="175">
        <v>45504</v>
      </c>
      <c r="E498" s="176">
        <v>24951.15</v>
      </c>
      <c r="F498" s="3"/>
      <c r="G498" s="3"/>
    </row>
    <row r="499" ht="17.6" spans="4:7">
      <c r="D499" s="175">
        <v>45503</v>
      </c>
      <c r="E499" s="176">
        <v>24857.3</v>
      </c>
      <c r="F499" s="3"/>
      <c r="G499" s="3"/>
    </row>
    <row r="500" ht="17.6" spans="4:7">
      <c r="D500" s="175">
        <v>45502</v>
      </c>
      <c r="E500" s="176">
        <v>24836.1</v>
      </c>
      <c r="F500" s="3"/>
      <c r="G500" s="3"/>
    </row>
    <row r="501" ht="17.6" spans="4:7">
      <c r="D501" s="175">
        <v>45499</v>
      </c>
      <c r="E501" s="176">
        <v>24834.85</v>
      </c>
      <c r="F501" s="3"/>
      <c r="G501" s="3"/>
    </row>
    <row r="502" ht="17.6" spans="4:7">
      <c r="D502" s="175">
        <v>45498</v>
      </c>
      <c r="E502" s="176">
        <v>24406.1</v>
      </c>
      <c r="F502" s="3"/>
      <c r="G502" s="3"/>
    </row>
    <row r="503" ht="17.6" spans="4:7">
      <c r="D503" s="175">
        <v>45497</v>
      </c>
      <c r="E503" s="176">
        <v>24413.5</v>
      </c>
      <c r="F503" s="3"/>
      <c r="G503" s="3"/>
    </row>
    <row r="504" ht="17.6" spans="4:7">
      <c r="D504" s="175">
        <v>45496</v>
      </c>
      <c r="E504" s="176">
        <v>24479.05</v>
      </c>
      <c r="F504" s="3"/>
      <c r="G504" s="3"/>
    </row>
    <row r="505" ht="17.6" spans="4:7">
      <c r="D505" s="175">
        <v>45495</v>
      </c>
      <c r="E505" s="176">
        <v>24509.25</v>
      </c>
      <c r="F505" s="3"/>
      <c r="G505" s="3"/>
    </row>
    <row r="506" ht="17.6" spans="4:7">
      <c r="D506" s="175">
        <v>45492</v>
      </c>
      <c r="E506" s="176">
        <v>24530.9</v>
      </c>
      <c r="F506" s="3"/>
      <c r="G506" s="3"/>
    </row>
    <row r="507" ht="17.6" spans="4:7">
      <c r="D507" s="175">
        <v>45491</v>
      </c>
      <c r="E507" s="176">
        <v>24800.85</v>
      </c>
      <c r="F507" s="3"/>
      <c r="G507" s="3"/>
    </row>
    <row r="508" ht="17.6" spans="4:7">
      <c r="D508" s="175">
        <v>45489</v>
      </c>
      <c r="E508" s="176">
        <v>24613</v>
      </c>
      <c r="F508" s="3"/>
      <c r="G508" s="3"/>
    </row>
    <row r="509" ht="17.6" spans="4:7">
      <c r="D509" s="175">
        <v>45488</v>
      </c>
      <c r="E509" s="176">
        <v>24586.7</v>
      </c>
      <c r="F509" s="3"/>
      <c r="G509" s="3"/>
    </row>
    <row r="510" ht="17.6" spans="4:7">
      <c r="D510" s="175">
        <v>45485</v>
      </c>
      <c r="E510" s="176">
        <v>24502.15</v>
      </c>
      <c r="F510" s="3"/>
      <c r="G510" s="3"/>
    </row>
    <row r="511" ht="17.6" spans="4:7">
      <c r="D511" s="175">
        <v>45484</v>
      </c>
      <c r="E511" s="176">
        <v>24315.95</v>
      </c>
      <c r="F511" s="3"/>
      <c r="G511" s="3"/>
    </row>
    <row r="512" ht="17.6" spans="4:7">
      <c r="D512" s="175">
        <v>45483</v>
      </c>
      <c r="E512" s="176">
        <v>24324.45</v>
      </c>
      <c r="F512" s="3"/>
      <c r="G512" s="3"/>
    </row>
    <row r="513" ht="17.6" spans="4:7">
      <c r="D513" s="175">
        <v>45482</v>
      </c>
      <c r="E513" s="176">
        <v>24433.2</v>
      </c>
      <c r="F513" s="3"/>
      <c r="G513" s="3"/>
    </row>
    <row r="514" ht="17.6" spans="4:7">
      <c r="D514" s="175">
        <v>45481</v>
      </c>
      <c r="E514" s="176">
        <v>24320.55</v>
      </c>
      <c r="F514" s="3"/>
      <c r="G514" s="3"/>
    </row>
    <row r="515" ht="17.6" spans="4:7">
      <c r="D515" s="175">
        <v>45478</v>
      </c>
      <c r="E515" s="176">
        <v>24323.85</v>
      </c>
      <c r="F515" s="3"/>
      <c r="G515" s="3"/>
    </row>
    <row r="516" ht="17.6" spans="4:7">
      <c r="D516" s="175">
        <v>45477</v>
      </c>
      <c r="E516" s="176">
        <v>24302.15</v>
      </c>
      <c r="F516" s="3"/>
      <c r="G516" s="3"/>
    </row>
    <row r="517" ht="17.6" spans="4:7">
      <c r="D517" s="175">
        <v>45476</v>
      </c>
      <c r="E517" s="176">
        <v>24286.5</v>
      </c>
      <c r="F517" s="3"/>
      <c r="G517" s="3"/>
    </row>
    <row r="518" ht="17.6" spans="4:7">
      <c r="D518" s="175">
        <v>45475</v>
      </c>
      <c r="E518" s="176">
        <v>24123.85</v>
      </c>
      <c r="F518" s="3"/>
      <c r="G518" s="3"/>
    </row>
    <row r="519" ht="17.6" spans="4:7">
      <c r="D519" s="175">
        <v>45474</v>
      </c>
      <c r="E519" s="176">
        <v>24141.95</v>
      </c>
      <c r="F519" s="3"/>
      <c r="G519" s="3"/>
    </row>
    <row r="520" ht="17.6" spans="4:7">
      <c r="D520" s="175">
        <v>45471</v>
      </c>
      <c r="E520" s="176">
        <v>24010.6</v>
      </c>
      <c r="F520" s="3"/>
      <c r="G520" s="3"/>
    </row>
    <row r="521" ht="17.6" spans="4:7">
      <c r="D521" s="175">
        <v>45470</v>
      </c>
      <c r="E521" s="176">
        <v>24044.5</v>
      </c>
      <c r="F521" s="3"/>
      <c r="G521" s="3"/>
    </row>
    <row r="522" ht="17.6" spans="4:7">
      <c r="D522" s="175">
        <v>45469</v>
      </c>
      <c r="E522" s="176">
        <v>23868.8</v>
      </c>
      <c r="F522" s="3"/>
      <c r="G522" s="3"/>
    </row>
    <row r="523" ht="17.6" spans="4:7">
      <c r="D523" s="175">
        <v>45468</v>
      </c>
      <c r="E523" s="176">
        <v>23721.3</v>
      </c>
      <c r="F523" s="3"/>
      <c r="G523" s="3"/>
    </row>
    <row r="524" ht="17.6" spans="4:7">
      <c r="D524" s="175">
        <v>45467</v>
      </c>
      <c r="E524" s="176">
        <v>23537.85</v>
      </c>
      <c r="F524" s="3"/>
      <c r="G524" s="3"/>
    </row>
    <row r="525" ht="17.6" spans="4:7">
      <c r="D525" s="175">
        <v>45464</v>
      </c>
      <c r="E525" s="176">
        <v>23501.1</v>
      </c>
      <c r="F525" s="3"/>
      <c r="G525" s="3"/>
    </row>
    <row r="526" ht="17.6" spans="4:7">
      <c r="D526" s="175">
        <v>45463</v>
      </c>
      <c r="E526" s="176">
        <v>23567</v>
      </c>
      <c r="F526" s="3"/>
      <c r="G526" s="3"/>
    </row>
    <row r="527" ht="17.6" spans="4:7">
      <c r="D527" s="175">
        <v>45462</v>
      </c>
      <c r="E527" s="176">
        <v>23516</v>
      </c>
      <c r="F527" s="3"/>
      <c r="G527" s="3"/>
    </row>
    <row r="528" ht="17.6" spans="4:7">
      <c r="D528" s="175">
        <v>45461</v>
      </c>
      <c r="E528" s="176">
        <v>23557.9</v>
      </c>
      <c r="F528" s="3"/>
      <c r="G528" s="3"/>
    </row>
    <row r="529" ht="17.6" spans="4:7">
      <c r="D529" s="175">
        <v>45457</v>
      </c>
      <c r="E529" s="176">
        <v>23465.6</v>
      </c>
      <c r="F529" s="3"/>
      <c r="G529" s="3"/>
    </row>
    <row r="530" ht="17.6" spans="4:7">
      <c r="D530" s="175">
        <v>45456</v>
      </c>
      <c r="E530" s="176">
        <v>23398.9</v>
      </c>
      <c r="F530" s="3"/>
      <c r="G530" s="3"/>
    </row>
    <row r="531" ht="17.6" spans="4:7">
      <c r="D531" s="175">
        <v>45455</v>
      </c>
      <c r="E531" s="176">
        <v>23322.95</v>
      </c>
      <c r="F531" s="3"/>
      <c r="G531" s="3"/>
    </row>
    <row r="532" ht="17.6" spans="4:7">
      <c r="D532" s="175">
        <v>45454</v>
      </c>
      <c r="E532" s="176">
        <v>23264.85</v>
      </c>
      <c r="F532" s="3"/>
      <c r="G532" s="3"/>
    </row>
    <row r="533" ht="17.6" spans="4:7">
      <c r="D533" s="175">
        <v>45453</v>
      </c>
      <c r="E533" s="176">
        <v>23259.2</v>
      </c>
      <c r="F533" s="3"/>
      <c r="G533" s="3"/>
    </row>
    <row r="534" ht="17.6" spans="4:7">
      <c r="D534" s="175">
        <v>45450</v>
      </c>
      <c r="E534" s="176">
        <v>23290.15</v>
      </c>
      <c r="F534" s="3"/>
      <c r="G534" s="3"/>
    </row>
    <row r="535" ht="17.6" spans="4:7">
      <c r="D535" s="175">
        <v>45449</v>
      </c>
      <c r="E535" s="176">
        <v>22821.4</v>
      </c>
      <c r="F535" s="3"/>
      <c r="G535" s="3"/>
    </row>
    <row r="536" ht="17.6" spans="4:7">
      <c r="D536" s="175">
        <v>45448</v>
      </c>
      <c r="E536" s="176">
        <v>22620.35</v>
      </c>
      <c r="F536" s="3"/>
      <c r="G536" s="3"/>
    </row>
    <row r="537" ht="17.6" spans="4:7">
      <c r="D537" s="175">
        <v>45447</v>
      </c>
      <c r="E537" s="176">
        <v>21884.5</v>
      </c>
      <c r="F537" s="3"/>
      <c r="G537" s="3"/>
    </row>
    <row r="538" ht="17.6" spans="4:7">
      <c r="D538" s="175">
        <v>45446</v>
      </c>
      <c r="E538" s="176">
        <v>23263.9</v>
      </c>
      <c r="F538" s="3"/>
      <c r="G538" s="3"/>
    </row>
    <row r="539" ht="17.6" spans="4:7">
      <c r="D539" s="175">
        <v>45443</v>
      </c>
      <c r="E539" s="176">
        <v>22530.7</v>
      </c>
      <c r="F539" s="3"/>
      <c r="G539" s="3"/>
    </row>
    <row r="540" ht="17.6" spans="4:7">
      <c r="D540" s="175">
        <v>45442</v>
      </c>
      <c r="E540" s="176">
        <v>22488.65</v>
      </c>
      <c r="F540" s="3"/>
      <c r="G540" s="3"/>
    </row>
    <row r="541" ht="17.6" spans="4:7">
      <c r="D541" s="175">
        <v>45441</v>
      </c>
      <c r="E541" s="176">
        <v>22704.7</v>
      </c>
      <c r="F541" s="3"/>
      <c r="G541" s="3"/>
    </row>
    <row r="542" ht="17.6" spans="4:7">
      <c r="D542" s="175">
        <v>45440</v>
      </c>
      <c r="E542" s="176">
        <v>22888.15</v>
      </c>
      <c r="F542" s="3"/>
      <c r="G542" s="3"/>
    </row>
    <row r="543" ht="17.6" spans="4:7">
      <c r="D543" s="175">
        <v>45439</v>
      </c>
      <c r="E543" s="176">
        <v>22932.45</v>
      </c>
      <c r="F543" s="3"/>
      <c r="G543" s="3"/>
    </row>
    <row r="544" ht="17.6" spans="4:7">
      <c r="D544" s="175">
        <v>45436</v>
      </c>
      <c r="E544" s="176">
        <v>22957.1</v>
      </c>
      <c r="F544" s="3"/>
      <c r="G544" s="3"/>
    </row>
    <row r="545" ht="17.6" spans="4:7">
      <c r="D545" s="175">
        <v>45435</v>
      </c>
      <c r="E545" s="176">
        <v>22967.65</v>
      </c>
      <c r="F545" s="3"/>
      <c r="G545" s="3"/>
    </row>
    <row r="546" ht="17.6" spans="4:7">
      <c r="D546" s="175">
        <v>45434</v>
      </c>
      <c r="E546" s="176">
        <v>22597.8</v>
      </c>
      <c r="F546" s="3"/>
      <c r="G546" s="3"/>
    </row>
    <row r="547" ht="17.6" spans="4:7">
      <c r="D547" s="175">
        <v>45433</v>
      </c>
      <c r="E547" s="176">
        <v>22529.05</v>
      </c>
      <c r="F547" s="3"/>
      <c r="G547" s="3"/>
    </row>
    <row r="548" ht="17.6" spans="4:7">
      <c r="D548" s="175">
        <v>45430</v>
      </c>
      <c r="E548" s="176">
        <v>22502</v>
      </c>
      <c r="F548" s="3"/>
      <c r="G548" s="3"/>
    </row>
    <row r="549" ht="17.6" spans="4:7">
      <c r="D549" s="175">
        <v>45429</v>
      </c>
      <c r="E549" s="176">
        <v>22466.1</v>
      </c>
      <c r="F549" s="3"/>
      <c r="G549" s="3"/>
    </row>
    <row r="550" ht="17.6" spans="4:7">
      <c r="D550" s="175">
        <v>45428</v>
      </c>
      <c r="E550" s="176">
        <v>22403.85</v>
      </c>
      <c r="F550" s="3"/>
      <c r="G550" s="3"/>
    </row>
    <row r="551" ht="17.6" spans="4:7">
      <c r="D551" s="175">
        <v>45427</v>
      </c>
      <c r="E551" s="176">
        <v>22200.55</v>
      </c>
      <c r="F551" s="3"/>
      <c r="G551" s="3"/>
    </row>
    <row r="552" ht="17.6" spans="4:7">
      <c r="D552" s="175">
        <v>45426</v>
      </c>
      <c r="E552" s="176">
        <v>22217.85</v>
      </c>
      <c r="F552" s="3"/>
      <c r="G552" s="3"/>
    </row>
    <row r="553" ht="17.6" spans="4:7">
      <c r="D553" s="175">
        <v>45425</v>
      </c>
      <c r="E553" s="176">
        <v>22104.05</v>
      </c>
      <c r="F553" s="3"/>
      <c r="G553" s="3"/>
    </row>
    <row r="554" ht="17.6" spans="4:7">
      <c r="D554" s="175">
        <v>45422</v>
      </c>
      <c r="E554" s="176">
        <v>22055.2</v>
      </c>
      <c r="F554" s="3"/>
      <c r="G554" s="3"/>
    </row>
    <row r="555" ht="17.6" spans="4:7">
      <c r="D555" s="175">
        <v>45421</v>
      </c>
      <c r="E555" s="176">
        <v>21957.5</v>
      </c>
      <c r="F555" s="3"/>
      <c r="G555" s="3"/>
    </row>
    <row r="556" ht="17.6" spans="4:7">
      <c r="D556" s="175">
        <v>45420</v>
      </c>
      <c r="E556" s="176">
        <v>22302.5</v>
      </c>
      <c r="F556" s="3"/>
      <c r="G556" s="3"/>
    </row>
    <row r="557" ht="17.6" spans="4:7">
      <c r="D557" s="175">
        <v>45419</v>
      </c>
      <c r="E557" s="176">
        <v>22302.5</v>
      </c>
      <c r="F557" s="3"/>
      <c r="G557" s="3"/>
    </row>
    <row r="558" ht="17.6" spans="4:7">
      <c r="D558" s="175">
        <v>45418</v>
      </c>
      <c r="E558" s="176">
        <v>22442.7</v>
      </c>
      <c r="F558" s="3"/>
      <c r="G558" s="3"/>
    </row>
    <row r="559" ht="17.6" spans="4:7">
      <c r="D559" s="175">
        <v>45415</v>
      </c>
      <c r="E559" s="176">
        <v>22475.85</v>
      </c>
      <c r="F559" s="3"/>
      <c r="G559" s="3"/>
    </row>
    <row r="560" ht="17.6" spans="4:7">
      <c r="D560" s="175">
        <v>45414</v>
      </c>
      <c r="E560" s="176">
        <v>22648.2</v>
      </c>
      <c r="F560" s="3"/>
      <c r="G560" s="3"/>
    </row>
    <row r="561" ht="17.6" spans="4:7">
      <c r="D561" s="175">
        <v>45412</v>
      </c>
      <c r="E561" s="176">
        <v>22604.85</v>
      </c>
      <c r="F561" s="3"/>
      <c r="G561" s="3"/>
    </row>
    <row r="562" ht="17.6" spans="4:7">
      <c r="D562" s="175">
        <v>45411</v>
      </c>
      <c r="E562" s="176">
        <v>22643.4</v>
      </c>
      <c r="F562" s="3"/>
      <c r="G562" s="3"/>
    </row>
    <row r="563" ht="17.6" spans="4:7">
      <c r="D563" s="175">
        <v>45408</v>
      </c>
      <c r="E563" s="176">
        <v>22419.95</v>
      </c>
      <c r="F563" s="3"/>
      <c r="G563" s="3"/>
    </row>
    <row r="564" ht="17.6" spans="4:7">
      <c r="D564" s="175">
        <v>45407</v>
      </c>
      <c r="E564" s="176">
        <v>22570.35</v>
      </c>
      <c r="F564" s="3"/>
      <c r="G564" s="3"/>
    </row>
    <row r="565" ht="17.6" spans="4:7">
      <c r="D565" s="175">
        <v>45406</v>
      </c>
      <c r="E565" s="176">
        <v>22402.4</v>
      </c>
      <c r="F565" s="3"/>
      <c r="G565" s="3"/>
    </row>
    <row r="566" ht="17.6" spans="4:7">
      <c r="D566" s="175">
        <v>45405</v>
      </c>
      <c r="E566" s="176">
        <v>22368</v>
      </c>
      <c r="F566" s="3"/>
      <c r="G566" s="3"/>
    </row>
    <row r="567" ht="17.6" spans="4:7">
      <c r="D567" s="175">
        <v>45404</v>
      </c>
      <c r="E567" s="176">
        <v>22336.4</v>
      </c>
      <c r="F567" s="3"/>
      <c r="G567" s="3"/>
    </row>
    <row r="568" ht="17.6" spans="4:7">
      <c r="D568" s="175">
        <v>45401</v>
      </c>
      <c r="E568" s="176">
        <v>22147</v>
      </c>
      <c r="F568" s="3"/>
      <c r="G568" s="3"/>
    </row>
    <row r="569" ht="17.6" spans="4:7">
      <c r="D569" s="175">
        <v>45400</v>
      </c>
      <c r="E569" s="176">
        <v>21995.85</v>
      </c>
      <c r="F569" s="3"/>
      <c r="G569" s="3"/>
    </row>
    <row r="570" ht="17.6" spans="4:7">
      <c r="D570" s="175">
        <v>45398</v>
      </c>
      <c r="E570" s="176">
        <v>22147.9</v>
      </c>
      <c r="F570" s="3"/>
      <c r="G570" s="3"/>
    </row>
    <row r="571" ht="17.6" spans="4:7">
      <c r="D571" s="175">
        <v>45397</v>
      </c>
      <c r="E571" s="176">
        <v>22272.5</v>
      </c>
      <c r="F571" s="3"/>
      <c r="G571" s="3"/>
    </row>
    <row r="572" ht="17.6" spans="4:7">
      <c r="D572" s="175">
        <v>45394</v>
      </c>
      <c r="E572" s="176">
        <v>22519.4</v>
      </c>
      <c r="F572" s="3"/>
      <c r="G572" s="3"/>
    </row>
    <row r="573" ht="17.6" spans="4:7">
      <c r="D573" s="175">
        <v>45392</v>
      </c>
      <c r="E573" s="176">
        <v>22753.8</v>
      </c>
      <c r="F573" s="3"/>
      <c r="G573" s="3"/>
    </row>
    <row r="574" ht="17.6" spans="4:7">
      <c r="D574" s="175">
        <v>45391</v>
      </c>
      <c r="E574" s="176">
        <v>22642.75</v>
      </c>
      <c r="F574" s="3"/>
      <c r="G574" s="3"/>
    </row>
    <row r="575" ht="17.6" spans="4:7">
      <c r="D575" s="175">
        <v>45390</v>
      </c>
      <c r="E575" s="176">
        <v>22666.3</v>
      </c>
      <c r="F575" s="3"/>
      <c r="G575" s="3"/>
    </row>
    <row r="576" ht="17.6" spans="4:7">
      <c r="D576" s="175">
        <v>45387</v>
      </c>
      <c r="E576" s="176">
        <v>22513.7</v>
      </c>
      <c r="F576" s="3"/>
      <c r="G576" s="3"/>
    </row>
    <row r="577" ht="17.6" spans="4:7">
      <c r="D577" s="175">
        <v>45386</v>
      </c>
      <c r="E577" s="176">
        <v>22514.65</v>
      </c>
      <c r="F577" s="3"/>
      <c r="G577" s="3"/>
    </row>
    <row r="578" ht="17.6" spans="4:7">
      <c r="D578" s="175">
        <v>45385</v>
      </c>
      <c r="E578" s="176">
        <v>22434.65</v>
      </c>
      <c r="F578" s="3"/>
      <c r="G578" s="3"/>
    </row>
    <row r="579" ht="17.6" spans="4:7">
      <c r="D579" s="175">
        <v>45384</v>
      </c>
      <c r="E579" s="176">
        <v>22453.3</v>
      </c>
      <c r="F579" s="3"/>
      <c r="G579" s="3"/>
    </row>
    <row r="580" ht="17.6" spans="4:7">
      <c r="D580" s="175">
        <v>45383</v>
      </c>
      <c r="E580" s="176">
        <v>22462</v>
      </c>
      <c r="F580" s="3"/>
      <c r="G580" s="3"/>
    </row>
    <row r="581" ht="17.6" spans="4:7">
      <c r="D581" s="175">
        <v>45379</v>
      </c>
      <c r="E581" s="176">
        <v>22326.9</v>
      </c>
      <c r="F581" s="3"/>
      <c r="G581" s="3"/>
    </row>
    <row r="582" ht="17.6" spans="4:7">
      <c r="D582" s="175">
        <v>45378</v>
      </c>
      <c r="E582" s="176">
        <v>22123.65</v>
      </c>
      <c r="F582" s="3"/>
      <c r="G582" s="3"/>
    </row>
    <row r="583" ht="17.6" spans="4:7">
      <c r="D583" s="175">
        <v>45377</v>
      </c>
      <c r="E583" s="176">
        <v>22004.7</v>
      </c>
      <c r="F583" s="3"/>
      <c r="G583" s="3"/>
    </row>
    <row r="584" ht="17.6" spans="4:7">
      <c r="D584" s="175">
        <v>45373</v>
      </c>
      <c r="E584" s="176">
        <v>22096.75</v>
      </c>
      <c r="F584" s="3"/>
      <c r="G584" s="3"/>
    </row>
    <row r="585" ht="17.6" spans="4:7">
      <c r="D585" s="175">
        <v>45372</v>
      </c>
      <c r="E585" s="176">
        <v>22011.95</v>
      </c>
      <c r="F585" s="3"/>
      <c r="G585" s="3"/>
    </row>
    <row r="586" ht="17.6" spans="4:7">
      <c r="D586" s="175">
        <v>45371</v>
      </c>
      <c r="E586" s="176">
        <v>21839.1</v>
      </c>
      <c r="F586" s="3"/>
      <c r="G586" s="3"/>
    </row>
    <row r="587" ht="17.6" spans="4:7">
      <c r="D587" s="175">
        <v>45370</v>
      </c>
      <c r="E587" s="176">
        <v>21817.45</v>
      </c>
      <c r="F587" s="3"/>
      <c r="G587" s="3"/>
    </row>
    <row r="588" ht="17.6" spans="4:7">
      <c r="D588" s="175">
        <v>45369</v>
      </c>
      <c r="E588" s="176">
        <v>22055.7</v>
      </c>
      <c r="F588" s="3"/>
      <c r="G588" s="3"/>
    </row>
    <row r="589" ht="17.6" spans="4:7">
      <c r="D589" s="175">
        <v>45366</v>
      </c>
      <c r="E589" s="176">
        <v>22023.35</v>
      </c>
      <c r="F589" s="3"/>
      <c r="G589" s="3"/>
    </row>
    <row r="590" ht="17.6" spans="4:7">
      <c r="D590" s="175">
        <v>45365</v>
      </c>
      <c r="E590" s="176">
        <v>22146.65</v>
      </c>
      <c r="F590" s="3"/>
      <c r="G590" s="3"/>
    </row>
    <row r="591" ht="17.6" spans="4:7">
      <c r="D591" s="175">
        <v>45364</v>
      </c>
      <c r="E591" s="176">
        <v>21997.7</v>
      </c>
      <c r="F591" s="3"/>
      <c r="G591" s="3"/>
    </row>
    <row r="592" ht="17.6" spans="4:7">
      <c r="D592" s="175">
        <v>45363</v>
      </c>
      <c r="E592" s="176">
        <v>22335.7</v>
      </c>
      <c r="F592" s="3"/>
      <c r="G592" s="3"/>
    </row>
    <row r="593" ht="17.6" spans="4:7">
      <c r="D593" s="175">
        <v>45362</v>
      </c>
      <c r="E593" s="176">
        <v>22332.65</v>
      </c>
      <c r="F593" s="3"/>
      <c r="G593" s="3"/>
    </row>
    <row r="594" ht="17.6" spans="4:7">
      <c r="D594" s="175">
        <v>45358</v>
      </c>
      <c r="E594" s="176">
        <v>22493.55</v>
      </c>
      <c r="F594" s="3"/>
      <c r="G594" s="3"/>
    </row>
    <row r="595" ht="17.6" spans="4:7">
      <c r="D595" s="175">
        <v>45357</v>
      </c>
      <c r="E595" s="176">
        <v>22474.05</v>
      </c>
      <c r="F595" s="3"/>
      <c r="G595" s="3"/>
    </row>
    <row r="596" ht="17.6" spans="4:7">
      <c r="D596" s="175">
        <v>45356</v>
      </c>
      <c r="E596" s="176">
        <v>22356.3</v>
      </c>
      <c r="F596" s="3"/>
      <c r="G596" s="3"/>
    </row>
    <row r="597" ht="17.6" spans="4:7">
      <c r="D597" s="175">
        <v>45355</v>
      </c>
      <c r="E597" s="176">
        <v>22405.6</v>
      </c>
      <c r="F597" s="3"/>
      <c r="G597" s="3"/>
    </row>
    <row r="598" ht="17.6" spans="4:7">
      <c r="D598" s="175">
        <v>45353</v>
      </c>
      <c r="E598" s="176">
        <v>22378.4</v>
      </c>
      <c r="F598" s="3"/>
      <c r="G598" s="3"/>
    </row>
    <row r="599" ht="17.6" spans="4:7">
      <c r="D599" s="175">
        <v>45352</v>
      </c>
      <c r="E599" s="176">
        <v>22338.75</v>
      </c>
      <c r="F599" s="3"/>
      <c r="G599" s="3"/>
    </row>
    <row r="600" ht="17.6" spans="4:7">
      <c r="D600" s="175">
        <v>45351</v>
      </c>
      <c r="E600" s="176">
        <v>21982.8</v>
      </c>
      <c r="F600" s="3"/>
      <c r="G600" s="3"/>
    </row>
    <row r="601" ht="17.6" spans="4:7">
      <c r="D601" s="175">
        <v>45350</v>
      </c>
      <c r="E601" s="176">
        <v>21951.15</v>
      </c>
      <c r="F601" s="3"/>
      <c r="G601" s="3"/>
    </row>
    <row r="602" ht="17.6" spans="4:7">
      <c r="D602" s="175">
        <v>45349</v>
      </c>
      <c r="E602" s="176">
        <v>22198.35</v>
      </c>
      <c r="F602" s="3"/>
      <c r="G602" s="3"/>
    </row>
    <row r="603" ht="17.6" spans="4:7">
      <c r="D603" s="175">
        <v>45348</v>
      </c>
      <c r="E603" s="176">
        <v>22122.05</v>
      </c>
      <c r="F603" s="3"/>
      <c r="G603" s="3"/>
    </row>
    <row r="604" ht="17.6" spans="4:7">
      <c r="D604" s="175">
        <v>45345</v>
      </c>
      <c r="E604" s="176">
        <v>22212.7</v>
      </c>
      <c r="F604" s="3"/>
      <c r="G604" s="3"/>
    </row>
    <row r="605" ht="17.6" spans="4:7">
      <c r="D605" s="175">
        <v>45344</v>
      </c>
      <c r="E605" s="176">
        <v>22217.45</v>
      </c>
      <c r="F605" s="3"/>
      <c r="G605" s="3"/>
    </row>
    <row r="606" ht="17.6" spans="4:7">
      <c r="D606" s="175">
        <v>45343</v>
      </c>
      <c r="E606" s="176">
        <v>22055.05</v>
      </c>
      <c r="F606" s="3"/>
      <c r="G606" s="3"/>
    </row>
    <row r="607" ht="17.6" spans="4:7">
      <c r="D607" s="175">
        <v>45342</v>
      </c>
      <c r="E607" s="176">
        <v>22196.95</v>
      </c>
      <c r="F607" s="3"/>
      <c r="G607" s="3"/>
    </row>
    <row r="608" ht="17.6" spans="4:7">
      <c r="D608" s="175">
        <v>45341</v>
      </c>
      <c r="E608" s="176">
        <v>22122.25</v>
      </c>
      <c r="F608" s="3"/>
      <c r="G608" s="3"/>
    </row>
    <row r="609" ht="17.6" spans="4:7">
      <c r="D609" s="175">
        <v>45338</v>
      </c>
      <c r="E609" s="176">
        <v>22040.7</v>
      </c>
      <c r="F609" s="3"/>
      <c r="G609" s="3"/>
    </row>
    <row r="610" ht="17.6" spans="4:7">
      <c r="D610" s="175">
        <v>45337</v>
      </c>
      <c r="E610" s="176">
        <v>21910.75</v>
      </c>
      <c r="F610" s="3"/>
      <c r="G610" s="3"/>
    </row>
    <row r="611" ht="17.6" spans="4:7">
      <c r="D611" s="175">
        <v>45336</v>
      </c>
      <c r="E611" s="176">
        <v>21840.05</v>
      </c>
      <c r="F611" s="3"/>
      <c r="G611" s="3"/>
    </row>
    <row r="612" ht="17.6" spans="4:7">
      <c r="D612" s="175">
        <v>45335</v>
      </c>
      <c r="E612" s="176">
        <v>21743.25</v>
      </c>
      <c r="F612" s="3"/>
      <c r="G612" s="3"/>
    </row>
    <row r="613" ht="17.6" spans="4:7">
      <c r="D613" s="175">
        <v>45334</v>
      </c>
      <c r="E613" s="176">
        <v>21616.05</v>
      </c>
      <c r="F613" s="3"/>
      <c r="G613" s="3"/>
    </row>
    <row r="614" ht="17.6" spans="4:7">
      <c r="D614" s="175">
        <v>45331</v>
      </c>
      <c r="E614" s="176">
        <v>21782.5</v>
      </c>
      <c r="F614" s="3"/>
      <c r="G614" s="3"/>
    </row>
    <row r="615" ht="17.6" spans="4:7">
      <c r="D615" s="175">
        <v>45330</v>
      </c>
      <c r="E615" s="176">
        <v>21717.95</v>
      </c>
      <c r="F615" s="3"/>
      <c r="G615" s="3"/>
    </row>
    <row r="616" ht="17.6" spans="4:7">
      <c r="D616" s="175">
        <v>45329</v>
      </c>
      <c r="E616" s="176">
        <v>21930.5</v>
      </c>
      <c r="F616" s="3"/>
      <c r="G616" s="3"/>
    </row>
    <row r="617" ht="17.6" spans="4:7">
      <c r="D617" s="175">
        <v>45328</v>
      </c>
      <c r="E617" s="176">
        <v>21929.4</v>
      </c>
      <c r="F617" s="3"/>
      <c r="G617" s="3"/>
    </row>
    <row r="618" ht="17.6" spans="4:7">
      <c r="D618" s="175">
        <v>45327</v>
      </c>
      <c r="E618" s="176">
        <v>21771.7</v>
      </c>
      <c r="F618" s="3"/>
      <c r="G618" s="3"/>
    </row>
    <row r="619" ht="17.6" spans="4:7">
      <c r="D619" s="175">
        <v>45324</v>
      </c>
      <c r="E619" s="176">
        <v>21853.8</v>
      </c>
      <c r="F619" s="3"/>
      <c r="G619" s="3"/>
    </row>
    <row r="620" ht="17.6" spans="4:7">
      <c r="D620" s="175">
        <v>45323</v>
      </c>
      <c r="E620" s="176">
        <v>21697.45</v>
      </c>
      <c r="F620" s="3"/>
      <c r="G620" s="3"/>
    </row>
    <row r="621" ht="17.6" spans="4:7">
      <c r="D621" s="175">
        <v>45322</v>
      </c>
      <c r="E621" s="176">
        <v>21725.7</v>
      </c>
      <c r="F621" s="3"/>
      <c r="G621" s="3"/>
    </row>
    <row r="622" ht="17.6" spans="4:7">
      <c r="D622" s="175">
        <v>45321</v>
      </c>
      <c r="E622" s="176">
        <v>21522.1</v>
      </c>
      <c r="F622" s="3"/>
      <c r="G622" s="3"/>
    </row>
    <row r="623" ht="17.6" spans="4:7">
      <c r="D623" s="175">
        <v>45320</v>
      </c>
      <c r="E623" s="176">
        <v>21737.6</v>
      </c>
      <c r="F623" s="3"/>
      <c r="G623" s="3"/>
    </row>
    <row r="624" ht="17.6" spans="4:7">
      <c r="D624" s="175">
        <v>45316</v>
      </c>
      <c r="E624" s="176">
        <v>21352.6</v>
      </c>
      <c r="F624" s="3"/>
      <c r="G624" s="3"/>
    </row>
    <row r="625" ht="17.6" spans="4:7">
      <c r="D625" s="175">
        <v>45315</v>
      </c>
      <c r="E625" s="176">
        <v>21453.95</v>
      </c>
      <c r="F625" s="3"/>
      <c r="G625" s="3"/>
    </row>
    <row r="626" ht="17.6" spans="4:7">
      <c r="D626" s="175">
        <v>45314</v>
      </c>
      <c r="E626" s="176">
        <v>21238.8</v>
      </c>
      <c r="F626" s="3"/>
      <c r="G626" s="3"/>
    </row>
    <row r="627" ht="17.6" spans="4:7">
      <c r="D627" s="175">
        <v>45311</v>
      </c>
      <c r="E627" s="176">
        <v>21571.8</v>
      </c>
      <c r="F627" s="3"/>
      <c r="G627" s="3"/>
    </row>
    <row r="628" ht="17.6" spans="4:7">
      <c r="D628" s="175">
        <v>45310</v>
      </c>
      <c r="E628" s="176">
        <v>21622.4</v>
      </c>
      <c r="F628" s="3"/>
      <c r="G628" s="3"/>
    </row>
    <row r="629" ht="17.6" spans="4:7">
      <c r="D629" s="175">
        <v>45309</v>
      </c>
      <c r="E629" s="176">
        <v>21462.25</v>
      </c>
      <c r="F629" s="3"/>
      <c r="G629" s="3"/>
    </row>
    <row r="630" ht="17.6" spans="4:7">
      <c r="D630" s="175">
        <v>45308</v>
      </c>
      <c r="E630" s="176">
        <v>21571.95</v>
      </c>
      <c r="F630" s="3"/>
      <c r="G630" s="3"/>
    </row>
    <row r="631" ht="17.6" spans="4:7">
      <c r="D631" s="175">
        <v>45307</v>
      </c>
      <c r="E631" s="176">
        <v>22032.3</v>
      </c>
      <c r="F631" s="3"/>
      <c r="G631" s="3"/>
    </row>
    <row r="632" ht="17.6" spans="4:7">
      <c r="D632" s="175">
        <v>45306</v>
      </c>
      <c r="E632" s="176">
        <v>22097.45</v>
      </c>
      <c r="F632" s="3"/>
      <c r="G632" s="3"/>
    </row>
    <row r="633" ht="17.6" spans="4:7">
      <c r="D633" s="175">
        <v>45303</v>
      </c>
      <c r="E633" s="176">
        <v>21894.55</v>
      </c>
      <c r="F633" s="3"/>
      <c r="G633" s="3"/>
    </row>
    <row r="634" ht="17.6" spans="4:7">
      <c r="D634" s="175">
        <v>45302</v>
      </c>
      <c r="E634" s="176">
        <v>21647.2</v>
      </c>
      <c r="F634" s="3"/>
      <c r="G634" s="3"/>
    </row>
    <row r="635" ht="17.6" spans="4:7">
      <c r="D635" s="175">
        <v>45301</v>
      </c>
      <c r="E635" s="176">
        <v>21618.7</v>
      </c>
      <c r="F635" s="3"/>
      <c r="G635" s="3"/>
    </row>
    <row r="636" ht="17.6" spans="4:7">
      <c r="D636" s="175">
        <v>45300</v>
      </c>
      <c r="E636" s="176">
        <v>21544.85</v>
      </c>
      <c r="F636" s="3"/>
      <c r="G636" s="3"/>
    </row>
    <row r="637" ht="17.6" spans="4:7">
      <c r="D637" s="175">
        <v>45299</v>
      </c>
      <c r="E637" s="176">
        <v>21513</v>
      </c>
      <c r="F637" s="3"/>
      <c r="G637" s="3"/>
    </row>
    <row r="638" ht="17.6" spans="4:7">
      <c r="D638" s="175">
        <v>45296</v>
      </c>
      <c r="E638" s="176">
        <v>21710.8</v>
      </c>
      <c r="F638" s="3"/>
      <c r="G638" s="3"/>
    </row>
    <row r="639" ht="17.6" spans="4:7">
      <c r="D639" s="175">
        <v>45295</v>
      </c>
      <c r="E639" s="176">
        <v>21658.6</v>
      </c>
      <c r="F639" s="3"/>
      <c r="G639" s="3"/>
    </row>
    <row r="640" ht="17.6" spans="4:7">
      <c r="D640" s="175">
        <v>45294</v>
      </c>
      <c r="E640" s="176">
        <v>21517.35</v>
      </c>
      <c r="F640" s="3"/>
      <c r="G640" s="3"/>
    </row>
    <row r="641" ht="17.6" spans="4:7">
      <c r="D641" s="175">
        <v>45293</v>
      </c>
      <c r="E641" s="176">
        <v>21665.8</v>
      </c>
      <c r="F641" s="3"/>
      <c r="G641" s="3"/>
    </row>
    <row r="642" ht="17.6" spans="4:7">
      <c r="D642" s="175">
        <v>45292</v>
      </c>
      <c r="E642" s="176">
        <v>21741.9</v>
      </c>
      <c r="F642" s="3"/>
      <c r="G642" s="3"/>
    </row>
    <row r="643" ht="17.6" spans="4:7">
      <c r="D643" s="175">
        <v>45289</v>
      </c>
      <c r="E643" s="176">
        <v>21731.4</v>
      </c>
      <c r="F643" s="3"/>
      <c r="G643" s="3"/>
    </row>
    <row r="644" ht="17.6" spans="4:7">
      <c r="D644" s="175">
        <v>45288</v>
      </c>
      <c r="E644" s="176">
        <v>21778.7</v>
      </c>
      <c r="F644" s="3"/>
      <c r="G644" s="3"/>
    </row>
    <row r="645" ht="17.6" spans="4:7">
      <c r="D645" s="175">
        <v>45287</v>
      </c>
      <c r="E645" s="176">
        <v>21654.75</v>
      </c>
      <c r="F645" s="3"/>
      <c r="G645" s="3"/>
    </row>
    <row r="646" ht="17.6" spans="4:7">
      <c r="D646" s="175">
        <v>45286</v>
      </c>
      <c r="E646" s="176">
        <v>21441.35</v>
      </c>
      <c r="F646" s="3"/>
      <c r="G646" s="3"/>
    </row>
    <row r="647" ht="17.6" spans="4:7">
      <c r="D647" s="175">
        <v>45282</v>
      </c>
      <c r="E647" s="176">
        <v>21349.4</v>
      </c>
      <c r="F647" s="3"/>
      <c r="G647" s="3"/>
    </row>
    <row r="648" ht="17.6" spans="4:7">
      <c r="D648" s="175">
        <v>45281</v>
      </c>
      <c r="E648" s="176">
        <v>21255.05</v>
      </c>
      <c r="F648" s="3"/>
      <c r="G648" s="3"/>
    </row>
    <row r="649" ht="17.6" spans="4:7">
      <c r="D649" s="175">
        <v>45280</v>
      </c>
      <c r="E649" s="176">
        <v>21150.15</v>
      </c>
      <c r="F649" s="3"/>
      <c r="G649" s="3"/>
    </row>
    <row r="650" ht="17.6" spans="4:7">
      <c r="D650" s="175">
        <v>45279</v>
      </c>
      <c r="E650" s="176">
        <v>21453.1</v>
      </c>
      <c r="F650" s="3"/>
      <c r="G650" s="3"/>
    </row>
    <row r="651" ht="17.6" spans="4:7">
      <c r="D651" s="175">
        <v>45278</v>
      </c>
      <c r="E651" s="176">
        <v>21418.65</v>
      </c>
      <c r="F651" s="3"/>
      <c r="G651" s="3"/>
    </row>
    <row r="652" ht="17.6" spans="4:7">
      <c r="D652" s="175">
        <v>45275</v>
      </c>
      <c r="E652" s="176">
        <v>21456.65</v>
      </c>
      <c r="F652" s="3"/>
      <c r="G652" s="3"/>
    </row>
    <row r="653" ht="17.6" spans="4:7">
      <c r="D653" s="175">
        <v>45274</v>
      </c>
      <c r="E653" s="176">
        <v>21182.7</v>
      </c>
      <c r="F653" s="3"/>
      <c r="G653" s="3"/>
    </row>
    <row r="654" ht="17.6" spans="4:7">
      <c r="D654" s="175">
        <v>45273</v>
      </c>
      <c r="E654" s="176">
        <v>20926.35</v>
      </c>
      <c r="F654" s="3"/>
      <c r="G654" s="3"/>
    </row>
    <row r="655" ht="17.6" spans="4:7">
      <c r="D655" s="175">
        <v>45272</v>
      </c>
      <c r="E655" s="176">
        <v>20906.4</v>
      </c>
      <c r="F655" s="3"/>
      <c r="G655" s="3"/>
    </row>
    <row r="656" ht="17.6" spans="4:7">
      <c r="D656" s="175">
        <v>45271</v>
      </c>
      <c r="E656" s="176">
        <v>20997.1</v>
      </c>
      <c r="F656" s="3"/>
      <c r="G656" s="3"/>
    </row>
    <row r="657" ht="17.6" spans="4:7">
      <c r="D657" s="175">
        <v>45268</v>
      </c>
      <c r="E657" s="176">
        <v>20969.4</v>
      </c>
      <c r="F657" s="3"/>
      <c r="G657" s="3"/>
    </row>
    <row r="658" ht="17.6" spans="4:7">
      <c r="D658" s="175">
        <v>45267</v>
      </c>
      <c r="E658" s="176">
        <v>20901.15</v>
      </c>
      <c r="F658" s="3"/>
      <c r="G658" s="3"/>
    </row>
    <row r="659" ht="17.6" spans="4:7">
      <c r="D659" s="175">
        <v>45266</v>
      </c>
      <c r="E659" s="176">
        <v>20937.7</v>
      </c>
      <c r="F659" s="3"/>
      <c r="G659" s="3"/>
    </row>
    <row r="660" ht="17.6" spans="4:7">
      <c r="D660" s="175">
        <v>45265</v>
      </c>
      <c r="E660" s="176">
        <v>20855.1</v>
      </c>
      <c r="F660" s="3"/>
      <c r="G660" s="3"/>
    </row>
    <row r="661" ht="17.6" spans="4:7">
      <c r="D661" s="175">
        <v>45264</v>
      </c>
      <c r="E661" s="176">
        <v>20686.8</v>
      </c>
      <c r="F661" s="3"/>
      <c r="G661" s="3"/>
    </row>
    <row r="662" ht="17.6" spans="4:7">
      <c r="D662" s="175">
        <v>45261</v>
      </c>
      <c r="E662" s="176">
        <v>20267.9</v>
      </c>
      <c r="F662" s="3"/>
      <c r="G662" s="3"/>
    </row>
    <row r="663" ht="17.6" spans="4:7">
      <c r="D663" s="175">
        <v>45260</v>
      </c>
      <c r="E663" s="176">
        <v>20133.15</v>
      </c>
      <c r="F663" s="3"/>
      <c r="G663" s="3"/>
    </row>
    <row r="664" ht="17.6" spans="4:7">
      <c r="D664" s="175">
        <v>45259</v>
      </c>
      <c r="E664" s="176">
        <v>20096.6</v>
      </c>
      <c r="F664" s="3"/>
      <c r="G664" s="3"/>
    </row>
    <row r="665" ht="17.6" spans="4:7">
      <c r="D665" s="175">
        <v>45258</v>
      </c>
      <c r="E665" s="176">
        <v>19889.7</v>
      </c>
      <c r="F665" s="3"/>
      <c r="G665" s="3"/>
    </row>
    <row r="666" ht="17.6" spans="4:7">
      <c r="D666" s="175">
        <v>45254</v>
      </c>
      <c r="E666" s="176">
        <v>19794.7</v>
      </c>
      <c r="F666" s="3"/>
      <c r="G666" s="3"/>
    </row>
    <row r="667" ht="17.6" spans="4:7">
      <c r="D667" s="175">
        <v>45253</v>
      </c>
      <c r="E667" s="176">
        <v>19802</v>
      </c>
      <c r="F667" s="3"/>
      <c r="G667" s="3"/>
    </row>
    <row r="668" ht="17.6" spans="4:7">
      <c r="D668" s="175">
        <v>45252</v>
      </c>
      <c r="E668" s="176">
        <v>19811.85</v>
      </c>
      <c r="F668" s="3"/>
      <c r="G668" s="3"/>
    </row>
    <row r="669" ht="17.6" spans="4:7">
      <c r="D669" s="175">
        <v>45251</v>
      </c>
      <c r="E669" s="176">
        <v>19783.4</v>
      </c>
      <c r="F669" s="3"/>
      <c r="G669" s="3"/>
    </row>
    <row r="670" ht="17.6" spans="4:7">
      <c r="D670" s="175">
        <v>45250</v>
      </c>
      <c r="E670" s="176">
        <v>19694</v>
      </c>
      <c r="F670" s="3"/>
      <c r="G670" s="3"/>
    </row>
    <row r="671" ht="17.6" spans="4:7">
      <c r="D671" s="175">
        <v>45247</v>
      </c>
      <c r="E671" s="176">
        <v>19731.8</v>
      </c>
      <c r="F671" s="3"/>
      <c r="G671" s="3"/>
    </row>
    <row r="672" ht="17.6" spans="4:7">
      <c r="D672" s="175">
        <v>45246</v>
      </c>
      <c r="E672" s="176">
        <v>19765.2</v>
      </c>
      <c r="F672" s="3"/>
      <c r="G672" s="3"/>
    </row>
    <row r="673" ht="17.6" spans="4:7">
      <c r="D673" s="175">
        <v>45245</v>
      </c>
      <c r="E673" s="176">
        <v>19675.45</v>
      </c>
      <c r="F673" s="3"/>
      <c r="G673" s="3"/>
    </row>
    <row r="674" ht="17.6" spans="4:7">
      <c r="D674" s="175">
        <v>45243</v>
      </c>
      <c r="E674" s="176">
        <v>19443.55</v>
      </c>
      <c r="F674" s="3"/>
      <c r="G674" s="3"/>
    </row>
    <row r="675" ht="17.6" spans="4:7">
      <c r="D675" s="175">
        <v>45242</v>
      </c>
      <c r="E675" s="176">
        <v>19525.55</v>
      </c>
      <c r="F675" s="3"/>
      <c r="G675" s="3"/>
    </row>
    <row r="676" ht="17.6" spans="4:7">
      <c r="D676" s="175">
        <v>45240</v>
      </c>
      <c r="E676" s="176">
        <v>19425.35</v>
      </c>
      <c r="F676" s="3"/>
      <c r="G676" s="3"/>
    </row>
    <row r="677" ht="17.6" spans="4:7">
      <c r="D677" s="175">
        <v>45239</v>
      </c>
      <c r="E677" s="176">
        <v>19395.3</v>
      </c>
      <c r="F677" s="3"/>
      <c r="G677" s="3"/>
    </row>
    <row r="678" ht="17.6" spans="4:7">
      <c r="D678" s="175">
        <v>45238</v>
      </c>
      <c r="E678" s="176">
        <v>19443.5</v>
      </c>
      <c r="F678" s="3"/>
      <c r="G678" s="3"/>
    </row>
    <row r="679" ht="17.6" spans="4:7">
      <c r="D679" s="175">
        <v>45237</v>
      </c>
      <c r="E679" s="176">
        <v>19406.7</v>
      </c>
      <c r="F679" s="3"/>
      <c r="G679" s="3"/>
    </row>
    <row r="680" ht="17.6" spans="4:7">
      <c r="D680" s="175">
        <v>45236</v>
      </c>
      <c r="E680" s="176">
        <v>19411.75</v>
      </c>
      <c r="F680" s="3"/>
      <c r="G680" s="3"/>
    </row>
    <row r="681" ht="17.6" spans="4:7">
      <c r="D681" s="175">
        <v>45233</v>
      </c>
      <c r="E681" s="176">
        <v>19230.6</v>
      </c>
      <c r="F681" s="3"/>
      <c r="G681" s="3"/>
    </row>
    <row r="682" ht="17.6" spans="4:7">
      <c r="D682" s="175">
        <v>45232</v>
      </c>
      <c r="E682" s="176">
        <v>19133.25</v>
      </c>
      <c r="F682" s="3"/>
      <c r="G682" s="3"/>
    </row>
    <row r="683" ht="17.6" spans="4:7">
      <c r="D683" s="175">
        <v>45231</v>
      </c>
      <c r="E683" s="176">
        <v>18989.15</v>
      </c>
      <c r="F683" s="3"/>
      <c r="G683" s="3"/>
    </row>
    <row r="684" ht="17.6" spans="4:7">
      <c r="D684" s="175">
        <v>45230</v>
      </c>
      <c r="E684" s="176">
        <v>19079.6</v>
      </c>
      <c r="F684" s="3"/>
      <c r="G684" s="3"/>
    </row>
    <row r="685" ht="17.6" spans="4:7">
      <c r="D685" s="175">
        <v>45229</v>
      </c>
      <c r="E685" s="176">
        <v>19140.9</v>
      </c>
      <c r="F685" s="3"/>
      <c r="G685" s="3"/>
    </row>
    <row r="686" ht="17.6" spans="4:7">
      <c r="D686" s="175">
        <v>45226</v>
      </c>
      <c r="E686" s="176">
        <v>19047.25</v>
      </c>
      <c r="F686" s="3"/>
      <c r="G686" s="3"/>
    </row>
    <row r="687" ht="17.6" spans="4:7">
      <c r="D687" s="175">
        <v>45225</v>
      </c>
      <c r="E687" s="176">
        <v>18857.25</v>
      </c>
      <c r="F687" s="3"/>
      <c r="G687" s="3"/>
    </row>
    <row r="688" ht="17.6" spans="4:7">
      <c r="D688" s="175">
        <v>45224</v>
      </c>
      <c r="E688" s="176">
        <v>19122.15</v>
      </c>
      <c r="F688" s="3"/>
      <c r="G688" s="3"/>
    </row>
    <row r="689" ht="17.6" spans="4:7">
      <c r="D689" s="175">
        <v>45222</v>
      </c>
      <c r="E689" s="176">
        <v>19281.75</v>
      </c>
      <c r="F689" s="3"/>
      <c r="G689" s="3"/>
    </row>
    <row r="690" ht="17.6" spans="4:7">
      <c r="D690" s="175">
        <v>45219</v>
      </c>
      <c r="E690" s="176">
        <v>19542.65</v>
      </c>
      <c r="F690" s="3"/>
      <c r="G690" s="3"/>
    </row>
    <row r="691" ht="17.6" spans="4:7">
      <c r="D691" s="175">
        <v>45218</v>
      </c>
      <c r="E691" s="176">
        <v>19624.7</v>
      </c>
      <c r="F691" s="3"/>
      <c r="G691" s="3"/>
    </row>
    <row r="692" ht="17.6" spans="4:7">
      <c r="D692" s="175">
        <v>45217</v>
      </c>
      <c r="E692" s="176">
        <v>19671.1</v>
      </c>
      <c r="F692" s="3"/>
      <c r="G692" s="3"/>
    </row>
    <row r="693" ht="17.6" spans="4:7">
      <c r="D693" s="175">
        <v>45216</v>
      </c>
      <c r="E693" s="176">
        <v>19811.5</v>
      </c>
      <c r="F693" s="3"/>
      <c r="G693" s="3"/>
    </row>
    <row r="694" ht="17.6" spans="4:7">
      <c r="D694" s="175">
        <v>45215</v>
      </c>
      <c r="E694" s="176">
        <v>19731.75</v>
      </c>
      <c r="F694" s="3"/>
      <c r="G694" s="3"/>
    </row>
    <row r="695" ht="17.6" spans="4:7">
      <c r="D695" s="175">
        <v>45212</v>
      </c>
      <c r="E695" s="176">
        <v>19751.05</v>
      </c>
      <c r="F695" s="3"/>
      <c r="G695" s="3"/>
    </row>
    <row r="696" ht="17.6" spans="4:7">
      <c r="D696" s="175">
        <v>45211</v>
      </c>
      <c r="E696" s="176">
        <v>19794</v>
      </c>
      <c r="F696" s="3"/>
      <c r="G696" s="3"/>
    </row>
    <row r="697" ht="17.6" spans="4:7">
      <c r="D697" s="175">
        <v>45210</v>
      </c>
      <c r="E697" s="176">
        <v>19811.35</v>
      </c>
      <c r="F697" s="3"/>
      <c r="G697" s="3"/>
    </row>
    <row r="698" ht="17.6" spans="4:7">
      <c r="D698" s="175">
        <v>45209</v>
      </c>
      <c r="E698" s="176">
        <v>19689.85</v>
      </c>
      <c r="F698" s="3"/>
      <c r="G698" s="3"/>
    </row>
    <row r="699" ht="17.6" spans="4:7">
      <c r="D699" s="175">
        <v>45208</v>
      </c>
      <c r="E699" s="176">
        <v>19512.35</v>
      </c>
      <c r="F699" s="3"/>
      <c r="G699" s="3"/>
    </row>
    <row r="700" ht="17.6" spans="4:7">
      <c r="D700" s="175">
        <v>45205</v>
      </c>
      <c r="E700" s="176">
        <v>19653.5</v>
      </c>
      <c r="F700" s="3"/>
      <c r="G700" s="3"/>
    </row>
    <row r="701" ht="17.6" spans="4:7">
      <c r="D701" s="175">
        <v>45204</v>
      </c>
      <c r="E701" s="176">
        <v>19545.75</v>
      </c>
      <c r="F701" s="3"/>
      <c r="G701" s="3"/>
    </row>
    <row r="702" ht="17.6" spans="4:7">
      <c r="D702" s="175">
        <v>45203</v>
      </c>
      <c r="E702" s="176">
        <v>19436.1</v>
      </c>
      <c r="F702" s="3"/>
      <c r="G702" s="3"/>
    </row>
    <row r="703" ht="17.6" spans="4:7">
      <c r="D703" s="175">
        <v>45202</v>
      </c>
      <c r="E703" s="176">
        <v>19528.75</v>
      </c>
      <c r="F703" s="3"/>
      <c r="G703" s="3"/>
    </row>
    <row r="704" ht="17.6" spans="4:7">
      <c r="D704" s="175">
        <v>45198</v>
      </c>
      <c r="E704" s="176">
        <v>19638.3</v>
      </c>
      <c r="F704" s="3"/>
      <c r="G704" s="3"/>
    </row>
    <row r="705" ht="17.6" spans="4:7">
      <c r="D705" s="175">
        <v>45197</v>
      </c>
      <c r="E705" s="176">
        <v>19523.55</v>
      </c>
      <c r="F705" s="3"/>
      <c r="G705" s="3"/>
    </row>
    <row r="706" ht="17.6" spans="4:7">
      <c r="D706" s="175">
        <v>45196</v>
      </c>
      <c r="E706" s="176">
        <v>19716.45</v>
      </c>
      <c r="F706" s="3"/>
      <c r="G706" s="3"/>
    </row>
    <row r="707" ht="17.6" spans="4:7">
      <c r="D707" s="175">
        <v>45195</v>
      </c>
      <c r="E707" s="176">
        <v>19664.7</v>
      </c>
      <c r="F707" s="3"/>
      <c r="G707" s="3"/>
    </row>
    <row r="708" ht="17.6" spans="4:7">
      <c r="D708" s="175">
        <v>45194</v>
      </c>
      <c r="E708" s="176">
        <v>19674.55</v>
      </c>
      <c r="F708" s="3"/>
      <c r="G708" s="3"/>
    </row>
    <row r="709" ht="17.6" spans="4:7">
      <c r="D709" s="175">
        <v>45191</v>
      </c>
      <c r="E709" s="176">
        <v>19674.25</v>
      </c>
      <c r="F709" s="3"/>
      <c r="G709" s="3"/>
    </row>
    <row r="710" ht="17.6" spans="4:7">
      <c r="D710" s="175">
        <v>45190</v>
      </c>
      <c r="E710" s="176">
        <v>19742.35</v>
      </c>
      <c r="F710" s="3"/>
      <c r="G710" s="3"/>
    </row>
    <row r="711" ht="17.6" spans="4:7">
      <c r="D711" s="175">
        <v>45189</v>
      </c>
      <c r="E711" s="176">
        <v>19901.4</v>
      </c>
      <c r="F711" s="3"/>
      <c r="G711" s="3"/>
    </row>
    <row r="712" ht="17.6" spans="4:7">
      <c r="D712" s="175">
        <v>45187</v>
      </c>
      <c r="E712" s="176">
        <v>20133.3</v>
      </c>
      <c r="F712" s="3"/>
      <c r="G712" s="3"/>
    </row>
    <row r="713" ht="17.6" spans="4:7">
      <c r="D713" s="175">
        <v>45184</v>
      </c>
      <c r="E713" s="176">
        <v>20192.35</v>
      </c>
      <c r="F713" s="3"/>
      <c r="G713" s="3"/>
    </row>
    <row r="714" ht="17.6" spans="4:7">
      <c r="D714" s="175">
        <v>45183</v>
      </c>
      <c r="E714" s="176">
        <v>20103.1</v>
      </c>
      <c r="F714" s="3"/>
      <c r="G714" s="3"/>
    </row>
    <row r="715" ht="17.6" spans="4:7">
      <c r="D715" s="175">
        <v>45182</v>
      </c>
      <c r="E715" s="176">
        <v>20070</v>
      </c>
      <c r="F715" s="3"/>
      <c r="G715" s="3"/>
    </row>
    <row r="716" ht="17.6" spans="4:7">
      <c r="D716" s="175">
        <v>45181</v>
      </c>
      <c r="E716" s="176">
        <v>19993.2</v>
      </c>
      <c r="F716" s="3"/>
      <c r="G716" s="3"/>
    </row>
    <row r="717" ht="17.6" spans="4:7">
      <c r="D717" s="175">
        <v>45180</v>
      </c>
      <c r="E717" s="176">
        <v>19996.35</v>
      </c>
      <c r="F717" s="3"/>
      <c r="G717" s="3"/>
    </row>
    <row r="718" ht="17.6" spans="4:7">
      <c r="D718" s="175">
        <v>45177</v>
      </c>
      <c r="E718" s="176">
        <v>19819.95</v>
      </c>
      <c r="F718" s="3"/>
      <c r="G718" s="3"/>
    </row>
    <row r="719" ht="17.6" spans="4:7">
      <c r="D719" s="175">
        <v>45176</v>
      </c>
      <c r="E719" s="176">
        <v>19727.05</v>
      </c>
      <c r="F719" s="3"/>
      <c r="G719" s="3"/>
    </row>
    <row r="720" ht="17.6" spans="4:7">
      <c r="D720" s="175">
        <v>45175</v>
      </c>
      <c r="E720" s="176">
        <v>19611.05</v>
      </c>
      <c r="F720" s="3"/>
      <c r="G720" s="3"/>
    </row>
    <row r="721" ht="17.6" spans="4:7">
      <c r="D721" s="175">
        <v>45174</v>
      </c>
      <c r="E721" s="176">
        <v>19574.9</v>
      </c>
      <c r="F721" s="3"/>
      <c r="G721" s="3"/>
    </row>
    <row r="722" ht="17.6" spans="4:7">
      <c r="D722" s="175">
        <v>45173</v>
      </c>
      <c r="E722" s="176">
        <v>19528.8</v>
      </c>
      <c r="F722" s="3"/>
      <c r="G722" s="3"/>
    </row>
    <row r="723" ht="17.6" spans="4:7">
      <c r="D723" s="175">
        <v>45170</v>
      </c>
      <c r="E723" s="176">
        <v>19435.3</v>
      </c>
      <c r="F723" s="3"/>
      <c r="G723" s="3"/>
    </row>
    <row r="724" ht="17.6" spans="4:7">
      <c r="D724" s="175">
        <v>45169</v>
      </c>
      <c r="E724" s="176">
        <v>19253.8</v>
      </c>
      <c r="F724" s="3"/>
      <c r="G724" s="3"/>
    </row>
    <row r="725" ht="17.6" spans="4:7">
      <c r="D725" s="175">
        <v>45168</v>
      </c>
      <c r="E725" s="176">
        <v>19347.45</v>
      </c>
      <c r="F725" s="3"/>
      <c r="G725" s="3"/>
    </row>
    <row r="726" ht="17.6" spans="4:7">
      <c r="D726" s="175">
        <v>45167</v>
      </c>
      <c r="E726" s="176">
        <v>19342.65</v>
      </c>
      <c r="F726" s="3"/>
      <c r="G726" s="3"/>
    </row>
    <row r="727" ht="17.6" spans="4:7">
      <c r="D727" s="175">
        <v>45166</v>
      </c>
      <c r="E727" s="176">
        <v>19306.05</v>
      </c>
      <c r="F727" s="3"/>
      <c r="G727" s="3"/>
    </row>
    <row r="728" ht="17.6" spans="4:7">
      <c r="D728" s="175">
        <v>45163</v>
      </c>
      <c r="E728" s="176">
        <v>19265.8</v>
      </c>
      <c r="F728" s="3"/>
      <c r="G728" s="3"/>
    </row>
    <row r="729" ht="17.6" spans="4:7">
      <c r="D729" s="175">
        <v>45162</v>
      </c>
      <c r="E729" s="176">
        <v>19386.7</v>
      </c>
      <c r="F729" s="3"/>
      <c r="G729" s="3"/>
    </row>
    <row r="730" ht="17.6" spans="4:7">
      <c r="D730" s="175">
        <v>45161</v>
      </c>
      <c r="E730" s="176">
        <v>19444</v>
      </c>
      <c r="F730" s="3"/>
      <c r="G730" s="3"/>
    </row>
    <row r="731" ht="17.6" spans="4:7">
      <c r="D731" s="175">
        <v>45160</v>
      </c>
      <c r="E731" s="176">
        <v>19396.45</v>
      </c>
      <c r="F731" s="3"/>
      <c r="G731" s="3"/>
    </row>
    <row r="732" ht="17.6" spans="4:7">
      <c r="D732" s="175">
        <v>45159</v>
      </c>
      <c r="E732" s="176">
        <v>19393.6</v>
      </c>
      <c r="F732" s="3"/>
      <c r="G732" s="3"/>
    </row>
    <row r="733" ht="17.6" spans="4:7">
      <c r="D733" s="175">
        <v>45156</v>
      </c>
      <c r="E733" s="176">
        <v>19310.15</v>
      </c>
      <c r="F733" s="3"/>
      <c r="G733" s="3"/>
    </row>
    <row r="734" ht="17.6" spans="4:7">
      <c r="D734" s="175">
        <v>45155</v>
      </c>
      <c r="E734" s="176">
        <v>19365.25</v>
      </c>
      <c r="F734" s="3"/>
      <c r="G734" s="3"/>
    </row>
    <row r="735" ht="17.6" spans="4:7">
      <c r="D735" s="175">
        <v>45154</v>
      </c>
      <c r="E735" s="176">
        <v>19465</v>
      </c>
      <c r="F735" s="3"/>
      <c r="G735" s="3"/>
    </row>
    <row r="736" ht="17.6" spans="4:7">
      <c r="D736" s="175">
        <v>45152</v>
      </c>
      <c r="E736" s="176">
        <v>19434.55</v>
      </c>
      <c r="F736" s="3"/>
      <c r="G736" s="3"/>
    </row>
    <row r="737" ht="17.6" spans="4:7">
      <c r="D737" s="175">
        <v>45149</v>
      </c>
      <c r="E737" s="176">
        <v>19428.3</v>
      </c>
      <c r="F737" s="3"/>
      <c r="G737" s="3"/>
    </row>
    <row r="738" ht="17.6" spans="4:7">
      <c r="D738" s="175">
        <v>45148</v>
      </c>
      <c r="E738" s="176">
        <v>19543.1</v>
      </c>
      <c r="F738" s="3"/>
      <c r="G738" s="3"/>
    </row>
    <row r="739" ht="17.6" spans="4:7">
      <c r="D739" s="175">
        <v>45147</v>
      </c>
      <c r="E739" s="176">
        <v>19632.55</v>
      </c>
      <c r="F739" s="3"/>
      <c r="G739" s="3"/>
    </row>
    <row r="740" ht="17.6" spans="4:7">
      <c r="D740" s="175">
        <v>45146</v>
      </c>
      <c r="E740" s="176">
        <v>19570.85</v>
      </c>
      <c r="F740" s="3"/>
      <c r="G740" s="3"/>
    </row>
    <row r="741" ht="17.6" spans="4:7">
      <c r="D741" s="175">
        <v>45145</v>
      </c>
      <c r="E741" s="176">
        <v>19597.3</v>
      </c>
      <c r="F741" s="3"/>
      <c r="G741" s="3"/>
    </row>
    <row r="742" ht="17.6" spans="4:7">
      <c r="D742" s="175">
        <v>45142</v>
      </c>
      <c r="E742" s="176">
        <v>19517</v>
      </c>
      <c r="F742" s="3"/>
      <c r="G742" s="3"/>
    </row>
    <row r="743" ht="17.6" spans="4:7">
      <c r="D743" s="175">
        <v>45141</v>
      </c>
      <c r="E743" s="176">
        <v>19381.65</v>
      </c>
      <c r="F743" s="3"/>
      <c r="G743" s="3"/>
    </row>
    <row r="744" ht="17.6" spans="4:7">
      <c r="D744" s="175">
        <v>45140</v>
      </c>
      <c r="E744" s="176">
        <v>19526.55</v>
      </c>
      <c r="F744" s="3"/>
      <c r="G744" s="3"/>
    </row>
    <row r="745" ht="17.6" spans="4:7">
      <c r="D745" s="175">
        <v>45139</v>
      </c>
      <c r="E745" s="176">
        <v>19733.55</v>
      </c>
      <c r="F745" s="3"/>
      <c r="G745" s="3"/>
    </row>
    <row r="746" ht="17.6" spans="4:7">
      <c r="D746" s="175">
        <v>45138</v>
      </c>
      <c r="E746" s="176">
        <v>19753.8</v>
      </c>
      <c r="F746" s="3"/>
      <c r="G746" s="3"/>
    </row>
    <row r="747" ht="17.6" spans="4:7">
      <c r="D747" s="175">
        <v>45135</v>
      </c>
      <c r="E747" s="176">
        <v>19646.05</v>
      </c>
      <c r="F747" s="3"/>
      <c r="G747" s="3"/>
    </row>
    <row r="748" ht="17.6" spans="4:7">
      <c r="D748" s="175">
        <v>45134</v>
      </c>
      <c r="E748" s="176">
        <v>19659.9</v>
      </c>
      <c r="F748" s="3"/>
      <c r="G748" s="3"/>
    </row>
    <row r="749" ht="17.6" spans="4:7">
      <c r="D749" s="175">
        <v>45133</v>
      </c>
      <c r="E749" s="176">
        <v>19778.3</v>
      </c>
      <c r="F749" s="3"/>
      <c r="G749" s="3"/>
    </row>
    <row r="750" ht="17.6" spans="4:7">
      <c r="D750" s="175">
        <v>45132</v>
      </c>
      <c r="E750" s="176">
        <v>19680.6</v>
      </c>
      <c r="F750" s="3"/>
      <c r="G750" s="3"/>
    </row>
    <row r="751" ht="17.6" spans="4:7">
      <c r="D751" s="175">
        <v>45131</v>
      </c>
      <c r="E751" s="176">
        <v>19672.35</v>
      </c>
      <c r="F751" s="3"/>
      <c r="G751" s="3"/>
    </row>
    <row r="752" ht="17.6" spans="4:7">
      <c r="D752" s="175">
        <v>45128</v>
      </c>
      <c r="E752" s="176">
        <v>19745</v>
      </c>
      <c r="F752" s="3"/>
      <c r="G752" s="3"/>
    </row>
    <row r="753" ht="17.6" spans="4:7">
      <c r="D753" s="175">
        <v>45127</v>
      </c>
      <c r="E753" s="176">
        <v>19979.15</v>
      </c>
      <c r="F753" s="3"/>
      <c r="G753" s="3"/>
    </row>
    <row r="754" ht="17.6" spans="4:7">
      <c r="D754" s="175">
        <v>45126</v>
      </c>
      <c r="E754" s="176">
        <v>19833.15</v>
      </c>
      <c r="F754" s="3"/>
      <c r="G754" s="3"/>
    </row>
    <row r="755" ht="17.6" spans="4:7">
      <c r="D755" s="175">
        <v>45125</v>
      </c>
      <c r="E755" s="176">
        <v>19749.25</v>
      </c>
      <c r="F755" s="3"/>
      <c r="G755" s="3"/>
    </row>
    <row r="756" ht="17.6" spans="4:7">
      <c r="D756" s="175">
        <v>45124</v>
      </c>
      <c r="E756" s="176">
        <v>19711.45</v>
      </c>
      <c r="F756" s="3"/>
      <c r="G756" s="3"/>
    </row>
    <row r="757" ht="17.6" spans="4:7">
      <c r="D757" s="175">
        <v>45121</v>
      </c>
      <c r="E757" s="176">
        <v>19564.5</v>
      </c>
      <c r="F757" s="3"/>
      <c r="G757" s="3"/>
    </row>
    <row r="758" ht="17.6" spans="4:7">
      <c r="D758" s="175">
        <v>45120</v>
      </c>
      <c r="E758" s="176">
        <v>19413.75</v>
      </c>
      <c r="F758" s="3"/>
      <c r="G758" s="3"/>
    </row>
    <row r="759" ht="17.6" spans="4:7">
      <c r="D759" s="175">
        <v>45119</v>
      </c>
      <c r="E759" s="176">
        <v>19384.3</v>
      </c>
      <c r="F759" s="3"/>
      <c r="G759" s="3"/>
    </row>
    <row r="760" ht="17.6" spans="4:7">
      <c r="D760" s="175">
        <v>45118</v>
      </c>
      <c r="E760" s="176">
        <v>19439.4</v>
      </c>
      <c r="F760" s="3"/>
      <c r="G760" s="3"/>
    </row>
    <row r="761" ht="17.6" spans="4:7">
      <c r="D761" s="175">
        <v>45117</v>
      </c>
      <c r="E761" s="176">
        <v>19355.9</v>
      </c>
      <c r="F761" s="3"/>
      <c r="G761" s="3"/>
    </row>
    <row r="762" ht="17.6" spans="4:7">
      <c r="D762" s="175">
        <v>45114</v>
      </c>
      <c r="E762" s="176">
        <v>19331.8</v>
      </c>
      <c r="F762" s="3"/>
      <c r="G762" s="3"/>
    </row>
    <row r="763" ht="17.6" spans="4:7">
      <c r="D763" s="175">
        <v>45113</v>
      </c>
      <c r="E763" s="176">
        <v>19497.3</v>
      </c>
      <c r="F763" s="3"/>
      <c r="G763" s="3"/>
    </row>
    <row r="764" ht="17.6" spans="4:7">
      <c r="D764" s="175">
        <v>45112</v>
      </c>
      <c r="E764" s="176">
        <v>19398.5</v>
      </c>
      <c r="F764" s="3"/>
      <c r="G764" s="3"/>
    </row>
    <row r="765" ht="17.6" spans="4:7">
      <c r="D765" s="175">
        <v>45111</v>
      </c>
      <c r="E765" s="176">
        <v>19389</v>
      </c>
      <c r="F765" s="3"/>
      <c r="G765" s="3"/>
    </row>
    <row r="766" ht="17.6" spans="4:7">
      <c r="D766" s="175">
        <v>45110</v>
      </c>
      <c r="E766" s="176">
        <v>19322.55</v>
      </c>
      <c r="F766" s="3"/>
      <c r="G766" s="3"/>
    </row>
    <row r="767" ht="17.6" spans="4:7">
      <c r="D767" s="175">
        <v>45107</v>
      </c>
      <c r="E767" s="176">
        <v>19189.05</v>
      </c>
      <c r="F767" s="3"/>
      <c r="G767" s="3"/>
    </row>
    <row r="768" ht="17.6" spans="4:7">
      <c r="D768" s="175">
        <v>45105</v>
      </c>
      <c r="E768" s="176">
        <v>18972.1</v>
      </c>
      <c r="F768" s="3"/>
      <c r="G768" s="3"/>
    </row>
    <row r="769" ht="17.6" spans="4:7">
      <c r="D769" s="175">
        <v>45104</v>
      </c>
      <c r="E769" s="176">
        <v>18817.4</v>
      </c>
      <c r="F769" s="3"/>
      <c r="G769" s="3"/>
    </row>
    <row r="770" ht="17.6" spans="4:7">
      <c r="D770" s="175">
        <v>45103</v>
      </c>
      <c r="E770" s="176">
        <v>18691.2</v>
      </c>
      <c r="F770" s="3"/>
      <c r="G770" s="3"/>
    </row>
    <row r="771" ht="17.6" spans="4:7">
      <c r="D771" s="175">
        <v>45100</v>
      </c>
      <c r="E771" s="176">
        <v>18665.5</v>
      </c>
      <c r="F771" s="3"/>
      <c r="G771" s="3"/>
    </row>
    <row r="772" ht="17.6" spans="4:7">
      <c r="D772" s="175">
        <v>45099</v>
      </c>
      <c r="E772" s="176">
        <v>18771.25</v>
      </c>
      <c r="F772" s="3"/>
      <c r="G772" s="3"/>
    </row>
    <row r="773" ht="17.6" spans="4:7">
      <c r="D773" s="175">
        <v>45098</v>
      </c>
      <c r="E773" s="176">
        <v>18856.85</v>
      </c>
      <c r="F773" s="3"/>
      <c r="G773" s="3"/>
    </row>
    <row r="774" ht="17.6" spans="4:7">
      <c r="D774" s="175">
        <v>45097</v>
      </c>
      <c r="E774" s="176">
        <v>18816.7</v>
      </c>
      <c r="F774" s="3"/>
      <c r="G774" s="3"/>
    </row>
    <row r="775" ht="17.6" spans="4:7">
      <c r="D775" s="175">
        <v>45096</v>
      </c>
      <c r="E775" s="176">
        <v>18755.45</v>
      </c>
      <c r="F775" s="3"/>
      <c r="G775" s="3"/>
    </row>
    <row r="776" ht="17.6" spans="4:7">
      <c r="D776" s="175">
        <v>45093</v>
      </c>
      <c r="E776" s="176">
        <v>18826</v>
      </c>
      <c r="F776" s="3"/>
      <c r="G776" s="3"/>
    </row>
    <row r="777" ht="17.6" spans="4:7">
      <c r="D777" s="175">
        <v>45092</v>
      </c>
      <c r="E777" s="176">
        <v>18688.1</v>
      </c>
      <c r="F777" s="3"/>
      <c r="G777" s="3"/>
    </row>
    <row r="778" ht="17.6" spans="4:7">
      <c r="D778" s="175">
        <v>45091</v>
      </c>
      <c r="E778" s="176">
        <v>18755.9</v>
      </c>
      <c r="F778" s="3"/>
      <c r="G778" s="3"/>
    </row>
    <row r="779" ht="17.6" spans="4:7">
      <c r="D779" s="175">
        <v>45090</v>
      </c>
      <c r="E779" s="176">
        <v>18716.15</v>
      </c>
      <c r="F779" s="3"/>
      <c r="G779" s="3"/>
    </row>
    <row r="780" ht="17.6" spans="4:7">
      <c r="D780" s="175">
        <v>45089</v>
      </c>
      <c r="E780" s="176">
        <v>18601.5</v>
      </c>
      <c r="F780" s="3"/>
      <c r="G780" s="3"/>
    </row>
    <row r="781" ht="17.6" spans="4:7">
      <c r="D781" s="175">
        <v>45086</v>
      </c>
      <c r="E781" s="176">
        <v>18563.4</v>
      </c>
      <c r="F781" s="3"/>
      <c r="G781" s="3"/>
    </row>
    <row r="782" ht="17.6" spans="4:7">
      <c r="D782" s="175">
        <v>45085</v>
      </c>
      <c r="E782" s="176">
        <v>18634.55</v>
      </c>
      <c r="F782" s="3"/>
      <c r="G782" s="3"/>
    </row>
    <row r="783" ht="17.6" spans="4:7">
      <c r="D783" s="175">
        <v>45084</v>
      </c>
      <c r="E783" s="176">
        <v>18726.4</v>
      </c>
      <c r="F783" s="3"/>
      <c r="G783" s="3"/>
    </row>
    <row r="784" ht="17.6" spans="4:7">
      <c r="D784" s="175">
        <v>45083</v>
      </c>
      <c r="E784" s="176">
        <v>18599</v>
      </c>
      <c r="F784" s="3"/>
      <c r="G784" s="3"/>
    </row>
    <row r="785" ht="17.6" spans="4:7">
      <c r="D785" s="175">
        <v>45082</v>
      </c>
      <c r="E785" s="176">
        <v>18593.85</v>
      </c>
      <c r="F785" s="3"/>
      <c r="G785" s="3"/>
    </row>
    <row r="786" ht="17.6" spans="4:7">
      <c r="D786" s="175">
        <v>45079</v>
      </c>
      <c r="E786" s="176">
        <v>18534.1</v>
      </c>
      <c r="F786" s="3"/>
      <c r="G786" s="3"/>
    </row>
    <row r="787" ht="17.6" spans="4:7">
      <c r="D787" s="175">
        <v>45078</v>
      </c>
      <c r="E787" s="176">
        <v>18487.75</v>
      </c>
      <c r="F787" s="3"/>
      <c r="G787" s="3"/>
    </row>
    <row r="788" ht="17.6" spans="4:7">
      <c r="D788" s="175">
        <v>45077</v>
      </c>
      <c r="E788" s="176">
        <v>18534.4</v>
      </c>
      <c r="F788" s="3"/>
      <c r="G788" s="3"/>
    </row>
    <row r="789" ht="17.6" spans="4:7">
      <c r="D789" s="175">
        <v>45076</v>
      </c>
      <c r="E789" s="176">
        <v>18633.85</v>
      </c>
      <c r="F789" s="3"/>
      <c r="G789" s="3"/>
    </row>
    <row r="790" ht="17.6" spans="4:7">
      <c r="D790" s="175">
        <v>45075</v>
      </c>
      <c r="E790" s="176">
        <v>18598.65</v>
      </c>
      <c r="F790" s="3"/>
      <c r="G790" s="3"/>
    </row>
    <row r="791" ht="17.6" spans="4:7">
      <c r="D791" s="175">
        <v>45072</v>
      </c>
      <c r="E791" s="176">
        <v>18499.35</v>
      </c>
      <c r="F791" s="3"/>
      <c r="G791" s="3"/>
    </row>
    <row r="792" ht="17.6" spans="4:7">
      <c r="D792" s="175">
        <v>45071</v>
      </c>
      <c r="E792" s="176">
        <v>18321.15</v>
      </c>
      <c r="F792" s="3"/>
      <c r="G792" s="3"/>
    </row>
    <row r="793" ht="17.6" spans="4:7">
      <c r="D793" s="175">
        <v>45070</v>
      </c>
      <c r="E793" s="176">
        <v>18285.4</v>
      </c>
      <c r="F793" s="3"/>
      <c r="G793" s="3"/>
    </row>
    <row r="794" ht="17.6" spans="4:7">
      <c r="D794" s="175">
        <v>45069</v>
      </c>
      <c r="E794" s="176">
        <v>18348</v>
      </c>
      <c r="F794" s="3"/>
      <c r="G794" s="3"/>
    </row>
    <row r="795" ht="17.6" spans="4:7">
      <c r="D795" s="175">
        <v>45068</v>
      </c>
      <c r="E795" s="176">
        <v>18314.4</v>
      </c>
      <c r="F795" s="3"/>
      <c r="G795" s="3"/>
    </row>
    <row r="796" ht="17.6" spans="4:7">
      <c r="D796" s="175">
        <v>45065</v>
      </c>
      <c r="E796" s="176">
        <v>18203.4</v>
      </c>
      <c r="F796" s="3"/>
      <c r="G796" s="3"/>
    </row>
    <row r="797" ht="17.6" spans="4:7">
      <c r="D797" s="175">
        <v>45064</v>
      </c>
      <c r="E797" s="176">
        <v>18129.95</v>
      </c>
      <c r="F797" s="3"/>
      <c r="G797" s="3"/>
    </row>
    <row r="798" ht="17.6" spans="4:7">
      <c r="D798" s="175">
        <v>45063</v>
      </c>
      <c r="E798" s="176">
        <v>18181.75</v>
      </c>
      <c r="F798" s="3"/>
      <c r="G798" s="3"/>
    </row>
    <row r="799" ht="17.6" spans="4:7">
      <c r="D799" s="175">
        <v>45062</v>
      </c>
      <c r="E799" s="176">
        <v>18286.5</v>
      </c>
      <c r="F799" s="3"/>
      <c r="G799" s="3"/>
    </row>
    <row r="800" ht="17.6" spans="4:7">
      <c r="D800" s="175">
        <v>45061</v>
      </c>
      <c r="E800" s="176">
        <v>18398.85</v>
      </c>
      <c r="F800" s="3"/>
      <c r="G800" s="3"/>
    </row>
    <row r="801" ht="17.6" spans="4:7">
      <c r="D801" s="175">
        <v>45058</v>
      </c>
      <c r="E801" s="176">
        <v>18314.8</v>
      </c>
      <c r="F801" s="3"/>
      <c r="G801" s="3"/>
    </row>
    <row r="802" ht="17.6" spans="4:7">
      <c r="D802" s="175">
        <v>45057</v>
      </c>
      <c r="E802" s="176">
        <v>18297</v>
      </c>
      <c r="F802" s="3"/>
      <c r="G802" s="3"/>
    </row>
    <row r="803" ht="17.6" spans="4:7">
      <c r="D803" s="175">
        <v>45056</v>
      </c>
      <c r="E803" s="176">
        <v>18315.1</v>
      </c>
      <c r="F803" s="3"/>
      <c r="G803" s="3"/>
    </row>
    <row r="804" ht="17.6" spans="4:7">
      <c r="D804" s="175">
        <v>45055</v>
      </c>
      <c r="E804" s="176">
        <v>18265.95</v>
      </c>
      <c r="F804" s="3"/>
      <c r="G804" s="3"/>
    </row>
    <row r="805" ht="17.6" spans="4:7">
      <c r="D805" s="175">
        <v>45054</v>
      </c>
      <c r="E805" s="176">
        <v>18264.4</v>
      </c>
      <c r="F805" s="3"/>
      <c r="G805" s="3"/>
    </row>
    <row r="806" ht="17.6" spans="4:7">
      <c r="D806" s="175">
        <v>45051</v>
      </c>
      <c r="E806" s="176">
        <v>18069</v>
      </c>
      <c r="F806" s="3"/>
      <c r="G806" s="3"/>
    </row>
    <row r="807" ht="17.6" spans="4:7">
      <c r="D807" s="175">
        <v>45050</v>
      </c>
      <c r="E807" s="176">
        <v>18255.8</v>
      </c>
      <c r="F807" s="3"/>
      <c r="G807" s="3"/>
    </row>
    <row r="808" ht="17.6" spans="4:7">
      <c r="D808" s="175">
        <v>45049</v>
      </c>
      <c r="E808" s="176">
        <v>18089.85</v>
      </c>
      <c r="F808" s="3"/>
      <c r="G808" s="3"/>
    </row>
    <row r="809" ht="17.6" spans="4:7">
      <c r="D809" s="175">
        <v>45048</v>
      </c>
      <c r="E809" s="176">
        <v>18147.65</v>
      </c>
      <c r="F809" s="3"/>
      <c r="G809" s="3"/>
    </row>
    <row r="810" ht="17.6" spans="4:7">
      <c r="D810" s="175">
        <v>45044</v>
      </c>
      <c r="E810" s="176">
        <v>18065</v>
      </c>
      <c r="F810" s="3"/>
      <c r="G810" s="3"/>
    </row>
    <row r="811" ht="17.6" spans="4:7">
      <c r="D811" s="175">
        <v>45043</v>
      </c>
      <c r="E811" s="176">
        <v>17915.05</v>
      </c>
      <c r="F811" s="3"/>
      <c r="G811" s="3"/>
    </row>
    <row r="812" ht="17.6" spans="4:7">
      <c r="D812" s="175">
        <v>45042</v>
      </c>
      <c r="E812" s="176">
        <v>17813.6</v>
      </c>
      <c r="F812" s="3"/>
      <c r="G812" s="3"/>
    </row>
    <row r="813" ht="17.6" spans="4:7">
      <c r="D813" s="175">
        <v>45041</v>
      </c>
      <c r="E813" s="176">
        <v>17769.25</v>
      </c>
      <c r="F813" s="3"/>
      <c r="G813" s="3"/>
    </row>
    <row r="814" ht="17.6" spans="4:7">
      <c r="D814" s="175">
        <v>45040</v>
      </c>
      <c r="E814" s="176">
        <v>17743.4</v>
      </c>
      <c r="F814" s="3"/>
      <c r="G814" s="3"/>
    </row>
    <row r="815" ht="17.6" spans="4:7">
      <c r="D815" s="175">
        <v>45037</v>
      </c>
      <c r="E815" s="176">
        <v>17624.05</v>
      </c>
      <c r="F815" s="3"/>
      <c r="G815" s="3"/>
    </row>
    <row r="816" ht="17.6" spans="4:7">
      <c r="D816" s="175">
        <v>45036</v>
      </c>
      <c r="E816" s="176">
        <v>17624.45</v>
      </c>
      <c r="F816" s="3"/>
      <c r="G816" s="3"/>
    </row>
    <row r="817" ht="17.6" spans="4:7">
      <c r="D817" s="175">
        <v>45035</v>
      </c>
      <c r="E817" s="176">
        <v>17618.75</v>
      </c>
      <c r="F817" s="3"/>
      <c r="G817" s="3"/>
    </row>
    <row r="818" ht="17.6" spans="4:7">
      <c r="D818" s="175">
        <v>45034</v>
      </c>
      <c r="E818" s="176">
        <v>17660.15</v>
      </c>
      <c r="F818" s="3"/>
      <c r="G818" s="3"/>
    </row>
    <row r="819" ht="17.6" spans="4:7">
      <c r="D819" s="175">
        <v>45033</v>
      </c>
      <c r="E819" s="176">
        <v>17706.85</v>
      </c>
      <c r="F819" s="3"/>
      <c r="G819" s="3"/>
    </row>
    <row r="820" ht="17.6" spans="4:7">
      <c r="D820" s="175">
        <v>45029</v>
      </c>
      <c r="E820" s="176">
        <v>17828</v>
      </c>
      <c r="F820" s="3"/>
      <c r="G820" s="3"/>
    </row>
    <row r="821" ht="17.6" spans="4:7">
      <c r="D821" s="175">
        <v>45028</v>
      </c>
      <c r="E821" s="176">
        <v>17812.4</v>
      </c>
      <c r="F821" s="3"/>
      <c r="G821" s="3"/>
    </row>
    <row r="822" ht="17.6" spans="4:7">
      <c r="D822" s="175">
        <v>45027</v>
      </c>
      <c r="E822" s="176">
        <v>17722.3</v>
      </c>
      <c r="F822" s="3"/>
      <c r="G822" s="3"/>
    </row>
    <row r="823" ht="17.6" spans="4:7">
      <c r="D823" s="175">
        <v>45026</v>
      </c>
      <c r="E823" s="176">
        <v>17624.05</v>
      </c>
      <c r="F823" s="3"/>
      <c r="G823" s="3"/>
    </row>
    <row r="824" ht="17.6" spans="4:7">
      <c r="D824" s="175">
        <v>45022</v>
      </c>
      <c r="E824" s="176">
        <v>17599.15</v>
      </c>
      <c r="F824" s="3"/>
      <c r="G824" s="3"/>
    </row>
    <row r="825" ht="17.6" spans="4:7">
      <c r="D825" s="175">
        <v>45021</v>
      </c>
      <c r="E825" s="176">
        <v>17557.05</v>
      </c>
      <c r="F825" s="3"/>
      <c r="G825" s="3"/>
    </row>
    <row r="826" ht="17.6" spans="4:7">
      <c r="D826" s="175">
        <v>45019</v>
      </c>
      <c r="E826" s="176">
        <v>17398.05</v>
      </c>
      <c r="F826" s="3"/>
      <c r="G826" s="3"/>
    </row>
    <row r="827" ht="17.6" spans="4:7">
      <c r="D827" s="175">
        <v>45016</v>
      </c>
      <c r="E827" s="176">
        <v>17359.75</v>
      </c>
      <c r="F827" s="3"/>
      <c r="G827" s="3"/>
    </row>
    <row r="828" ht="17.6" spans="4:7">
      <c r="D828" s="175">
        <v>45014</v>
      </c>
      <c r="E828" s="176">
        <v>17080.7</v>
      </c>
      <c r="F828" s="3"/>
      <c r="G828" s="3"/>
    </row>
    <row r="829" ht="17.6" spans="4:7">
      <c r="D829" s="175">
        <v>45013</v>
      </c>
      <c r="E829" s="176">
        <v>16951.7</v>
      </c>
      <c r="F829" s="3"/>
      <c r="G829" s="3"/>
    </row>
    <row r="830" ht="17.6" spans="4:7">
      <c r="D830" s="175">
        <v>45012</v>
      </c>
      <c r="E830" s="176">
        <v>16985.7</v>
      </c>
      <c r="F830" s="3"/>
      <c r="G830" s="3"/>
    </row>
    <row r="831" ht="17.6" spans="4:7">
      <c r="D831" s="175">
        <v>45009</v>
      </c>
      <c r="E831" s="176">
        <v>16945.05</v>
      </c>
      <c r="F831" s="3"/>
      <c r="G831" s="3"/>
    </row>
    <row r="832" ht="17.6" spans="4:7">
      <c r="D832" s="175">
        <v>45008</v>
      </c>
      <c r="E832" s="176">
        <v>17076.9</v>
      </c>
      <c r="F832" s="3"/>
      <c r="G832" s="3"/>
    </row>
    <row r="833" ht="17.6" spans="4:7">
      <c r="D833" s="175">
        <v>45007</v>
      </c>
      <c r="E833" s="176">
        <v>17151.9</v>
      </c>
      <c r="F833" s="3"/>
      <c r="G833" s="3"/>
    </row>
    <row r="834" ht="17.6" spans="4:7">
      <c r="D834" s="175">
        <v>45006</v>
      </c>
      <c r="E834" s="176">
        <v>17107.5</v>
      </c>
      <c r="F834" s="3"/>
      <c r="G834" s="3"/>
    </row>
    <row r="835" ht="17.6" spans="4:7">
      <c r="D835" s="175">
        <v>45005</v>
      </c>
      <c r="E835" s="176">
        <v>16988.4</v>
      </c>
      <c r="F835" s="3"/>
      <c r="G835" s="3"/>
    </row>
    <row r="836" ht="17.6" spans="4:7">
      <c r="D836" s="175">
        <v>45002</v>
      </c>
      <c r="E836" s="176">
        <v>17100.05</v>
      </c>
      <c r="F836" s="3"/>
      <c r="G836" s="3"/>
    </row>
    <row r="837" ht="17.6" spans="4:7">
      <c r="D837" s="175">
        <v>45001</v>
      </c>
      <c r="E837" s="176">
        <v>16985.6</v>
      </c>
      <c r="F837" s="3"/>
      <c r="G837" s="3"/>
    </row>
    <row r="838" ht="17.6" spans="4:7">
      <c r="D838" s="175">
        <v>45000</v>
      </c>
      <c r="E838" s="176">
        <v>16972.15</v>
      </c>
      <c r="F838" s="3"/>
      <c r="G838" s="3"/>
    </row>
    <row r="839" ht="17.6" spans="4:7">
      <c r="D839" s="175">
        <v>44999</v>
      </c>
      <c r="E839" s="176">
        <v>17043.3</v>
      </c>
      <c r="F839" s="3"/>
      <c r="G839" s="3"/>
    </row>
    <row r="840" ht="17.6" spans="4:7">
      <c r="D840" s="175">
        <v>44998</v>
      </c>
      <c r="E840" s="176">
        <v>17154.3</v>
      </c>
      <c r="F840" s="3"/>
      <c r="G840" s="3"/>
    </row>
    <row r="841" ht="17.6" spans="4:7">
      <c r="D841" s="175">
        <v>44995</v>
      </c>
      <c r="E841" s="176">
        <v>17412.9</v>
      </c>
      <c r="F841" s="3"/>
      <c r="G841" s="3"/>
    </row>
    <row r="842" ht="17.6" spans="4:7">
      <c r="D842" s="175">
        <v>44994</v>
      </c>
      <c r="E842" s="176">
        <v>17589.6</v>
      </c>
      <c r="F842" s="3"/>
      <c r="G842" s="3"/>
    </row>
    <row r="843" ht="17.6" spans="4:7">
      <c r="D843" s="175">
        <v>44993</v>
      </c>
      <c r="E843" s="176">
        <v>17754.4</v>
      </c>
      <c r="F843" s="3"/>
      <c r="G843" s="3"/>
    </row>
    <row r="844" ht="17.6" spans="4:7">
      <c r="D844" s="175">
        <v>44991</v>
      </c>
      <c r="E844" s="176">
        <v>17711.45</v>
      </c>
      <c r="F844" s="3"/>
      <c r="G844" s="3"/>
    </row>
    <row r="845" ht="17.6" spans="4:7">
      <c r="D845" s="175">
        <v>44988</v>
      </c>
      <c r="E845" s="176">
        <v>17594.35</v>
      </c>
      <c r="F845" s="3"/>
      <c r="G845" s="3"/>
    </row>
    <row r="846" ht="17.6" spans="4:7">
      <c r="D846" s="175">
        <v>44987</v>
      </c>
      <c r="E846" s="176">
        <v>17321.9</v>
      </c>
      <c r="F846" s="3"/>
      <c r="G846" s="3"/>
    </row>
    <row r="847" ht="17.6" spans="4:7">
      <c r="D847" s="175">
        <v>44986</v>
      </c>
      <c r="E847" s="176">
        <v>17450.9</v>
      </c>
      <c r="F847" s="3"/>
      <c r="G847" s="3"/>
    </row>
    <row r="848" ht="17.6" spans="4:7">
      <c r="D848" s="175">
        <v>44985</v>
      </c>
      <c r="E848" s="176">
        <v>17303.95</v>
      </c>
      <c r="F848" s="3"/>
      <c r="G848" s="3"/>
    </row>
    <row r="849" ht="17.6" spans="4:7">
      <c r="D849" s="175">
        <v>44984</v>
      </c>
      <c r="E849" s="176">
        <v>17392.7</v>
      </c>
      <c r="F849" s="3"/>
      <c r="G849" s="3"/>
    </row>
    <row r="850" ht="17.6" spans="4:7">
      <c r="D850" s="175">
        <v>44981</v>
      </c>
      <c r="E850" s="176">
        <v>17465.8</v>
      </c>
      <c r="F850" s="3"/>
      <c r="G850" s="3"/>
    </row>
    <row r="851" ht="17.6" spans="4:7">
      <c r="D851" s="175">
        <v>44980</v>
      </c>
      <c r="E851" s="176">
        <v>17511.25</v>
      </c>
      <c r="F851" s="3"/>
      <c r="G851" s="3"/>
    </row>
    <row r="852" ht="17.6" spans="4:7">
      <c r="D852" s="175">
        <v>44979</v>
      </c>
      <c r="E852" s="176">
        <v>17554.3</v>
      </c>
      <c r="F852" s="3"/>
      <c r="G852" s="3"/>
    </row>
    <row r="853" ht="17.6" spans="4:7">
      <c r="D853" s="175">
        <v>44978</v>
      </c>
      <c r="E853" s="176">
        <v>17826.7</v>
      </c>
      <c r="F853" s="3"/>
      <c r="G853" s="3"/>
    </row>
    <row r="854" ht="17.6" spans="4:7">
      <c r="D854" s="175">
        <v>44977</v>
      </c>
      <c r="E854" s="176">
        <v>17844.6</v>
      </c>
      <c r="F854" s="3"/>
      <c r="G854" s="3"/>
    </row>
    <row r="855" ht="17.6" spans="4:7">
      <c r="D855" s="175">
        <v>44974</v>
      </c>
      <c r="E855" s="176">
        <v>17944.2</v>
      </c>
      <c r="F855" s="3"/>
      <c r="G855" s="3"/>
    </row>
    <row r="856" ht="17.6" spans="4:7">
      <c r="D856" s="175">
        <v>44973</v>
      </c>
      <c r="E856" s="176">
        <v>18035.85</v>
      </c>
      <c r="F856" s="3"/>
      <c r="G856" s="3"/>
    </row>
    <row r="857" ht="17.6" spans="4:7">
      <c r="D857" s="175">
        <v>44972</v>
      </c>
      <c r="E857" s="176">
        <v>18015.85</v>
      </c>
      <c r="F857" s="3"/>
      <c r="G857" s="3"/>
    </row>
    <row r="858" ht="17.6" spans="4:7">
      <c r="D858" s="175">
        <v>44971</v>
      </c>
      <c r="E858" s="176">
        <v>17929.85</v>
      </c>
      <c r="F858" s="3"/>
      <c r="G858" s="3"/>
    </row>
    <row r="859" ht="17.6" spans="4:7">
      <c r="D859" s="175">
        <v>44970</v>
      </c>
      <c r="E859" s="176">
        <v>17770.9</v>
      </c>
      <c r="F859" s="3"/>
      <c r="G859" s="3"/>
    </row>
    <row r="860" ht="17.6" spans="4:7">
      <c r="D860" s="175">
        <v>44967</v>
      </c>
      <c r="E860" s="176">
        <v>17856.5</v>
      </c>
      <c r="F860" s="3"/>
      <c r="G860" s="3"/>
    </row>
    <row r="861" ht="17.6" spans="4:7">
      <c r="D861" s="175">
        <v>44966</v>
      </c>
      <c r="E861" s="176">
        <v>17893.45</v>
      </c>
      <c r="F861" s="3"/>
      <c r="G861" s="3"/>
    </row>
    <row r="862" ht="17.6" spans="4:7">
      <c r="D862" s="175">
        <v>44965</v>
      </c>
      <c r="E862" s="176">
        <v>17871.7</v>
      </c>
      <c r="F862" s="3"/>
      <c r="G862" s="3"/>
    </row>
    <row r="863" ht="17.6" spans="4:7">
      <c r="D863" s="175">
        <v>44964</v>
      </c>
      <c r="E863" s="176">
        <v>17721.5</v>
      </c>
      <c r="F863" s="3"/>
      <c r="G863" s="3"/>
    </row>
    <row r="864" ht="17.6" spans="4:7">
      <c r="D864" s="175">
        <v>44963</v>
      </c>
      <c r="E864" s="176">
        <v>17764.6</v>
      </c>
      <c r="F864" s="3"/>
      <c r="G864" s="3"/>
    </row>
    <row r="865" ht="17.6" spans="4:7">
      <c r="D865" s="175">
        <v>44960</v>
      </c>
      <c r="E865" s="176">
        <v>17854.05</v>
      </c>
      <c r="F865" s="3"/>
      <c r="G865" s="3"/>
    </row>
    <row r="866" ht="17.6" spans="4:7">
      <c r="D866" s="175">
        <v>44959</v>
      </c>
      <c r="E866" s="176">
        <v>17610.4</v>
      </c>
      <c r="F866" s="3"/>
      <c r="G866" s="3"/>
    </row>
    <row r="867" ht="17.6" spans="4:7">
      <c r="D867" s="175">
        <v>44958</v>
      </c>
      <c r="E867" s="176">
        <v>17616.3</v>
      </c>
      <c r="F867" s="3"/>
      <c r="G867" s="3"/>
    </row>
    <row r="868" ht="17.6" spans="4:7">
      <c r="D868" s="175">
        <v>44957</v>
      </c>
      <c r="E868" s="176">
        <v>17662.15</v>
      </c>
      <c r="F868" s="3"/>
      <c r="G868" s="3"/>
    </row>
    <row r="869" ht="17.6" spans="4:7">
      <c r="D869" s="175">
        <v>44956</v>
      </c>
      <c r="E869" s="176">
        <v>17648.95</v>
      </c>
      <c r="F869" s="3"/>
      <c r="G869" s="3"/>
    </row>
    <row r="870" ht="17.6" spans="4:7">
      <c r="D870" s="175">
        <v>44953</v>
      </c>
      <c r="E870" s="176">
        <v>17604.35</v>
      </c>
      <c r="F870" s="3"/>
      <c r="G870" s="3"/>
    </row>
    <row r="871" ht="17.6" spans="4:7">
      <c r="D871" s="175">
        <v>44951</v>
      </c>
      <c r="E871" s="176">
        <v>17891.95</v>
      </c>
      <c r="F871" s="3"/>
      <c r="G871" s="3"/>
    </row>
    <row r="872" ht="17.6" spans="4:7">
      <c r="D872" s="175">
        <v>44950</v>
      </c>
      <c r="E872" s="176">
        <v>18118.3</v>
      </c>
      <c r="F872" s="3"/>
      <c r="G872" s="3"/>
    </row>
    <row r="873" ht="17.6" spans="4:7">
      <c r="D873" s="175">
        <v>44949</v>
      </c>
      <c r="E873" s="176">
        <v>18118.55</v>
      </c>
      <c r="F873" s="3"/>
      <c r="G873" s="3"/>
    </row>
    <row r="874" ht="17.6" spans="4:7">
      <c r="D874" s="175">
        <v>44946</v>
      </c>
      <c r="E874" s="176">
        <v>18027.65</v>
      </c>
      <c r="F874" s="3"/>
      <c r="G874" s="3"/>
    </row>
    <row r="875" ht="17.6" spans="4:7">
      <c r="D875" s="175">
        <v>44945</v>
      </c>
      <c r="E875" s="176">
        <v>18107.85</v>
      </c>
      <c r="F875" s="3"/>
      <c r="G875" s="3"/>
    </row>
    <row r="876" ht="17.6" spans="4:7">
      <c r="D876" s="175">
        <v>44944</v>
      </c>
      <c r="E876" s="176">
        <v>18165.35</v>
      </c>
      <c r="F876" s="3"/>
      <c r="G876" s="3"/>
    </row>
    <row r="877" ht="17.6" spans="4:7">
      <c r="D877" s="175">
        <v>44943</v>
      </c>
      <c r="E877" s="176">
        <v>18053.3</v>
      </c>
      <c r="F877" s="3"/>
      <c r="G877" s="3"/>
    </row>
    <row r="878" ht="17.6" spans="4:7">
      <c r="D878" s="175">
        <v>44942</v>
      </c>
      <c r="E878" s="176">
        <v>17894.85</v>
      </c>
      <c r="F878" s="3"/>
      <c r="G878" s="3"/>
    </row>
    <row r="879" ht="17.6" spans="4:7">
      <c r="D879" s="175">
        <v>44939</v>
      </c>
      <c r="E879" s="176">
        <v>17956.6</v>
      </c>
      <c r="F879" s="3"/>
      <c r="G879" s="3"/>
    </row>
    <row r="880" ht="17.6" spans="4:7">
      <c r="D880" s="175">
        <v>44938</v>
      </c>
      <c r="E880" s="176">
        <v>17858.2</v>
      </c>
      <c r="F880" s="3"/>
      <c r="G880" s="3"/>
    </row>
    <row r="881" ht="17.6" spans="4:7">
      <c r="D881" s="175">
        <v>44937</v>
      </c>
      <c r="E881" s="176">
        <v>17895.7</v>
      </c>
      <c r="F881" s="3"/>
      <c r="G881" s="3"/>
    </row>
    <row r="882" ht="17.6" spans="4:7">
      <c r="D882" s="175">
        <v>44936</v>
      </c>
      <c r="E882" s="176">
        <v>17914.15</v>
      </c>
      <c r="F882" s="3"/>
      <c r="G882" s="3"/>
    </row>
    <row r="883" ht="17.6" spans="4:7">
      <c r="D883" s="175">
        <v>44935</v>
      </c>
      <c r="E883" s="176">
        <v>18101.2</v>
      </c>
      <c r="F883" s="3"/>
      <c r="G883" s="3"/>
    </row>
    <row r="884" ht="17.6" spans="4:7">
      <c r="D884" s="175">
        <v>44932</v>
      </c>
      <c r="E884" s="176">
        <v>17859.45</v>
      </c>
      <c r="F884" s="3"/>
      <c r="G884" s="3"/>
    </row>
    <row r="885" ht="17.6" spans="4:7">
      <c r="D885" s="175">
        <v>44931</v>
      </c>
      <c r="E885" s="176">
        <v>17992.15</v>
      </c>
      <c r="F885" s="3"/>
      <c r="G885" s="3"/>
    </row>
    <row r="886" ht="17.6" spans="4:7">
      <c r="D886" s="175">
        <v>44930</v>
      </c>
      <c r="E886" s="176">
        <v>18042.95</v>
      </c>
      <c r="F886" s="3"/>
      <c r="G886" s="3"/>
    </row>
    <row r="887" ht="17.6" spans="4:7">
      <c r="D887" s="175">
        <v>44929</v>
      </c>
      <c r="E887" s="176">
        <v>18232.55</v>
      </c>
      <c r="F887" s="3"/>
      <c r="G887" s="3"/>
    </row>
    <row r="888" ht="17.6" spans="4:7">
      <c r="D888" s="175">
        <v>44928</v>
      </c>
      <c r="E888" s="176">
        <v>18197.45</v>
      </c>
      <c r="F888" s="3"/>
      <c r="G888" s="3"/>
    </row>
    <row r="889" ht="17.6" spans="4:7">
      <c r="D889" s="175">
        <v>44925</v>
      </c>
      <c r="E889" s="176">
        <v>18105.3</v>
      </c>
      <c r="F889" s="3"/>
      <c r="G889" s="3"/>
    </row>
    <row r="890" ht="17.6" spans="4:7">
      <c r="D890" s="175">
        <v>44924</v>
      </c>
      <c r="E890" s="176">
        <v>18191</v>
      </c>
      <c r="F890" s="3"/>
      <c r="G890" s="3"/>
    </row>
    <row r="891" ht="17.6" spans="4:7">
      <c r="D891" s="175">
        <v>44923</v>
      </c>
      <c r="E891" s="176">
        <v>18122.5</v>
      </c>
      <c r="F891" s="3"/>
      <c r="G891" s="3"/>
    </row>
    <row r="892" ht="17.6" spans="4:7">
      <c r="D892" s="175">
        <v>44922</v>
      </c>
      <c r="E892" s="176">
        <v>18132.3</v>
      </c>
      <c r="F892" s="3"/>
      <c r="G892" s="3"/>
    </row>
    <row r="893" ht="17.6" spans="4:7">
      <c r="D893" s="175">
        <v>44921</v>
      </c>
      <c r="E893" s="176">
        <v>18014.6</v>
      </c>
      <c r="F893" s="3"/>
      <c r="G893" s="3"/>
    </row>
    <row r="894" ht="17.6" spans="4:7">
      <c r="D894" s="175">
        <v>44918</v>
      </c>
      <c r="E894" s="176">
        <v>17806.8</v>
      </c>
      <c r="F894" s="3"/>
      <c r="G894" s="3"/>
    </row>
    <row r="895" ht="17.6" spans="4:7">
      <c r="D895" s="175">
        <v>44917</v>
      </c>
      <c r="E895" s="176">
        <v>18127.35</v>
      </c>
      <c r="F895" s="3"/>
      <c r="G895" s="3"/>
    </row>
    <row r="896" ht="17.6" spans="4:7">
      <c r="D896" s="175">
        <v>44916</v>
      </c>
      <c r="E896" s="176">
        <v>18199.1</v>
      </c>
      <c r="F896" s="3"/>
      <c r="G896" s="3"/>
    </row>
    <row r="897" ht="17.6" spans="4:7">
      <c r="D897" s="175">
        <v>44915</v>
      </c>
      <c r="E897" s="176">
        <v>18385.3</v>
      </c>
      <c r="F897" s="3"/>
      <c r="G897" s="3"/>
    </row>
    <row r="898" ht="17.6" spans="4:7">
      <c r="D898" s="175">
        <v>44914</v>
      </c>
      <c r="E898" s="176">
        <v>18420.45</v>
      </c>
      <c r="F898" s="3"/>
      <c r="G898" s="3"/>
    </row>
    <row r="899" ht="17.6" spans="4:7">
      <c r="D899" s="175">
        <v>44911</v>
      </c>
      <c r="E899" s="176">
        <v>18269</v>
      </c>
      <c r="F899" s="3"/>
      <c r="G899" s="3"/>
    </row>
    <row r="900" ht="17.6" spans="4:7">
      <c r="D900" s="175">
        <v>44910</v>
      </c>
      <c r="E900" s="176">
        <v>18414.9</v>
      </c>
      <c r="F900" s="3"/>
      <c r="G900" s="3"/>
    </row>
    <row r="901" ht="17.6" spans="4:7">
      <c r="D901" s="175">
        <v>44909</v>
      </c>
      <c r="E901" s="176">
        <v>18660.3</v>
      </c>
      <c r="F901" s="3"/>
      <c r="G901" s="3"/>
    </row>
    <row r="902" ht="17.6" spans="4:7">
      <c r="D902" s="175">
        <v>44908</v>
      </c>
      <c r="E902" s="176">
        <v>18608</v>
      </c>
      <c r="F902" s="3"/>
      <c r="G902" s="3"/>
    </row>
    <row r="903" ht="17.6" spans="4:7">
      <c r="D903" s="175">
        <v>44907</v>
      </c>
      <c r="E903" s="176">
        <v>18497.15</v>
      </c>
      <c r="F903" s="3"/>
      <c r="G903" s="3"/>
    </row>
    <row r="904" ht="17.6" spans="4:7">
      <c r="D904" s="175">
        <v>44904</v>
      </c>
      <c r="E904" s="176">
        <v>18496.6</v>
      </c>
      <c r="F904" s="3"/>
      <c r="G904" s="3"/>
    </row>
    <row r="905" ht="17.6" spans="4:7">
      <c r="D905" s="175">
        <v>44903</v>
      </c>
      <c r="E905" s="176">
        <v>18609.35</v>
      </c>
      <c r="F905" s="3"/>
      <c r="G905" s="3"/>
    </row>
    <row r="906" ht="17.6" spans="4:7">
      <c r="D906" s="175">
        <v>44902</v>
      </c>
      <c r="E906" s="176">
        <v>18560.5</v>
      </c>
      <c r="F906" s="3"/>
      <c r="G906" s="3"/>
    </row>
    <row r="907" ht="17.6" spans="4:7">
      <c r="D907" s="175">
        <v>44901</v>
      </c>
      <c r="E907" s="176">
        <v>18642.75</v>
      </c>
      <c r="F907" s="3"/>
      <c r="G907" s="3"/>
    </row>
    <row r="908" ht="17.6" spans="4:7">
      <c r="D908" s="175">
        <v>44900</v>
      </c>
      <c r="E908" s="176">
        <v>18701.05</v>
      </c>
      <c r="F908" s="3"/>
      <c r="G908" s="3"/>
    </row>
    <row r="909" ht="17.6" spans="4:7">
      <c r="D909" s="175">
        <v>44897</v>
      </c>
      <c r="E909" s="176">
        <v>18696.1</v>
      </c>
      <c r="F909" s="3"/>
      <c r="G909" s="3"/>
    </row>
    <row r="910" ht="17.6" spans="4:7">
      <c r="D910" s="175">
        <v>44896</v>
      </c>
      <c r="E910" s="176">
        <v>18812.5</v>
      </c>
      <c r="F910" s="3"/>
      <c r="G910" s="3"/>
    </row>
    <row r="911" ht="17.6" spans="4:7">
      <c r="D911" s="175">
        <v>44895</v>
      </c>
      <c r="E911" s="176">
        <v>18758.35</v>
      </c>
      <c r="F911" s="3"/>
      <c r="G911" s="3"/>
    </row>
    <row r="912" ht="17.6" spans="4:7">
      <c r="D912" s="175">
        <v>44894</v>
      </c>
      <c r="E912" s="176">
        <v>18618.05</v>
      </c>
      <c r="F912" s="3"/>
      <c r="G912" s="3"/>
    </row>
    <row r="913" ht="17.6" spans="4:7">
      <c r="D913" s="175">
        <v>44893</v>
      </c>
      <c r="E913" s="176">
        <v>18562.75</v>
      </c>
      <c r="F913" s="3"/>
      <c r="G913" s="3"/>
    </row>
    <row r="914" ht="17.6" spans="4:7">
      <c r="D914" s="175">
        <v>44890</v>
      </c>
      <c r="E914" s="176">
        <v>18512.75</v>
      </c>
      <c r="F914" s="3"/>
      <c r="G914" s="3"/>
    </row>
    <row r="915" ht="17.6" spans="4:7">
      <c r="D915" s="175">
        <v>44889</v>
      </c>
      <c r="E915" s="176">
        <v>18484.1</v>
      </c>
      <c r="F915" s="3"/>
      <c r="G915" s="3"/>
    </row>
    <row r="916" ht="17.6" spans="4:7">
      <c r="D916" s="175">
        <v>44888</v>
      </c>
      <c r="E916" s="176">
        <v>18267.25</v>
      </c>
      <c r="F916" s="3"/>
      <c r="G916" s="3"/>
    </row>
    <row r="917" ht="17.6" spans="4:7">
      <c r="D917" s="175">
        <v>44887</v>
      </c>
      <c r="E917" s="176">
        <v>18244.2</v>
      </c>
      <c r="F917" s="3"/>
      <c r="G917" s="3"/>
    </row>
    <row r="918" ht="17.6" spans="4:7">
      <c r="D918" s="175">
        <v>44886</v>
      </c>
      <c r="E918" s="176">
        <v>18159.95</v>
      </c>
      <c r="F918" s="3"/>
      <c r="G918" s="3"/>
    </row>
    <row r="919" ht="17.6" spans="4:7">
      <c r="D919" s="175">
        <v>44883</v>
      </c>
      <c r="E919" s="176">
        <v>18307.65</v>
      </c>
      <c r="F919" s="3"/>
      <c r="G919" s="3"/>
    </row>
    <row r="920" ht="17.6" spans="4:7">
      <c r="D920" s="175">
        <v>44882</v>
      </c>
      <c r="E920" s="176">
        <v>18343.9</v>
      </c>
      <c r="F920" s="3"/>
      <c r="G920" s="3"/>
    </row>
    <row r="921" ht="17.6" spans="4:7">
      <c r="D921" s="175">
        <v>44881</v>
      </c>
      <c r="E921" s="176">
        <v>18409.65</v>
      </c>
      <c r="F921" s="3"/>
      <c r="G921" s="3"/>
    </row>
    <row r="922" ht="17.6" spans="4:7">
      <c r="D922" s="175">
        <v>44880</v>
      </c>
      <c r="E922" s="176">
        <v>18403.4</v>
      </c>
      <c r="F922" s="3"/>
      <c r="G922" s="3"/>
    </row>
    <row r="923" ht="17.6" spans="4:7">
      <c r="D923" s="175">
        <v>44879</v>
      </c>
      <c r="E923" s="176">
        <v>18329.15</v>
      </c>
      <c r="F923" s="3"/>
      <c r="G923" s="3"/>
    </row>
    <row r="924" ht="17.6" spans="4:7">
      <c r="D924" s="175">
        <v>44876</v>
      </c>
      <c r="E924" s="176">
        <v>18349.7</v>
      </c>
      <c r="F924" s="3"/>
      <c r="G924" s="3"/>
    </row>
    <row r="925" ht="17.6" spans="4:7">
      <c r="D925" s="175">
        <v>44875</v>
      </c>
      <c r="E925" s="176">
        <v>18028.2</v>
      </c>
      <c r="F925" s="3"/>
      <c r="G925" s="3"/>
    </row>
    <row r="926" ht="17.6" spans="4:7">
      <c r="D926" s="175">
        <v>44874</v>
      </c>
      <c r="E926" s="176">
        <v>18157</v>
      </c>
      <c r="F926" s="3"/>
      <c r="G926" s="3"/>
    </row>
    <row r="927" ht="17.6" spans="4:7">
      <c r="D927" s="175">
        <v>44872</v>
      </c>
      <c r="E927" s="176">
        <v>18202.8</v>
      </c>
      <c r="F927" s="3"/>
      <c r="G927" s="3"/>
    </row>
    <row r="928" ht="17.6" spans="4:7">
      <c r="D928" s="175">
        <v>44869</v>
      </c>
      <c r="E928" s="176">
        <v>18117.15</v>
      </c>
      <c r="F928" s="3"/>
      <c r="G928" s="3"/>
    </row>
    <row r="929" ht="17.6" spans="4:7">
      <c r="D929" s="175">
        <v>44868</v>
      </c>
      <c r="E929" s="176">
        <v>18052.7</v>
      </c>
      <c r="F929" s="3"/>
      <c r="G929" s="3"/>
    </row>
    <row r="930" ht="17.6" spans="4:7">
      <c r="D930" s="175">
        <v>44867</v>
      </c>
      <c r="E930" s="176">
        <v>18082.85</v>
      </c>
      <c r="F930" s="3"/>
      <c r="G930" s="3"/>
    </row>
    <row r="931" ht="17.6" spans="4:7">
      <c r="D931" s="175">
        <v>44866</v>
      </c>
      <c r="E931" s="176">
        <v>18145.4</v>
      </c>
      <c r="F931" s="3"/>
      <c r="G931" s="3"/>
    </row>
    <row r="932" ht="17.6" spans="4:7">
      <c r="D932" s="175">
        <v>44865</v>
      </c>
      <c r="E932" s="176">
        <v>18012.2</v>
      </c>
      <c r="F932" s="3"/>
      <c r="G932" s="3"/>
    </row>
    <row r="933" ht="17.6" spans="4:7">
      <c r="D933" s="175">
        <v>44862</v>
      </c>
      <c r="E933" s="176">
        <v>17786.8</v>
      </c>
      <c r="F933" s="3"/>
      <c r="G933" s="3"/>
    </row>
    <row r="934" ht="17.6" spans="4:7">
      <c r="D934" s="175">
        <v>44861</v>
      </c>
      <c r="E934" s="176">
        <v>17736.95</v>
      </c>
      <c r="F934" s="3"/>
      <c r="G934" s="3"/>
    </row>
    <row r="935" ht="17.6" spans="4:7">
      <c r="D935" s="175">
        <v>44859</v>
      </c>
      <c r="E935" s="176">
        <v>17656.35</v>
      </c>
      <c r="F935" s="3"/>
      <c r="G935" s="3"/>
    </row>
    <row r="936" ht="17.6" spans="4:7">
      <c r="D936" s="175">
        <v>44858</v>
      </c>
      <c r="E936" s="176">
        <v>17730.75</v>
      </c>
      <c r="F936" s="3"/>
      <c r="G936" s="3"/>
    </row>
    <row r="937" ht="17.6" spans="4:7">
      <c r="D937" s="175">
        <v>44855</v>
      </c>
      <c r="E937" s="176">
        <v>17576.3</v>
      </c>
      <c r="F937" s="3"/>
      <c r="G937" s="3"/>
    </row>
    <row r="938" ht="17.6" spans="4:7">
      <c r="D938" s="175">
        <v>44854</v>
      </c>
      <c r="E938" s="176">
        <v>17563.95</v>
      </c>
      <c r="F938" s="3"/>
      <c r="G938" s="3"/>
    </row>
    <row r="939" ht="17.6" spans="4:7">
      <c r="D939" s="175">
        <v>44853</v>
      </c>
      <c r="E939" s="176">
        <v>17512.25</v>
      </c>
      <c r="F939" s="3"/>
      <c r="G939" s="3"/>
    </row>
    <row r="940" ht="17.6" spans="4:7">
      <c r="D940" s="175">
        <v>44852</v>
      </c>
      <c r="E940" s="176">
        <v>17486.95</v>
      </c>
      <c r="F940" s="3"/>
      <c r="G940" s="3"/>
    </row>
    <row r="941" ht="17.6" spans="4:7">
      <c r="D941" s="175">
        <v>44851</v>
      </c>
      <c r="E941" s="176">
        <v>17311.8</v>
      </c>
      <c r="F941" s="3"/>
      <c r="G941" s="3"/>
    </row>
    <row r="942" ht="17.6" spans="4:7">
      <c r="D942" s="175">
        <v>44848</v>
      </c>
      <c r="E942" s="176">
        <v>17185.7</v>
      </c>
      <c r="F942" s="3"/>
      <c r="G942" s="3"/>
    </row>
    <row r="943" ht="17.6" spans="4:7">
      <c r="D943" s="175">
        <v>44847</v>
      </c>
      <c r="E943" s="176">
        <v>17014.35</v>
      </c>
      <c r="F943" s="3"/>
      <c r="G943" s="3"/>
    </row>
    <row r="944" ht="17.6" spans="4:7">
      <c r="D944" s="175">
        <v>44846</v>
      </c>
      <c r="E944" s="176">
        <v>17123.6</v>
      </c>
      <c r="F944" s="3"/>
      <c r="G944" s="3"/>
    </row>
    <row r="945" ht="17.6" spans="4:7">
      <c r="D945" s="175">
        <v>44845</v>
      </c>
      <c r="E945" s="176">
        <v>16983.55</v>
      </c>
      <c r="F945" s="3"/>
      <c r="G945" s="3"/>
    </row>
    <row r="946" ht="17.6" spans="4:7">
      <c r="D946" s="175">
        <v>44844</v>
      </c>
      <c r="E946" s="176">
        <v>17241</v>
      </c>
      <c r="F946" s="3"/>
      <c r="G946" s="3"/>
    </row>
    <row r="947" ht="17.6" spans="4:7">
      <c r="D947" s="175">
        <v>44841</v>
      </c>
      <c r="E947" s="176">
        <v>17314.65</v>
      </c>
      <c r="F947" s="3"/>
      <c r="G947" s="3"/>
    </row>
    <row r="948" ht="17.6" spans="4:7">
      <c r="D948" s="175">
        <v>44840</v>
      </c>
      <c r="E948" s="176">
        <v>17331.8</v>
      </c>
      <c r="F948" s="3"/>
      <c r="G948" s="3"/>
    </row>
    <row r="949" ht="17.6" spans="4:7">
      <c r="D949" s="175">
        <v>44838</v>
      </c>
      <c r="E949" s="176">
        <v>17274.3</v>
      </c>
      <c r="F949" s="3"/>
      <c r="G949" s="3"/>
    </row>
    <row r="950" ht="17.6" spans="4:7">
      <c r="D950" s="175">
        <v>44837</v>
      </c>
      <c r="E950" s="176">
        <v>16887.35</v>
      </c>
      <c r="F950" s="3"/>
      <c r="G950" s="3"/>
    </row>
    <row r="951" ht="17.6" spans="4:7">
      <c r="D951" s="175">
        <v>44834</v>
      </c>
      <c r="E951" s="176">
        <v>17094.35</v>
      </c>
      <c r="F951" s="3"/>
      <c r="G951" s="3"/>
    </row>
    <row r="952" ht="17.6" spans="4:7">
      <c r="D952" s="175">
        <v>44833</v>
      </c>
      <c r="E952" s="176">
        <v>16818.1</v>
      </c>
      <c r="F952" s="3"/>
      <c r="G952" s="3"/>
    </row>
    <row r="953" ht="17.6" spans="4:7">
      <c r="D953" s="175">
        <v>44832</v>
      </c>
      <c r="E953" s="176">
        <v>16858.6</v>
      </c>
      <c r="F953" s="3"/>
      <c r="G953" s="3"/>
    </row>
    <row r="954" ht="17.6" spans="4:7">
      <c r="D954" s="175">
        <v>44831</v>
      </c>
      <c r="E954" s="176">
        <v>17007.4</v>
      </c>
      <c r="F954" s="3"/>
      <c r="G954" s="3"/>
    </row>
    <row r="955" ht="17.6" spans="4:7">
      <c r="D955" s="175">
        <v>44830</v>
      </c>
      <c r="E955" s="176">
        <v>17016.3</v>
      </c>
      <c r="F955" s="3"/>
      <c r="G955" s="3"/>
    </row>
    <row r="956" ht="17.6" spans="4:7">
      <c r="D956" s="175">
        <v>44827</v>
      </c>
      <c r="E956" s="176">
        <v>17327.35</v>
      </c>
      <c r="F956" s="3"/>
      <c r="G956" s="3"/>
    </row>
    <row r="957" ht="17.6" spans="4:7">
      <c r="D957" s="175">
        <v>44826</v>
      </c>
      <c r="E957" s="176">
        <v>17629.8</v>
      </c>
      <c r="F957" s="3"/>
      <c r="G957" s="3"/>
    </row>
    <row r="958" ht="17.6" spans="4:7">
      <c r="D958" s="175">
        <v>44825</v>
      </c>
      <c r="E958" s="176">
        <v>17718.35</v>
      </c>
      <c r="F958" s="3"/>
      <c r="G958" s="3"/>
    </row>
    <row r="959" ht="17.6" spans="4:7">
      <c r="D959" s="175">
        <v>44824</v>
      </c>
      <c r="E959" s="176">
        <v>17816.25</v>
      </c>
      <c r="F959" s="3"/>
      <c r="G959" s="3"/>
    </row>
    <row r="960" ht="17.6" spans="4:7">
      <c r="D960" s="175">
        <v>44823</v>
      </c>
      <c r="E960" s="176">
        <v>17622.25</v>
      </c>
      <c r="F960" s="3"/>
      <c r="G960" s="3"/>
    </row>
    <row r="961" ht="17.6" spans="4:7">
      <c r="D961" s="175">
        <v>44820</v>
      </c>
      <c r="E961" s="176">
        <v>17530.85</v>
      </c>
      <c r="F961" s="3"/>
      <c r="G961" s="3"/>
    </row>
    <row r="962" ht="17.6" spans="4:7">
      <c r="D962" s="175">
        <v>44819</v>
      </c>
      <c r="E962" s="176">
        <v>17877.4</v>
      </c>
      <c r="F962" s="3"/>
      <c r="G962" s="3"/>
    </row>
    <row r="963" ht="17.6" spans="4:7">
      <c r="D963" s="175">
        <v>44818</v>
      </c>
      <c r="E963" s="176">
        <v>18003.75</v>
      </c>
      <c r="F963" s="3"/>
      <c r="G963" s="3"/>
    </row>
    <row r="964" ht="17.6" spans="4:7">
      <c r="D964" s="175">
        <v>44817</v>
      </c>
      <c r="E964" s="176">
        <v>18070.05</v>
      </c>
      <c r="F964" s="3"/>
      <c r="G964" s="3"/>
    </row>
    <row r="965" ht="17.6" spans="4:7">
      <c r="D965" s="175">
        <v>44816</v>
      </c>
      <c r="E965" s="176">
        <v>17936.35</v>
      </c>
      <c r="F965" s="3"/>
      <c r="G965" s="3"/>
    </row>
    <row r="966" ht="17.6" spans="4:7">
      <c r="D966" s="175">
        <v>44813</v>
      </c>
      <c r="E966" s="176">
        <v>17833.35</v>
      </c>
      <c r="F966" s="3"/>
      <c r="G966" s="3"/>
    </row>
    <row r="967" ht="17.6" spans="4:7">
      <c r="D967" s="175">
        <v>44812</v>
      </c>
      <c r="E967" s="176">
        <v>17798.75</v>
      </c>
      <c r="F967" s="3"/>
      <c r="G967" s="3"/>
    </row>
    <row r="968" ht="17.6" spans="4:7">
      <c r="D968" s="175">
        <v>44811</v>
      </c>
      <c r="E968" s="176">
        <v>17624.4</v>
      </c>
      <c r="F968" s="3"/>
      <c r="G968" s="3"/>
    </row>
    <row r="969" ht="17.6" spans="4:7">
      <c r="D969" s="175">
        <v>44810</v>
      </c>
      <c r="E969" s="176">
        <v>17655.6</v>
      </c>
      <c r="F969" s="3"/>
      <c r="G969" s="3"/>
    </row>
    <row r="970" ht="17.6" spans="4:7">
      <c r="D970" s="175">
        <v>44809</v>
      </c>
      <c r="E970" s="176">
        <v>17665.8</v>
      </c>
      <c r="F970" s="3"/>
      <c r="G970" s="3"/>
    </row>
    <row r="971" ht="17.6" spans="4:7">
      <c r="D971" s="175">
        <v>44806</v>
      </c>
      <c r="E971" s="176">
        <v>17539.45</v>
      </c>
      <c r="F971" s="3"/>
      <c r="G971" s="3"/>
    </row>
    <row r="972" ht="17.6" spans="4:7">
      <c r="D972" s="175">
        <v>44805</v>
      </c>
      <c r="E972" s="176">
        <v>17542.8</v>
      </c>
      <c r="F972" s="3"/>
      <c r="G972" s="3"/>
    </row>
    <row r="973" ht="17.6" spans="4:7">
      <c r="D973" s="175">
        <v>44803</v>
      </c>
      <c r="E973" s="176">
        <v>17759.3</v>
      </c>
      <c r="F973" s="3"/>
      <c r="G973" s="3"/>
    </row>
    <row r="974" ht="17.6" spans="4:7">
      <c r="D974" s="175">
        <v>44802</v>
      </c>
      <c r="E974" s="176">
        <v>17312.9</v>
      </c>
      <c r="F974" s="3"/>
      <c r="G974" s="3"/>
    </row>
    <row r="975" ht="17.6" spans="4:7">
      <c r="D975" s="175">
        <v>44799</v>
      </c>
      <c r="E975" s="176">
        <v>17558.9</v>
      </c>
      <c r="F975" s="3"/>
      <c r="G975" s="3"/>
    </row>
    <row r="976" ht="17.6" spans="4:7">
      <c r="D976" s="175">
        <v>44798</v>
      </c>
      <c r="E976" s="176">
        <v>17522.45</v>
      </c>
      <c r="F976" s="3"/>
      <c r="G976" s="3"/>
    </row>
    <row r="977" ht="17.6" spans="4:7">
      <c r="D977" s="175">
        <v>44797</v>
      </c>
      <c r="E977" s="176">
        <v>17604.95</v>
      </c>
      <c r="F977" s="3"/>
      <c r="G977" s="3"/>
    </row>
    <row r="978" ht="17.6" spans="4:7">
      <c r="D978" s="175">
        <v>44796</v>
      </c>
      <c r="E978" s="176">
        <v>17577.5</v>
      </c>
      <c r="F978" s="3"/>
      <c r="G978" s="3"/>
    </row>
    <row r="979" ht="17.6" spans="4:7">
      <c r="D979" s="175">
        <v>44795</v>
      </c>
      <c r="E979" s="176">
        <v>17490.7</v>
      </c>
      <c r="F979" s="3"/>
      <c r="G979" s="3"/>
    </row>
    <row r="980" ht="17.6" spans="4:7">
      <c r="D980" s="175">
        <v>44792</v>
      </c>
      <c r="E980" s="176">
        <v>17758.45</v>
      </c>
      <c r="F980" s="3"/>
      <c r="G980" s="3"/>
    </row>
    <row r="981" ht="17.6" spans="4:7">
      <c r="D981" s="175">
        <v>44791</v>
      </c>
      <c r="E981" s="176">
        <v>17956.5</v>
      </c>
      <c r="F981" s="3"/>
      <c r="G981" s="3"/>
    </row>
    <row r="982" ht="17.6" spans="4:7">
      <c r="D982" s="175">
        <v>44790</v>
      </c>
      <c r="E982" s="176">
        <v>17944.25</v>
      </c>
      <c r="F982" s="3"/>
      <c r="G982" s="3"/>
    </row>
    <row r="983" ht="17.6" spans="4:7">
      <c r="D983" s="175">
        <v>44789</v>
      </c>
      <c r="E983" s="176">
        <v>17825.25</v>
      </c>
      <c r="F983" s="3"/>
      <c r="G983" s="3"/>
    </row>
    <row r="984" ht="17.6" spans="4:7">
      <c r="D984" s="175">
        <v>44785</v>
      </c>
      <c r="E984" s="176">
        <v>17698.15</v>
      </c>
      <c r="F984" s="3"/>
      <c r="G984" s="3"/>
    </row>
    <row r="985" ht="17.6" spans="4:7">
      <c r="D985" s="175">
        <v>44784</v>
      </c>
      <c r="E985" s="176">
        <v>17659</v>
      </c>
      <c r="F985" s="3"/>
      <c r="G985" s="3"/>
    </row>
    <row r="986" ht="17.6" spans="4:7">
      <c r="D986" s="175">
        <v>44783</v>
      </c>
      <c r="E986" s="176">
        <v>17534.75</v>
      </c>
      <c r="F986" s="3"/>
      <c r="G986" s="3"/>
    </row>
    <row r="987" ht="17.6" spans="4:7">
      <c r="D987" s="175">
        <v>44781</v>
      </c>
      <c r="E987" s="176">
        <v>17525.1</v>
      </c>
      <c r="F987" s="3"/>
      <c r="G987" s="3"/>
    </row>
    <row r="988" ht="17.6" spans="4:7">
      <c r="D988" s="175">
        <v>44778</v>
      </c>
      <c r="E988" s="176">
        <v>17397.5</v>
      </c>
      <c r="F988" s="3"/>
      <c r="G988" s="3"/>
    </row>
    <row r="989" ht="17.6" spans="4:7">
      <c r="D989" s="175">
        <v>44777</v>
      </c>
      <c r="E989" s="176">
        <v>17382</v>
      </c>
      <c r="F989" s="3"/>
      <c r="G989" s="3"/>
    </row>
    <row r="990" ht="17.6" spans="4:7">
      <c r="D990" s="175">
        <v>44776</v>
      </c>
      <c r="E990" s="176">
        <v>17388.15</v>
      </c>
      <c r="F990" s="3"/>
      <c r="G990" s="3"/>
    </row>
    <row r="991" ht="17.6" spans="4:7">
      <c r="D991" s="175">
        <v>44775</v>
      </c>
      <c r="E991" s="176">
        <v>17345.45</v>
      </c>
      <c r="F991" s="3"/>
      <c r="G991" s="3"/>
    </row>
    <row r="992" ht="17.6" spans="4:7">
      <c r="D992" s="175">
        <v>44774</v>
      </c>
      <c r="E992" s="176">
        <v>17340.05</v>
      </c>
      <c r="F992" s="3"/>
      <c r="G992" s="3"/>
    </row>
    <row r="993" ht="17.6" spans="4:7">
      <c r="D993" s="175">
        <v>44771</v>
      </c>
      <c r="E993" s="176">
        <v>17158.25</v>
      </c>
      <c r="F993" s="3"/>
      <c r="G993" s="3"/>
    </row>
    <row r="994" ht="17.6" spans="4:7">
      <c r="D994" s="175">
        <v>44770</v>
      </c>
      <c r="E994" s="176">
        <v>16929.6</v>
      </c>
      <c r="F994" s="3"/>
      <c r="G994" s="3"/>
    </row>
    <row r="995" ht="17.6" spans="4:7">
      <c r="D995" s="175">
        <v>44769</v>
      </c>
      <c r="E995" s="176">
        <v>16641.8</v>
      </c>
      <c r="F995" s="3"/>
      <c r="G995" s="3"/>
    </row>
    <row r="996" ht="17.6" spans="4:7">
      <c r="D996" s="175">
        <v>44768</v>
      </c>
      <c r="E996" s="176">
        <v>16483.85</v>
      </c>
      <c r="F996" s="3"/>
      <c r="G996" s="3"/>
    </row>
    <row r="997" ht="17.6" spans="4:7">
      <c r="D997" s="175">
        <v>44767</v>
      </c>
      <c r="E997" s="176">
        <v>16631</v>
      </c>
      <c r="F997" s="3"/>
      <c r="G997" s="3"/>
    </row>
    <row r="998" ht="17.6" spans="4:7">
      <c r="D998" s="175">
        <v>44764</v>
      </c>
      <c r="E998" s="176">
        <v>16719.45</v>
      </c>
      <c r="F998" s="3"/>
      <c r="G998" s="3"/>
    </row>
    <row r="999" ht="17.6" spans="4:7">
      <c r="D999" s="175">
        <v>44763</v>
      </c>
      <c r="E999" s="176">
        <v>16605.25</v>
      </c>
      <c r="F999" s="3"/>
      <c r="G999" s="3"/>
    </row>
    <row r="1000" ht="17.6" spans="4:7">
      <c r="D1000" s="175">
        <v>44762</v>
      </c>
      <c r="E1000" s="176">
        <v>16520.85</v>
      </c>
      <c r="F1000" s="3"/>
      <c r="G1000" s="3"/>
    </row>
    <row r="1001" ht="17.6" spans="4:7">
      <c r="D1001" s="175">
        <v>44761</v>
      </c>
      <c r="E1001" s="176">
        <v>16340.55</v>
      </c>
      <c r="F1001" s="3"/>
      <c r="G1001" s="3"/>
    </row>
    <row r="1002" ht="17.6" spans="4:7">
      <c r="D1002" s="175">
        <v>44760</v>
      </c>
      <c r="E1002" s="176">
        <v>16278.5</v>
      </c>
      <c r="F1002" s="3"/>
      <c r="G1002" s="3"/>
    </row>
    <row r="1003" ht="17.6" spans="4:7">
      <c r="D1003" s="175">
        <v>44757</v>
      </c>
      <c r="E1003" s="176">
        <v>16049.2</v>
      </c>
      <c r="F1003" s="3"/>
      <c r="G1003" s="3"/>
    </row>
    <row r="1004" ht="17.6" spans="4:7">
      <c r="D1004" s="175">
        <v>44756</v>
      </c>
      <c r="E1004" s="176">
        <v>15938.65</v>
      </c>
      <c r="F1004" s="3"/>
      <c r="G1004" s="3"/>
    </row>
    <row r="1005" ht="17.6" spans="4:7">
      <c r="D1005" s="175">
        <v>44755</v>
      </c>
      <c r="E1005" s="176">
        <v>15966.65</v>
      </c>
      <c r="F1005" s="3"/>
      <c r="G1005" s="3"/>
    </row>
    <row r="1006" ht="17.6" spans="4:7">
      <c r="D1006" s="175">
        <v>44754</v>
      </c>
      <c r="E1006" s="176">
        <v>16058.3</v>
      </c>
      <c r="F1006" s="3"/>
      <c r="G1006" s="3"/>
    </row>
    <row r="1007" ht="17.6" spans="4:7">
      <c r="D1007" s="175">
        <v>44753</v>
      </c>
      <c r="E1007" s="176">
        <v>16216</v>
      </c>
      <c r="F1007" s="3"/>
      <c r="G1007" s="3"/>
    </row>
    <row r="1008" ht="17.6" spans="4:7">
      <c r="D1008" s="175">
        <v>44750</v>
      </c>
      <c r="E1008" s="176">
        <v>16220.6</v>
      </c>
      <c r="F1008" s="3"/>
      <c r="G1008" s="3"/>
    </row>
    <row r="1009" ht="17.6" spans="4:7">
      <c r="D1009" s="175">
        <v>44749</v>
      </c>
      <c r="E1009" s="176">
        <v>16132.9</v>
      </c>
      <c r="F1009" s="3"/>
      <c r="G1009" s="3"/>
    </row>
    <row r="1010" ht="17.6" spans="4:7">
      <c r="D1010" s="175">
        <v>44748</v>
      </c>
      <c r="E1010" s="176">
        <v>15989.8</v>
      </c>
      <c r="F1010" s="3"/>
      <c r="G1010" s="3"/>
    </row>
    <row r="1011" ht="17.6" spans="4:7">
      <c r="D1011" s="175">
        <v>44747</v>
      </c>
      <c r="E1011" s="176">
        <v>15810.85</v>
      </c>
      <c r="F1011" s="3"/>
      <c r="G1011" s="3"/>
    </row>
    <row r="1012" ht="17.6" spans="4:7">
      <c r="D1012" s="175">
        <v>44746</v>
      </c>
      <c r="E1012" s="176">
        <v>15835.35</v>
      </c>
      <c r="F1012" s="3"/>
      <c r="G1012" s="3"/>
    </row>
    <row r="1013" ht="17.6" spans="4:7">
      <c r="D1013" s="175">
        <v>44743</v>
      </c>
      <c r="E1013" s="176">
        <v>15752.05</v>
      </c>
      <c r="F1013" s="3"/>
      <c r="G1013" s="3"/>
    </row>
    <row r="1014" ht="17.6" spans="4:7">
      <c r="D1014" s="175">
        <v>44742</v>
      </c>
      <c r="E1014" s="176">
        <v>15780.25</v>
      </c>
      <c r="F1014" s="3"/>
      <c r="G1014" s="3"/>
    </row>
    <row r="1015" ht="17.6" spans="4:7">
      <c r="D1015" s="175">
        <v>44741</v>
      </c>
      <c r="E1015" s="176">
        <v>15799.1</v>
      </c>
      <c r="F1015" s="3"/>
      <c r="G1015" s="3"/>
    </row>
    <row r="1016" ht="17.6" spans="4:7">
      <c r="D1016" s="175">
        <v>44740</v>
      </c>
      <c r="E1016" s="176">
        <v>15850.2</v>
      </c>
      <c r="F1016" s="3"/>
      <c r="G1016" s="3"/>
    </row>
    <row r="1017" ht="17.6" spans="4:7">
      <c r="D1017" s="175">
        <v>44739</v>
      </c>
      <c r="E1017" s="176">
        <v>15832.05</v>
      </c>
      <c r="F1017" s="3"/>
      <c r="G1017" s="3"/>
    </row>
    <row r="1018" ht="17.6" spans="4:7">
      <c r="D1018" s="175">
        <v>44736</v>
      </c>
      <c r="E1018" s="176">
        <v>15699.25</v>
      </c>
      <c r="F1018" s="3"/>
      <c r="G1018" s="3"/>
    </row>
    <row r="1019" ht="17.6" spans="4:7">
      <c r="D1019" s="175">
        <v>44735</v>
      </c>
      <c r="E1019" s="176">
        <v>15556.65</v>
      </c>
      <c r="F1019" s="3"/>
      <c r="G1019" s="3"/>
    </row>
    <row r="1020" ht="17.6" spans="4:7">
      <c r="D1020" s="175">
        <v>44734</v>
      </c>
      <c r="E1020" s="176">
        <v>15413.3</v>
      </c>
      <c r="F1020" s="3"/>
      <c r="G1020" s="3"/>
    </row>
    <row r="1021" ht="17.6" spans="4:7">
      <c r="D1021" s="175">
        <v>44733</v>
      </c>
      <c r="E1021" s="176">
        <v>15638.8</v>
      </c>
      <c r="F1021" s="3"/>
      <c r="G1021" s="3"/>
    </row>
    <row r="1022" ht="17.6" spans="4:7">
      <c r="D1022" s="175">
        <v>44732</v>
      </c>
      <c r="E1022" s="176">
        <v>15350.15</v>
      </c>
      <c r="F1022" s="3"/>
      <c r="G1022" s="3"/>
    </row>
    <row r="1023" ht="17.6" spans="4:7">
      <c r="D1023" s="175">
        <v>44729</v>
      </c>
      <c r="E1023" s="176">
        <v>15293.5</v>
      </c>
      <c r="F1023" s="3"/>
      <c r="G1023" s="3"/>
    </row>
    <row r="1024" ht="17.6" spans="4:7">
      <c r="D1024" s="175">
        <v>44728</v>
      </c>
      <c r="E1024" s="176">
        <v>15360.6</v>
      </c>
      <c r="F1024" s="3"/>
      <c r="G1024" s="3"/>
    </row>
    <row r="1025" ht="17.6" spans="4:7">
      <c r="D1025" s="175">
        <v>44727</v>
      </c>
      <c r="E1025" s="176">
        <v>15692.15</v>
      </c>
      <c r="F1025" s="3"/>
      <c r="G1025" s="3"/>
    </row>
    <row r="1026" ht="17.6" spans="4:7">
      <c r="D1026" s="175">
        <v>44726</v>
      </c>
      <c r="E1026" s="176">
        <v>15732.1</v>
      </c>
      <c r="F1026" s="3"/>
      <c r="G1026" s="3"/>
    </row>
    <row r="1027" ht="17.6" spans="4:7">
      <c r="D1027" s="175">
        <v>44725</v>
      </c>
      <c r="E1027" s="176">
        <v>15774.4</v>
      </c>
      <c r="F1027" s="3"/>
      <c r="G1027" s="3"/>
    </row>
    <row r="1028" ht="17.6" spans="4:7">
      <c r="D1028" s="175">
        <v>44722</v>
      </c>
      <c r="E1028" s="176">
        <v>16201.8</v>
      </c>
      <c r="F1028" s="3"/>
      <c r="G1028" s="3"/>
    </row>
    <row r="1029" ht="17.6" spans="4:7">
      <c r="D1029" s="175">
        <v>44721</v>
      </c>
      <c r="E1029" s="176">
        <v>16478.1</v>
      </c>
      <c r="F1029" s="3"/>
      <c r="G1029" s="3"/>
    </row>
    <row r="1030" ht="17.6" spans="4:7">
      <c r="D1030" s="175">
        <v>44720</v>
      </c>
      <c r="E1030" s="176">
        <v>16356.25</v>
      </c>
      <c r="F1030" s="3"/>
      <c r="G1030" s="3"/>
    </row>
    <row r="1031" ht="17.6" spans="4:7">
      <c r="D1031" s="175">
        <v>44719</v>
      </c>
      <c r="E1031" s="176">
        <v>16416.35</v>
      </c>
      <c r="F1031" s="3"/>
      <c r="G1031" s="3"/>
    </row>
    <row r="1032" ht="17.6" spans="4:7">
      <c r="D1032" s="175">
        <v>44718</v>
      </c>
      <c r="E1032" s="176">
        <v>16569.55</v>
      </c>
      <c r="F1032" s="3"/>
      <c r="G1032" s="3"/>
    </row>
    <row r="1033" ht="17.6" spans="4:7">
      <c r="D1033" s="175">
        <v>44715</v>
      </c>
      <c r="E1033" s="176">
        <v>16584.3</v>
      </c>
      <c r="F1033" s="3"/>
      <c r="G1033" s="3"/>
    </row>
    <row r="1034" ht="17.6" spans="4:7">
      <c r="D1034" s="175">
        <v>44714</v>
      </c>
      <c r="E1034" s="176">
        <v>16628</v>
      </c>
      <c r="F1034" s="3"/>
      <c r="G1034" s="3"/>
    </row>
    <row r="1035" ht="17.6" spans="4:7">
      <c r="D1035" s="175">
        <v>44713</v>
      </c>
      <c r="E1035" s="176">
        <v>16522.75</v>
      </c>
      <c r="F1035" s="3"/>
      <c r="G1035" s="3"/>
    </row>
    <row r="1036" ht="17.6" spans="4:7">
      <c r="D1036" s="175">
        <v>44712</v>
      </c>
      <c r="E1036" s="176">
        <v>16584.55</v>
      </c>
      <c r="F1036" s="3"/>
      <c r="G1036" s="3"/>
    </row>
    <row r="1037" ht="17.6" spans="4:7">
      <c r="D1037" s="175">
        <v>44711</v>
      </c>
      <c r="E1037" s="176">
        <v>16661.4</v>
      </c>
      <c r="F1037" s="3"/>
      <c r="G1037" s="3"/>
    </row>
    <row r="1038" ht="17.6" spans="4:7">
      <c r="D1038" s="175">
        <v>44708</v>
      </c>
      <c r="E1038" s="176">
        <v>16352.45</v>
      </c>
      <c r="F1038" s="3"/>
      <c r="G1038" s="3"/>
    </row>
    <row r="1039" ht="17.6" spans="4:7">
      <c r="D1039" s="175">
        <v>44707</v>
      </c>
      <c r="E1039" s="176">
        <v>16170.15</v>
      </c>
      <c r="F1039" s="3"/>
      <c r="G1039" s="3"/>
    </row>
    <row r="1040" ht="17.6" spans="4:7">
      <c r="D1040" s="175">
        <v>44706</v>
      </c>
      <c r="E1040" s="176">
        <v>16025.8</v>
      </c>
      <c r="F1040" s="3"/>
      <c r="G1040" s="3"/>
    </row>
    <row r="1041" ht="17.6" spans="4:7">
      <c r="D1041" s="175">
        <v>44705</v>
      </c>
      <c r="E1041" s="176">
        <v>16125.15</v>
      </c>
      <c r="F1041" s="3"/>
      <c r="G1041" s="3"/>
    </row>
    <row r="1042" ht="17.6" spans="4:7">
      <c r="D1042" s="175">
        <v>44704</v>
      </c>
      <c r="E1042" s="176">
        <v>16214.7</v>
      </c>
      <c r="F1042" s="3"/>
      <c r="G1042" s="3"/>
    </row>
    <row r="1043" ht="17.6" spans="4:7">
      <c r="D1043" s="175">
        <v>44701</v>
      </c>
      <c r="E1043" s="176">
        <v>16266.15</v>
      </c>
      <c r="F1043" s="3"/>
      <c r="G1043" s="3"/>
    </row>
    <row r="1044" ht="17.6" spans="4:7">
      <c r="D1044" s="175">
        <v>44700</v>
      </c>
      <c r="E1044" s="176">
        <v>15809.4</v>
      </c>
      <c r="F1044" s="3"/>
      <c r="G1044" s="3"/>
    </row>
    <row r="1045" ht="17.6" spans="4:7">
      <c r="D1045" s="175">
        <v>44699</v>
      </c>
      <c r="E1045" s="176">
        <v>16240.3</v>
      </c>
      <c r="F1045" s="3"/>
      <c r="G1045" s="3"/>
    </row>
    <row r="1046" ht="17.6" spans="4:7">
      <c r="D1046" s="175">
        <v>44698</v>
      </c>
      <c r="E1046" s="176">
        <v>16259.3</v>
      </c>
      <c r="F1046" s="3"/>
      <c r="G1046" s="3"/>
    </row>
    <row r="1047" ht="17.6" spans="4:7">
      <c r="D1047" s="175">
        <v>44697</v>
      </c>
      <c r="E1047" s="176">
        <v>15842.3</v>
      </c>
      <c r="F1047" s="3"/>
      <c r="G1047" s="3"/>
    </row>
    <row r="1048" ht="17.6" spans="4:7">
      <c r="D1048" s="175">
        <v>44694</v>
      </c>
      <c r="E1048" s="176">
        <v>15782.15</v>
      </c>
      <c r="F1048" s="3"/>
      <c r="G1048" s="3"/>
    </row>
    <row r="1049" ht="17.6" spans="4:7">
      <c r="D1049" s="175">
        <v>44693</v>
      </c>
      <c r="E1049" s="176">
        <v>15808</v>
      </c>
      <c r="F1049" s="3"/>
      <c r="G1049" s="3"/>
    </row>
    <row r="1050" ht="17.6" spans="4:7">
      <c r="D1050" s="175">
        <v>44692</v>
      </c>
      <c r="E1050" s="176">
        <v>16167.1</v>
      </c>
      <c r="F1050" s="3"/>
      <c r="G1050" s="3"/>
    </row>
    <row r="1051" ht="17.6" spans="4:7">
      <c r="D1051" s="175">
        <v>44691</v>
      </c>
      <c r="E1051" s="176">
        <v>16240.05</v>
      </c>
      <c r="F1051" s="3"/>
      <c r="G1051" s="3"/>
    </row>
    <row r="1052" ht="17.6" spans="4:7">
      <c r="D1052" s="175">
        <v>44690</v>
      </c>
      <c r="E1052" s="176">
        <v>16301.85</v>
      </c>
      <c r="F1052" s="3"/>
      <c r="G1052" s="3"/>
    </row>
    <row r="1053" ht="17.6" spans="4:7">
      <c r="D1053" s="175">
        <v>44687</v>
      </c>
      <c r="E1053" s="176">
        <v>16411.25</v>
      </c>
      <c r="F1053" s="3"/>
      <c r="G1053" s="3"/>
    </row>
    <row r="1054" ht="17.6" spans="4:7">
      <c r="D1054" s="175">
        <v>44686</v>
      </c>
      <c r="E1054" s="176">
        <v>16682.65</v>
      </c>
      <c r="F1054" s="3"/>
      <c r="G1054" s="3"/>
    </row>
    <row r="1055" ht="17.6" spans="4:7">
      <c r="D1055" s="175">
        <v>44685</v>
      </c>
      <c r="E1055" s="176">
        <v>16677.6</v>
      </c>
      <c r="F1055" s="3"/>
      <c r="G1055" s="3"/>
    </row>
    <row r="1056" ht="17.6" spans="4:7">
      <c r="D1056" s="175">
        <v>44683</v>
      </c>
      <c r="E1056" s="176">
        <v>17069.1</v>
      </c>
      <c r="F1056" s="3"/>
      <c r="G1056" s="3"/>
    </row>
    <row r="1057" ht="17.6" spans="4:7">
      <c r="D1057" s="175">
        <v>44680</v>
      </c>
      <c r="E1057" s="176">
        <v>17102.55</v>
      </c>
      <c r="F1057" s="3"/>
      <c r="G1057" s="3"/>
    </row>
    <row r="1058" ht="17.6" spans="4:7">
      <c r="D1058" s="175">
        <v>44679</v>
      </c>
      <c r="E1058" s="176">
        <v>17245.05</v>
      </c>
      <c r="F1058" s="3"/>
      <c r="G1058" s="3"/>
    </row>
    <row r="1059" ht="17.6" spans="4:7">
      <c r="D1059" s="175">
        <v>44678</v>
      </c>
      <c r="E1059" s="176">
        <v>17038.4</v>
      </c>
      <c r="F1059" s="3"/>
      <c r="G1059" s="3"/>
    </row>
    <row r="1060" ht="17.6" spans="4:7">
      <c r="D1060" s="175">
        <v>44677</v>
      </c>
      <c r="E1060" s="176">
        <v>17200.8</v>
      </c>
      <c r="F1060" s="3"/>
      <c r="G1060" s="3"/>
    </row>
    <row r="1061" ht="17.6" spans="4:7">
      <c r="D1061" s="175">
        <v>44676</v>
      </c>
      <c r="E1061" s="176">
        <v>16953.95</v>
      </c>
      <c r="F1061" s="3"/>
      <c r="G1061" s="3"/>
    </row>
    <row r="1062" ht="17.6" spans="4:7">
      <c r="D1062" s="175">
        <v>44673</v>
      </c>
      <c r="E1062" s="176">
        <v>17171.95</v>
      </c>
      <c r="F1062" s="3"/>
      <c r="G1062" s="3"/>
    </row>
    <row r="1063" ht="17.6" spans="4:7">
      <c r="D1063" s="175">
        <v>44672</v>
      </c>
      <c r="E1063" s="176">
        <v>17392.6</v>
      </c>
      <c r="F1063" s="3"/>
      <c r="G1063" s="3"/>
    </row>
    <row r="1064" ht="17.6" spans="4:7">
      <c r="D1064" s="175">
        <v>44671</v>
      </c>
      <c r="E1064" s="176">
        <v>17136.55</v>
      </c>
      <c r="F1064" s="3"/>
      <c r="G1064" s="3"/>
    </row>
    <row r="1065" ht="17.6" spans="4:7">
      <c r="D1065" s="175">
        <v>44670</v>
      </c>
      <c r="E1065" s="176">
        <v>16958.65</v>
      </c>
      <c r="F1065" s="3"/>
      <c r="G1065" s="3"/>
    </row>
    <row r="1066" ht="17.6" spans="4:7">
      <c r="D1066" s="175">
        <v>44669</v>
      </c>
      <c r="E1066" s="176">
        <v>17173.65</v>
      </c>
      <c r="F1066" s="3"/>
      <c r="G1066" s="3"/>
    </row>
    <row r="1067" ht="17.6" spans="4:7">
      <c r="D1067" s="175">
        <v>44664</v>
      </c>
      <c r="E1067" s="176">
        <v>17475.65</v>
      </c>
      <c r="F1067" s="3"/>
      <c r="G1067" s="3"/>
    </row>
    <row r="1068" ht="17.6" spans="4:7">
      <c r="D1068" s="175">
        <v>44663</v>
      </c>
      <c r="E1068" s="176">
        <v>17530.3</v>
      </c>
      <c r="F1068" s="3"/>
      <c r="G1068" s="3"/>
    </row>
    <row r="1069" ht="17.6" spans="4:7">
      <c r="D1069" s="175">
        <v>44662</v>
      </c>
      <c r="E1069" s="176">
        <v>17674.95</v>
      </c>
      <c r="F1069" s="3"/>
      <c r="G1069" s="3"/>
    </row>
    <row r="1070" ht="17.6" spans="4:7">
      <c r="D1070" s="175">
        <v>44659</v>
      </c>
      <c r="E1070" s="176">
        <v>17784.35</v>
      </c>
      <c r="F1070" s="3"/>
      <c r="G1070" s="3"/>
    </row>
    <row r="1071" ht="17.6" spans="4:7">
      <c r="D1071" s="175">
        <v>44658</v>
      </c>
      <c r="E1071" s="176">
        <v>17639.55</v>
      </c>
      <c r="F1071" s="3"/>
      <c r="G1071" s="3"/>
    </row>
    <row r="1072" ht="17.6" spans="4:7">
      <c r="D1072" s="175">
        <v>44657</v>
      </c>
      <c r="E1072" s="176">
        <v>17807.65</v>
      </c>
      <c r="F1072" s="3"/>
      <c r="G1072" s="3"/>
    </row>
    <row r="1073" ht="17.6" spans="4:7">
      <c r="D1073" s="175">
        <v>44656</v>
      </c>
      <c r="E1073" s="176">
        <v>17957.4</v>
      </c>
      <c r="F1073" s="3"/>
      <c r="G1073" s="3"/>
    </row>
    <row r="1074" ht="17.6" spans="4:7">
      <c r="D1074" s="175">
        <v>44655</v>
      </c>
      <c r="E1074" s="176">
        <v>18053.4</v>
      </c>
      <c r="F1074" s="3"/>
      <c r="G1074" s="3"/>
    </row>
    <row r="1075" ht="17.6" spans="4:7">
      <c r="D1075" s="175">
        <v>44652</v>
      </c>
      <c r="E1075" s="176">
        <v>17670.45</v>
      </c>
      <c r="F1075" s="3"/>
      <c r="G1075" s="3"/>
    </row>
    <row r="1076" ht="17.6" spans="4:7">
      <c r="D1076" s="175">
        <v>44651</v>
      </c>
      <c r="E1076" s="176">
        <v>17464.75</v>
      </c>
      <c r="F1076" s="3"/>
      <c r="G1076" s="3"/>
    </row>
    <row r="1077" ht="17.6" spans="4:7">
      <c r="D1077" s="175">
        <v>44650</v>
      </c>
      <c r="E1077" s="176">
        <v>17498.25</v>
      </c>
      <c r="F1077" s="3"/>
      <c r="G1077" s="3"/>
    </row>
    <row r="1078" ht="17.6" spans="4:7">
      <c r="D1078" s="175">
        <v>44649</v>
      </c>
      <c r="E1078" s="176">
        <v>17325.3</v>
      </c>
      <c r="F1078" s="3"/>
      <c r="G1078" s="3"/>
    </row>
    <row r="1079" ht="17.6" spans="4:7">
      <c r="D1079" s="175">
        <v>44648</v>
      </c>
      <c r="E1079" s="176">
        <v>17222</v>
      </c>
      <c r="F1079" s="3"/>
      <c r="G1079" s="3"/>
    </row>
    <row r="1080" ht="17.6" spans="4:7">
      <c r="D1080" s="175">
        <v>44645</v>
      </c>
      <c r="E1080" s="176">
        <v>17153</v>
      </c>
      <c r="F1080" s="3"/>
      <c r="G1080" s="3"/>
    </row>
    <row r="1081" ht="17.6" spans="4:7">
      <c r="D1081" s="175">
        <v>44644</v>
      </c>
      <c r="E1081" s="176">
        <v>17222.75</v>
      </c>
      <c r="F1081" s="3"/>
      <c r="G1081" s="3"/>
    </row>
    <row r="1082" ht="17.6" spans="4:7">
      <c r="D1082" s="175">
        <v>44643</v>
      </c>
      <c r="E1082" s="176">
        <v>17245.65</v>
      </c>
      <c r="F1082" s="3"/>
      <c r="G1082" s="3"/>
    </row>
    <row r="1083" ht="17.6" spans="4:7">
      <c r="D1083" s="175">
        <v>44642</v>
      </c>
      <c r="E1083" s="176">
        <v>17315.5</v>
      </c>
      <c r="F1083" s="3"/>
      <c r="G1083" s="3"/>
    </row>
    <row r="1084" ht="17.6" spans="4:7">
      <c r="D1084" s="175">
        <v>44641</v>
      </c>
      <c r="E1084" s="176">
        <v>17117.6</v>
      </c>
      <c r="F1084" s="3"/>
      <c r="G1084" s="3"/>
    </row>
    <row r="1085" ht="17.6" spans="4:7">
      <c r="D1085" s="175">
        <v>44637</v>
      </c>
      <c r="E1085" s="176">
        <v>17287.05</v>
      </c>
      <c r="F1085" s="3"/>
      <c r="G1085" s="3"/>
    </row>
    <row r="1086" ht="17.6" spans="4:7">
      <c r="D1086" s="175">
        <v>44636</v>
      </c>
      <c r="E1086" s="176">
        <v>16975.35</v>
      </c>
      <c r="F1086" s="3"/>
      <c r="G1086" s="3"/>
    </row>
    <row r="1087" ht="17.6" spans="4:7">
      <c r="D1087" s="175">
        <v>44635</v>
      </c>
      <c r="E1087" s="176">
        <v>16663</v>
      </c>
      <c r="F1087" s="3"/>
      <c r="G1087" s="3"/>
    </row>
    <row r="1088" ht="17.6" spans="4:7">
      <c r="D1088" s="175">
        <v>44634</v>
      </c>
      <c r="E1088" s="176">
        <v>16871.3</v>
      </c>
      <c r="F1088" s="3"/>
      <c r="G1088" s="3"/>
    </row>
    <row r="1089" ht="17.6" spans="4:7">
      <c r="D1089" s="175">
        <v>44631</v>
      </c>
      <c r="E1089" s="176">
        <v>16630.45</v>
      </c>
      <c r="F1089" s="3"/>
      <c r="G1089" s="3"/>
    </row>
    <row r="1090" ht="17.6" spans="4:7">
      <c r="D1090" s="175">
        <v>44630</v>
      </c>
      <c r="E1090" s="176">
        <v>16594.9</v>
      </c>
      <c r="F1090" s="3"/>
      <c r="G1090" s="3"/>
    </row>
    <row r="1091" ht="17.6" spans="4:7">
      <c r="D1091" s="175">
        <v>44629</v>
      </c>
      <c r="E1091" s="176">
        <v>16345.35</v>
      </c>
      <c r="F1091" s="3"/>
      <c r="G1091" s="3"/>
    </row>
    <row r="1092" ht="17.6" spans="4:7">
      <c r="D1092" s="175">
        <v>44628</v>
      </c>
      <c r="E1092" s="176">
        <v>16013.45</v>
      </c>
      <c r="F1092" s="3"/>
      <c r="G1092" s="3"/>
    </row>
    <row r="1093" ht="17.6" spans="4:7">
      <c r="D1093" s="175">
        <v>44627</v>
      </c>
      <c r="E1093" s="176">
        <v>15863.15</v>
      </c>
      <c r="F1093" s="3"/>
      <c r="G1093" s="3"/>
    </row>
    <row r="1094" ht="17.6" spans="4:7">
      <c r="D1094" s="175">
        <v>44624</v>
      </c>
      <c r="E1094" s="176">
        <v>16245.35</v>
      </c>
      <c r="F1094" s="3"/>
      <c r="G1094" s="3"/>
    </row>
    <row r="1095" ht="17.6" spans="4:7">
      <c r="D1095" s="175">
        <v>44623</v>
      </c>
      <c r="E1095" s="176">
        <v>16498.05</v>
      </c>
      <c r="F1095" s="3"/>
      <c r="G1095" s="3"/>
    </row>
    <row r="1096" ht="17.6" spans="4:7">
      <c r="D1096" s="175">
        <v>44622</v>
      </c>
      <c r="E1096" s="176">
        <v>16605.95</v>
      </c>
      <c r="F1096" s="3"/>
      <c r="G1096" s="3"/>
    </row>
    <row r="1097" ht="17.6" spans="4:7">
      <c r="D1097" s="175">
        <v>44620</v>
      </c>
      <c r="E1097" s="176">
        <v>16793.9</v>
      </c>
      <c r="F1097" s="3"/>
      <c r="G1097" s="3"/>
    </row>
    <row r="1098" ht="17.6" spans="4:7">
      <c r="D1098" s="175">
        <v>44617</v>
      </c>
      <c r="E1098" s="176">
        <v>16658.4</v>
      </c>
      <c r="F1098" s="3"/>
      <c r="G1098" s="3"/>
    </row>
    <row r="1099" ht="17.6" spans="4:7">
      <c r="D1099" s="175">
        <v>44616</v>
      </c>
      <c r="E1099" s="176">
        <v>16247.95</v>
      </c>
      <c r="F1099" s="3"/>
      <c r="G1099" s="3"/>
    </row>
    <row r="1100" ht="17.6" spans="4:7">
      <c r="D1100" s="175">
        <v>44615</v>
      </c>
      <c r="E1100" s="176">
        <v>17063.25</v>
      </c>
      <c r="F1100" s="3"/>
      <c r="G1100" s="3"/>
    </row>
    <row r="1101" ht="17.6" spans="4:7">
      <c r="D1101" s="175">
        <v>44614</v>
      </c>
      <c r="E1101" s="176">
        <v>17092.2</v>
      </c>
      <c r="F1101" s="3"/>
      <c r="G1101" s="3"/>
    </row>
    <row r="1102" ht="17.6" spans="4:7">
      <c r="D1102" s="175">
        <v>44613</v>
      </c>
      <c r="E1102" s="176">
        <v>17206.65</v>
      </c>
      <c r="F1102" s="3"/>
      <c r="G1102" s="3"/>
    </row>
    <row r="1103" ht="17.6" spans="4:7">
      <c r="D1103" s="175">
        <v>44610</v>
      </c>
      <c r="E1103" s="176">
        <v>17276.3</v>
      </c>
      <c r="F1103" s="3"/>
      <c r="G1103" s="3"/>
    </row>
    <row r="1104" ht="17.6" spans="4:7">
      <c r="D1104" s="175">
        <v>44609</v>
      </c>
      <c r="E1104" s="176">
        <v>17304.6</v>
      </c>
      <c r="F1104" s="3"/>
      <c r="G1104" s="3"/>
    </row>
    <row r="1105" ht="17.6" spans="4:7">
      <c r="D1105" s="175">
        <v>44608</v>
      </c>
      <c r="E1105" s="176">
        <v>17322.2</v>
      </c>
      <c r="F1105" s="3"/>
      <c r="G1105" s="3"/>
    </row>
    <row r="1106" ht="17.6" spans="4:7">
      <c r="D1106" s="175">
        <v>44607</v>
      </c>
      <c r="E1106" s="176">
        <v>17352.45</v>
      </c>
      <c r="F1106" s="3"/>
      <c r="G1106" s="3"/>
    </row>
    <row r="1107" ht="17.6" spans="4:7">
      <c r="D1107" s="175">
        <v>44606</v>
      </c>
      <c r="E1107" s="176">
        <v>16842.8</v>
      </c>
      <c r="F1107" s="3"/>
      <c r="G1107" s="3"/>
    </row>
    <row r="1108" ht="17.6" spans="4:7">
      <c r="D1108" s="175">
        <v>44603</v>
      </c>
      <c r="E1108" s="176">
        <v>17374.75</v>
      </c>
      <c r="F1108" s="3"/>
      <c r="G1108" s="3"/>
    </row>
    <row r="1109" ht="17.6" spans="4:7">
      <c r="D1109" s="175">
        <v>44602</v>
      </c>
      <c r="E1109" s="176">
        <v>17605.85</v>
      </c>
      <c r="F1109" s="3"/>
      <c r="G1109" s="3"/>
    </row>
    <row r="1110" ht="17.6" spans="4:7">
      <c r="D1110" s="175">
        <v>44601</v>
      </c>
      <c r="E1110" s="176">
        <v>17463.8</v>
      </c>
      <c r="F1110" s="3"/>
      <c r="G1110" s="3"/>
    </row>
    <row r="1111" ht="17.6" spans="4:7">
      <c r="D1111" s="175">
        <v>44600</v>
      </c>
      <c r="E1111" s="176">
        <v>17266.75</v>
      </c>
      <c r="F1111" s="3"/>
      <c r="G1111" s="3"/>
    </row>
    <row r="1112" ht="17.6" spans="4:7">
      <c r="D1112" s="175">
        <v>44599</v>
      </c>
      <c r="E1112" s="176">
        <v>17213.6</v>
      </c>
      <c r="F1112" s="3"/>
      <c r="G1112" s="3"/>
    </row>
    <row r="1113" ht="17.6" spans="4:7">
      <c r="D1113" s="175">
        <v>44596</v>
      </c>
      <c r="E1113" s="176">
        <v>17516.3</v>
      </c>
      <c r="F1113" s="3"/>
      <c r="G1113" s="3"/>
    </row>
    <row r="1114" ht="17.6" spans="4:7">
      <c r="D1114" s="175">
        <v>44595</v>
      </c>
      <c r="E1114" s="176">
        <v>17560.2</v>
      </c>
      <c r="F1114" s="3"/>
      <c r="G1114" s="3"/>
    </row>
    <row r="1115" ht="17.6" spans="4:7">
      <c r="D1115" s="175">
        <v>44594</v>
      </c>
      <c r="E1115" s="176">
        <v>17780</v>
      </c>
      <c r="F1115" s="3"/>
      <c r="G1115" s="3"/>
    </row>
    <row r="1116" ht="17.6" spans="4:7">
      <c r="D1116" s="175">
        <v>44593</v>
      </c>
      <c r="E1116" s="176">
        <v>17576.85</v>
      </c>
      <c r="F1116" s="3"/>
      <c r="G1116" s="3"/>
    </row>
    <row r="1117" ht="17.6" spans="4:7">
      <c r="D1117" s="175">
        <v>44592</v>
      </c>
      <c r="E1117" s="176">
        <v>17339.85</v>
      </c>
      <c r="F1117" s="3"/>
      <c r="G1117" s="3"/>
    </row>
    <row r="1118" ht="17.6" spans="4:7">
      <c r="D1118" s="175">
        <v>44589</v>
      </c>
      <c r="E1118" s="176">
        <v>17101.95</v>
      </c>
      <c r="F1118" s="3"/>
      <c r="G1118" s="3"/>
    </row>
    <row r="1119" ht="17.6" spans="4:7">
      <c r="D1119" s="175">
        <v>44588</v>
      </c>
      <c r="E1119" s="176">
        <v>17110.15</v>
      </c>
      <c r="F1119" s="3"/>
      <c r="G1119" s="3"/>
    </row>
    <row r="1120" ht="17.6" spans="4:7">
      <c r="D1120" s="175">
        <v>44586</v>
      </c>
      <c r="E1120" s="176">
        <v>17277.95</v>
      </c>
      <c r="F1120" s="3"/>
      <c r="G1120" s="3"/>
    </row>
    <row r="1121" ht="17.6" spans="4:7">
      <c r="D1121" s="175">
        <v>44585</v>
      </c>
      <c r="E1121" s="176">
        <v>17149.1</v>
      </c>
      <c r="F1121" s="3"/>
      <c r="G1121" s="3"/>
    </row>
    <row r="1122" ht="17.6" spans="4:7">
      <c r="D1122" s="175">
        <v>44582</v>
      </c>
      <c r="E1122" s="176">
        <v>17617.15</v>
      </c>
      <c r="F1122" s="3"/>
      <c r="G1122" s="3"/>
    </row>
    <row r="1123" ht="17.6" spans="4:7">
      <c r="D1123" s="175">
        <v>44581</v>
      </c>
      <c r="E1123" s="176">
        <v>17757</v>
      </c>
      <c r="F1123" s="3"/>
      <c r="G1123" s="3"/>
    </row>
    <row r="1124" ht="17.6" spans="4:7">
      <c r="D1124" s="175">
        <v>44580</v>
      </c>
      <c r="E1124" s="176">
        <v>17938.4</v>
      </c>
      <c r="F1124" s="3"/>
      <c r="G1124" s="3"/>
    </row>
    <row r="1125" ht="17.6" spans="4:7">
      <c r="D1125" s="175">
        <v>44579</v>
      </c>
      <c r="E1125" s="176">
        <v>18113.05</v>
      </c>
      <c r="F1125" s="3"/>
      <c r="G1125" s="3"/>
    </row>
    <row r="1126" ht="17.6" spans="4:7">
      <c r="D1126" s="175">
        <v>44578</v>
      </c>
      <c r="E1126" s="176">
        <v>18308.1</v>
      </c>
      <c r="F1126" s="3"/>
      <c r="G1126" s="3"/>
    </row>
    <row r="1127" ht="17.6" spans="4:7">
      <c r="D1127" s="175">
        <v>44575</v>
      </c>
      <c r="E1127" s="176">
        <v>18255.75</v>
      </c>
      <c r="F1127" s="3"/>
      <c r="G1127" s="3"/>
    </row>
    <row r="1128" ht="17.6" spans="4:7">
      <c r="D1128" s="175">
        <v>44574</v>
      </c>
      <c r="E1128" s="176">
        <v>18257.8</v>
      </c>
      <c r="F1128" s="3"/>
      <c r="G1128" s="3"/>
    </row>
    <row r="1129" ht="17.6" spans="4:7">
      <c r="D1129" s="175">
        <v>44573</v>
      </c>
      <c r="E1129" s="176">
        <v>18212.35</v>
      </c>
      <c r="F1129" s="3"/>
      <c r="G1129" s="3"/>
    </row>
    <row r="1130" ht="17.6" spans="4:7">
      <c r="D1130" s="175">
        <v>44572</v>
      </c>
      <c r="E1130" s="176">
        <v>18055.75</v>
      </c>
      <c r="F1130" s="3"/>
      <c r="G1130" s="3"/>
    </row>
    <row r="1131" ht="17.6" spans="4:7">
      <c r="D1131" s="175">
        <v>44571</v>
      </c>
      <c r="E1131" s="176">
        <v>18003.3</v>
      </c>
      <c r="F1131" s="3"/>
      <c r="G1131" s="3"/>
    </row>
    <row r="1132" ht="17.6" spans="4:7">
      <c r="D1132" s="175">
        <v>44568</v>
      </c>
      <c r="E1132" s="176">
        <v>17812.7</v>
      </c>
      <c r="F1132" s="3"/>
      <c r="G1132" s="3"/>
    </row>
    <row r="1133" ht="17.6" spans="4:7">
      <c r="D1133" s="175">
        <v>44567</v>
      </c>
      <c r="E1133" s="176">
        <v>17745.9</v>
      </c>
      <c r="F1133" s="3"/>
      <c r="G1133" s="3"/>
    </row>
    <row r="1134" ht="17.6" spans="4:7">
      <c r="D1134" s="175">
        <v>44566</v>
      </c>
      <c r="E1134" s="176">
        <v>17925.25</v>
      </c>
      <c r="F1134" s="3"/>
      <c r="G1134" s="3"/>
    </row>
    <row r="1135" ht="17.6" spans="4:7">
      <c r="D1135" s="175">
        <v>44565</v>
      </c>
      <c r="E1135" s="176">
        <v>17805.25</v>
      </c>
      <c r="F1135" s="3"/>
      <c r="G1135" s="3"/>
    </row>
    <row r="1136" ht="17.6" spans="4:7">
      <c r="D1136" s="175">
        <v>44564</v>
      </c>
      <c r="E1136" s="176">
        <v>17625.7</v>
      </c>
      <c r="F1136" s="3"/>
      <c r="G1136" s="3"/>
    </row>
    <row r="1137" ht="17.6" spans="4:7">
      <c r="D1137" s="175">
        <v>44561</v>
      </c>
      <c r="E1137" s="176">
        <v>17354.05</v>
      </c>
      <c r="F1137" s="3"/>
      <c r="G1137" s="3"/>
    </row>
    <row r="1138" ht="17.6" spans="4:7">
      <c r="D1138" s="175">
        <v>44560</v>
      </c>
      <c r="E1138" s="176">
        <v>17203.95</v>
      </c>
      <c r="F1138" s="3"/>
      <c r="G1138" s="3"/>
    </row>
    <row r="1139" ht="17.6" spans="4:7">
      <c r="D1139" s="175">
        <v>44559</v>
      </c>
      <c r="E1139" s="176">
        <v>17213.6</v>
      </c>
      <c r="F1139" s="3"/>
      <c r="G1139" s="3"/>
    </row>
    <row r="1140" ht="17.6" spans="4:7">
      <c r="D1140" s="175">
        <v>44558</v>
      </c>
      <c r="E1140" s="176">
        <v>17233.25</v>
      </c>
      <c r="F1140" s="3"/>
      <c r="G1140" s="3"/>
    </row>
    <row r="1141" ht="17.6" spans="4:7">
      <c r="D1141" s="175">
        <v>44557</v>
      </c>
      <c r="E1141" s="176">
        <v>17086.25</v>
      </c>
      <c r="F1141" s="3"/>
      <c r="G1141" s="3"/>
    </row>
    <row r="1142" ht="17.6" spans="4:7">
      <c r="D1142" s="175">
        <v>44554</v>
      </c>
      <c r="E1142" s="176">
        <v>17003.75</v>
      </c>
      <c r="F1142" s="3"/>
      <c r="G1142" s="3"/>
    </row>
    <row r="1143" ht="17.6" spans="4:7">
      <c r="D1143" s="175">
        <v>44553</v>
      </c>
      <c r="E1143" s="176">
        <v>17072.6</v>
      </c>
      <c r="F1143" s="3"/>
      <c r="G1143" s="3"/>
    </row>
    <row r="1144" ht="17.6" spans="4:7">
      <c r="D1144" s="175">
        <v>44552</v>
      </c>
      <c r="E1144" s="176">
        <v>16955.45</v>
      </c>
      <c r="F1144" s="3"/>
      <c r="G1144" s="3"/>
    </row>
    <row r="1145" ht="17.6" spans="4:7">
      <c r="D1145" s="175">
        <v>44551</v>
      </c>
      <c r="E1145" s="176">
        <v>16770.85</v>
      </c>
      <c r="F1145" s="3"/>
      <c r="G1145" s="3"/>
    </row>
    <row r="1146" ht="17.6" spans="4:7">
      <c r="D1146" s="175">
        <v>44550</v>
      </c>
      <c r="E1146" s="176">
        <v>16614.2</v>
      </c>
      <c r="F1146" s="3"/>
      <c r="G1146" s="3"/>
    </row>
    <row r="1147" ht="17.6" spans="4:7">
      <c r="D1147" s="175">
        <v>44547</v>
      </c>
      <c r="E1147" s="176">
        <v>16985.2</v>
      </c>
      <c r="F1147" s="3"/>
      <c r="G1147" s="3"/>
    </row>
    <row r="1148" ht="17.6" spans="4:7">
      <c r="D1148" s="175">
        <v>44546</v>
      </c>
      <c r="E1148" s="176">
        <v>17248.4</v>
      </c>
      <c r="F1148" s="3"/>
      <c r="G1148" s="3"/>
    </row>
    <row r="1149" ht="17.6" spans="4:7">
      <c r="D1149" s="175">
        <v>44545</v>
      </c>
      <c r="E1149" s="176">
        <v>17221.4</v>
      </c>
      <c r="F1149" s="3"/>
      <c r="G1149" s="3"/>
    </row>
    <row r="1150" ht="17.6" spans="4:7">
      <c r="D1150" s="175">
        <v>44544</v>
      </c>
      <c r="E1150" s="176">
        <v>17324.9</v>
      </c>
      <c r="F1150" s="3"/>
      <c r="G1150" s="3"/>
    </row>
    <row r="1151" ht="17.6" spans="4:7">
      <c r="D1151" s="175">
        <v>44543</v>
      </c>
      <c r="E1151" s="176">
        <v>17368.25</v>
      </c>
      <c r="F1151" s="3"/>
      <c r="G1151" s="3"/>
    </row>
    <row r="1152" ht="17.6" spans="4:7">
      <c r="D1152" s="175">
        <v>44540</v>
      </c>
      <c r="E1152" s="176">
        <v>17511.3</v>
      </c>
      <c r="F1152" s="3"/>
      <c r="G1152" s="3"/>
    </row>
    <row r="1153" ht="17.6" spans="4:7">
      <c r="D1153" s="175">
        <v>44539</v>
      </c>
      <c r="E1153" s="176">
        <v>17516.85</v>
      </c>
      <c r="F1153" s="3"/>
      <c r="G1153" s="3"/>
    </row>
    <row r="1154" ht="17.6" spans="4:7">
      <c r="D1154" s="175">
        <v>44538</v>
      </c>
      <c r="E1154" s="176">
        <v>17469.75</v>
      </c>
      <c r="F1154" s="3"/>
      <c r="G1154" s="3"/>
    </row>
    <row r="1155" ht="17.6" spans="4:7">
      <c r="D1155" s="175">
        <v>44537</v>
      </c>
      <c r="E1155" s="176">
        <v>17176.7</v>
      </c>
      <c r="F1155" s="3"/>
      <c r="G1155" s="3"/>
    </row>
    <row r="1156" ht="17.6" spans="4:7">
      <c r="D1156" s="175">
        <v>44536</v>
      </c>
      <c r="E1156" s="176">
        <v>16912.25</v>
      </c>
      <c r="F1156" s="3"/>
      <c r="G1156" s="3"/>
    </row>
    <row r="1157" ht="17.6" spans="4:7">
      <c r="D1157" s="175">
        <v>44533</v>
      </c>
      <c r="E1157" s="176">
        <v>17196.7</v>
      </c>
      <c r="F1157" s="3"/>
      <c r="G1157" s="3"/>
    </row>
    <row r="1158" ht="17.6" spans="4:7">
      <c r="D1158" s="175">
        <v>44532</v>
      </c>
      <c r="E1158" s="176">
        <v>17401.65</v>
      </c>
      <c r="F1158" s="3"/>
      <c r="G1158" s="3"/>
    </row>
    <row r="1159" ht="17.6" spans="4:7">
      <c r="D1159" s="175">
        <v>44531</v>
      </c>
      <c r="E1159" s="176">
        <v>17166.9</v>
      </c>
      <c r="F1159" s="3"/>
      <c r="G1159" s="3"/>
    </row>
    <row r="1160" ht="17.6" spans="4:7">
      <c r="D1160" s="175">
        <v>44530</v>
      </c>
      <c r="E1160" s="176">
        <v>16983.2</v>
      </c>
      <c r="F1160" s="3"/>
      <c r="G1160" s="3"/>
    </row>
    <row r="1161" ht="17.6" spans="4:7">
      <c r="D1161" s="175">
        <v>44529</v>
      </c>
      <c r="E1161" s="176">
        <v>17053.95</v>
      </c>
      <c r="F1161" s="3"/>
      <c r="G1161" s="3"/>
    </row>
    <row r="1162" ht="17.6" spans="4:7">
      <c r="D1162" s="175">
        <v>44526</v>
      </c>
      <c r="E1162" s="176">
        <v>17026.45</v>
      </c>
      <c r="F1162" s="3"/>
      <c r="G1162" s="3"/>
    </row>
    <row r="1163" ht="17.6" spans="4:7">
      <c r="D1163" s="175">
        <v>44525</v>
      </c>
      <c r="E1163" s="176">
        <v>17536.25</v>
      </c>
      <c r="F1163" s="3"/>
      <c r="G1163" s="3"/>
    </row>
    <row r="1164" ht="17.6" spans="4:7">
      <c r="D1164" s="175">
        <v>44524</v>
      </c>
      <c r="E1164" s="176">
        <v>17415.05</v>
      </c>
      <c r="F1164" s="3"/>
      <c r="G1164" s="3"/>
    </row>
    <row r="1165" ht="17.6" spans="4:7">
      <c r="D1165" s="175">
        <v>44523</v>
      </c>
      <c r="E1165" s="176">
        <v>17503.35</v>
      </c>
      <c r="F1165" s="3"/>
      <c r="G1165" s="3"/>
    </row>
    <row r="1166" ht="17.6" spans="4:7">
      <c r="D1166" s="175">
        <v>44522</v>
      </c>
      <c r="E1166" s="176">
        <v>17416.55</v>
      </c>
      <c r="F1166" s="3"/>
      <c r="G1166" s="3"/>
    </row>
    <row r="1167" ht="17.6" spans="4:7">
      <c r="D1167" s="175">
        <v>44518</v>
      </c>
      <c r="E1167" s="176">
        <v>17764.8</v>
      </c>
      <c r="F1167" s="3"/>
      <c r="G1167" s="3"/>
    </row>
    <row r="1168" ht="17.6" spans="4:7">
      <c r="D1168" s="175">
        <v>44517</v>
      </c>
      <c r="E1168" s="176">
        <v>17898.65</v>
      </c>
      <c r="F1168" s="3"/>
      <c r="G1168" s="3"/>
    </row>
    <row r="1169" ht="17.6" spans="4:7">
      <c r="D1169" s="175">
        <v>44516</v>
      </c>
      <c r="E1169" s="176">
        <v>17999.2</v>
      </c>
      <c r="F1169" s="3"/>
      <c r="G1169" s="3"/>
    </row>
    <row r="1170" ht="17.6" spans="4:7">
      <c r="D1170" s="175">
        <v>44515</v>
      </c>
      <c r="E1170" s="176">
        <v>18109.45</v>
      </c>
      <c r="F1170" s="3"/>
      <c r="G1170" s="3"/>
    </row>
    <row r="1171" ht="17.6" spans="4:7">
      <c r="D1171" s="175">
        <v>44512</v>
      </c>
      <c r="E1171" s="176">
        <v>18102.75</v>
      </c>
      <c r="F1171" s="3"/>
      <c r="G1171" s="3"/>
    </row>
    <row r="1172" ht="17.6" spans="4:7">
      <c r="D1172" s="175">
        <v>44511</v>
      </c>
      <c r="E1172" s="176">
        <v>17873.6</v>
      </c>
      <c r="F1172" s="3"/>
      <c r="G1172" s="3"/>
    </row>
    <row r="1173" ht="17.6" spans="4:7">
      <c r="D1173" s="175">
        <v>44510</v>
      </c>
      <c r="E1173" s="176">
        <v>18017.2</v>
      </c>
      <c r="F1173" s="3"/>
      <c r="G1173" s="3"/>
    </row>
    <row r="1174" ht="17.6" spans="4:7">
      <c r="D1174" s="175">
        <v>44509</v>
      </c>
      <c r="E1174" s="176">
        <v>18044.25</v>
      </c>
      <c r="F1174" s="3"/>
      <c r="G1174" s="3"/>
    </row>
    <row r="1175" ht="17.6" spans="4:7">
      <c r="D1175" s="175">
        <v>44508</v>
      </c>
      <c r="E1175" s="176">
        <v>18068.55</v>
      </c>
      <c r="F1175" s="3"/>
      <c r="G1175" s="3"/>
    </row>
    <row r="1176" ht="17.6" spans="4:7">
      <c r="D1176" s="175">
        <v>44504</v>
      </c>
      <c r="E1176" s="176">
        <v>17916.8</v>
      </c>
      <c r="F1176" s="3"/>
      <c r="G1176" s="3"/>
    </row>
    <row r="1177" ht="17.6" spans="4:7">
      <c r="D1177" s="175">
        <v>44503</v>
      </c>
      <c r="E1177" s="176">
        <v>17829.2</v>
      </c>
      <c r="F1177" s="3"/>
      <c r="G1177" s="3"/>
    </row>
    <row r="1178" ht="17.6" spans="4:7">
      <c r="D1178" s="175">
        <v>44502</v>
      </c>
      <c r="E1178" s="176">
        <v>17888.95</v>
      </c>
      <c r="F1178" s="3"/>
      <c r="G1178" s="3"/>
    </row>
    <row r="1179" ht="17.6" spans="4:7">
      <c r="D1179" s="175">
        <v>44501</v>
      </c>
      <c r="E1179" s="176">
        <v>17929.65</v>
      </c>
      <c r="F1179" s="3"/>
      <c r="G1179" s="3"/>
    </row>
    <row r="1180" ht="17.6" spans="4:7">
      <c r="D1180" s="175">
        <v>44498</v>
      </c>
      <c r="E1180" s="176">
        <v>17671.65</v>
      </c>
      <c r="F1180" s="3"/>
      <c r="G1180" s="3"/>
    </row>
    <row r="1181" ht="17.6" spans="4:7">
      <c r="D1181" s="175">
        <v>44497</v>
      </c>
      <c r="E1181" s="176">
        <v>17857.25</v>
      </c>
      <c r="F1181" s="3"/>
      <c r="G1181" s="3"/>
    </row>
    <row r="1182" ht="17.6" spans="4:7">
      <c r="D1182" s="175">
        <v>44496</v>
      </c>
      <c r="E1182" s="176">
        <v>18210.95</v>
      </c>
      <c r="F1182" s="3"/>
      <c r="G1182" s="3"/>
    </row>
    <row r="1183" ht="17.6" spans="4:7">
      <c r="D1183" s="175">
        <v>44495</v>
      </c>
      <c r="E1183" s="176">
        <v>18268.4</v>
      </c>
      <c r="F1183" s="3"/>
      <c r="G1183" s="3"/>
    </row>
    <row r="1184" ht="17.6" spans="4:7">
      <c r="D1184" s="175">
        <v>44494</v>
      </c>
      <c r="E1184" s="176">
        <v>18125.4</v>
      </c>
      <c r="F1184" s="3"/>
      <c r="G1184" s="3"/>
    </row>
    <row r="1185" ht="17.6" spans="4:7">
      <c r="D1185" s="175">
        <v>44491</v>
      </c>
      <c r="E1185" s="176">
        <v>18114.9</v>
      </c>
      <c r="F1185" s="3"/>
      <c r="G1185" s="3"/>
    </row>
    <row r="1186" ht="17.6" spans="4:7">
      <c r="D1186" s="175">
        <v>44490</v>
      </c>
      <c r="E1186" s="176">
        <v>18178.1</v>
      </c>
      <c r="F1186" s="3"/>
      <c r="G1186" s="3"/>
    </row>
    <row r="1187" ht="17.6" spans="4:7">
      <c r="D1187" s="175">
        <v>44489</v>
      </c>
      <c r="E1187" s="176">
        <v>18266.6</v>
      </c>
      <c r="F1187" s="3"/>
      <c r="G1187" s="3"/>
    </row>
    <row r="1188" ht="17.6" spans="4:7">
      <c r="D1188" s="175">
        <v>44488</v>
      </c>
      <c r="E1188" s="176">
        <v>18418.75</v>
      </c>
      <c r="F1188" s="3"/>
      <c r="G1188" s="3"/>
    </row>
    <row r="1189" ht="17.6" spans="4:7">
      <c r="D1189" s="175">
        <v>44487</v>
      </c>
      <c r="E1189" s="176">
        <v>18477.05</v>
      </c>
      <c r="F1189" s="3"/>
      <c r="G1189" s="3"/>
    </row>
    <row r="1190" ht="17.6" spans="4:7">
      <c r="D1190" s="175">
        <v>44483</v>
      </c>
      <c r="E1190" s="176">
        <v>18338.55</v>
      </c>
      <c r="F1190" s="3"/>
      <c r="G1190" s="3"/>
    </row>
    <row r="1191" ht="17.6" spans="4:7">
      <c r="D1191" s="175">
        <v>44482</v>
      </c>
      <c r="E1191" s="176">
        <v>18161.75</v>
      </c>
      <c r="F1191" s="3"/>
      <c r="G1191" s="3"/>
    </row>
    <row r="1192" ht="17.6" spans="4:7">
      <c r="D1192" s="175">
        <v>44481</v>
      </c>
      <c r="E1192" s="176">
        <v>17991.95</v>
      </c>
      <c r="F1192" s="3"/>
      <c r="G1192" s="3"/>
    </row>
    <row r="1193" ht="17.6" spans="4:7">
      <c r="D1193" s="175">
        <v>44480</v>
      </c>
      <c r="E1193" s="176">
        <v>17945.95</v>
      </c>
      <c r="F1193" s="3"/>
      <c r="G1193" s="3"/>
    </row>
    <row r="1194" ht="17.6" spans="4:7">
      <c r="D1194" s="175">
        <v>44477</v>
      </c>
      <c r="E1194" s="176">
        <v>17895.2</v>
      </c>
      <c r="F1194" s="3"/>
      <c r="G1194" s="3"/>
    </row>
    <row r="1195" ht="17.6" spans="4:7">
      <c r="D1195" s="175">
        <v>44476</v>
      </c>
      <c r="E1195" s="176">
        <v>17790.35</v>
      </c>
      <c r="F1195" s="3"/>
      <c r="G1195" s="3"/>
    </row>
    <row r="1196" ht="17.6" spans="4:7">
      <c r="D1196" s="175">
        <v>44475</v>
      </c>
      <c r="E1196" s="176">
        <v>17646</v>
      </c>
      <c r="F1196" s="3"/>
      <c r="G1196" s="3"/>
    </row>
    <row r="1197" ht="17.6" spans="4:7">
      <c r="D1197" s="175">
        <v>44474</v>
      </c>
      <c r="E1197" s="176">
        <v>17822.3</v>
      </c>
      <c r="F1197" s="3"/>
      <c r="G1197" s="3"/>
    </row>
    <row r="1198" ht="17.6" spans="4:7">
      <c r="D1198" s="175">
        <v>44473</v>
      </c>
      <c r="E1198" s="176">
        <v>17691.25</v>
      </c>
      <c r="F1198" s="3"/>
      <c r="G1198" s="3"/>
    </row>
    <row r="1199" ht="17.6" spans="4:7">
      <c r="D1199" s="175">
        <v>44470</v>
      </c>
      <c r="E1199" s="176">
        <v>17532.05</v>
      </c>
      <c r="F1199" s="3"/>
      <c r="G1199" s="3"/>
    </row>
    <row r="1200" ht="17.6" spans="4:7">
      <c r="D1200" s="175">
        <v>44469</v>
      </c>
      <c r="E1200" s="176">
        <v>17618.15</v>
      </c>
      <c r="F1200" s="3"/>
      <c r="G1200" s="3"/>
    </row>
    <row r="1201" ht="17.6" spans="4:7">
      <c r="D1201" s="175">
        <v>44468</v>
      </c>
      <c r="E1201" s="176">
        <v>17711.3</v>
      </c>
      <c r="F1201" s="3"/>
      <c r="G1201" s="3"/>
    </row>
    <row r="1202" ht="17.6" spans="4:7">
      <c r="D1202" s="175">
        <v>44467</v>
      </c>
      <c r="E1202" s="176">
        <v>17748.6</v>
      </c>
      <c r="F1202" s="3"/>
      <c r="G1202" s="3"/>
    </row>
    <row r="1203" ht="17.6" spans="4:7">
      <c r="D1203" s="175">
        <v>44466</v>
      </c>
      <c r="E1203" s="176">
        <v>17855.1</v>
      </c>
      <c r="F1203" s="3"/>
      <c r="G1203" s="3"/>
    </row>
    <row r="1204" ht="17.6" spans="4:7">
      <c r="D1204" s="175">
        <v>44463</v>
      </c>
      <c r="E1204" s="176">
        <v>17853.2</v>
      </c>
      <c r="F1204" s="3"/>
      <c r="G1204" s="3"/>
    </row>
    <row r="1205" ht="17.6" spans="4:7">
      <c r="D1205" s="175">
        <v>44462</v>
      </c>
      <c r="E1205" s="176">
        <v>17822.95</v>
      </c>
      <c r="F1205" s="3"/>
      <c r="G1205" s="3"/>
    </row>
    <row r="1206" ht="17.6" spans="4:7">
      <c r="D1206" s="175">
        <v>44461</v>
      </c>
      <c r="E1206" s="176">
        <v>17546.65</v>
      </c>
      <c r="F1206" s="3"/>
      <c r="G1206" s="3"/>
    </row>
    <row r="1207" ht="17.6" spans="4:7">
      <c r="D1207" s="175">
        <v>44460</v>
      </c>
      <c r="E1207" s="176">
        <v>17562</v>
      </c>
      <c r="F1207" s="3"/>
      <c r="G1207" s="3"/>
    </row>
    <row r="1208" ht="17.6" spans="4:7">
      <c r="D1208" s="175">
        <v>44459</v>
      </c>
      <c r="E1208" s="176">
        <v>17396.9</v>
      </c>
      <c r="F1208" s="3"/>
      <c r="G1208" s="3"/>
    </row>
    <row r="1209" ht="17.6" spans="4:7">
      <c r="D1209" s="175">
        <v>44456</v>
      </c>
      <c r="E1209" s="176">
        <v>17585.15</v>
      </c>
      <c r="F1209" s="3"/>
      <c r="G1209" s="3"/>
    </row>
    <row r="1210" ht="17.6" spans="4:7">
      <c r="D1210" s="175">
        <v>44455</v>
      </c>
      <c r="E1210" s="176">
        <v>17629.5</v>
      </c>
      <c r="F1210" s="3"/>
      <c r="G1210" s="3"/>
    </row>
    <row r="1211" ht="17.6" spans="4:7">
      <c r="D1211" s="175">
        <v>44454</v>
      </c>
      <c r="E1211" s="176">
        <v>17519.45</v>
      </c>
      <c r="F1211" s="3"/>
      <c r="G1211" s="3"/>
    </row>
    <row r="1212" ht="17.6" spans="4:7">
      <c r="D1212" s="175">
        <v>44453</v>
      </c>
      <c r="E1212" s="176">
        <v>17380</v>
      </c>
      <c r="F1212" s="3"/>
      <c r="G1212" s="3"/>
    </row>
    <row r="1213" ht="17.6" spans="4:7">
      <c r="D1213" s="175">
        <v>44452</v>
      </c>
      <c r="E1213" s="176">
        <v>17355.3</v>
      </c>
      <c r="F1213" s="3"/>
      <c r="G1213" s="3"/>
    </row>
    <row r="1214" ht="17.6" spans="4:7">
      <c r="D1214" s="175">
        <v>44448</v>
      </c>
      <c r="E1214" s="176">
        <v>17369.25</v>
      </c>
      <c r="F1214" s="3"/>
      <c r="G1214" s="3"/>
    </row>
    <row r="1215" ht="17.6" spans="4:7">
      <c r="D1215" s="175">
        <v>44447</v>
      </c>
      <c r="E1215" s="176">
        <v>17353.5</v>
      </c>
      <c r="F1215" s="3"/>
      <c r="G1215" s="3"/>
    </row>
    <row r="1216" ht="17.6" spans="4:7">
      <c r="D1216" s="175">
        <v>44446</v>
      </c>
      <c r="E1216" s="176">
        <v>17362.1</v>
      </c>
      <c r="F1216" s="3"/>
      <c r="G1216" s="3"/>
    </row>
    <row r="1217" ht="17.6" spans="4:7">
      <c r="D1217" s="175">
        <v>44445</v>
      </c>
      <c r="E1217" s="176">
        <v>17377.8</v>
      </c>
      <c r="F1217" s="3"/>
      <c r="G1217" s="3"/>
    </row>
    <row r="1218" ht="17.6" spans="4:7">
      <c r="D1218" s="175">
        <v>44442</v>
      </c>
      <c r="E1218" s="176">
        <v>17323.6</v>
      </c>
      <c r="F1218" s="3"/>
      <c r="G1218" s="3"/>
    </row>
    <row r="1219" ht="17.6" spans="4:7">
      <c r="D1219" s="175">
        <v>44441</v>
      </c>
      <c r="E1219" s="176">
        <v>17234.15</v>
      </c>
      <c r="F1219" s="3"/>
      <c r="G1219" s="3"/>
    </row>
    <row r="1220" ht="17.6" spans="4:7">
      <c r="D1220" s="175">
        <v>44440</v>
      </c>
      <c r="E1220" s="176">
        <v>17076.25</v>
      </c>
      <c r="F1220" s="3"/>
      <c r="G1220" s="3"/>
    </row>
    <row r="1221" ht="17.6" spans="4:7">
      <c r="D1221" s="175">
        <v>44439</v>
      </c>
      <c r="E1221" s="176">
        <v>17132.2</v>
      </c>
      <c r="F1221" s="3"/>
      <c r="G1221" s="3"/>
    </row>
    <row r="1222" ht="17.6" spans="4:7">
      <c r="D1222" s="175">
        <v>44438</v>
      </c>
      <c r="E1222" s="176">
        <v>16931.05</v>
      </c>
      <c r="F1222" s="3"/>
      <c r="G1222" s="3"/>
    </row>
    <row r="1223" ht="17.6" spans="4:7">
      <c r="D1223" s="175">
        <v>44435</v>
      </c>
      <c r="E1223" s="176">
        <v>16705.2</v>
      </c>
      <c r="F1223" s="3"/>
      <c r="G1223" s="3"/>
    </row>
    <row r="1224" ht="17.6" spans="4:7">
      <c r="D1224" s="175">
        <v>44434</v>
      </c>
      <c r="E1224" s="176">
        <v>16636.9</v>
      </c>
      <c r="F1224" s="3"/>
      <c r="G1224" s="3"/>
    </row>
    <row r="1225" ht="17.6" spans="4:7">
      <c r="D1225" s="175">
        <v>44433</v>
      </c>
      <c r="E1225" s="176">
        <v>16634.65</v>
      </c>
      <c r="F1225" s="3"/>
      <c r="G1225" s="3"/>
    </row>
    <row r="1226" ht="17.6" spans="4:7">
      <c r="D1226" s="175">
        <v>44432</v>
      </c>
      <c r="E1226" s="176">
        <v>16624.6</v>
      </c>
      <c r="F1226" s="3"/>
      <c r="G1226" s="3"/>
    </row>
    <row r="1227" ht="17.6" spans="4:7">
      <c r="D1227" s="175">
        <v>44431</v>
      </c>
      <c r="E1227" s="176">
        <v>16496.45</v>
      </c>
      <c r="F1227" s="3"/>
      <c r="G1227" s="3"/>
    </row>
    <row r="1228" ht="17.6" spans="4:7">
      <c r="D1228" s="175">
        <v>44428</v>
      </c>
      <c r="E1228" s="176">
        <v>16450.5</v>
      </c>
      <c r="F1228" s="3"/>
      <c r="G1228" s="3"/>
    </row>
    <row r="1229" ht="17.6" spans="4:7">
      <c r="D1229" s="175">
        <v>44426</v>
      </c>
      <c r="E1229" s="176">
        <v>16568.85</v>
      </c>
      <c r="F1229" s="3"/>
      <c r="G1229" s="3"/>
    </row>
    <row r="1230" ht="17.6" spans="4:7">
      <c r="D1230" s="175">
        <v>44425</v>
      </c>
      <c r="E1230" s="176">
        <v>16614.6</v>
      </c>
      <c r="F1230" s="3"/>
      <c r="G1230" s="3"/>
    </row>
    <row r="1231" ht="17.6" spans="4:7">
      <c r="D1231" s="175">
        <v>44424</v>
      </c>
      <c r="E1231" s="176">
        <v>16563.05</v>
      </c>
      <c r="F1231" s="3"/>
      <c r="G1231" s="3"/>
    </row>
    <row r="1232" ht="17.6" spans="4:7">
      <c r="D1232" s="175">
        <v>44421</v>
      </c>
      <c r="E1232" s="176">
        <v>16529.1</v>
      </c>
      <c r="F1232" s="3"/>
      <c r="G1232" s="3"/>
    </row>
    <row r="1233" ht="17.6" spans="4:7">
      <c r="D1233" s="175">
        <v>44420</v>
      </c>
      <c r="E1233" s="176">
        <v>16364.4</v>
      </c>
      <c r="F1233" s="3"/>
      <c r="G1233" s="3"/>
    </row>
    <row r="1234" ht="17.6" spans="4:7">
      <c r="D1234" s="175">
        <v>44419</v>
      </c>
      <c r="E1234" s="176">
        <v>16282.25</v>
      </c>
      <c r="F1234" s="3"/>
      <c r="G1234" s="3"/>
    </row>
    <row r="1235" ht="17.6" spans="4:7">
      <c r="D1235" s="175">
        <v>44418</v>
      </c>
      <c r="E1235" s="176">
        <v>16280.1</v>
      </c>
      <c r="F1235" s="3"/>
      <c r="G1235" s="3"/>
    </row>
    <row r="1236" ht="17.6" spans="4:7">
      <c r="D1236" s="175">
        <v>44417</v>
      </c>
      <c r="E1236" s="176">
        <v>16258.25</v>
      </c>
      <c r="F1236" s="3"/>
      <c r="G1236" s="3"/>
    </row>
    <row r="1237" ht="17.6" spans="4:7">
      <c r="D1237" s="175">
        <v>44414</v>
      </c>
      <c r="E1237" s="176">
        <v>16238.2</v>
      </c>
      <c r="F1237" s="3"/>
      <c r="G1237" s="3"/>
    </row>
    <row r="1238" ht="17.6" spans="4:7">
      <c r="D1238" s="175">
        <v>44413</v>
      </c>
      <c r="E1238" s="176">
        <v>16294.6</v>
      </c>
      <c r="F1238" s="3"/>
      <c r="G1238" s="3"/>
    </row>
    <row r="1239" ht="17.6" spans="4:7">
      <c r="D1239" s="175">
        <v>44412</v>
      </c>
      <c r="E1239" s="176">
        <v>16258.8</v>
      </c>
      <c r="F1239" s="3"/>
      <c r="G1239" s="3"/>
    </row>
    <row r="1240" ht="17.6" spans="4:7">
      <c r="D1240" s="175">
        <v>44411</v>
      </c>
      <c r="E1240" s="176">
        <v>16130.75</v>
      </c>
      <c r="F1240" s="3"/>
      <c r="G1240" s="3"/>
    </row>
    <row r="1241" ht="17.6" spans="4:7">
      <c r="D1241" s="175">
        <v>44410</v>
      </c>
      <c r="E1241" s="176">
        <v>15885.15</v>
      </c>
      <c r="F1241" s="3"/>
      <c r="G1241" s="3"/>
    </row>
    <row r="1242" ht="17.6" spans="4:7">
      <c r="D1242" s="175">
        <v>44407</v>
      </c>
      <c r="E1242" s="176">
        <v>15763.05</v>
      </c>
      <c r="F1242" s="3"/>
      <c r="G1242" s="3"/>
    </row>
    <row r="1243" ht="17.6" spans="4:7">
      <c r="D1243" s="175">
        <v>44406</v>
      </c>
      <c r="E1243" s="176">
        <v>15778.45</v>
      </c>
      <c r="F1243" s="3"/>
      <c r="G1243" s="3"/>
    </row>
    <row r="1244" ht="17.6" spans="4:7">
      <c r="D1244" s="175">
        <v>44405</v>
      </c>
      <c r="E1244" s="176">
        <v>15709.4</v>
      </c>
      <c r="F1244" s="3"/>
      <c r="G1244" s="3"/>
    </row>
    <row r="1245" ht="17.6" spans="4:7">
      <c r="D1245" s="175">
        <v>44404</v>
      </c>
      <c r="E1245" s="176">
        <v>15746.45</v>
      </c>
      <c r="F1245" s="3"/>
      <c r="G1245" s="3"/>
    </row>
    <row r="1246" ht="17.6" spans="4:7">
      <c r="D1246" s="175">
        <v>44403</v>
      </c>
      <c r="E1246" s="176">
        <v>15824.45</v>
      </c>
      <c r="F1246" s="3"/>
      <c r="G1246" s="3"/>
    </row>
    <row r="1247" ht="17.6" spans="4:7">
      <c r="D1247" s="175">
        <v>44400</v>
      </c>
      <c r="E1247" s="176">
        <v>15856.05</v>
      </c>
      <c r="F1247" s="3"/>
      <c r="G1247" s="3"/>
    </row>
    <row r="1248" ht="17.6" spans="4:7">
      <c r="D1248" s="175">
        <v>44399</v>
      </c>
      <c r="E1248" s="176">
        <v>15824.05</v>
      </c>
      <c r="F1248" s="3"/>
      <c r="G1248" s="3"/>
    </row>
    <row r="1249" ht="17.6" spans="4:7">
      <c r="D1249" s="175">
        <v>44397</v>
      </c>
      <c r="E1249" s="176">
        <v>15632.1</v>
      </c>
      <c r="F1249" s="3"/>
      <c r="G1249" s="3"/>
    </row>
    <row r="1250" ht="17.6" spans="4:7">
      <c r="D1250" s="175">
        <v>44396</v>
      </c>
      <c r="E1250" s="176">
        <v>15752.4</v>
      </c>
      <c r="F1250" s="3"/>
      <c r="G1250" s="3"/>
    </row>
    <row r="1251" ht="17.6" spans="4:7">
      <c r="D1251" s="175">
        <v>44393</v>
      </c>
      <c r="E1251" s="176">
        <v>15923.4</v>
      </c>
      <c r="F1251" s="3"/>
      <c r="G1251" s="3"/>
    </row>
    <row r="1252" ht="17.6" spans="4:7">
      <c r="D1252" s="175">
        <v>44392</v>
      </c>
      <c r="E1252" s="176">
        <v>15924.2</v>
      </c>
      <c r="F1252" s="3"/>
      <c r="G1252" s="3"/>
    </row>
    <row r="1253" ht="17.6" spans="4:7">
      <c r="D1253" s="175">
        <v>44391</v>
      </c>
      <c r="E1253" s="176">
        <v>15853.95</v>
      </c>
      <c r="F1253" s="3"/>
      <c r="G1253" s="3"/>
    </row>
    <row r="1254" ht="17.6" spans="4:7">
      <c r="D1254" s="175">
        <v>44390</v>
      </c>
      <c r="E1254" s="176">
        <v>15812.35</v>
      </c>
      <c r="F1254" s="3"/>
      <c r="G1254" s="3"/>
    </row>
    <row r="1255" ht="17.6" spans="4:7">
      <c r="D1255" s="175">
        <v>44389</v>
      </c>
      <c r="E1255" s="176">
        <v>15692.6</v>
      </c>
      <c r="F1255" s="3"/>
      <c r="G1255" s="3"/>
    </row>
    <row r="1256" ht="17.6" spans="4:7">
      <c r="D1256" s="175">
        <v>44386</v>
      </c>
      <c r="E1256" s="176">
        <v>15689.8</v>
      </c>
      <c r="F1256" s="3"/>
      <c r="G1256" s="3"/>
    </row>
    <row r="1257" ht="17.6" spans="4:7">
      <c r="D1257" s="175">
        <v>44385</v>
      </c>
      <c r="E1257" s="176">
        <v>15727.9</v>
      </c>
      <c r="F1257" s="3"/>
      <c r="G1257" s="3"/>
    </row>
    <row r="1258" ht="17.6" spans="4:7">
      <c r="D1258" s="175">
        <v>44384</v>
      </c>
      <c r="E1258" s="176">
        <v>15879.65</v>
      </c>
      <c r="F1258" s="3"/>
      <c r="G1258" s="3"/>
    </row>
    <row r="1259" ht="17.6" spans="4:7">
      <c r="D1259" s="175">
        <v>44383</v>
      </c>
      <c r="E1259" s="176">
        <v>15818.25</v>
      </c>
      <c r="F1259" s="3"/>
      <c r="G1259" s="3"/>
    </row>
    <row r="1260" ht="17.6" spans="4:7">
      <c r="D1260" s="175">
        <v>44382</v>
      </c>
      <c r="E1260" s="176">
        <v>15834.35</v>
      </c>
      <c r="F1260" s="3"/>
      <c r="G1260" s="3"/>
    </row>
    <row r="1261" ht="17.6" spans="4:7">
      <c r="D1261" s="175">
        <v>44379</v>
      </c>
      <c r="E1261" s="176">
        <v>15722.2</v>
      </c>
      <c r="F1261" s="3"/>
      <c r="G1261" s="3"/>
    </row>
    <row r="1262" ht="17.6" spans="4:7">
      <c r="D1262" s="175">
        <v>44378</v>
      </c>
      <c r="E1262" s="176">
        <v>15680</v>
      </c>
      <c r="F1262" s="3"/>
      <c r="G1262" s="3"/>
    </row>
    <row r="1263" ht="17.6" spans="4:7">
      <c r="D1263" s="175">
        <v>44377</v>
      </c>
      <c r="E1263" s="176">
        <v>15721.5</v>
      </c>
      <c r="F1263" s="3"/>
      <c r="G1263" s="3"/>
    </row>
    <row r="1264" ht="17.6" spans="4:7">
      <c r="D1264" s="175">
        <v>44376</v>
      </c>
      <c r="E1264" s="176">
        <v>15748.45</v>
      </c>
      <c r="F1264" s="3"/>
      <c r="G1264" s="3"/>
    </row>
    <row r="1265" ht="17.6" spans="4:7">
      <c r="D1265" s="175">
        <v>44375</v>
      </c>
      <c r="E1265" s="176">
        <v>15814.7</v>
      </c>
      <c r="F1265" s="3"/>
      <c r="G1265" s="3"/>
    </row>
    <row r="1266" ht="17.6" spans="4:7">
      <c r="D1266" s="175">
        <v>44372</v>
      </c>
      <c r="E1266" s="176">
        <v>15860.35</v>
      </c>
      <c r="F1266" s="3"/>
      <c r="G1266" s="3"/>
    </row>
    <row r="1267" ht="17.6" spans="4:7">
      <c r="D1267" s="175">
        <v>44371</v>
      </c>
      <c r="E1267" s="176">
        <v>15790.45</v>
      </c>
      <c r="F1267" s="3"/>
      <c r="G1267" s="3"/>
    </row>
    <row r="1268" ht="17.6" spans="4:7">
      <c r="D1268" s="175">
        <v>44370</v>
      </c>
      <c r="E1268" s="176">
        <v>15686.95</v>
      </c>
      <c r="F1268" s="3"/>
      <c r="G1268" s="3"/>
    </row>
    <row r="1269" ht="17.6" spans="4:7">
      <c r="D1269" s="175">
        <v>44369</v>
      </c>
      <c r="E1269" s="176">
        <v>15772.75</v>
      </c>
      <c r="F1269" s="3"/>
      <c r="G1269" s="3"/>
    </row>
    <row r="1270" ht="17.6" spans="4:7">
      <c r="D1270" s="175">
        <v>44368</v>
      </c>
      <c r="E1270" s="176">
        <v>15746.5</v>
      </c>
      <c r="F1270" s="3"/>
      <c r="G1270" s="3"/>
    </row>
    <row r="1271" ht="17.6" spans="4:7">
      <c r="D1271" s="175">
        <v>44365</v>
      </c>
      <c r="E1271" s="176">
        <v>15683.35</v>
      </c>
      <c r="F1271" s="3"/>
      <c r="G1271" s="3"/>
    </row>
    <row r="1272" ht="17.6" spans="4:7">
      <c r="D1272" s="175">
        <v>44364</v>
      </c>
      <c r="E1272" s="176">
        <v>15691.4</v>
      </c>
      <c r="F1272" s="3"/>
      <c r="G1272" s="3"/>
    </row>
    <row r="1273" ht="17.6" spans="4:7">
      <c r="D1273" s="175">
        <v>44363</v>
      </c>
      <c r="E1273" s="176">
        <v>15767.55</v>
      </c>
      <c r="F1273" s="3"/>
      <c r="G1273" s="3"/>
    </row>
    <row r="1274" ht="17.6" spans="4:7">
      <c r="D1274" s="175">
        <v>44362</v>
      </c>
      <c r="E1274" s="176">
        <v>15869.25</v>
      </c>
      <c r="F1274" s="3"/>
      <c r="G1274" s="3"/>
    </row>
    <row r="1275" ht="17.6" spans="4:7">
      <c r="D1275" s="175">
        <v>44361</v>
      </c>
      <c r="E1275" s="176">
        <v>15811.85</v>
      </c>
      <c r="F1275" s="3"/>
      <c r="G1275" s="3"/>
    </row>
    <row r="1276" ht="17.6" spans="4:7">
      <c r="D1276" s="175">
        <v>44358</v>
      </c>
      <c r="E1276" s="176">
        <v>15799.35</v>
      </c>
      <c r="F1276" s="3"/>
      <c r="G1276" s="3"/>
    </row>
    <row r="1277" ht="17.6" spans="4:7">
      <c r="D1277" s="175">
        <v>44357</v>
      </c>
      <c r="E1277" s="176">
        <v>15737.75</v>
      </c>
      <c r="F1277" s="3"/>
      <c r="G1277" s="3"/>
    </row>
    <row r="1278" ht="17.6" spans="4:7">
      <c r="D1278" s="175">
        <v>44356</v>
      </c>
      <c r="E1278" s="176">
        <v>15635.35</v>
      </c>
      <c r="F1278" s="3"/>
      <c r="G1278" s="3"/>
    </row>
    <row r="1279" ht="17.6" spans="4:7">
      <c r="D1279" s="175">
        <v>44355</v>
      </c>
      <c r="E1279" s="176">
        <v>15740.1</v>
      </c>
      <c r="F1279" s="3"/>
      <c r="G1279" s="3"/>
    </row>
    <row r="1280" ht="17.6" spans="4:7">
      <c r="D1280" s="175">
        <v>44354</v>
      </c>
      <c r="E1280" s="176">
        <v>15751.65</v>
      </c>
      <c r="F1280" s="3"/>
      <c r="G1280" s="3"/>
    </row>
    <row r="1281" ht="17.6" spans="4:7">
      <c r="D1281" s="175">
        <v>44351</v>
      </c>
      <c r="E1281" s="176">
        <v>15670.25</v>
      </c>
      <c r="F1281" s="3"/>
      <c r="G1281" s="3"/>
    </row>
    <row r="1282" ht="17.6" spans="4:7">
      <c r="D1282" s="175">
        <v>44350</v>
      </c>
      <c r="E1282" s="176">
        <v>15690.35</v>
      </c>
      <c r="F1282" s="3"/>
      <c r="G1282" s="3"/>
    </row>
    <row r="1283" ht="17.6" spans="4:7">
      <c r="D1283" s="175">
        <v>44349</v>
      </c>
      <c r="E1283" s="176">
        <v>15576.2</v>
      </c>
      <c r="F1283" s="3"/>
      <c r="G1283" s="3"/>
    </row>
    <row r="1284" ht="17.6" spans="4:7">
      <c r="D1284" s="175">
        <v>44348</v>
      </c>
      <c r="E1284" s="176">
        <v>15574.85</v>
      </c>
      <c r="F1284" s="3"/>
      <c r="G1284" s="3"/>
    </row>
    <row r="1285" ht="17.6" spans="4:7">
      <c r="D1285" s="175">
        <v>44347</v>
      </c>
      <c r="E1285" s="176">
        <v>15582.8</v>
      </c>
      <c r="F1285" s="3"/>
      <c r="G1285" s="3"/>
    </row>
    <row r="1286" ht="17.6" spans="4:7">
      <c r="D1286" s="175">
        <v>44344</v>
      </c>
      <c r="E1286" s="176">
        <v>15435.65</v>
      </c>
      <c r="F1286" s="3"/>
      <c r="G1286" s="3"/>
    </row>
    <row r="1287" ht="17.6" spans="4:7">
      <c r="D1287" s="175">
        <v>44343</v>
      </c>
      <c r="E1287" s="176">
        <v>15337.85</v>
      </c>
      <c r="F1287" s="3"/>
      <c r="G1287" s="3"/>
    </row>
    <row r="1288" ht="17.6" spans="4:7">
      <c r="D1288" s="175">
        <v>44342</v>
      </c>
      <c r="E1288" s="176">
        <v>15301.45</v>
      </c>
      <c r="F1288" s="3"/>
      <c r="G1288" s="3"/>
    </row>
    <row r="1289" ht="17.6" spans="4:7">
      <c r="D1289" s="175">
        <v>44341</v>
      </c>
      <c r="E1289" s="176">
        <v>15208.45</v>
      </c>
      <c r="F1289" s="3"/>
      <c r="G1289" s="3"/>
    </row>
    <row r="1290" ht="17.6" spans="4:7">
      <c r="D1290" s="175">
        <v>44340</v>
      </c>
      <c r="E1290" s="176">
        <v>15197.7</v>
      </c>
      <c r="F1290" s="3"/>
      <c r="G1290" s="3"/>
    </row>
    <row r="1291" ht="17.6" spans="4:7">
      <c r="D1291" s="175">
        <v>44337</v>
      </c>
      <c r="E1291" s="176">
        <v>15175.3</v>
      </c>
      <c r="F1291" s="3"/>
      <c r="G1291" s="3"/>
    </row>
    <row r="1292" ht="17.6" spans="4:7">
      <c r="D1292" s="175">
        <v>44336</v>
      </c>
      <c r="E1292" s="176">
        <v>14906.05</v>
      </c>
      <c r="F1292" s="3"/>
      <c r="G1292" s="3"/>
    </row>
    <row r="1293" ht="17.6" spans="4:7">
      <c r="D1293" s="175">
        <v>44335</v>
      </c>
      <c r="E1293" s="176">
        <v>15030.15</v>
      </c>
      <c r="F1293" s="3"/>
      <c r="G1293" s="3"/>
    </row>
    <row r="1294" ht="17.6" spans="4:7">
      <c r="D1294" s="175">
        <v>44334</v>
      </c>
      <c r="E1294" s="176">
        <v>15108.1</v>
      </c>
      <c r="F1294" s="3"/>
      <c r="G1294" s="3"/>
    </row>
    <row r="1295" ht="17.6" spans="4:7">
      <c r="D1295" s="175">
        <v>44333</v>
      </c>
      <c r="E1295" s="176">
        <v>14923.15</v>
      </c>
      <c r="F1295" s="3"/>
      <c r="G1295" s="3"/>
    </row>
    <row r="1296" ht="17.6" spans="4:7">
      <c r="D1296" s="175">
        <v>44330</v>
      </c>
      <c r="E1296" s="176">
        <v>14677.8</v>
      </c>
      <c r="F1296" s="3"/>
      <c r="G1296" s="3"/>
    </row>
    <row r="1297" ht="17.6" spans="4:7">
      <c r="D1297" s="175">
        <v>44328</v>
      </c>
      <c r="E1297" s="176">
        <v>14696.5</v>
      </c>
      <c r="F1297" s="3"/>
      <c r="G1297" s="3"/>
    </row>
    <row r="1298" ht="17.6" spans="4:7">
      <c r="D1298" s="175">
        <v>44327</v>
      </c>
      <c r="E1298" s="176">
        <v>14850.75</v>
      </c>
      <c r="F1298" s="3"/>
      <c r="G1298" s="3"/>
    </row>
    <row r="1299" ht="17.6" spans="4:7">
      <c r="D1299" s="175">
        <v>44326</v>
      </c>
      <c r="E1299" s="176">
        <v>14942.35</v>
      </c>
      <c r="F1299" s="3"/>
      <c r="G1299" s="3"/>
    </row>
    <row r="1300" ht="17.6" spans="4:7">
      <c r="D1300" s="175">
        <v>44323</v>
      </c>
      <c r="E1300" s="176">
        <v>14823.15</v>
      </c>
      <c r="F1300" s="3"/>
      <c r="G1300" s="3"/>
    </row>
    <row r="1301" ht="17.6" spans="4:7">
      <c r="D1301" s="175">
        <v>44322</v>
      </c>
      <c r="E1301" s="176">
        <v>14724.8</v>
      </c>
      <c r="F1301" s="3"/>
      <c r="G1301" s="3"/>
    </row>
    <row r="1302" ht="17.6" spans="4:7">
      <c r="D1302" s="175">
        <v>44321</v>
      </c>
      <c r="E1302" s="176">
        <v>14617.85</v>
      </c>
      <c r="F1302" s="3"/>
      <c r="G1302" s="3"/>
    </row>
    <row r="1303" ht="17.6" spans="4:7">
      <c r="D1303" s="175">
        <v>44320</v>
      </c>
      <c r="E1303" s="176">
        <v>14496.5</v>
      </c>
      <c r="F1303" s="3"/>
      <c r="G1303" s="3"/>
    </row>
    <row r="1304" ht="17.6" spans="4:7">
      <c r="D1304" s="175">
        <v>44319</v>
      </c>
      <c r="E1304" s="176">
        <v>14634.15</v>
      </c>
      <c r="F1304" s="3"/>
      <c r="G1304" s="3"/>
    </row>
    <row r="1305" ht="17.6" spans="4:7">
      <c r="D1305" s="175">
        <v>44316</v>
      </c>
      <c r="E1305" s="176">
        <v>14631.1</v>
      </c>
      <c r="F1305" s="3"/>
      <c r="G1305" s="3"/>
    </row>
    <row r="1306" ht="17.6" spans="4:7">
      <c r="D1306" s="175">
        <v>44315</v>
      </c>
      <c r="E1306" s="176">
        <v>14894.9</v>
      </c>
      <c r="F1306" s="3"/>
      <c r="G1306" s="3"/>
    </row>
    <row r="1307" ht="17.6" spans="4:7">
      <c r="D1307" s="175">
        <v>44314</v>
      </c>
      <c r="E1307" s="176">
        <v>14864.55</v>
      </c>
      <c r="F1307" s="3"/>
      <c r="G1307" s="3"/>
    </row>
    <row r="1308" ht="17.6" spans="4:7">
      <c r="D1308" s="175">
        <v>44313</v>
      </c>
      <c r="E1308" s="176">
        <v>14653.05</v>
      </c>
      <c r="F1308" s="3"/>
      <c r="G1308" s="3"/>
    </row>
    <row r="1309" ht="17.6" spans="4:7">
      <c r="D1309" s="175">
        <v>44312</v>
      </c>
      <c r="E1309" s="176">
        <v>14485</v>
      </c>
      <c r="F1309" s="3"/>
      <c r="G1309" s="3"/>
    </row>
    <row r="1310" ht="17.6" spans="4:7">
      <c r="D1310" s="175">
        <v>44309</v>
      </c>
      <c r="E1310" s="176">
        <v>14341.35</v>
      </c>
      <c r="F1310" s="3"/>
      <c r="G1310" s="3"/>
    </row>
    <row r="1311" ht="17.6" spans="4:7">
      <c r="D1311" s="175">
        <v>44308</v>
      </c>
      <c r="E1311" s="176">
        <v>14406.15</v>
      </c>
      <c r="F1311" s="3"/>
      <c r="G1311" s="3"/>
    </row>
    <row r="1312" ht="17.6" spans="4:7">
      <c r="D1312" s="175">
        <v>44306</v>
      </c>
      <c r="E1312" s="176">
        <v>14296.4</v>
      </c>
      <c r="F1312" s="3"/>
      <c r="G1312" s="3"/>
    </row>
    <row r="1313" ht="17.6" spans="4:7">
      <c r="D1313" s="175">
        <v>44305</v>
      </c>
      <c r="E1313" s="176">
        <v>14359.45</v>
      </c>
      <c r="F1313" s="3"/>
      <c r="G1313" s="3"/>
    </row>
    <row r="1314" ht="17.6" spans="4:7">
      <c r="D1314" s="175">
        <v>44302</v>
      </c>
      <c r="E1314" s="176">
        <v>14617.85</v>
      </c>
      <c r="F1314" s="3"/>
      <c r="G1314" s="3"/>
    </row>
    <row r="1315" ht="17.6" spans="4:7">
      <c r="D1315" s="175">
        <v>44301</v>
      </c>
      <c r="E1315" s="176">
        <v>14581.45</v>
      </c>
      <c r="F1315" s="3"/>
      <c r="G1315" s="3"/>
    </row>
    <row r="1316" ht="17.6" spans="4:7">
      <c r="D1316" s="175">
        <v>44299</v>
      </c>
      <c r="E1316" s="176">
        <v>14504.8</v>
      </c>
      <c r="F1316" s="3"/>
      <c r="G1316" s="3"/>
    </row>
    <row r="1317" ht="17.6" spans="4:7">
      <c r="D1317" s="175">
        <v>44298</v>
      </c>
      <c r="E1317" s="176">
        <v>14310.8</v>
      </c>
      <c r="F1317" s="3"/>
      <c r="G1317" s="3"/>
    </row>
    <row r="1318" ht="17.6" spans="4:7">
      <c r="D1318" s="175">
        <v>44295</v>
      </c>
      <c r="E1318" s="176">
        <v>14834.85</v>
      </c>
      <c r="F1318" s="3"/>
      <c r="G1318" s="3"/>
    </row>
    <row r="1319" ht="17.6" spans="4:7">
      <c r="D1319" s="175">
        <v>44294</v>
      </c>
      <c r="E1319" s="176">
        <v>14873.8</v>
      </c>
      <c r="F1319" s="3"/>
      <c r="G1319" s="3"/>
    </row>
    <row r="1320" ht="17.6" spans="4:7">
      <c r="D1320" s="175">
        <v>44293</v>
      </c>
      <c r="E1320" s="176">
        <v>14819.05</v>
      </c>
      <c r="F1320" s="3"/>
      <c r="G1320" s="3"/>
    </row>
    <row r="1321" ht="17.6" spans="4:7">
      <c r="D1321" s="175">
        <v>44292</v>
      </c>
      <c r="E1321" s="176">
        <v>14683.5</v>
      </c>
      <c r="F1321" s="3"/>
      <c r="G1321" s="3"/>
    </row>
    <row r="1322" ht="17.6" spans="4:7">
      <c r="D1322" s="175">
        <v>44291</v>
      </c>
      <c r="E1322" s="176">
        <v>14637.8</v>
      </c>
      <c r="F1322" s="3"/>
      <c r="G1322" s="3"/>
    </row>
    <row r="1323" ht="17.6" spans="4:7">
      <c r="D1323" s="175">
        <v>44287</v>
      </c>
      <c r="E1323" s="176">
        <v>14867.35</v>
      </c>
      <c r="F1323" s="3"/>
      <c r="G1323" s="3"/>
    </row>
    <row r="1324" ht="17.6" spans="4:7">
      <c r="D1324" s="175">
        <v>44286</v>
      </c>
      <c r="E1324" s="176">
        <v>14690.7</v>
      </c>
      <c r="F1324" s="3"/>
      <c r="G1324" s="3"/>
    </row>
    <row r="1325" ht="17.6" spans="4:7">
      <c r="D1325" s="175">
        <v>44285</v>
      </c>
      <c r="E1325" s="176">
        <v>14845.1</v>
      </c>
      <c r="F1325" s="3"/>
      <c r="G1325" s="3"/>
    </row>
    <row r="1326" ht="17.6" spans="4:7">
      <c r="D1326" s="175">
        <v>44281</v>
      </c>
      <c r="E1326" s="176">
        <v>14507.3</v>
      </c>
      <c r="F1326" s="3"/>
      <c r="G1326" s="3"/>
    </row>
    <row r="1327" ht="17.6" spans="4:7">
      <c r="D1327" s="175">
        <v>44280</v>
      </c>
      <c r="E1327" s="176">
        <v>14324.9</v>
      </c>
      <c r="F1327" s="3"/>
      <c r="G1327" s="3"/>
    </row>
    <row r="1328" ht="17.6" spans="4:7">
      <c r="D1328" s="175">
        <v>44279</v>
      </c>
      <c r="E1328" s="176">
        <v>14549.4</v>
      </c>
      <c r="F1328" s="3"/>
      <c r="G1328" s="3"/>
    </row>
    <row r="1329" ht="17.6" spans="4:7">
      <c r="D1329" s="175">
        <v>44278</v>
      </c>
      <c r="E1329" s="176">
        <v>14814.75</v>
      </c>
      <c r="F1329" s="3"/>
      <c r="G1329" s="3"/>
    </row>
    <row r="1330" ht="17.6" spans="4:7">
      <c r="D1330" s="175">
        <v>44277</v>
      </c>
      <c r="E1330" s="176">
        <v>14736.4</v>
      </c>
      <c r="F1330" s="3"/>
      <c r="G1330" s="3"/>
    </row>
    <row r="1331" ht="17.6" spans="4:7">
      <c r="D1331" s="175">
        <v>44274</v>
      </c>
      <c r="E1331" s="176">
        <v>14744</v>
      </c>
      <c r="F1331" s="3"/>
      <c r="G1331" s="3"/>
    </row>
    <row r="1332" ht="17.6" spans="4:7">
      <c r="D1332" s="175">
        <v>44273</v>
      </c>
      <c r="E1332" s="176">
        <v>14557.85</v>
      </c>
      <c r="F1332" s="3"/>
      <c r="G1332" s="3"/>
    </row>
    <row r="1333" ht="17.6" spans="4:7">
      <c r="D1333" s="175">
        <v>44272</v>
      </c>
      <c r="E1333" s="176">
        <v>14721.3</v>
      </c>
      <c r="F1333" s="3"/>
      <c r="G1333" s="3"/>
    </row>
    <row r="1334" ht="17.6" spans="4:7">
      <c r="D1334" s="175">
        <v>44271</v>
      </c>
      <c r="E1334" s="176">
        <v>14910.45</v>
      </c>
      <c r="F1334" s="3"/>
      <c r="G1334" s="3"/>
    </row>
    <row r="1335" ht="17.6" spans="4:7">
      <c r="D1335" s="175">
        <v>44270</v>
      </c>
      <c r="E1335" s="176">
        <v>14929.5</v>
      </c>
      <c r="F1335" s="3"/>
      <c r="G1335" s="3"/>
    </row>
    <row r="1336" ht="17.6" spans="4:7">
      <c r="D1336" s="175">
        <v>44267</v>
      </c>
      <c r="E1336" s="176">
        <v>15030.95</v>
      </c>
      <c r="F1336" s="3"/>
      <c r="G1336" s="3"/>
    </row>
    <row r="1337" ht="17.6" spans="4:7">
      <c r="D1337" s="175">
        <v>44265</v>
      </c>
      <c r="E1337" s="176">
        <v>15174.8</v>
      </c>
      <c r="F1337" s="3"/>
      <c r="G1337" s="3"/>
    </row>
    <row r="1338" ht="17.6" spans="4:7">
      <c r="D1338" s="175">
        <v>44264</v>
      </c>
      <c r="E1338" s="176">
        <v>15098.4</v>
      </c>
      <c r="F1338" s="3"/>
      <c r="G1338" s="3"/>
    </row>
    <row r="1339" ht="17.6" spans="4:7">
      <c r="D1339" s="175">
        <v>44263</v>
      </c>
      <c r="E1339" s="176">
        <v>14956.2</v>
      </c>
      <c r="F1339" s="3"/>
      <c r="G1339" s="3"/>
    </row>
    <row r="1340" ht="17.6" spans="4:7">
      <c r="D1340" s="175">
        <v>44260</v>
      </c>
      <c r="E1340" s="176">
        <v>14938.1</v>
      </c>
      <c r="F1340" s="3"/>
      <c r="G1340" s="3"/>
    </row>
    <row r="1341" ht="17.6" spans="4:7">
      <c r="D1341" s="175">
        <v>44259</v>
      </c>
      <c r="E1341" s="176">
        <v>15080.75</v>
      </c>
      <c r="F1341" s="3"/>
      <c r="G1341" s="3"/>
    </row>
    <row r="1342" ht="17.6" spans="4:7">
      <c r="D1342" s="175">
        <v>44258</v>
      </c>
      <c r="E1342" s="176">
        <v>15245.6</v>
      </c>
      <c r="F1342" s="3"/>
      <c r="G1342" s="3"/>
    </row>
    <row r="1343" ht="17.6" spans="4:7">
      <c r="D1343" s="175">
        <v>44257</v>
      </c>
      <c r="E1343" s="176">
        <v>14919.1</v>
      </c>
      <c r="F1343" s="3"/>
      <c r="G1343" s="3"/>
    </row>
    <row r="1344" ht="17.6" spans="4:7">
      <c r="D1344" s="175">
        <v>44256</v>
      </c>
      <c r="E1344" s="176">
        <v>14761.55</v>
      </c>
      <c r="F1344" s="3"/>
      <c r="G1344" s="3"/>
    </row>
    <row r="1345" ht="17.6" spans="4:7">
      <c r="D1345" s="175">
        <v>44253</v>
      </c>
      <c r="E1345" s="176">
        <v>14529.15</v>
      </c>
      <c r="F1345" s="3"/>
      <c r="G1345" s="3"/>
    </row>
    <row r="1346" ht="17.6" spans="4:7">
      <c r="D1346" s="175">
        <v>44252</v>
      </c>
      <c r="E1346" s="176">
        <v>15097.35</v>
      </c>
      <c r="F1346" s="3"/>
      <c r="G1346" s="3"/>
    </row>
    <row r="1347" ht="17.6" spans="4:7">
      <c r="D1347" s="175">
        <v>44251</v>
      </c>
      <c r="E1347" s="176">
        <v>14982</v>
      </c>
      <c r="F1347" s="3"/>
      <c r="G1347" s="3"/>
    </row>
    <row r="1348" ht="17.6" spans="4:7">
      <c r="D1348" s="175">
        <v>44250</v>
      </c>
      <c r="E1348" s="176">
        <v>14707.8</v>
      </c>
      <c r="F1348" s="3"/>
      <c r="G1348" s="3"/>
    </row>
    <row r="1349" ht="17.6" spans="4:7">
      <c r="D1349" s="175">
        <v>44249</v>
      </c>
      <c r="E1349" s="176">
        <v>14675.7</v>
      </c>
      <c r="F1349" s="3"/>
      <c r="G1349" s="3"/>
    </row>
    <row r="1350" ht="17.6" spans="4:7">
      <c r="D1350" s="175">
        <v>44246</v>
      </c>
      <c r="E1350" s="176">
        <v>14981.75</v>
      </c>
      <c r="F1350" s="3"/>
      <c r="G1350" s="3"/>
    </row>
    <row r="1351" ht="17.6" spans="4:7">
      <c r="D1351" s="175">
        <v>44245</v>
      </c>
      <c r="E1351" s="176">
        <v>15118.95</v>
      </c>
      <c r="F1351" s="3"/>
      <c r="G1351" s="3"/>
    </row>
    <row r="1352" ht="17.6" spans="4:7">
      <c r="D1352" s="175">
        <v>44244</v>
      </c>
      <c r="E1352" s="176">
        <v>15208.9</v>
      </c>
      <c r="F1352" s="3"/>
      <c r="G1352" s="3"/>
    </row>
    <row r="1353" ht="17.6" spans="4:7">
      <c r="D1353" s="175">
        <v>44243</v>
      </c>
      <c r="E1353" s="176">
        <v>15313.45</v>
      </c>
      <c r="F1353" s="3"/>
      <c r="G1353" s="3"/>
    </row>
    <row r="1354" ht="17.6" spans="4:7">
      <c r="D1354" s="175">
        <v>44242</v>
      </c>
      <c r="E1354" s="176">
        <v>15314.7</v>
      </c>
      <c r="F1354" s="3"/>
      <c r="G1354" s="3"/>
    </row>
    <row r="1355" ht="17.6" spans="4:7">
      <c r="D1355" s="175">
        <v>44239</v>
      </c>
      <c r="E1355" s="176">
        <v>15163.3</v>
      </c>
      <c r="F1355" s="3"/>
      <c r="G1355" s="3"/>
    </row>
    <row r="1356" ht="17.6" spans="4:7">
      <c r="D1356" s="175">
        <v>44238</v>
      </c>
      <c r="E1356" s="176">
        <v>15173.3</v>
      </c>
      <c r="F1356" s="3"/>
      <c r="G1356" s="3"/>
    </row>
    <row r="1357" ht="17.6" spans="4:7">
      <c r="D1357" s="175">
        <v>44237</v>
      </c>
      <c r="E1357" s="176">
        <v>15106.5</v>
      </c>
      <c r="F1357" s="3"/>
      <c r="G1357" s="3"/>
    </row>
    <row r="1358" ht="17.6" spans="4:7">
      <c r="D1358" s="175">
        <v>44236</v>
      </c>
      <c r="E1358" s="176">
        <v>15109.3</v>
      </c>
      <c r="F1358" s="3"/>
      <c r="G1358" s="3"/>
    </row>
    <row r="1359" ht="17.6" spans="4:7">
      <c r="D1359" s="175">
        <v>44235</v>
      </c>
      <c r="E1359" s="176">
        <v>15115.8</v>
      </c>
      <c r="F1359" s="3"/>
      <c r="G1359" s="3"/>
    </row>
    <row r="1360" ht="17.6" spans="4:7">
      <c r="D1360" s="175">
        <v>44232</v>
      </c>
      <c r="E1360" s="176">
        <v>14924.25</v>
      </c>
      <c r="F1360" s="3"/>
      <c r="G1360" s="3"/>
    </row>
    <row r="1361" ht="17.6" spans="4:7">
      <c r="D1361" s="175">
        <v>44231</v>
      </c>
      <c r="E1361" s="176">
        <v>14895.65</v>
      </c>
      <c r="F1361" s="3"/>
      <c r="G1361" s="3"/>
    </row>
    <row r="1362" ht="17.6" spans="4:7">
      <c r="D1362" s="175">
        <v>44230</v>
      </c>
      <c r="E1362" s="176">
        <v>14789.95</v>
      </c>
      <c r="F1362" s="3"/>
      <c r="G1362" s="3"/>
    </row>
    <row r="1363" ht="17.6" spans="4:7">
      <c r="D1363" s="175">
        <v>44229</v>
      </c>
      <c r="E1363" s="176">
        <v>14647.85</v>
      </c>
      <c r="F1363" s="3"/>
      <c r="G1363" s="3"/>
    </row>
    <row r="1364" ht="17.6" spans="4:7">
      <c r="D1364" s="175">
        <v>44228</v>
      </c>
      <c r="E1364" s="176">
        <v>14281.2</v>
      </c>
      <c r="F1364" s="3"/>
      <c r="G1364" s="3"/>
    </row>
    <row r="1365" ht="17.6" spans="4:7">
      <c r="D1365" s="175">
        <v>44225</v>
      </c>
      <c r="E1365" s="176">
        <v>13634.6</v>
      </c>
      <c r="F1365" s="3"/>
      <c r="G1365" s="3"/>
    </row>
    <row r="1366" ht="17.6" spans="4:7">
      <c r="D1366" s="175">
        <v>44224</v>
      </c>
      <c r="E1366" s="176">
        <v>13817.55</v>
      </c>
      <c r="F1366" s="3"/>
      <c r="G1366" s="3"/>
    </row>
    <row r="1367" ht="17.6" spans="4:7">
      <c r="D1367" s="175">
        <v>44223</v>
      </c>
      <c r="E1367" s="176">
        <v>13967.5</v>
      </c>
      <c r="F1367" s="3"/>
      <c r="G1367" s="3"/>
    </row>
    <row r="1368" ht="17.6" spans="4:7">
      <c r="D1368" s="175">
        <v>44221</v>
      </c>
      <c r="E1368" s="176">
        <v>14238.9</v>
      </c>
      <c r="F1368" s="3"/>
      <c r="G1368" s="3"/>
    </row>
    <row r="1369" ht="17.6" spans="4:7">
      <c r="D1369" s="175">
        <v>44218</v>
      </c>
      <c r="E1369" s="176">
        <v>14371.9</v>
      </c>
      <c r="F1369" s="3"/>
      <c r="G1369" s="3"/>
    </row>
    <row r="1370" ht="17.6" spans="4:7">
      <c r="D1370" s="175">
        <v>44217</v>
      </c>
      <c r="E1370" s="176">
        <v>14590.35</v>
      </c>
      <c r="F1370" s="3"/>
      <c r="G1370" s="3"/>
    </row>
    <row r="1371" ht="17.6" spans="4:7">
      <c r="D1371" s="175">
        <v>44216</v>
      </c>
      <c r="E1371" s="176">
        <v>14644.7</v>
      </c>
      <c r="F1371" s="3"/>
      <c r="G1371" s="3"/>
    </row>
    <row r="1372" ht="17.6" spans="4:7">
      <c r="D1372" s="175">
        <v>44215</v>
      </c>
      <c r="E1372" s="176">
        <v>14521.15</v>
      </c>
      <c r="F1372" s="3"/>
      <c r="G1372" s="3"/>
    </row>
    <row r="1373" ht="17.6" spans="4:7">
      <c r="D1373" s="175">
        <v>44214</v>
      </c>
      <c r="E1373" s="176">
        <v>14281.3</v>
      </c>
      <c r="F1373" s="3"/>
      <c r="G1373" s="3"/>
    </row>
    <row r="1374" ht="17.6" spans="4:7">
      <c r="D1374" s="175">
        <v>44211</v>
      </c>
      <c r="E1374" s="176">
        <v>14433.7</v>
      </c>
      <c r="F1374" s="3"/>
      <c r="G1374" s="3"/>
    </row>
    <row r="1375" ht="17.6" spans="4:7">
      <c r="D1375" s="175">
        <v>44210</v>
      </c>
      <c r="E1375" s="176">
        <v>14595.6</v>
      </c>
      <c r="F1375" s="3"/>
      <c r="G1375" s="3"/>
    </row>
    <row r="1376" ht="17.6" spans="4:7">
      <c r="D1376" s="175">
        <v>44209</v>
      </c>
      <c r="E1376" s="176">
        <v>14564.85</v>
      </c>
      <c r="F1376" s="3"/>
      <c r="G1376" s="3"/>
    </row>
    <row r="1377" ht="17.6" spans="4:7">
      <c r="D1377" s="175">
        <v>44208</v>
      </c>
      <c r="E1377" s="176">
        <v>14563.45</v>
      </c>
      <c r="F1377" s="3"/>
      <c r="G1377" s="3"/>
    </row>
    <row r="1378" ht="17.6" spans="4:7">
      <c r="D1378" s="175">
        <v>44207</v>
      </c>
      <c r="E1378" s="176">
        <v>14484.75</v>
      </c>
      <c r="F1378" s="3"/>
      <c r="G1378" s="3"/>
    </row>
    <row r="1379" ht="17.6" spans="4:7">
      <c r="D1379" s="175">
        <v>44204</v>
      </c>
      <c r="E1379" s="176">
        <v>14347.25</v>
      </c>
      <c r="F1379" s="3"/>
      <c r="G1379" s="3"/>
    </row>
    <row r="1380" ht="17.6" spans="4:7">
      <c r="D1380" s="175">
        <v>44203</v>
      </c>
      <c r="E1380" s="176">
        <v>14137.35</v>
      </c>
      <c r="F1380" s="3"/>
      <c r="G1380" s="3"/>
    </row>
    <row r="1381" ht="17.6" spans="4:7">
      <c r="D1381" s="175">
        <v>44202</v>
      </c>
      <c r="E1381" s="176">
        <v>14146.25</v>
      </c>
      <c r="F1381" s="3"/>
      <c r="G1381" s="3"/>
    </row>
    <row r="1382" ht="17.6" spans="4:7">
      <c r="D1382" s="175">
        <v>44201</v>
      </c>
      <c r="E1382" s="176">
        <v>14199.5</v>
      </c>
      <c r="F1382" s="3"/>
      <c r="G1382" s="3"/>
    </row>
    <row r="1383" ht="17.6" spans="4:7">
      <c r="D1383" s="175">
        <v>44200</v>
      </c>
      <c r="E1383" s="176">
        <v>14132.9</v>
      </c>
      <c r="F1383" s="3"/>
      <c r="G1383" s="3"/>
    </row>
    <row r="1384" ht="17.6" spans="4:7">
      <c r="D1384" s="175">
        <v>44197</v>
      </c>
      <c r="E1384" s="176">
        <v>14018.5</v>
      </c>
      <c r="F1384" s="3"/>
      <c r="G1384" s="3"/>
    </row>
    <row r="1385" ht="17.6" spans="4:7">
      <c r="D1385" s="175">
        <v>44196</v>
      </c>
      <c r="E1385" s="176">
        <v>13981.75</v>
      </c>
      <c r="F1385" s="3"/>
      <c r="G1385" s="3"/>
    </row>
    <row r="1386" ht="17.6" spans="4:7">
      <c r="D1386" s="175">
        <v>44195</v>
      </c>
      <c r="E1386" s="176">
        <v>13981.95</v>
      </c>
      <c r="F1386" s="3"/>
      <c r="G1386" s="3"/>
    </row>
    <row r="1387" ht="17.6" spans="4:7">
      <c r="D1387" s="175">
        <v>44194</v>
      </c>
      <c r="E1387" s="176">
        <v>13932.6</v>
      </c>
      <c r="F1387" s="3"/>
      <c r="G1387" s="3"/>
    </row>
    <row r="1388" ht="17.6" spans="4:7">
      <c r="D1388" s="175">
        <v>44193</v>
      </c>
      <c r="E1388" s="176">
        <v>13873.2</v>
      </c>
      <c r="F1388" s="3"/>
      <c r="G1388" s="3"/>
    </row>
    <row r="1389" ht="17.6" spans="4:7">
      <c r="D1389" s="175">
        <v>44189</v>
      </c>
      <c r="E1389" s="176">
        <v>13749.25</v>
      </c>
      <c r="F1389" s="3"/>
      <c r="G1389" s="3"/>
    </row>
    <row r="1390" ht="17.6" spans="4:7">
      <c r="D1390" s="175">
        <v>44188</v>
      </c>
      <c r="E1390" s="176">
        <v>13601.1</v>
      </c>
      <c r="F1390" s="3"/>
      <c r="G1390" s="3"/>
    </row>
    <row r="1391" ht="17.6" spans="4:7">
      <c r="D1391" s="175">
        <v>44187</v>
      </c>
      <c r="E1391" s="176">
        <v>13466.3</v>
      </c>
      <c r="F1391" s="3"/>
      <c r="G1391" s="3"/>
    </row>
    <row r="1392" ht="17.6" spans="4:7">
      <c r="D1392" s="175">
        <v>44186</v>
      </c>
      <c r="E1392" s="176">
        <v>13328.4</v>
      </c>
      <c r="F1392" s="3"/>
      <c r="G1392" s="3"/>
    </row>
    <row r="1393" ht="17.6" spans="4:7">
      <c r="D1393" s="175">
        <v>44183</v>
      </c>
      <c r="E1393" s="176">
        <v>13760.55</v>
      </c>
      <c r="F1393" s="3"/>
      <c r="G1393" s="3"/>
    </row>
    <row r="1394" ht="17.6" spans="4:7">
      <c r="D1394" s="175">
        <v>44182</v>
      </c>
      <c r="E1394" s="176">
        <v>13740.7</v>
      </c>
      <c r="F1394" s="3"/>
      <c r="G1394" s="3"/>
    </row>
    <row r="1395" ht="17.6" spans="4:7">
      <c r="D1395" s="175">
        <v>44181</v>
      </c>
      <c r="E1395" s="176">
        <v>13682.7</v>
      </c>
      <c r="F1395" s="3"/>
      <c r="G1395" s="3"/>
    </row>
    <row r="1396" ht="17.6" spans="4:7">
      <c r="D1396" s="175">
        <v>44180</v>
      </c>
      <c r="E1396" s="176">
        <v>13567.85</v>
      </c>
      <c r="F1396" s="3"/>
      <c r="G1396" s="3"/>
    </row>
    <row r="1397" ht="17.6" spans="4:7">
      <c r="D1397" s="175">
        <v>44179</v>
      </c>
      <c r="E1397" s="176">
        <v>13558.15</v>
      </c>
      <c r="F1397" s="3"/>
      <c r="G1397" s="3"/>
    </row>
    <row r="1398" ht="17.6" spans="4:7">
      <c r="D1398" s="175">
        <v>44176</v>
      </c>
      <c r="E1398" s="176">
        <v>13513.85</v>
      </c>
      <c r="F1398" s="3"/>
      <c r="G1398" s="3"/>
    </row>
    <row r="1399" ht="17.6" spans="4:7">
      <c r="D1399" s="175">
        <v>44175</v>
      </c>
      <c r="E1399" s="176">
        <v>13478.3</v>
      </c>
      <c r="F1399" s="3"/>
      <c r="G1399" s="3"/>
    </row>
    <row r="1400" ht="17.6" spans="4:7">
      <c r="D1400" s="175">
        <v>44174</v>
      </c>
      <c r="E1400" s="176">
        <v>13529.1</v>
      </c>
      <c r="F1400" s="3"/>
      <c r="G1400" s="3"/>
    </row>
    <row r="1401" ht="17.6" spans="4:7">
      <c r="D1401" s="175">
        <v>44173</v>
      </c>
      <c r="E1401" s="176">
        <v>13392.95</v>
      </c>
      <c r="F1401" s="3"/>
      <c r="G1401" s="3"/>
    </row>
    <row r="1402" ht="17.6" spans="4:7">
      <c r="D1402" s="175">
        <v>44172</v>
      </c>
      <c r="E1402" s="176">
        <v>13355.75</v>
      </c>
      <c r="F1402" s="3"/>
      <c r="G1402" s="3"/>
    </row>
    <row r="1403" ht="17.6" spans="4:7">
      <c r="D1403" s="175">
        <v>44169</v>
      </c>
      <c r="E1403" s="176">
        <v>13258.55</v>
      </c>
      <c r="F1403" s="3"/>
      <c r="G1403" s="3"/>
    </row>
    <row r="1404" ht="17.6" spans="4:7">
      <c r="D1404" s="175">
        <v>44168</v>
      </c>
      <c r="E1404" s="176">
        <v>13133.9</v>
      </c>
      <c r="F1404" s="3"/>
      <c r="G1404" s="3"/>
    </row>
    <row r="1405" ht="17.6" spans="4:7">
      <c r="D1405" s="175">
        <v>44167</v>
      </c>
      <c r="E1405" s="176">
        <v>13113.75</v>
      </c>
      <c r="F1405" s="3"/>
      <c r="G1405" s="3"/>
    </row>
    <row r="1406" ht="17.6" spans="4:7">
      <c r="D1406" s="175">
        <v>44166</v>
      </c>
      <c r="E1406" s="176">
        <v>13109.05</v>
      </c>
      <c r="F1406" s="3"/>
      <c r="G1406" s="3"/>
    </row>
    <row r="1407" ht="17.6" spans="4:7">
      <c r="D1407" s="175">
        <v>44162</v>
      </c>
      <c r="E1407" s="176">
        <v>12968.95</v>
      </c>
      <c r="F1407" s="3"/>
      <c r="G1407" s="3"/>
    </row>
    <row r="1408" ht="17.6" spans="4:7">
      <c r="D1408" s="175">
        <v>44161</v>
      </c>
      <c r="E1408" s="176">
        <v>12987</v>
      </c>
      <c r="F1408" s="3"/>
      <c r="G1408" s="3"/>
    </row>
    <row r="1409" ht="17.6" spans="4:7">
      <c r="D1409" s="175">
        <v>44160</v>
      </c>
      <c r="E1409" s="176">
        <v>12858.4</v>
      </c>
      <c r="F1409" s="3"/>
      <c r="G1409" s="3"/>
    </row>
    <row r="1410" ht="17.6" spans="4:7">
      <c r="D1410" s="175">
        <v>44159</v>
      </c>
      <c r="E1410" s="176">
        <v>13055.15</v>
      </c>
      <c r="F1410" s="3"/>
      <c r="G1410" s="3"/>
    </row>
    <row r="1411" ht="17.6" spans="4:7">
      <c r="D1411" s="175">
        <v>44158</v>
      </c>
      <c r="E1411" s="176">
        <v>12926.45</v>
      </c>
      <c r="F1411" s="3"/>
      <c r="G1411" s="3"/>
    </row>
    <row r="1412" ht="17.6" spans="4:7">
      <c r="D1412" s="175">
        <v>44155</v>
      </c>
      <c r="E1412" s="176">
        <v>12859.05</v>
      </c>
      <c r="F1412" s="3"/>
      <c r="G1412" s="3"/>
    </row>
    <row r="1413" ht="17.6" spans="4:7">
      <c r="D1413" s="175">
        <v>44154</v>
      </c>
      <c r="E1413" s="176">
        <v>12771.7</v>
      </c>
      <c r="F1413" s="3"/>
      <c r="G1413" s="3"/>
    </row>
    <row r="1414" ht="17.6" spans="4:7">
      <c r="D1414" s="175">
        <v>44153</v>
      </c>
      <c r="E1414" s="176">
        <v>12938.25</v>
      </c>
      <c r="F1414" s="3"/>
      <c r="G1414" s="3"/>
    </row>
    <row r="1415" ht="17.6" spans="4:7">
      <c r="D1415" s="175">
        <v>44152</v>
      </c>
      <c r="E1415" s="176">
        <v>12874.2</v>
      </c>
      <c r="F1415" s="3"/>
      <c r="G1415" s="3"/>
    </row>
    <row r="1416" ht="17.6" spans="4:7">
      <c r="D1416" s="175">
        <v>44149</v>
      </c>
      <c r="E1416" s="176">
        <v>12780.25</v>
      </c>
      <c r="F1416" s="3"/>
      <c r="G1416" s="3"/>
    </row>
    <row r="1417" ht="17.6" spans="4:7">
      <c r="D1417" s="175">
        <v>44148</v>
      </c>
      <c r="E1417" s="176">
        <v>12719.95</v>
      </c>
      <c r="F1417" s="3"/>
      <c r="G1417" s="3"/>
    </row>
    <row r="1418" ht="17.6" spans="4:7">
      <c r="D1418" s="175">
        <v>44147</v>
      </c>
      <c r="E1418" s="176">
        <v>12690.8</v>
      </c>
      <c r="F1418" s="3"/>
      <c r="G1418" s="3"/>
    </row>
    <row r="1419" ht="17.6" spans="4:7">
      <c r="D1419" s="175">
        <v>44146</v>
      </c>
      <c r="E1419" s="176">
        <v>12749.15</v>
      </c>
      <c r="F1419" s="3"/>
      <c r="G1419" s="3"/>
    </row>
    <row r="1420" ht="17.6" spans="4:7">
      <c r="D1420" s="175">
        <v>44145</v>
      </c>
      <c r="E1420" s="176">
        <v>12631.1</v>
      </c>
      <c r="F1420" s="3"/>
      <c r="G1420" s="3"/>
    </row>
    <row r="1421" ht="17.6" spans="4:7">
      <c r="D1421" s="175">
        <v>44144</v>
      </c>
      <c r="E1421" s="176">
        <v>12461.05</v>
      </c>
      <c r="F1421" s="3"/>
      <c r="G1421" s="3"/>
    </row>
    <row r="1422" ht="17.6" spans="4:7">
      <c r="D1422" s="175">
        <v>44141</v>
      </c>
      <c r="E1422" s="176">
        <v>12263.55</v>
      </c>
      <c r="F1422" s="3"/>
      <c r="G1422" s="3"/>
    </row>
    <row r="1423" ht="17.6" spans="4:7">
      <c r="D1423" s="175">
        <v>44140</v>
      </c>
      <c r="E1423" s="176">
        <v>12120.3</v>
      </c>
      <c r="F1423" s="3"/>
      <c r="G1423" s="3"/>
    </row>
    <row r="1424" ht="17.6" spans="4:7">
      <c r="D1424" s="175">
        <v>44139</v>
      </c>
      <c r="E1424" s="176">
        <v>11908.5</v>
      </c>
      <c r="F1424" s="3"/>
      <c r="G1424" s="3"/>
    </row>
    <row r="1425" ht="17.6" spans="4:7">
      <c r="D1425" s="175">
        <v>44138</v>
      </c>
      <c r="E1425" s="176">
        <v>11813.5</v>
      </c>
      <c r="F1425" s="3"/>
      <c r="G1425" s="3"/>
    </row>
    <row r="1426" ht="17.6" spans="4:7">
      <c r="D1426" s="175">
        <v>44137</v>
      </c>
      <c r="E1426" s="176">
        <v>11669.15</v>
      </c>
      <c r="F1426" s="3"/>
      <c r="G1426" s="3"/>
    </row>
    <row r="1427" ht="17.6" spans="4:7">
      <c r="D1427" s="175">
        <v>44134</v>
      </c>
      <c r="E1427" s="176">
        <v>11642.4</v>
      </c>
      <c r="F1427" s="3"/>
      <c r="G1427" s="3"/>
    </row>
    <row r="1428" ht="17.6" spans="4:7">
      <c r="D1428" s="175">
        <v>44133</v>
      </c>
      <c r="E1428" s="176">
        <v>11670.8</v>
      </c>
      <c r="F1428" s="3"/>
      <c r="G1428" s="3"/>
    </row>
    <row r="1429" ht="17.6" spans="4:7">
      <c r="D1429" s="175">
        <v>44132</v>
      </c>
      <c r="E1429" s="176">
        <v>11729.6</v>
      </c>
      <c r="F1429" s="3"/>
      <c r="G1429" s="3"/>
    </row>
    <row r="1430" ht="17.6" spans="4:7">
      <c r="D1430" s="175">
        <v>44131</v>
      </c>
      <c r="E1430" s="176">
        <v>11889.4</v>
      </c>
      <c r="F1430" s="3"/>
      <c r="G1430" s="3"/>
    </row>
    <row r="1431" ht="17.6" spans="4:7">
      <c r="D1431" s="175">
        <v>44130</v>
      </c>
      <c r="E1431" s="176">
        <v>11767.75</v>
      </c>
      <c r="F1431" s="3"/>
      <c r="G1431" s="3"/>
    </row>
    <row r="1432" ht="17.6" spans="4:7">
      <c r="D1432" s="175">
        <v>44127</v>
      </c>
      <c r="E1432" s="176">
        <v>11930.35</v>
      </c>
      <c r="F1432" s="3"/>
      <c r="G1432" s="3"/>
    </row>
    <row r="1433" ht="17.6" spans="4:7">
      <c r="D1433" s="175">
        <v>44126</v>
      </c>
      <c r="E1433" s="176">
        <v>11896.45</v>
      </c>
      <c r="F1433" s="3"/>
      <c r="G1433" s="3"/>
    </row>
    <row r="1434" ht="17.6" spans="4:7">
      <c r="D1434" s="175">
        <v>44125</v>
      </c>
      <c r="E1434" s="176">
        <v>11937.65</v>
      </c>
      <c r="F1434" s="3"/>
      <c r="G1434" s="3"/>
    </row>
    <row r="1435" ht="17.6" spans="4:7">
      <c r="D1435" s="175">
        <v>44124</v>
      </c>
      <c r="E1435" s="176">
        <v>11896.8</v>
      </c>
      <c r="F1435" s="3"/>
      <c r="G1435" s="3"/>
    </row>
    <row r="1436" ht="17.6" spans="4:7">
      <c r="D1436" s="175">
        <v>44123</v>
      </c>
      <c r="E1436" s="176">
        <v>11873.05</v>
      </c>
      <c r="F1436" s="3"/>
      <c r="G1436" s="3"/>
    </row>
    <row r="1437" ht="17.6" spans="4:7">
      <c r="D1437" s="175">
        <v>44120</v>
      </c>
      <c r="E1437" s="176">
        <v>11762.45</v>
      </c>
      <c r="F1437" s="3"/>
      <c r="G1437" s="3"/>
    </row>
    <row r="1438" ht="17.6" spans="4:7">
      <c r="D1438" s="175">
        <v>44119</v>
      </c>
      <c r="E1438" s="176">
        <v>11680.35</v>
      </c>
      <c r="F1438" s="3"/>
      <c r="G1438" s="3"/>
    </row>
    <row r="1439" ht="17.6" spans="4:7">
      <c r="D1439" s="175">
        <v>44118</v>
      </c>
      <c r="E1439" s="176">
        <v>11971.05</v>
      </c>
      <c r="F1439" s="3"/>
      <c r="G1439" s="3"/>
    </row>
    <row r="1440" ht="17.6" spans="4:7">
      <c r="D1440" s="175">
        <v>44117</v>
      </c>
      <c r="E1440" s="176">
        <v>11934.5</v>
      </c>
      <c r="F1440" s="3"/>
      <c r="G1440" s="3"/>
    </row>
    <row r="1441" ht="17.6" spans="4:7">
      <c r="D1441" s="175">
        <v>44116</v>
      </c>
      <c r="E1441" s="176">
        <v>11930.95</v>
      </c>
      <c r="F1441" s="3"/>
      <c r="G1441" s="3"/>
    </row>
    <row r="1442" ht="17.6" spans="4:7">
      <c r="D1442" s="175">
        <v>44113</v>
      </c>
      <c r="E1442" s="176">
        <v>11914.2</v>
      </c>
      <c r="F1442" s="3"/>
      <c r="G1442" s="3"/>
    </row>
    <row r="1443" ht="17.6" spans="4:7">
      <c r="D1443" s="175">
        <v>44112</v>
      </c>
      <c r="E1443" s="176">
        <v>11834.6</v>
      </c>
      <c r="F1443" s="3"/>
      <c r="G1443" s="3"/>
    </row>
    <row r="1444" ht="17.6" spans="4:7">
      <c r="D1444" s="175">
        <v>44111</v>
      </c>
      <c r="E1444" s="176">
        <v>11738.85</v>
      </c>
      <c r="F1444" s="3"/>
      <c r="G1444" s="3"/>
    </row>
    <row r="1445" ht="17.6" spans="4:7">
      <c r="D1445" s="175">
        <v>44110</v>
      </c>
      <c r="E1445" s="176">
        <v>11662.4</v>
      </c>
      <c r="F1445" s="3"/>
      <c r="G1445" s="3"/>
    </row>
    <row r="1446" ht="17.6" spans="4:7">
      <c r="D1446" s="175">
        <v>44109</v>
      </c>
      <c r="E1446" s="176">
        <v>11503.35</v>
      </c>
      <c r="F1446" s="3"/>
      <c r="G1446" s="3"/>
    </row>
    <row r="1447" ht="17.6" spans="4:7">
      <c r="D1447" s="175">
        <v>44105</v>
      </c>
      <c r="E1447" s="176">
        <v>11416.95</v>
      </c>
      <c r="F1447" s="3"/>
      <c r="G1447" s="3"/>
    </row>
    <row r="1448" ht="17.6" spans="4:7">
      <c r="D1448" s="175">
        <v>44104</v>
      </c>
      <c r="E1448" s="176">
        <v>11247.55</v>
      </c>
      <c r="F1448" s="3"/>
      <c r="G1448" s="3"/>
    </row>
    <row r="1449" ht="17.6" spans="4:7">
      <c r="D1449" s="175">
        <v>44103</v>
      </c>
      <c r="E1449" s="176">
        <v>11222.4</v>
      </c>
      <c r="F1449" s="3"/>
      <c r="G1449" s="3"/>
    </row>
    <row r="1450" ht="17.6" spans="4:7">
      <c r="D1450" s="175">
        <v>44102</v>
      </c>
      <c r="E1450" s="176">
        <v>11227.55</v>
      </c>
      <c r="F1450" s="3"/>
      <c r="G1450" s="3"/>
    </row>
    <row r="1451" ht="17.6" spans="4:7">
      <c r="D1451" s="175">
        <v>44099</v>
      </c>
      <c r="E1451" s="176">
        <v>11050.25</v>
      </c>
      <c r="F1451" s="3"/>
      <c r="G1451" s="3"/>
    </row>
    <row r="1452" ht="17.6" spans="4:7">
      <c r="D1452" s="175">
        <v>44098</v>
      </c>
      <c r="E1452" s="176">
        <v>10805.55</v>
      </c>
      <c r="F1452" s="3"/>
      <c r="G1452" s="3"/>
    </row>
    <row r="1453" ht="17.6" spans="4:7">
      <c r="D1453" s="175">
        <v>44097</v>
      </c>
      <c r="E1453" s="176">
        <v>11131.85</v>
      </c>
      <c r="F1453" s="3"/>
      <c r="G1453" s="3"/>
    </row>
    <row r="1454" ht="17.6" spans="4:7">
      <c r="D1454" s="175">
        <v>44096</v>
      </c>
      <c r="E1454" s="176">
        <v>11153.65</v>
      </c>
      <c r="F1454" s="3"/>
      <c r="G1454" s="3"/>
    </row>
    <row r="1455" ht="17.6" spans="4:7">
      <c r="D1455" s="175">
        <v>44095</v>
      </c>
      <c r="E1455" s="176">
        <v>11250.55</v>
      </c>
      <c r="F1455" s="3"/>
      <c r="G1455" s="3"/>
    </row>
    <row r="1456" ht="17.6" spans="4:7">
      <c r="D1456" s="175">
        <v>44092</v>
      </c>
      <c r="E1456" s="176">
        <v>11504.95</v>
      </c>
      <c r="F1456" s="3"/>
      <c r="G1456" s="3"/>
    </row>
    <row r="1457" ht="17.6" spans="4:7">
      <c r="D1457" s="175">
        <v>44091</v>
      </c>
      <c r="E1457" s="176">
        <v>11516.1</v>
      </c>
      <c r="F1457" s="3"/>
      <c r="G1457" s="3"/>
    </row>
    <row r="1458" ht="17.6" spans="4:7">
      <c r="D1458" s="175">
        <v>44090</v>
      </c>
      <c r="E1458" s="176">
        <v>11604.55</v>
      </c>
      <c r="F1458" s="3"/>
      <c r="G1458" s="3"/>
    </row>
    <row r="1459" ht="17.6" spans="4:7">
      <c r="D1459" s="175">
        <v>44089</v>
      </c>
      <c r="E1459" s="176">
        <v>11521.8</v>
      </c>
      <c r="F1459" s="3"/>
      <c r="G1459" s="3"/>
    </row>
    <row r="1460" ht="17.6" spans="4:7">
      <c r="D1460" s="175">
        <v>44088</v>
      </c>
      <c r="E1460" s="176">
        <v>11440.05</v>
      </c>
      <c r="F1460" s="3"/>
      <c r="G1460" s="3"/>
    </row>
    <row r="1461" ht="17.6" spans="4:7">
      <c r="D1461" s="175">
        <v>44085</v>
      </c>
      <c r="E1461" s="176">
        <v>11464.45</v>
      </c>
      <c r="F1461" s="3"/>
      <c r="G1461" s="3"/>
    </row>
    <row r="1462" ht="17.6" spans="4:7">
      <c r="D1462" s="175">
        <v>44084</v>
      </c>
      <c r="E1462" s="176">
        <v>11449.25</v>
      </c>
      <c r="F1462" s="3"/>
      <c r="G1462" s="3"/>
    </row>
    <row r="1463" ht="17.6" spans="4:7">
      <c r="D1463" s="175">
        <v>44083</v>
      </c>
      <c r="E1463" s="176">
        <v>11278</v>
      </c>
      <c r="F1463" s="3"/>
      <c r="G1463" s="3"/>
    </row>
    <row r="1464" ht="17.6" spans="4:7">
      <c r="D1464" s="175">
        <v>44082</v>
      </c>
      <c r="E1464" s="176">
        <v>11317.35</v>
      </c>
      <c r="F1464" s="3"/>
      <c r="G1464" s="3"/>
    </row>
    <row r="1465" ht="17.6" spans="4:7">
      <c r="D1465" s="175">
        <v>44081</v>
      </c>
      <c r="E1465" s="176">
        <v>11355.05</v>
      </c>
      <c r="F1465" s="3"/>
      <c r="G1465" s="3"/>
    </row>
    <row r="1466" ht="17.6" spans="4:7">
      <c r="D1466" s="175">
        <v>44078</v>
      </c>
      <c r="E1466" s="176">
        <v>11333.85</v>
      </c>
      <c r="F1466" s="3"/>
      <c r="G1466" s="3"/>
    </row>
    <row r="1467" ht="17.6" spans="4:7">
      <c r="D1467" s="175">
        <v>44077</v>
      </c>
      <c r="E1467" s="176">
        <v>11527.45</v>
      </c>
      <c r="F1467" s="3"/>
      <c r="G1467" s="3"/>
    </row>
    <row r="1468" ht="17.6" spans="4:7">
      <c r="D1468" s="175">
        <v>44076</v>
      </c>
      <c r="E1468" s="176">
        <v>11535</v>
      </c>
      <c r="F1468" s="3"/>
      <c r="G1468" s="3"/>
    </row>
    <row r="1469" ht="17.6" spans="4:7">
      <c r="D1469" s="175">
        <v>44075</v>
      </c>
      <c r="E1469" s="176">
        <v>11470.25</v>
      </c>
      <c r="F1469" s="3"/>
      <c r="G1469" s="3"/>
    </row>
    <row r="1470" ht="17.6" spans="4:7">
      <c r="D1470" s="175">
        <v>44074</v>
      </c>
      <c r="E1470" s="176">
        <v>11387.5</v>
      </c>
      <c r="F1470" s="3"/>
      <c r="G1470" s="3"/>
    </row>
    <row r="1471" ht="17.6" spans="4:7">
      <c r="D1471" s="175">
        <v>44071</v>
      </c>
      <c r="E1471" s="176">
        <v>11647.6</v>
      </c>
      <c r="F1471" s="3"/>
      <c r="G1471" s="3"/>
    </row>
    <row r="1472" ht="17.6" spans="4:7">
      <c r="D1472" s="175">
        <v>44070</v>
      </c>
      <c r="E1472" s="176">
        <v>11559.25</v>
      </c>
      <c r="F1472" s="3"/>
      <c r="G1472" s="3"/>
    </row>
    <row r="1473" ht="17.6" spans="4:7">
      <c r="D1473" s="175">
        <v>44069</v>
      </c>
      <c r="E1473" s="176">
        <v>11549.6</v>
      </c>
      <c r="F1473" s="3"/>
      <c r="G1473" s="3"/>
    </row>
    <row r="1474" ht="17.6" spans="4:7">
      <c r="D1474" s="175">
        <v>44068</v>
      </c>
      <c r="E1474" s="176">
        <v>11472.25</v>
      </c>
      <c r="F1474" s="3"/>
      <c r="G1474" s="3"/>
    </row>
    <row r="1475" ht="17.6" spans="4:7">
      <c r="D1475" s="175">
        <v>44067</v>
      </c>
      <c r="E1475" s="176">
        <v>11466.45</v>
      </c>
      <c r="F1475" s="3"/>
      <c r="G1475" s="3"/>
    </row>
    <row r="1476" ht="17.6" spans="4:7">
      <c r="D1476" s="175">
        <v>44064</v>
      </c>
      <c r="E1476" s="176">
        <v>11371.6</v>
      </c>
      <c r="F1476" s="3"/>
      <c r="G1476" s="3"/>
    </row>
    <row r="1477" ht="17.6" spans="4:7">
      <c r="D1477" s="175">
        <v>44063</v>
      </c>
      <c r="E1477" s="176">
        <v>11312.2</v>
      </c>
      <c r="F1477" s="3"/>
      <c r="G1477" s="3"/>
    </row>
    <row r="1478" ht="17.6" spans="4:7">
      <c r="D1478" s="175">
        <v>44062</v>
      </c>
      <c r="E1478" s="176">
        <v>11408.4</v>
      </c>
      <c r="F1478" s="3"/>
      <c r="G1478" s="3"/>
    </row>
    <row r="1479" ht="17.6" spans="4:7">
      <c r="D1479" s="175">
        <v>44061</v>
      </c>
      <c r="E1479" s="176">
        <v>11385.35</v>
      </c>
      <c r="F1479" s="3"/>
      <c r="G1479" s="3"/>
    </row>
    <row r="1480" ht="17.6" spans="4:7">
      <c r="D1480" s="175">
        <v>44060</v>
      </c>
      <c r="E1480" s="176">
        <v>11247.1</v>
      </c>
      <c r="F1480" s="3"/>
      <c r="G1480" s="3"/>
    </row>
    <row r="1481" ht="17.6" spans="4:7">
      <c r="D1481" s="175">
        <v>44057</v>
      </c>
      <c r="E1481" s="176">
        <v>11178.4</v>
      </c>
      <c r="F1481" s="3"/>
      <c r="G1481" s="3"/>
    </row>
    <row r="1482" ht="17.6" spans="4:7">
      <c r="D1482" s="175">
        <v>44056</v>
      </c>
      <c r="E1482" s="176">
        <v>11300.45</v>
      </c>
      <c r="F1482" s="3"/>
      <c r="G1482" s="3"/>
    </row>
    <row r="1483" ht="17.6" spans="4:7">
      <c r="D1483" s="175">
        <v>44055</v>
      </c>
      <c r="E1483" s="176">
        <v>11308.4</v>
      </c>
      <c r="F1483" s="3"/>
      <c r="G1483" s="3"/>
    </row>
    <row r="1484" ht="17.6" spans="4:7">
      <c r="D1484" s="175">
        <v>44054</v>
      </c>
      <c r="E1484" s="176">
        <v>11322.5</v>
      </c>
      <c r="F1484" s="3"/>
      <c r="G1484" s="3"/>
    </row>
    <row r="1485" ht="17.6" spans="4:7">
      <c r="D1485" s="175">
        <v>44053</v>
      </c>
      <c r="E1485" s="176">
        <v>11270.15</v>
      </c>
      <c r="F1485" s="3"/>
      <c r="G1485" s="3"/>
    </row>
    <row r="1486" ht="17.6" spans="4:7">
      <c r="D1486" s="175">
        <v>44050</v>
      </c>
      <c r="E1486" s="176">
        <v>11214.05</v>
      </c>
      <c r="F1486" s="3"/>
      <c r="G1486" s="3"/>
    </row>
    <row r="1487" ht="17.6" spans="4:7">
      <c r="D1487" s="175">
        <v>44049</v>
      </c>
      <c r="E1487" s="176">
        <v>11200.15</v>
      </c>
      <c r="F1487" s="3"/>
      <c r="G1487" s="3"/>
    </row>
    <row r="1488" ht="17.6" spans="4:7">
      <c r="D1488" s="175">
        <v>44048</v>
      </c>
      <c r="E1488" s="176">
        <v>11101.65</v>
      </c>
      <c r="F1488" s="3"/>
      <c r="G1488" s="3"/>
    </row>
    <row r="1489" ht="17.6" spans="4:7">
      <c r="D1489" s="175">
        <v>44047</v>
      </c>
      <c r="E1489" s="176">
        <v>11095.25</v>
      </c>
      <c r="F1489" s="3"/>
      <c r="G1489" s="3"/>
    </row>
    <row r="1490" ht="17.6" spans="4:7">
      <c r="D1490" s="175">
        <v>44046</v>
      </c>
      <c r="E1490" s="176">
        <v>10891.6</v>
      </c>
      <c r="F1490" s="3"/>
      <c r="G1490" s="3"/>
    </row>
    <row r="1491" ht="17.6" spans="4:7">
      <c r="D1491" s="175">
        <v>44043</v>
      </c>
      <c r="E1491" s="176">
        <v>11073.45</v>
      </c>
      <c r="F1491" s="3"/>
      <c r="G1491" s="3"/>
    </row>
    <row r="1492" ht="17.6" spans="4:7">
      <c r="D1492" s="175">
        <v>44042</v>
      </c>
      <c r="E1492" s="176">
        <v>11102.15</v>
      </c>
      <c r="F1492" s="3"/>
      <c r="G1492" s="3"/>
    </row>
    <row r="1493" ht="17.6" spans="4:7">
      <c r="D1493" s="175">
        <v>44041</v>
      </c>
      <c r="E1493" s="176">
        <v>11202.85</v>
      </c>
      <c r="F1493" s="3"/>
      <c r="G1493" s="3"/>
    </row>
    <row r="1494" ht="17.6" spans="4:7">
      <c r="D1494" s="175">
        <v>44040</v>
      </c>
      <c r="E1494" s="176">
        <v>11300.55</v>
      </c>
      <c r="F1494" s="3"/>
      <c r="G1494" s="3"/>
    </row>
    <row r="1495" ht="17.6" spans="4:7">
      <c r="D1495" s="175">
        <v>44039</v>
      </c>
      <c r="E1495" s="176">
        <v>11131.8</v>
      </c>
      <c r="F1495" s="3"/>
      <c r="G1495" s="3"/>
    </row>
    <row r="1496" ht="17.6" spans="4:7">
      <c r="D1496" s="175">
        <v>44036</v>
      </c>
      <c r="E1496" s="176">
        <v>11194.15</v>
      </c>
      <c r="F1496" s="3"/>
      <c r="G1496" s="3"/>
    </row>
    <row r="1497" ht="17.6" spans="4:7">
      <c r="D1497" s="175">
        <v>44035</v>
      </c>
      <c r="E1497" s="176">
        <v>11215.45</v>
      </c>
      <c r="F1497" s="3"/>
      <c r="G1497" s="3"/>
    </row>
    <row r="1498" ht="17.6" spans="4:7">
      <c r="D1498" s="175">
        <v>44034</v>
      </c>
      <c r="E1498" s="176">
        <v>11132.6</v>
      </c>
      <c r="F1498" s="3"/>
      <c r="G1498" s="3"/>
    </row>
    <row r="1499" ht="17.6" spans="4:7">
      <c r="D1499" s="175">
        <v>44033</v>
      </c>
      <c r="E1499" s="176">
        <v>11162.25</v>
      </c>
      <c r="F1499" s="3"/>
      <c r="G1499" s="3"/>
    </row>
    <row r="1500" ht="17.6" spans="4:7">
      <c r="D1500" s="175">
        <v>44032</v>
      </c>
      <c r="E1500" s="176">
        <v>11022.2</v>
      </c>
      <c r="F1500" s="3"/>
      <c r="G1500" s="3"/>
    </row>
    <row r="1501" ht="17.6" spans="4:7">
      <c r="D1501" s="175">
        <v>44029</v>
      </c>
      <c r="E1501" s="176">
        <v>10901.7</v>
      </c>
      <c r="F1501" s="3"/>
      <c r="G1501" s="3"/>
    </row>
    <row r="1502" ht="17.6" spans="4:7">
      <c r="D1502" s="175">
        <v>44028</v>
      </c>
      <c r="E1502" s="176">
        <v>10739.95</v>
      </c>
      <c r="F1502" s="3"/>
      <c r="G1502" s="3"/>
    </row>
    <row r="1503" ht="17.6" spans="4:7">
      <c r="D1503" s="175">
        <v>44027</v>
      </c>
      <c r="E1503" s="176">
        <v>10618.2</v>
      </c>
      <c r="F1503" s="3"/>
      <c r="G1503" s="3"/>
    </row>
    <row r="1504" ht="17.6" spans="4:7">
      <c r="D1504" s="175">
        <v>44026</v>
      </c>
      <c r="E1504" s="176">
        <v>10607.35</v>
      </c>
      <c r="F1504" s="3"/>
      <c r="G1504" s="3"/>
    </row>
    <row r="1505" ht="17.6" spans="4:7">
      <c r="D1505" s="175">
        <v>44025</v>
      </c>
      <c r="E1505" s="176">
        <v>10802.7</v>
      </c>
      <c r="F1505" s="3"/>
      <c r="G1505" s="3"/>
    </row>
    <row r="1506" ht="17.6" spans="4:7">
      <c r="D1506" s="175">
        <v>44022</v>
      </c>
      <c r="E1506" s="176">
        <v>10768.05</v>
      </c>
      <c r="F1506" s="3"/>
      <c r="G1506" s="3"/>
    </row>
    <row r="1507" ht="17.6" spans="4:7">
      <c r="D1507" s="175">
        <v>44021</v>
      </c>
      <c r="E1507" s="176">
        <v>10813.45</v>
      </c>
      <c r="F1507" s="3"/>
      <c r="G1507" s="3"/>
    </row>
    <row r="1508" ht="17.6" spans="4:7">
      <c r="D1508" s="175">
        <v>44020</v>
      </c>
      <c r="E1508" s="176">
        <v>10705.75</v>
      </c>
      <c r="F1508" s="3"/>
      <c r="G1508" s="3"/>
    </row>
    <row r="1509" ht="17.6" spans="4:7">
      <c r="D1509" s="175">
        <v>44019</v>
      </c>
      <c r="E1509" s="176">
        <v>10799.65</v>
      </c>
      <c r="F1509" s="3"/>
      <c r="G1509" s="3"/>
    </row>
    <row r="1510" ht="17.6" spans="4:7">
      <c r="D1510" s="175">
        <v>44018</v>
      </c>
      <c r="E1510" s="176">
        <v>10763.65</v>
      </c>
      <c r="F1510" s="3"/>
      <c r="G1510" s="3"/>
    </row>
    <row r="1511" ht="17.6" spans="4:7">
      <c r="D1511" s="175">
        <v>44015</v>
      </c>
      <c r="E1511" s="176">
        <v>10607.35</v>
      </c>
      <c r="F1511" s="3"/>
      <c r="G1511" s="3"/>
    </row>
    <row r="1512" ht="17.6" spans="4:7">
      <c r="D1512" s="175">
        <v>44014</v>
      </c>
      <c r="E1512" s="176">
        <v>10551.7</v>
      </c>
      <c r="F1512" s="3"/>
      <c r="G1512" s="3"/>
    </row>
    <row r="1513" ht="17.6" spans="4:7">
      <c r="D1513" s="175">
        <v>44013</v>
      </c>
      <c r="E1513" s="176">
        <v>10430.05</v>
      </c>
      <c r="F1513" s="3"/>
      <c r="G1513" s="3"/>
    </row>
    <row r="1514" ht="17.6" spans="4:7">
      <c r="D1514" s="175">
        <v>44012</v>
      </c>
      <c r="E1514" s="176">
        <v>10302.1</v>
      </c>
      <c r="F1514" s="3"/>
      <c r="G1514" s="3"/>
    </row>
    <row r="1515" ht="17.6" spans="4:7">
      <c r="D1515" s="175">
        <v>44011</v>
      </c>
      <c r="E1515" s="176">
        <v>10312.4</v>
      </c>
      <c r="F1515" s="3"/>
      <c r="G1515" s="3"/>
    </row>
    <row r="1516" ht="17.6" spans="4:7">
      <c r="D1516" s="175">
        <v>44008</v>
      </c>
      <c r="E1516" s="176">
        <v>10383</v>
      </c>
      <c r="F1516" s="3"/>
      <c r="G1516" s="3"/>
    </row>
    <row r="1517" ht="17.6" spans="4:7">
      <c r="D1517" s="175">
        <v>44007</v>
      </c>
      <c r="E1517" s="176">
        <v>10288.9</v>
      </c>
      <c r="F1517" s="3"/>
      <c r="G1517" s="3"/>
    </row>
    <row r="1518" ht="17.6" spans="4:7">
      <c r="D1518" s="175">
        <v>44006</v>
      </c>
      <c r="E1518" s="176">
        <v>10305.3</v>
      </c>
      <c r="F1518" s="3"/>
      <c r="G1518" s="3"/>
    </row>
    <row r="1519" ht="17.6" spans="4:7">
      <c r="D1519" s="175">
        <v>44005</v>
      </c>
      <c r="E1519" s="176">
        <v>10471</v>
      </c>
      <c r="F1519" s="3"/>
      <c r="G1519" s="3"/>
    </row>
    <row r="1520" ht="17.6" spans="4:7">
      <c r="D1520" s="175">
        <v>44004</v>
      </c>
      <c r="E1520" s="176">
        <v>10311.2</v>
      </c>
      <c r="F1520" s="3"/>
      <c r="G1520" s="3"/>
    </row>
    <row r="1521" ht="17.6" spans="4:7">
      <c r="D1521" s="175">
        <v>44001</v>
      </c>
      <c r="E1521" s="176">
        <v>10244.4</v>
      </c>
      <c r="F1521" s="3"/>
      <c r="G1521" s="3"/>
    </row>
    <row r="1522" ht="17.6" spans="4:7">
      <c r="D1522" s="175">
        <v>44000</v>
      </c>
      <c r="E1522" s="176">
        <v>10091.65</v>
      </c>
      <c r="F1522" s="3"/>
      <c r="G1522" s="3"/>
    </row>
    <row r="1523" ht="17.6" spans="4:7">
      <c r="D1523" s="175">
        <v>43999</v>
      </c>
      <c r="E1523" s="176">
        <v>9881.15</v>
      </c>
      <c r="F1523" s="3"/>
      <c r="G1523" s="3"/>
    </row>
    <row r="1524" ht="17.6" spans="4:7">
      <c r="D1524" s="175">
        <v>43998</v>
      </c>
      <c r="E1524" s="176">
        <v>9914</v>
      </c>
      <c r="F1524" s="3"/>
      <c r="G1524" s="3"/>
    </row>
    <row r="1525" ht="17.6" spans="4:7">
      <c r="D1525" s="175">
        <v>43997</v>
      </c>
      <c r="E1525" s="176">
        <v>9813.7</v>
      </c>
      <c r="F1525" s="3"/>
      <c r="G1525" s="3"/>
    </row>
    <row r="1526" ht="17.6" spans="4:7">
      <c r="D1526" s="175">
        <v>43994</v>
      </c>
      <c r="E1526" s="176">
        <v>9972.9</v>
      </c>
      <c r="F1526" s="3"/>
      <c r="G1526" s="3"/>
    </row>
    <row r="1527" ht="17.6" spans="4:7">
      <c r="D1527" s="175">
        <v>43993</v>
      </c>
      <c r="E1527" s="176">
        <v>9902</v>
      </c>
      <c r="F1527" s="3"/>
      <c r="G1527" s="3"/>
    </row>
    <row r="1528" ht="17.6" spans="4:7">
      <c r="D1528" s="175">
        <v>43992</v>
      </c>
      <c r="E1528" s="176">
        <v>10116.15</v>
      </c>
      <c r="F1528" s="3"/>
      <c r="G1528" s="3"/>
    </row>
    <row r="1529" ht="17.6" spans="4:7">
      <c r="D1529" s="175">
        <v>43991</v>
      </c>
      <c r="E1529" s="176">
        <v>10046.65</v>
      </c>
      <c r="F1529" s="3"/>
      <c r="G1529" s="3"/>
    </row>
    <row r="1530" ht="17.6" spans="4:7">
      <c r="D1530" s="175">
        <v>43990</v>
      </c>
      <c r="E1530" s="176">
        <v>10167.45</v>
      </c>
      <c r="F1530" s="3"/>
      <c r="G1530" s="3"/>
    </row>
    <row r="1531" ht="17.6" spans="4:7">
      <c r="D1531" s="175">
        <v>43987</v>
      </c>
      <c r="E1531" s="176">
        <v>10142.15</v>
      </c>
      <c r="F1531" s="3"/>
      <c r="G1531" s="3"/>
    </row>
    <row r="1532" ht="17.6" spans="4:7">
      <c r="D1532" s="175">
        <v>43986</v>
      </c>
      <c r="E1532" s="176">
        <v>10029.1</v>
      </c>
      <c r="F1532" s="3"/>
      <c r="G1532" s="3"/>
    </row>
    <row r="1533" ht="17.6" spans="4:7">
      <c r="D1533" s="175">
        <v>43985</v>
      </c>
      <c r="E1533" s="176">
        <v>10061.55</v>
      </c>
      <c r="F1533" s="3"/>
      <c r="G1533" s="3"/>
    </row>
    <row r="1534" ht="17.6" spans="4:7">
      <c r="D1534" s="175">
        <v>43984</v>
      </c>
      <c r="E1534" s="176">
        <v>9979.1</v>
      </c>
      <c r="F1534" s="3"/>
      <c r="G1534" s="3"/>
    </row>
    <row r="1535" ht="17.6" spans="4:7">
      <c r="D1535" s="175">
        <v>43983</v>
      </c>
      <c r="E1535" s="176">
        <v>9826.15</v>
      </c>
      <c r="F1535" s="3"/>
      <c r="G1535" s="3"/>
    </row>
    <row r="1536" ht="17.6" spans="4:7">
      <c r="D1536" s="175">
        <v>43980</v>
      </c>
      <c r="E1536" s="176">
        <v>9580.3</v>
      </c>
      <c r="F1536" s="3"/>
      <c r="G1536" s="3"/>
    </row>
    <row r="1537" ht="17.6" spans="4:7">
      <c r="D1537" s="175">
        <v>43979</v>
      </c>
      <c r="E1537" s="176">
        <v>9490.1</v>
      </c>
      <c r="F1537" s="3"/>
      <c r="G1537" s="3"/>
    </row>
    <row r="1538" ht="17.6" spans="4:7">
      <c r="D1538" s="175">
        <v>43978</v>
      </c>
      <c r="E1538" s="176">
        <v>9314.95</v>
      </c>
      <c r="F1538" s="3"/>
      <c r="G1538" s="3"/>
    </row>
    <row r="1539" ht="17.6" spans="4:7">
      <c r="D1539" s="175">
        <v>43977</v>
      </c>
      <c r="E1539" s="176">
        <v>9029.05</v>
      </c>
      <c r="F1539" s="3"/>
      <c r="G1539" s="3"/>
    </row>
    <row r="1540" ht="17.6" spans="4:7">
      <c r="D1540" s="175">
        <v>43973</v>
      </c>
      <c r="E1540" s="176">
        <v>9039.25</v>
      </c>
      <c r="F1540" s="3"/>
      <c r="G1540" s="3"/>
    </row>
    <row r="1541" ht="17.6" spans="4:7">
      <c r="D1541" s="175">
        <v>43972</v>
      </c>
      <c r="E1541" s="176">
        <v>9106.25</v>
      </c>
      <c r="F1541" s="3"/>
      <c r="G1541" s="3"/>
    </row>
    <row r="1542" ht="17.6" spans="4:7">
      <c r="D1542" s="175">
        <v>43971</v>
      </c>
      <c r="E1542" s="176">
        <v>9066.55</v>
      </c>
      <c r="F1542" s="3"/>
      <c r="G1542" s="3"/>
    </row>
    <row r="1543" ht="17.6" spans="4:7">
      <c r="D1543" s="175">
        <v>43970</v>
      </c>
      <c r="E1543" s="176">
        <v>8879.1</v>
      </c>
      <c r="F1543" s="3"/>
      <c r="G1543" s="3"/>
    </row>
    <row r="1544" ht="17.6" spans="4:7">
      <c r="D1544" s="175">
        <v>43969</v>
      </c>
      <c r="E1544" s="176">
        <v>8823.25</v>
      </c>
      <c r="F1544" s="3"/>
      <c r="G1544" s="3"/>
    </row>
    <row r="1545" ht="17.6" spans="4:7">
      <c r="D1545" s="175">
        <v>43966</v>
      </c>
      <c r="E1545" s="176">
        <v>9136.85</v>
      </c>
      <c r="F1545" s="3"/>
      <c r="G1545" s="3"/>
    </row>
    <row r="1546" ht="17.6" spans="4:7">
      <c r="D1546" s="175">
        <v>43965</v>
      </c>
      <c r="E1546" s="176">
        <v>9142.75</v>
      </c>
      <c r="F1546" s="3"/>
      <c r="G1546" s="3"/>
    </row>
    <row r="1547" ht="17.6" spans="4:7">
      <c r="D1547" s="175">
        <v>43964</v>
      </c>
      <c r="E1547" s="176">
        <v>9383.55</v>
      </c>
      <c r="F1547" s="3"/>
      <c r="G1547" s="3"/>
    </row>
    <row r="1548" ht="17.6" spans="4:7">
      <c r="D1548" s="175">
        <v>43963</v>
      </c>
      <c r="E1548" s="176">
        <v>9196.55</v>
      </c>
      <c r="F1548" s="3"/>
      <c r="G1548" s="3"/>
    </row>
    <row r="1549" ht="17.6" spans="4:7">
      <c r="D1549" s="175">
        <v>43962</v>
      </c>
      <c r="E1549" s="176">
        <v>9239.2</v>
      </c>
      <c r="F1549" s="3"/>
      <c r="G1549" s="3"/>
    </row>
    <row r="1550" ht="17.6" spans="4:7">
      <c r="D1550" s="175">
        <v>43959</v>
      </c>
      <c r="E1550" s="176">
        <v>9251.5</v>
      </c>
      <c r="F1550" s="3"/>
      <c r="G1550" s="3"/>
    </row>
    <row r="1551" ht="17.6" spans="4:7">
      <c r="D1551" s="175">
        <v>43958</v>
      </c>
      <c r="E1551" s="176">
        <v>9199.05</v>
      </c>
      <c r="F1551" s="3"/>
      <c r="G1551" s="3"/>
    </row>
    <row r="1552" ht="17.6" spans="4:7">
      <c r="D1552" s="175">
        <v>43957</v>
      </c>
      <c r="E1552" s="176">
        <v>9270.9</v>
      </c>
      <c r="F1552" s="3"/>
      <c r="G1552" s="3"/>
    </row>
    <row r="1553" ht="17.6" spans="4:7">
      <c r="D1553" s="175">
        <v>43956</v>
      </c>
      <c r="E1553" s="176">
        <v>9205.6</v>
      </c>
      <c r="F1553" s="3"/>
      <c r="G1553" s="3"/>
    </row>
    <row r="1554" ht="17.6" spans="4:7">
      <c r="D1554" s="175">
        <v>43955</v>
      </c>
      <c r="E1554" s="176">
        <v>9293.5</v>
      </c>
      <c r="F1554" s="3"/>
      <c r="G1554" s="3"/>
    </row>
    <row r="1555" ht="17.6" spans="4:7">
      <c r="D1555" s="175">
        <v>43951</v>
      </c>
      <c r="E1555" s="176">
        <v>9859.9</v>
      </c>
      <c r="F1555" s="3"/>
      <c r="G1555" s="3"/>
    </row>
    <row r="1556" ht="17.6" spans="4:7">
      <c r="D1556" s="175">
        <v>43950</v>
      </c>
      <c r="E1556" s="176">
        <v>9553.35</v>
      </c>
      <c r="F1556" s="3"/>
      <c r="G1556" s="3"/>
    </row>
    <row r="1557" ht="17.6" spans="4:7">
      <c r="D1557" s="175">
        <v>43949</v>
      </c>
      <c r="E1557" s="176">
        <v>9380.9</v>
      </c>
      <c r="F1557" s="3"/>
      <c r="G1557" s="3"/>
    </row>
    <row r="1558" ht="17.6" spans="4:7">
      <c r="D1558" s="175">
        <v>43948</v>
      </c>
      <c r="E1558" s="176">
        <v>9282.3</v>
      </c>
      <c r="F1558" s="3"/>
      <c r="G1558" s="3"/>
    </row>
    <row r="1559" ht="17.6" spans="4:7">
      <c r="D1559" s="175">
        <v>43945</v>
      </c>
      <c r="E1559" s="176">
        <v>9154.4</v>
      </c>
      <c r="F1559" s="3"/>
      <c r="G1559" s="3"/>
    </row>
    <row r="1560" ht="17.6" spans="4:7">
      <c r="D1560" s="175">
        <v>43944</v>
      </c>
      <c r="E1560" s="176">
        <v>9313.9</v>
      </c>
      <c r="F1560" s="3"/>
      <c r="G1560" s="3"/>
    </row>
    <row r="1561" ht="17.6" spans="4:7">
      <c r="D1561" s="175">
        <v>43943</v>
      </c>
      <c r="E1561" s="176">
        <v>9187.3</v>
      </c>
      <c r="F1561" s="3"/>
      <c r="G1561" s="3"/>
    </row>
    <row r="1562" ht="17.6" spans="4:7">
      <c r="D1562" s="175">
        <v>43942</v>
      </c>
      <c r="E1562" s="176">
        <v>8981.45</v>
      </c>
      <c r="F1562" s="3"/>
      <c r="G1562" s="3"/>
    </row>
    <row r="1563" ht="17.6" spans="4:7">
      <c r="D1563" s="175">
        <v>43941</v>
      </c>
      <c r="E1563" s="176">
        <v>9261.85</v>
      </c>
      <c r="F1563" s="3"/>
      <c r="G1563" s="3"/>
    </row>
    <row r="1564" ht="17.6" spans="4:7">
      <c r="D1564" s="175">
        <v>43938</v>
      </c>
      <c r="E1564" s="176">
        <v>9266.75</v>
      </c>
      <c r="F1564" s="3"/>
      <c r="G1564" s="3"/>
    </row>
    <row r="1565" ht="17.6" spans="4:7">
      <c r="D1565" s="175">
        <v>43937</v>
      </c>
      <c r="E1565" s="176">
        <v>8992.8</v>
      </c>
      <c r="F1565" s="3"/>
      <c r="G1565" s="3"/>
    </row>
    <row r="1566" ht="17.6" spans="4:7">
      <c r="D1566" s="175">
        <v>43936</v>
      </c>
      <c r="E1566" s="176">
        <v>8925.3</v>
      </c>
      <c r="F1566" s="3"/>
      <c r="G1566" s="3"/>
    </row>
    <row r="1567" ht="17.6" spans="4:7">
      <c r="D1567" s="175">
        <v>43934</v>
      </c>
      <c r="E1567" s="176">
        <v>8993.85</v>
      </c>
      <c r="F1567" s="3"/>
      <c r="G1567" s="3"/>
    </row>
    <row r="1568" ht="17.6" spans="4:7">
      <c r="D1568" s="175">
        <v>43930</v>
      </c>
      <c r="E1568" s="176">
        <v>9111.9</v>
      </c>
      <c r="F1568" s="3"/>
      <c r="G1568" s="3"/>
    </row>
    <row r="1569" ht="17.6" spans="4:7">
      <c r="D1569" s="175">
        <v>43929</v>
      </c>
      <c r="E1569" s="176">
        <v>8748.75</v>
      </c>
      <c r="F1569" s="3"/>
      <c r="G1569" s="3"/>
    </row>
    <row r="1570" ht="17.6" spans="4:7">
      <c r="D1570" s="175">
        <v>43928</v>
      </c>
      <c r="E1570" s="176">
        <v>8792.2</v>
      </c>
      <c r="F1570" s="3"/>
      <c r="G1570" s="3"/>
    </row>
    <row r="1571" ht="17.6" spans="4:7">
      <c r="D1571" s="175">
        <v>43924</v>
      </c>
      <c r="E1571" s="176">
        <v>8083.8</v>
      </c>
      <c r="F1571" s="3"/>
      <c r="G1571" s="3"/>
    </row>
    <row r="1572" ht="17.6" spans="4:7">
      <c r="D1572" s="175">
        <v>43922</v>
      </c>
      <c r="E1572" s="176">
        <v>8253.8</v>
      </c>
      <c r="F1572" s="3"/>
      <c r="G1572" s="3"/>
    </row>
    <row r="1573" ht="17.6" spans="4:7">
      <c r="D1573" s="175">
        <v>43921</v>
      </c>
      <c r="E1573" s="176">
        <v>8597.75</v>
      </c>
      <c r="F1573" s="3"/>
      <c r="G1573" s="3"/>
    </row>
    <row r="1574" ht="17.6" spans="4:7">
      <c r="D1574" s="175">
        <v>43920</v>
      </c>
      <c r="E1574" s="176">
        <v>8281.1</v>
      </c>
      <c r="F1574" s="3"/>
      <c r="G1574" s="3"/>
    </row>
    <row r="1575" ht="17.6" spans="4:7">
      <c r="D1575" s="175">
        <v>43917</v>
      </c>
      <c r="E1575" s="176">
        <v>8660.25</v>
      </c>
      <c r="F1575" s="3"/>
      <c r="G1575" s="3"/>
    </row>
    <row r="1576" ht="17.6" spans="4:7">
      <c r="D1576" s="175">
        <v>43916</v>
      </c>
      <c r="E1576" s="176">
        <v>8641.45</v>
      </c>
      <c r="F1576" s="3"/>
      <c r="G1576" s="3"/>
    </row>
    <row r="1577" ht="17.6" spans="4:7">
      <c r="D1577" s="175">
        <v>43915</v>
      </c>
      <c r="E1577" s="176">
        <v>8317.85</v>
      </c>
      <c r="F1577" s="3"/>
      <c r="G1577" s="3"/>
    </row>
    <row r="1578" ht="17.6" spans="4:7">
      <c r="D1578" s="175">
        <v>43914</v>
      </c>
      <c r="E1578" s="176">
        <v>7801.05</v>
      </c>
      <c r="F1578" s="3"/>
      <c r="G1578" s="3"/>
    </row>
    <row r="1579" ht="17.6" spans="4:7">
      <c r="D1579" s="175">
        <v>43913</v>
      </c>
      <c r="E1579" s="176">
        <v>7610.25</v>
      </c>
      <c r="F1579" s="3"/>
      <c r="G1579" s="3"/>
    </row>
    <row r="1580" ht="17.6" spans="4:7">
      <c r="D1580" s="175">
        <v>43910</v>
      </c>
      <c r="E1580" s="176">
        <v>8745.45</v>
      </c>
      <c r="F1580" s="3"/>
      <c r="G1580" s="3"/>
    </row>
    <row r="1581" ht="17.6" spans="4:7">
      <c r="D1581" s="175">
        <v>43909</v>
      </c>
      <c r="E1581" s="176">
        <v>8263.45</v>
      </c>
      <c r="F1581" s="3"/>
      <c r="G1581" s="3"/>
    </row>
    <row r="1582" ht="17.6" spans="4:7">
      <c r="D1582" s="175">
        <v>43908</v>
      </c>
      <c r="E1582" s="176">
        <v>8468.8</v>
      </c>
      <c r="F1582" s="3"/>
      <c r="G1582" s="3"/>
    </row>
    <row r="1583" ht="17.6" spans="4:7">
      <c r="D1583" s="175">
        <v>43907</v>
      </c>
      <c r="E1583" s="176">
        <v>8967.05</v>
      </c>
      <c r="F1583" s="3"/>
      <c r="G1583" s="3"/>
    </row>
    <row r="1584" ht="17.6" spans="4:7">
      <c r="D1584" s="175">
        <v>43906</v>
      </c>
      <c r="E1584" s="176">
        <v>9197.4</v>
      </c>
      <c r="F1584" s="3"/>
      <c r="G1584" s="3"/>
    </row>
    <row r="1585" ht="17.6" spans="4:7">
      <c r="D1585" s="175">
        <v>43903</v>
      </c>
      <c r="E1585" s="176">
        <v>9955.2</v>
      </c>
      <c r="F1585" s="3"/>
      <c r="G1585" s="3"/>
    </row>
    <row r="1586" ht="17.6" spans="4:7">
      <c r="D1586" s="175">
        <v>43902</v>
      </c>
      <c r="E1586" s="176">
        <v>9590.15</v>
      </c>
      <c r="F1586" s="3"/>
      <c r="G1586" s="3"/>
    </row>
    <row r="1587" ht="17.6" spans="4:7">
      <c r="D1587" s="175">
        <v>43901</v>
      </c>
      <c r="E1587" s="176">
        <v>10458.4</v>
      </c>
      <c r="F1587" s="3"/>
      <c r="G1587" s="3"/>
    </row>
    <row r="1588" ht="17.6" spans="4:7">
      <c r="D1588" s="175">
        <v>43899</v>
      </c>
      <c r="E1588" s="176">
        <v>10451.45</v>
      </c>
      <c r="F1588" s="3"/>
      <c r="G1588" s="3"/>
    </row>
    <row r="1589" ht="17.6" spans="4:7">
      <c r="D1589" s="175">
        <v>43896</v>
      </c>
      <c r="E1589" s="176">
        <v>10989.45</v>
      </c>
      <c r="F1589" s="3"/>
      <c r="G1589" s="3"/>
    </row>
    <row r="1590" ht="17.6" spans="4:7">
      <c r="D1590" s="175">
        <v>43895</v>
      </c>
      <c r="E1590" s="176">
        <v>11269</v>
      </c>
      <c r="F1590" s="3"/>
      <c r="G1590" s="3"/>
    </row>
    <row r="1591" ht="17.6" spans="4:7">
      <c r="D1591" s="175">
        <v>43894</v>
      </c>
      <c r="E1591" s="176">
        <v>11251</v>
      </c>
      <c r="F1591" s="3"/>
      <c r="G1591" s="3"/>
    </row>
    <row r="1592" ht="17.6" spans="4:7">
      <c r="D1592" s="175">
        <v>43893</v>
      </c>
      <c r="E1592" s="176">
        <v>11303.3</v>
      </c>
      <c r="F1592" s="3"/>
      <c r="G1592" s="3"/>
    </row>
    <row r="1593" ht="17.6" spans="4:7">
      <c r="D1593" s="175">
        <v>43892</v>
      </c>
      <c r="E1593" s="176">
        <v>11132.75</v>
      </c>
      <c r="F1593" s="3"/>
      <c r="G1593" s="3"/>
    </row>
    <row r="1594" ht="17.6" spans="4:7">
      <c r="D1594" s="175">
        <v>43889</v>
      </c>
      <c r="E1594" s="176">
        <v>11201.75</v>
      </c>
      <c r="F1594" s="3"/>
      <c r="G1594" s="3"/>
    </row>
    <row r="1595" ht="17.6" spans="4:7">
      <c r="D1595" s="175">
        <v>43888</v>
      </c>
      <c r="E1595" s="176">
        <v>11633.3</v>
      </c>
      <c r="F1595" s="3"/>
      <c r="G1595" s="3"/>
    </row>
    <row r="1596" ht="17.6" spans="4:7">
      <c r="D1596" s="175">
        <v>43887</v>
      </c>
      <c r="E1596" s="176">
        <v>11678.5</v>
      </c>
      <c r="F1596" s="3"/>
      <c r="G1596" s="3"/>
    </row>
    <row r="1597" ht="17.6" spans="4:7">
      <c r="D1597" s="175">
        <v>43886</v>
      </c>
      <c r="E1597" s="176">
        <v>11797.9</v>
      </c>
      <c r="F1597" s="3"/>
      <c r="G1597" s="3"/>
    </row>
    <row r="1598" ht="17.6" spans="4:7">
      <c r="D1598" s="175">
        <v>43885</v>
      </c>
      <c r="E1598" s="176">
        <v>11829.4</v>
      </c>
      <c r="F1598" s="3"/>
      <c r="G1598" s="3"/>
    </row>
    <row r="1599" ht="17.6" spans="4:7">
      <c r="D1599" s="175">
        <v>43881</v>
      </c>
      <c r="E1599" s="176">
        <v>12080.85</v>
      </c>
      <c r="F1599" s="3"/>
      <c r="G1599" s="3"/>
    </row>
    <row r="1600" ht="17.6" spans="4:7">
      <c r="D1600" s="175">
        <v>43880</v>
      </c>
      <c r="E1600" s="176">
        <v>12125.9</v>
      </c>
      <c r="F1600" s="3"/>
      <c r="G1600" s="3"/>
    </row>
    <row r="1601" ht="17.6" spans="4:7">
      <c r="D1601" s="175">
        <v>43879</v>
      </c>
      <c r="E1601" s="176">
        <v>11992.5</v>
      </c>
      <c r="F1601" s="3"/>
      <c r="G1601" s="3"/>
    </row>
    <row r="1602" ht="17.6" spans="4:7">
      <c r="D1602" s="175">
        <v>43878</v>
      </c>
      <c r="E1602" s="176">
        <v>12045.8</v>
      </c>
      <c r="F1602" s="3"/>
      <c r="G1602" s="3"/>
    </row>
    <row r="1603" ht="17.6" spans="4:7">
      <c r="D1603" s="175">
        <v>43875</v>
      </c>
      <c r="E1603" s="176">
        <v>12113.45</v>
      </c>
      <c r="F1603" s="3"/>
      <c r="G1603" s="3"/>
    </row>
    <row r="1604" ht="17.6" spans="4:7">
      <c r="D1604" s="175">
        <v>43874</v>
      </c>
      <c r="E1604" s="176">
        <v>12174.65</v>
      </c>
      <c r="F1604" s="3"/>
      <c r="G1604" s="3"/>
    </row>
    <row r="1605" ht="17.6" spans="4:7">
      <c r="D1605" s="175">
        <v>43873</v>
      </c>
      <c r="E1605" s="176">
        <v>12201.2</v>
      </c>
      <c r="F1605" s="3"/>
      <c r="G1605" s="3"/>
    </row>
    <row r="1606" ht="17.6" spans="4:7">
      <c r="D1606" s="175">
        <v>43872</v>
      </c>
      <c r="E1606" s="176">
        <v>12107.9</v>
      </c>
      <c r="F1606" s="3"/>
      <c r="G1606" s="3"/>
    </row>
    <row r="1607" ht="17.6" spans="4:7">
      <c r="D1607" s="175">
        <v>43871</v>
      </c>
      <c r="E1607" s="176">
        <v>12031.5</v>
      </c>
      <c r="F1607" s="3"/>
      <c r="G1607" s="3"/>
    </row>
    <row r="1608" ht="17.6" spans="4:7">
      <c r="D1608" s="175">
        <v>43868</v>
      </c>
      <c r="E1608" s="176">
        <v>12098.35</v>
      </c>
      <c r="F1608" s="3"/>
      <c r="G1608" s="3"/>
    </row>
    <row r="1609" ht="17.6" spans="4:7">
      <c r="D1609" s="175">
        <v>43867</v>
      </c>
      <c r="E1609" s="176">
        <v>12137.95</v>
      </c>
      <c r="F1609" s="3"/>
      <c r="G1609" s="3"/>
    </row>
    <row r="1610" ht="17.6" spans="4:7">
      <c r="D1610" s="175">
        <v>43866</v>
      </c>
      <c r="E1610" s="176">
        <v>12089.15</v>
      </c>
      <c r="F1610" s="3"/>
      <c r="G1610" s="3"/>
    </row>
    <row r="1611" ht="17.6" spans="4:7">
      <c r="D1611" s="175">
        <v>43865</v>
      </c>
      <c r="E1611" s="176">
        <v>11979.65</v>
      </c>
      <c r="F1611" s="3"/>
      <c r="G1611" s="3"/>
    </row>
    <row r="1612" ht="17.6" spans="4:7">
      <c r="D1612" s="175">
        <v>43864</v>
      </c>
      <c r="E1612" s="176">
        <v>11707.9</v>
      </c>
      <c r="F1612" s="3"/>
      <c r="G1612" s="3"/>
    </row>
    <row r="1613" ht="17.6" spans="4:7">
      <c r="D1613" s="175">
        <v>43862</v>
      </c>
      <c r="E1613" s="176">
        <v>11661.85</v>
      </c>
      <c r="F1613" s="3"/>
      <c r="G1613" s="3"/>
    </row>
    <row r="1614" ht="17.6" spans="4:7">
      <c r="D1614" s="175">
        <v>43861</v>
      </c>
      <c r="E1614" s="176">
        <v>11962.1</v>
      </c>
      <c r="F1614" s="3"/>
      <c r="G1614" s="3"/>
    </row>
    <row r="1615" ht="17.6" spans="4:7">
      <c r="D1615" s="175">
        <v>43860</v>
      </c>
      <c r="E1615" s="176">
        <v>12035.8</v>
      </c>
      <c r="F1615" s="3"/>
      <c r="G1615" s="3"/>
    </row>
    <row r="1616" ht="17.6" spans="4:7">
      <c r="D1616" s="175">
        <v>43859</v>
      </c>
      <c r="E1616" s="176">
        <v>12129.5</v>
      </c>
      <c r="F1616" s="3"/>
      <c r="G1616" s="3"/>
    </row>
    <row r="1617" ht="17.6" spans="4:7">
      <c r="D1617" s="175">
        <v>43858</v>
      </c>
      <c r="E1617" s="176">
        <v>12055.8</v>
      </c>
      <c r="F1617" s="3"/>
      <c r="G1617" s="3"/>
    </row>
    <row r="1618" ht="17.6" spans="4:7">
      <c r="D1618" s="175">
        <v>43857</v>
      </c>
      <c r="E1618" s="176">
        <v>12119</v>
      </c>
      <c r="F1618" s="3"/>
      <c r="G1618" s="3"/>
    </row>
    <row r="1619" ht="17.6" spans="4:7">
      <c r="D1619" s="175">
        <v>43854</v>
      </c>
      <c r="E1619" s="176">
        <v>12248.25</v>
      </c>
      <c r="F1619" s="3"/>
      <c r="G1619" s="3"/>
    </row>
    <row r="1620" ht="17.6" spans="4:7">
      <c r="D1620" s="175">
        <v>43853</v>
      </c>
      <c r="E1620" s="176">
        <v>12180.35</v>
      </c>
      <c r="F1620" s="3"/>
      <c r="G1620" s="3"/>
    </row>
    <row r="1621" ht="17.6" spans="4:7">
      <c r="D1621" s="175">
        <v>43852</v>
      </c>
      <c r="E1621" s="176">
        <v>12106.9</v>
      </c>
      <c r="F1621" s="3"/>
      <c r="G1621" s="3"/>
    </row>
    <row r="1622" ht="17.6" spans="4:7">
      <c r="D1622" s="175">
        <v>43851</v>
      </c>
      <c r="E1622" s="176">
        <v>12169.85</v>
      </c>
      <c r="F1622" s="3"/>
      <c r="G1622" s="3"/>
    </row>
    <row r="1623" ht="17.6" spans="4:7">
      <c r="D1623" s="175">
        <v>43850</v>
      </c>
      <c r="E1623" s="176">
        <v>12224.55</v>
      </c>
      <c r="F1623" s="3"/>
      <c r="G1623" s="3"/>
    </row>
    <row r="1624" ht="17.6" spans="4:7">
      <c r="D1624" s="175">
        <v>43847</v>
      </c>
      <c r="E1624" s="176">
        <v>12352.35</v>
      </c>
      <c r="F1624" s="3"/>
      <c r="G1624" s="3"/>
    </row>
    <row r="1625" ht="17.6" spans="4:7">
      <c r="D1625" s="175">
        <v>43846</v>
      </c>
      <c r="E1625" s="176">
        <v>12355.5</v>
      </c>
      <c r="F1625" s="3"/>
      <c r="G1625" s="3"/>
    </row>
    <row r="1626" ht="17.6" spans="4:7">
      <c r="D1626" s="175">
        <v>43845</v>
      </c>
      <c r="E1626" s="176">
        <v>12343.3</v>
      </c>
      <c r="F1626" s="3"/>
      <c r="G1626" s="3"/>
    </row>
    <row r="1627" ht="17.6" spans="4:7">
      <c r="D1627" s="175">
        <v>43844</v>
      </c>
      <c r="E1627" s="176">
        <v>12362.3</v>
      </c>
      <c r="F1627" s="3"/>
      <c r="G1627" s="3"/>
    </row>
    <row r="1628" ht="17.6" spans="4:7">
      <c r="D1628" s="175">
        <v>43843</v>
      </c>
      <c r="E1628" s="176">
        <v>12329.55</v>
      </c>
      <c r="F1628" s="3"/>
      <c r="G1628" s="3"/>
    </row>
    <row r="1629" ht="17.6" spans="4:7">
      <c r="D1629" s="175">
        <v>43840</v>
      </c>
      <c r="E1629" s="176">
        <v>12256.8</v>
      </c>
      <c r="F1629" s="3"/>
      <c r="G1629" s="3"/>
    </row>
    <row r="1630" ht="17.6" spans="4:7">
      <c r="D1630" s="175">
        <v>43839</v>
      </c>
      <c r="E1630" s="176">
        <v>12215.9</v>
      </c>
      <c r="F1630" s="3"/>
      <c r="G1630" s="3"/>
    </row>
    <row r="1631" ht="17.6" spans="4:7">
      <c r="D1631" s="175">
        <v>43838</v>
      </c>
      <c r="E1631" s="176">
        <v>12025.35</v>
      </c>
      <c r="F1631" s="3"/>
      <c r="G1631" s="3"/>
    </row>
    <row r="1632" ht="17.6" spans="4:7">
      <c r="D1632" s="175">
        <v>43837</v>
      </c>
      <c r="E1632" s="176">
        <v>12052.95</v>
      </c>
      <c r="F1632" s="3"/>
      <c r="G1632" s="3"/>
    </row>
    <row r="1633" ht="17.6" spans="4:7">
      <c r="D1633" s="175">
        <v>43836</v>
      </c>
      <c r="E1633" s="176">
        <v>11993.05</v>
      </c>
      <c r="F1633" s="3"/>
      <c r="G1633" s="3"/>
    </row>
    <row r="1634" ht="17.6" spans="4:7">
      <c r="D1634" s="175">
        <v>43833</v>
      </c>
      <c r="E1634" s="176">
        <v>12226.65</v>
      </c>
      <c r="F1634" s="3"/>
      <c r="G1634" s="3"/>
    </row>
    <row r="1635" ht="17.6" spans="4:7">
      <c r="D1635" s="175">
        <v>43832</v>
      </c>
      <c r="E1635" s="176">
        <v>12282.2</v>
      </c>
      <c r="F1635" s="3"/>
      <c r="G1635" s="3"/>
    </row>
    <row r="1636" ht="17.6" spans="4:7">
      <c r="D1636" s="175">
        <v>43831</v>
      </c>
      <c r="E1636" s="176">
        <v>12182.5</v>
      </c>
      <c r="F1636" s="3"/>
      <c r="G1636" s="3"/>
    </row>
    <row r="1637" ht="17.6" spans="4:7">
      <c r="D1637" s="175">
        <v>43830</v>
      </c>
      <c r="E1637" s="176">
        <v>12168.45</v>
      </c>
      <c r="F1637" s="3"/>
      <c r="G1637" s="3"/>
    </row>
    <row r="1638" ht="17.6" spans="4:7">
      <c r="D1638" s="175">
        <v>43829</v>
      </c>
      <c r="E1638" s="176">
        <v>12255.85</v>
      </c>
      <c r="F1638" s="3"/>
      <c r="G1638" s="3"/>
    </row>
    <row r="1639" ht="17.6" spans="4:7">
      <c r="D1639" s="175">
        <v>43826</v>
      </c>
      <c r="E1639" s="176">
        <v>12245.8</v>
      </c>
      <c r="F1639" s="3"/>
      <c r="G1639" s="3"/>
    </row>
    <row r="1640" ht="17.6" spans="4:7">
      <c r="D1640" s="175">
        <v>43825</v>
      </c>
      <c r="E1640" s="176">
        <v>12126.55</v>
      </c>
      <c r="F1640" s="3"/>
      <c r="G1640" s="3"/>
    </row>
    <row r="1641" ht="17.6" spans="4:7">
      <c r="D1641" s="175">
        <v>43823</v>
      </c>
      <c r="E1641" s="176">
        <v>12214.55</v>
      </c>
      <c r="F1641" s="3"/>
      <c r="G1641" s="3"/>
    </row>
    <row r="1642" ht="17.6" spans="4:7">
      <c r="D1642" s="175">
        <v>43822</v>
      </c>
      <c r="E1642" s="176">
        <v>12262.75</v>
      </c>
      <c r="F1642" s="3"/>
      <c r="G1642" s="3"/>
    </row>
    <row r="1643" ht="17.6" spans="4:7">
      <c r="D1643" s="175">
        <v>43819</v>
      </c>
      <c r="E1643" s="176">
        <v>12271.8</v>
      </c>
      <c r="F1643" s="3"/>
      <c r="G1643" s="3"/>
    </row>
    <row r="1644" ht="17.6" spans="4:7">
      <c r="D1644" s="175">
        <v>43818</v>
      </c>
      <c r="E1644" s="176">
        <v>12259.7</v>
      </c>
      <c r="F1644" s="3"/>
      <c r="G1644" s="3"/>
    </row>
    <row r="1645" ht="17.6" spans="4:7">
      <c r="D1645" s="175">
        <v>43817</v>
      </c>
      <c r="E1645" s="176">
        <v>12221.65</v>
      </c>
      <c r="F1645" s="3"/>
      <c r="G1645" s="3"/>
    </row>
    <row r="1646" ht="17.6" spans="4:7">
      <c r="D1646" s="175">
        <v>43816</v>
      </c>
      <c r="E1646" s="176">
        <v>12165</v>
      </c>
      <c r="F1646" s="3"/>
      <c r="G1646" s="3"/>
    </row>
    <row r="1647" ht="17.6" spans="4:7">
      <c r="D1647" s="175">
        <v>43815</v>
      </c>
      <c r="E1647" s="176">
        <v>12053.95</v>
      </c>
      <c r="F1647" s="3"/>
      <c r="G1647" s="3"/>
    </row>
    <row r="1648" ht="17.6" spans="4:7">
      <c r="D1648" s="175">
        <v>43812</v>
      </c>
      <c r="E1648" s="176">
        <v>12086.7</v>
      </c>
      <c r="F1648" s="3"/>
      <c r="G1648" s="3"/>
    </row>
    <row r="1649" ht="17.6" spans="4:7">
      <c r="D1649" s="175">
        <v>43811</v>
      </c>
      <c r="E1649" s="176">
        <v>11971.8</v>
      </c>
      <c r="F1649" s="3"/>
      <c r="G1649" s="3"/>
    </row>
    <row r="1650" ht="17.6" spans="4:7">
      <c r="D1650" s="175">
        <v>43810</v>
      </c>
      <c r="E1650" s="176">
        <v>11910.15</v>
      </c>
      <c r="F1650" s="3"/>
      <c r="G1650" s="3"/>
    </row>
    <row r="1651" ht="17.6" spans="4:7">
      <c r="D1651" s="175">
        <v>43809</v>
      </c>
      <c r="E1651" s="176">
        <v>11856.8</v>
      </c>
      <c r="F1651" s="3"/>
      <c r="G1651" s="3"/>
    </row>
    <row r="1652" ht="17.6" spans="4:7">
      <c r="D1652" s="175">
        <v>43808</v>
      </c>
      <c r="E1652" s="176">
        <v>11937.5</v>
      </c>
      <c r="F1652" s="3"/>
      <c r="G1652" s="3"/>
    </row>
    <row r="1653" ht="17.6" spans="4:7">
      <c r="D1653" s="175">
        <v>43805</v>
      </c>
      <c r="E1653" s="176">
        <v>11921.5</v>
      </c>
      <c r="F1653" s="3"/>
      <c r="G1653" s="3"/>
    </row>
    <row r="1654" ht="17.6" spans="4:7">
      <c r="D1654" s="175">
        <v>43804</v>
      </c>
      <c r="E1654" s="176">
        <v>12018.4</v>
      </c>
      <c r="F1654" s="3"/>
      <c r="G1654" s="3"/>
    </row>
    <row r="1655" ht="17.6" spans="4:7">
      <c r="D1655" s="175">
        <v>43803</v>
      </c>
      <c r="E1655" s="176">
        <v>12043.2</v>
      </c>
      <c r="F1655" s="3"/>
      <c r="G1655" s="3"/>
    </row>
    <row r="1656" ht="17.6" spans="4:7">
      <c r="D1656" s="175">
        <v>43802</v>
      </c>
      <c r="E1656" s="176">
        <v>11994.2</v>
      </c>
      <c r="F1656" s="3"/>
      <c r="G1656" s="3"/>
    </row>
    <row r="1657" ht="17.6" spans="4:7">
      <c r="D1657" s="175">
        <v>43801</v>
      </c>
      <c r="E1657" s="176">
        <v>12048.2</v>
      </c>
      <c r="F1657" s="3"/>
      <c r="G1657" s="3"/>
    </row>
    <row r="1658" ht="17.6" spans="4:7">
      <c r="D1658" s="175">
        <v>43798</v>
      </c>
      <c r="E1658" s="176">
        <v>12056.05</v>
      </c>
      <c r="F1658" s="3"/>
      <c r="G1658" s="3"/>
    </row>
    <row r="1659" ht="17.6" spans="4:7">
      <c r="D1659" s="175">
        <v>43797</v>
      </c>
      <c r="E1659" s="176">
        <v>12151.15</v>
      </c>
      <c r="F1659" s="3"/>
      <c r="G1659" s="3"/>
    </row>
    <row r="1660" ht="17.6" spans="4:7">
      <c r="D1660" s="175">
        <v>43796</v>
      </c>
      <c r="E1660" s="176">
        <v>12100.7</v>
      </c>
      <c r="F1660" s="3"/>
      <c r="G1660" s="3"/>
    </row>
    <row r="1661" ht="17.6" spans="4:7">
      <c r="D1661" s="175">
        <v>43795</v>
      </c>
      <c r="E1661" s="176">
        <v>12037.7</v>
      </c>
      <c r="F1661" s="3"/>
      <c r="G1661" s="3"/>
    </row>
    <row r="1662" ht="17.6" spans="4:7">
      <c r="D1662" s="175">
        <v>43794</v>
      </c>
      <c r="E1662" s="176">
        <v>12073.75</v>
      </c>
      <c r="F1662" s="3"/>
      <c r="G1662" s="3"/>
    </row>
    <row r="1663" ht="17.6" spans="4:7">
      <c r="D1663" s="175">
        <v>43791</v>
      </c>
      <c r="E1663" s="176">
        <v>11914.4</v>
      </c>
      <c r="F1663" s="3"/>
      <c r="G1663" s="3"/>
    </row>
    <row r="1664" ht="17.6" spans="4:7">
      <c r="D1664" s="175">
        <v>43790</v>
      </c>
      <c r="E1664" s="176">
        <v>11968.4</v>
      </c>
      <c r="F1664" s="3"/>
      <c r="G1664" s="3"/>
    </row>
    <row r="1665" ht="17.6" spans="4:7">
      <c r="D1665" s="175">
        <v>43789</v>
      </c>
      <c r="E1665" s="176">
        <v>11999.1</v>
      </c>
      <c r="F1665" s="3"/>
      <c r="G1665" s="3"/>
    </row>
    <row r="1666" ht="17.6" spans="4:7">
      <c r="D1666" s="175">
        <v>43788</v>
      </c>
      <c r="E1666" s="176">
        <v>11940.1</v>
      </c>
      <c r="F1666" s="3"/>
      <c r="G1666" s="3"/>
    </row>
    <row r="1667" ht="17.6" spans="4:7">
      <c r="D1667" s="175">
        <v>43787</v>
      </c>
      <c r="E1667" s="176">
        <v>11884.5</v>
      </c>
      <c r="F1667" s="3"/>
      <c r="G1667" s="3"/>
    </row>
    <row r="1668" ht="17.6" spans="4:7">
      <c r="D1668" s="175">
        <v>43784</v>
      </c>
      <c r="E1668" s="176">
        <v>11895.45</v>
      </c>
      <c r="F1668" s="3"/>
      <c r="G1668" s="3"/>
    </row>
    <row r="1669" ht="17.6" spans="4:7">
      <c r="D1669" s="175">
        <v>43783</v>
      </c>
      <c r="E1669" s="176">
        <v>11872.1</v>
      </c>
      <c r="F1669" s="3"/>
      <c r="G1669" s="3"/>
    </row>
    <row r="1670" ht="17.6" spans="4:7">
      <c r="D1670" s="175">
        <v>43782</v>
      </c>
      <c r="E1670" s="176">
        <v>11840.45</v>
      </c>
      <c r="F1670" s="3"/>
      <c r="G1670" s="3"/>
    </row>
    <row r="1671" ht="17.6" spans="4:7">
      <c r="D1671" s="175">
        <v>43780</v>
      </c>
      <c r="E1671" s="176">
        <v>11913.45</v>
      </c>
      <c r="F1671" s="3"/>
      <c r="G1671" s="3"/>
    </row>
    <row r="1672" ht="17.6" spans="4:7">
      <c r="D1672" s="175">
        <v>43777</v>
      </c>
      <c r="E1672" s="176">
        <v>11908.15</v>
      </c>
      <c r="F1672" s="3"/>
      <c r="G1672" s="3"/>
    </row>
    <row r="1673" ht="17.6" spans="4:7">
      <c r="D1673" s="175">
        <v>43776</v>
      </c>
      <c r="E1673" s="176">
        <v>12012.05</v>
      </c>
      <c r="F1673" s="3"/>
      <c r="G1673" s="3"/>
    </row>
    <row r="1674" ht="17.6" spans="4:7">
      <c r="D1674" s="175">
        <v>43775</v>
      </c>
      <c r="E1674" s="176">
        <v>11966.05</v>
      </c>
      <c r="F1674" s="3"/>
      <c r="G1674" s="3"/>
    </row>
    <row r="1675" ht="17.6" spans="4:7">
      <c r="D1675" s="175">
        <v>43774</v>
      </c>
      <c r="E1675" s="176">
        <v>11917.2</v>
      </c>
      <c r="F1675" s="3"/>
      <c r="G1675" s="3"/>
    </row>
    <row r="1676" ht="17.6" spans="4:7">
      <c r="D1676" s="175">
        <v>43773</v>
      </c>
      <c r="E1676" s="176">
        <v>11941.3</v>
      </c>
      <c r="F1676" s="3"/>
      <c r="G1676" s="3"/>
    </row>
    <row r="1677" ht="17.6" spans="4:7">
      <c r="D1677" s="175">
        <v>43770</v>
      </c>
      <c r="E1677" s="176">
        <v>11890.6</v>
      </c>
      <c r="F1677" s="3"/>
      <c r="G1677" s="3"/>
    </row>
    <row r="1678" ht="17.6" spans="4:7">
      <c r="D1678" s="175">
        <v>43769</v>
      </c>
      <c r="E1678" s="176">
        <v>11877.45</v>
      </c>
      <c r="F1678" s="3"/>
      <c r="G1678" s="3"/>
    </row>
    <row r="1679" ht="17.6" spans="4:7">
      <c r="D1679" s="175">
        <v>43768</v>
      </c>
      <c r="E1679" s="176">
        <v>11844.1</v>
      </c>
      <c r="F1679" s="3"/>
      <c r="G1679" s="3"/>
    </row>
    <row r="1680" ht="17.6" spans="4:7">
      <c r="D1680" s="175">
        <v>43767</v>
      </c>
      <c r="E1680" s="176">
        <v>11786.85</v>
      </c>
      <c r="F1680" s="3"/>
      <c r="G1680" s="3"/>
    </row>
    <row r="1681" ht="17.6" spans="4:7">
      <c r="D1681" s="175">
        <v>43765</v>
      </c>
      <c r="E1681" s="176">
        <v>11627.15</v>
      </c>
      <c r="F1681" s="3"/>
      <c r="G1681" s="3"/>
    </row>
    <row r="1682" ht="17.6" spans="4:7">
      <c r="D1682" s="175">
        <v>43763</v>
      </c>
      <c r="E1682" s="176">
        <v>11583.9</v>
      </c>
      <c r="F1682" s="3"/>
      <c r="G1682" s="3"/>
    </row>
    <row r="1683" ht="17.6" spans="4:7">
      <c r="D1683" s="175">
        <v>43762</v>
      </c>
      <c r="E1683" s="176">
        <v>11582.6</v>
      </c>
      <c r="F1683" s="3"/>
      <c r="G1683" s="3"/>
    </row>
    <row r="1684" ht="17.6" spans="4:7">
      <c r="D1684" s="175">
        <v>43761</v>
      </c>
      <c r="E1684" s="176">
        <v>11604.1</v>
      </c>
      <c r="F1684" s="3"/>
      <c r="G1684" s="3"/>
    </row>
    <row r="1685" ht="17.6" spans="4:7">
      <c r="D1685" s="175">
        <v>43760</v>
      </c>
      <c r="E1685" s="176">
        <v>11588.35</v>
      </c>
      <c r="F1685" s="3"/>
      <c r="G1685" s="3"/>
    </row>
    <row r="1686" ht="17.6" spans="4:7">
      <c r="D1686" s="175">
        <v>43756</v>
      </c>
      <c r="E1686" s="176">
        <v>11661.85</v>
      </c>
      <c r="F1686" s="3"/>
      <c r="G1686" s="3"/>
    </row>
    <row r="1687" ht="17.6" spans="4:7">
      <c r="D1687" s="175">
        <v>43755</v>
      </c>
      <c r="E1687" s="176">
        <v>11586.35</v>
      </c>
      <c r="F1687" s="3"/>
      <c r="G1687" s="3"/>
    </row>
    <row r="1688" ht="17.6" spans="4:7">
      <c r="D1688" s="175">
        <v>43754</v>
      </c>
      <c r="E1688" s="176">
        <v>11464</v>
      </c>
      <c r="F1688" s="3"/>
      <c r="G1688" s="3"/>
    </row>
    <row r="1689" ht="17.6" spans="4:7">
      <c r="D1689" s="175">
        <v>43753</v>
      </c>
      <c r="E1689" s="176">
        <v>11428.3</v>
      </c>
      <c r="F1689" s="3"/>
      <c r="G1689" s="3"/>
    </row>
    <row r="1690" ht="17.6" spans="4:7">
      <c r="D1690" s="175">
        <v>43752</v>
      </c>
      <c r="E1690" s="176">
        <v>11341.15</v>
      </c>
      <c r="F1690" s="3"/>
      <c r="G1690" s="3"/>
    </row>
    <row r="1691" ht="17.6" spans="4:7">
      <c r="D1691" s="175">
        <v>43749</v>
      </c>
      <c r="E1691" s="176">
        <v>11305.05</v>
      </c>
      <c r="F1691" s="3"/>
      <c r="G1691" s="3"/>
    </row>
    <row r="1692" ht="17.6" spans="4:7">
      <c r="D1692" s="175">
        <v>43748</v>
      </c>
      <c r="E1692" s="176">
        <v>11234.55</v>
      </c>
      <c r="F1692" s="3"/>
      <c r="G1692" s="3"/>
    </row>
    <row r="1693" ht="17.6" spans="4:7">
      <c r="D1693" s="175">
        <v>43747</v>
      </c>
      <c r="E1693" s="176">
        <v>11313.3</v>
      </c>
      <c r="F1693" s="3"/>
      <c r="G1693" s="3"/>
    </row>
    <row r="1694" ht="17.6" spans="4:7">
      <c r="D1694" s="175">
        <v>43745</v>
      </c>
      <c r="E1694" s="176">
        <v>11126.4</v>
      </c>
      <c r="F1694" s="3"/>
      <c r="G1694" s="3"/>
    </row>
    <row r="1695" ht="17.6" spans="4:7">
      <c r="D1695" s="175">
        <v>43742</v>
      </c>
      <c r="E1695" s="176">
        <v>11174.75</v>
      </c>
      <c r="F1695" s="3"/>
      <c r="G1695" s="3"/>
    </row>
    <row r="1696" ht="17.6" spans="4:7">
      <c r="D1696" s="175">
        <v>43741</v>
      </c>
      <c r="E1696" s="176">
        <v>11314</v>
      </c>
      <c r="F1696" s="3"/>
      <c r="G1696" s="3"/>
    </row>
    <row r="1697" ht="17.6" spans="4:7">
      <c r="D1697" s="175">
        <v>43739</v>
      </c>
      <c r="E1697" s="176">
        <v>11359.9</v>
      </c>
      <c r="F1697" s="3"/>
      <c r="G1697" s="3"/>
    </row>
    <row r="1698" ht="17.6" spans="4:7">
      <c r="D1698" s="175">
        <v>43738</v>
      </c>
      <c r="E1698" s="176">
        <v>11474.45</v>
      </c>
      <c r="F1698" s="3"/>
      <c r="G1698" s="3"/>
    </row>
    <row r="1699" ht="17.6" spans="4:7">
      <c r="D1699" s="175">
        <v>43735</v>
      </c>
      <c r="E1699" s="176">
        <v>11512.4</v>
      </c>
      <c r="F1699" s="3"/>
      <c r="G1699" s="3"/>
    </row>
    <row r="1700" ht="17.6" spans="4:7">
      <c r="D1700" s="175">
        <v>43734</v>
      </c>
      <c r="E1700" s="176">
        <v>11571.2</v>
      </c>
      <c r="F1700" s="3"/>
      <c r="G1700" s="3"/>
    </row>
    <row r="1701" ht="17.6" spans="4:7">
      <c r="D1701" s="175">
        <v>43733</v>
      </c>
      <c r="E1701" s="176">
        <v>11440.2</v>
      </c>
      <c r="F1701" s="3"/>
      <c r="G1701" s="3"/>
    </row>
    <row r="1702" ht="17.6" spans="4:7">
      <c r="D1702" s="175">
        <v>43732</v>
      </c>
      <c r="E1702" s="176">
        <v>11588.2</v>
      </c>
      <c r="F1702" s="3"/>
      <c r="G1702" s="3"/>
    </row>
    <row r="1703" ht="17.6" spans="4:7">
      <c r="D1703" s="175">
        <v>43731</v>
      </c>
      <c r="E1703" s="176">
        <v>11600.2</v>
      </c>
      <c r="F1703" s="3"/>
      <c r="G1703" s="3"/>
    </row>
    <row r="1704" ht="17.6" spans="4:7">
      <c r="D1704" s="175">
        <v>43728</v>
      </c>
      <c r="E1704" s="176">
        <v>11274.2</v>
      </c>
      <c r="F1704" s="3"/>
      <c r="G1704" s="3"/>
    </row>
    <row r="1705" ht="17.6" spans="4:7">
      <c r="D1705" s="175">
        <v>43727</v>
      </c>
      <c r="E1705" s="176">
        <v>10704.8</v>
      </c>
      <c r="F1705" s="3"/>
      <c r="G1705" s="3"/>
    </row>
    <row r="1706" ht="17.6" spans="4:7">
      <c r="D1706" s="175">
        <v>43726</v>
      </c>
      <c r="E1706" s="176">
        <v>10840.65</v>
      </c>
      <c r="F1706" s="3"/>
      <c r="G1706" s="3"/>
    </row>
    <row r="1707" ht="17.6" spans="4:7">
      <c r="D1707" s="175">
        <v>43725</v>
      </c>
      <c r="E1707" s="176">
        <v>10817.6</v>
      </c>
      <c r="F1707" s="3"/>
      <c r="G1707" s="3"/>
    </row>
    <row r="1708" ht="17.6" spans="4:7">
      <c r="D1708" s="175">
        <v>43724</v>
      </c>
      <c r="E1708" s="176">
        <v>11003.5</v>
      </c>
      <c r="F1708" s="3"/>
      <c r="G1708" s="3"/>
    </row>
    <row r="1709" ht="17.6" spans="4:7">
      <c r="D1709" s="175">
        <v>43721</v>
      </c>
      <c r="E1709" s="176">
        <v>11075.9</v>
      </c>
      <c r="F1709" s="3"/>
      <c r="G1709" s="3"/>
    </row>
    <row r="1710" ht="17.6" spans="4:7">
      <c r="D1710" s="175">
        <v>43720</v>
      </c>
      <c r="E1710" s="176">
        <v>10982.8</v>
      </c>
      <c r="F1710" s="3"/>
      <c r="G1710" s="3"/>
    </row>
    <row r="1711" ht="17.6" spans="4:7">
      <c r="D1711" s="175">
        <v>43719</v>
      </c>
      <c r="E1711" s="176">
        <v>11035.7</v>
      </c>
      <c r="F1711" s="3"/>
      <c r="G1711" s="3"/>
    </row>
    <row r="1712" ht="17.6" spans="4:7">
      <c r="D1712" s="175">
        <v>43717</v>
      </c>
      <c r="E1712" s="176">
        <v>11003.05</v>
      </c>
      <c r="F1712" s="3"/>
      <c r="G1712" s="3"/>
    </row>
    <row r="1713" ht="17.6" spans="4:7">
      <c r="D1713" s="175">
        <v>43714</v>
      </c>
      <c r="E1713" s="176">
        <v>10946.2</v>
      </c>
      <c r="F1713" s="3"/>
      <c r="G1713" s="3"/>
    </row>
    <row r="1714" ht="17.6" spans="4:7">
      <c r="D1714" s="175">
        <v>43713</v>
      </c>
      <c r="E1714" s="176">
        <v>10847.9</v>
      </c>
      <c r="F1714" s="3"/>
      <c r="G1714" s="3"/>
    </row>
    <row r="1715" ht="17.6" spans="4:7">
      <c r="D1715" s="175">
        <v>43712</v>
      </c>
      <c r="E1715" s="176">
        <v>10844.65</v>
      </c>
      <c r="F1715" s="3"/>
      <c r="G1715" s="3"/>
    </row>
    <row r="1716" ht="17.6" spans="4:7">
      <c r="D1716" s="175">
        <v>43711</v>
      </c>
      <c r="E1716" s="176">
        <v>10797.9</v>
      </c>
      <c r="F1716" s="3"/>
      <c r="G1716" s="3"/>
    </row>
    <row r="1717" ht="17.6" spans="4:7">
      <c r="D1717" s="175">
        <v>43707</v>
      </c>
      <c r="E1717" s="176">
        <v>11023.25</v>
      </c>
      <c r="F1717" s="3"/>
      <c r="G1717" s="3"/>
    </row>
    <row r="1718" ht="17.6" spans="4:7">
      <c r="D1718" s="175">
        <v>43706</v>
      </c>
      <c r="E1718" s="176">
        <v>10948.3</v>
      </c>
      <c r="F1718" s="3"/>
      <c r="G1718" s="3"/>
    </row>
    <row r="1719" ht="17.6" spans="4:7">
      <c r="D1719" s="175">
        <v>43705</v>
      </c>
      <c r="E1719" s="176">
        <v>11046.1</v>
      </c>
      <c r="F1719" s="3"/>
      <c r="G1719" s="3"/>
    </row>
    <row r="1720" ht="17.6" spans="4:7">
      <c r="D1720" s="175">
        <v>43704</v>
      </c>
      <c r="E1720" s="176">
        <v>11105.35</v>
      </c>
      <c r="F1720" s="3"/>
      <c r="G1720" s="3"/>
    </row>
    <row r="1721" ht="17.6" spans="4:7">
      <c r="D1721" s="175">
        <v>43703</v>
      </c>
      <c r="E1721" s="176">
        <v>11057.85</v>
      </c>
      <c r="F1721" s="3"/>
      <c r="G1721" s="3"/>
    </row>
    <row r="1722" ht="17.6" spans="4:7">
      <c r="D1722" s="175">
        <v>43700</v>
      </c>
      <c r="E1722" s="176">
        <v>10829.35</v>
      </c>
      <c r="F1722" s="3"/>
      <c r="G1722" s="3"/>
    </row>
    <row r="1723" ht="17.6" spans="4:7">
      <c r="D1723" s="175">
        <v>43699</v>
      </c>
      <c r="E1723" s="176">
        <v>10741.35</v>
      </c>
      <c r="F1723" s="3"/>
      <c r="G1723" s="3"/>
    </row>
    <row r="1724" ht="17.6" spans="4:7">
      <c r="D1724" s="175">
        <v>43698</v>
      </c>
      <c r="E1724" s="176">
        <v>10918.7</v>
      </c>
      <c r="F1724" s="3"/>
      <c r="G1724" s="3"/>
    </row>
    <row r="1725" ht="17.6" spans="4:7">
      <c r="D1725" s="175">
        <v>43697</v>
      </c>
      <c r="E1725" s="176">
        <v>11017</v>
      </c>
      <c r="F1725" s="3"/>
      <c r="G1725" s="3"/>
    </row>
    <row r="1726" ht="17.6" spans="4:7">
      <c r="D1726" s="175">
        <v>43696</v>
      </c>
      <c r="E1726" s="176">
        <v>11053.9</v>
      </c>
      <c r="F1726" s="3"/>
      <c r="G1726" s="3"/>
    </row>
    <row r="1727" ht="17.6" spans="4:7">
      <c r="D1727" s="175">
        <v>43693</v>
      </c>
      <c r="E1727" s="176">
        <v>11047.8</v>
      </c>
      <c r="F1727" s="3"/>
      <c r="G1727" s="3"/>
    </row>
    <row r="1728" ht="17.6" spans="4:7">
      <c r="D1728" s="175">
        <v>43691</v>
      </c>
      <c r="E1728" s="176">
        <v>11029.4</v>
      </c>
      <c r="F1728" s="3"/>
      <c r="G1728" s="3"/>
    </row>
    <row r="1729" ht="17.6" spans="4:7">
      <c r="D1729" s="175">
        <v>43690</v>
      </c>
      <c r="E1729" s="176">
        <v>10925.85</v>
      </c>
      <c r="F1729" s="3"/>
      <c r="G1729" s="3"/>
    </row>
    <row r="1730" ht="17.6" spans="4:7">
      <c r="D1730" s="175">
        <v>43686</v>
      </c>
      <c r="E1730" s="176">
        <v>11109.65</v>
      </c>
      <c r="F1730" s="3"/>
      <c r="G1730" s="3"/>
    </row>
    <row r="1731" ht="17.6" spans="4:7">
      <c r="D1731" s="175">
        <v>43685</v>
      </c>
      <c r="E1731" s="176">
        <v>11032.45</v>
      </c>
      <c r="F1731" s="3"/>
      <c r="G1731" s="3"/>
    </row>
    <row r="1732" ht="17.6" spans="4:7">
      <c r="D1732" s="175">
        <v>43684</v>
      </c>
      <c r="E1732" s="176">
        <v>10855.5</v>
      </c>
      <c r="F1732" s="3"/>
      <c r="G1732" s="3"/>
    </row>
    <row r="1733" ht="17.6" spans="4:7">
      <c r="D1733" s="175">
        <v>43683</v>
      </c>
      <c r="E1733" s="176">
        <v>10948.25</v>
      </c>
      <c r="F1733" s="3"/>
      <c r="G1733" s="3"/>
    </row>
    <row r="1734" ht="17.6" spans="4:7">
      <c r="D1734" s="175">
        <v>43682</v>
      </c>
      <c r="E1734" s="176">
        <v>10862.6</v>
      </c>
      <c r="F1734" s="3"/>
      <c r="G1734" s="3"/>
    </row>
    <row r="1735" ht="17.6" spans="4:7">
      <c r="D1735" s="175">
        <v>43679</v>
      </c>
      <c r="E1735" s="176">
        <v>10997.35</v>
      </c>
      <c r="F1735" s="3"/>
      <c r="G1735" s="3"/>
    </row>
    <row r="1736" ht="17.6" spans="4:7">
      <c r="D1736" s="175">
        <v>43678</v>
      </c>
      <c r="E1736" s="176">
        <v>10980</v>
      </c>
      <c r="F1736" s="3"/>
      <c r="G1736" s="3"/>
    </row>
    <row r="1737" ht="17.6" spans="4:7">
      <c r="D1737" s="175">
        <v>43677</v>
      </c>
      <c r="E1737" s="176">
        <v>11118</v>
      </c>
      <c r="F1737" s="3"/>
      <c r="G1737" s="3"/>
    </row>
    <row r="1738" ht="17.6" spans="4:7">
      <c r="D1738" s="175">
        <v>43676</v>
      </c>
      <c r="E1738" s="176">
        <v>11085.4</v>
      </c>
      <c r="F1738" s="3"/>
      <c r="G1738" s="3"/>
    </row>
    <row r="1739" ht="17.6" spans="4:7">
      <c r="D1739" s="175">
        <v>43675</v>
      </c>
      <c r="E1739" s="176">
        <v>11189.2</v>
      </c>
      <c r="F1739" s="3"/>
      <c r="G1739" s="3"/>
    </row>
    <row r="1740" ht="17.6" spans="4:7">
      <c r="D1740" s="175">
        <v>43672</v>
      </c>
      <c r="E1740" s="176">
        <v>11284.3</v>
      </c>
      <c r="F1740" s="3"/>
      <c r="G1740" s="3"/>
    </row>
    <row r="1741" ht="17.6" spans="4:7">
      <c r="D1741" s="175">
        <v>43671</v>
      </c>
      <c r="E1741" s="176">
        <v>11252.15</v>
      </c>
      <c r="F1741" s="3"/>
      <c r="G1741" s="3"/>
    </row>
    <row r="1742" ht="17.6" spans="4:7">
      <c r="D1742" s="175">
        <v>43670</v>
      </c>
      <c r="E1742" s="176">
        <v>11271.3</v>
      </c>
      <c r="F1742" s="3"/>
      <c r="G1742" s="3"/>
    </row>
    <row r="1743" ht="17.6" spans="4:7">
      <c r="D1743" s="175">
        <v>43669</v>
      </c>
      <c r="E1743" s="176">
        <v>11331.05</v>
      </c>
      <c r="F1743" s="3"/>
      <c r="G1743" s="3"/>
    </row>
    <row r="1744" ht="17.6" spans="4:7">
      <c r="D1744" s="175">
        <v>43668</v>
      </c>
      <c r="E1744" s="176">
        <v>11346.2</v>
      </c>
      <c r="F1744" s="3"/>
      <c r="G1744" s="3"/>
    </row>
    <row r="1745" ht="17.6" spans="4:7">
      <c r="D1745" s="175">
        <v>43665</v>
      </c>
      <c r="E1745" s="176">
        <v>11419.25</v>
      </c>
      <c r="F1745" s="3"/>
      <c r="G1745" s="3"/>
    </row>
    <row r="1746" ht="17.6" spans="4:7">
      <c r="D1746" s="175">
        <v>43664</v>
      </c>
      <c r="E1746" s="176">
        <v>11596.9</v>
      </c>
      <c r="F1746" s="3"/>
      <c r="G1746" s="3"/>
    </row>
    <row r="1747" ht="17.6" spans="4:7">
      <c r="D1747" s="175">
        <v>43663</v>
      </c>
      <c r="E1747" s="176">
        <v>11687.5</v>
      </c>
      <c r="F1747" s="3"/>
      <c r="G1747" s="3"/>
    </row>
    <row r="1748" ht="17.6" spans="4:7">
      <c r="D1748" s="175">
        <v>43662</v>
      </c>
      <c r="E1748" s="176">
        <v>11662.6</v>
      </c>
      <c r="F1748" s="3"/>
      <c r="G1748" s="3"/>
    </row>
    <row r="1749" ht="17.6" spans="4:7">
      <c r="D1749" s="175">
        <v>43661</v>
      </c>
      <c r="E1749" s="176">
        <v>11588.35</v>
      </c>
      <c r="F1749" s="3"/>
      <c r="G1749" s="3"/>
    </row>
    <row r="1750" ht="17.6" spans="4:7">
      <c r="D1750" s="175">
        <v>43658</v>
      </c>
      <c r="E1750" s="176">
        <v>11552.5</v>
      </c>
      <c r="F1750" s="3"/>
      <c r="G1750" s="3"/>
    </row>
    <row r="1751" ht="17.6" spans="4:7">
      <c r="D1751" s="175">
        <v>43657</v>
      </c>
      <c r="E1751" s="176">
        <v>11582.9</v>
      </c>
      <c r="F1751" s="3"/>
      <c r="G1751" s="3"/>
    </row>
    <row r="1752" ht="17.6" spans="4:7">
      <c r="D1752" s="175">
        <v>43656</v>
      </c>
      <c r="E1752" s="176">
        <v>11498.9</v>
      </c>
      <c r="F1752" s="3"/>
      <c r="G1752" s="3"/>
    </row>
    <row r="1753" ht="17.6" spans="4:7">
      <c r="D1753" s="175">
        <v>43655</v>
      </c>
      <c r="E1753" s="176">
        <v>11555.9</v>
      </c>
      <c r="F1753" s="3"/>
      <c r="G1753" s="3"/>
    </row>
    <row r="1754" ht="17.6" spans="4:7">
      <c r="D1754" s="175">
        <v>43654</v>
      </c>
      <c r="E1754" s="176">
        <v>11558.6</v>
      </c>
      <c r="F1754" s="3"/>
      <c r="G1754" s="3"/>
    </row>
    <row r="1755" ht="17.6" spans="4:7">
      <c r="D1755" s="175">
        <v>43651</v>
      </c>
      <c r="E1755" s="176">
        <v>11811.15</v>
      </c>
      <c r="F1755" s="3"/>
      <c r="G1755" s="3"/>
    </row>
    <row r="1756" ht="17.6" spans="4:7">
      <c r="D1756" s="175">
        <v>43650</v>
      </c>
      <c r="E1756" s="176">
        <v>11946.75</v>
      </c>
      <c r="F1756" s="3"/>
      <c r="G1756" s="3"/>
    </row>
    <row r="1757" ht="17.6" spans="4:7">
      <c r="D1757" s="175">
        <v>43649</v>
      </c>
      <c r="E1757" s="176">
        <v>11916.75</v>
      </c>
      <c r="F1757" s="3"/>
      <c r="G1757" s="3"/>
    </row>
    <row r="1758" ht="17.6" spans="4:7">
      <c r="D1758" s="175">
        <v>43648</v>
      </c>
      <c r="E1758" s="176">
        <v>11910.3</v>
      </c>
      <c r="F1758" s="3"/>
      <c r="G1758" s="3"/>
    </row>
    <row r="1759" ht="17.6" spans="4:7">
      <c r="D1759" s="175">
        <v>43647</v>
      </c>
      <c r="E1759" s="176">
        <v>11865.6</v>
      </c>
      <c r="F1759" s="3"/>
      <c r="G1759" s="3"/>
    </row>
    <row r="1760" ht="17.6" spans="4:7">
      <c r="D1760" s="175">
        <v>43644</v>
      </c>
      <c r="E1760" s="176">
        <v>11788.85</v>
      </c>
      <c r="F1760" s="3"/>
      <c r="G1760" s="3"/>
    </row>
    <row r="1761" ht="17.6" spans="4:7">
      <c r="D1761" s="175">
        <v>43643</v>
      </c>
      <c r="E1761" s="176">
        <v>11841.55</v>
      </c>
      <c r="F1761" s="3"/>
      <c r="G1761" s="3"/>
    </row>
    <row r="1762" ht="17.6" spans="4:7">
      <c r="D1762" s="175">
        <v>43642</v>
      </c>
      <c r="E1762" s="176">
        <v>11847.55</v>
      </c>
      <c r="F1762" s="3"/>
      <c r="G1762" s="3"/>
    </row>
    <row r="1763" ht="17.6" spans="4:7">
      <c r="D1763" s="175">
        <v>43641</v>
      </c>
      <c r="E1763" s="176">
        <v>11796.45</v>
      </c>
      <c r="F1763" s="3"/>
      <c r="G1763" s="3"/>
    </row>
    <row r="1764" ht="17.6" spans="4:7">
      <c r="D1764" s="175">
        <v>43640</v>
      </c>
      <c r="E1764" s="176">
        <v>11699.65</v>
      </c>
      <c r="F1764" s="3"/>
      <c r="G1764" s="3"/>
    </row>
    <row r="1765" ht="17.6" spans="4:7">
      <c r="D1765" s="175">
        <v>43637</v>
      </c>
      <c r="E1765" s="176">
        <v>11724.1</v>
      </c>
      <c r="F1765" s="3"/>
      <c r="G1765" s="3"/>
    </row>
    <row r="1766" ht="17.6" spans="4:7">
      <c r="D1766" s="175">
        <v>43636</v>
      </c>
      <c r="E1766" s="176">
        <v>11831.75</v>
      </c>
      <c r="F1766" s="3"/>
      <c r="G1766" s="3"/>
    </row>
    <row r="1767" ht="17.6" spans="4:7">
      <c r="D1767" s="175">
        <v>43635</v>
      </c>
      <c r="E1767" s="176">
        <v>11691.45</v>
      </c>
      <c r="F1767" s="3"/>
      <c r="G1767" s="3"/>
    </row>
    <row r="1768" ht="17.6" spans="4:7">
      <c r="D1768" s="175">
        <v>43634</v>
      </c>
      <c r="E1768" s="176">
        <v>11691.5</v>
      </c>
      <c r="F1768" s="3"/>
      <c r="G1768" s="3"/>
    </row>
    <row r="1769" ht="17.6" spans="4:7">
      <c r="D1769" s="175">
        <v>43633</v>
      </c>
      <c r="E1769" s="176">
        <v>11672.15</v>
      </c>
      <c r="F1769" s="3"/>
      <c r="G1769" s="3"/>
    </row>
    <row r="1770" ht="17.6" spans="4:7">
      <c r="D1770" s="175">
        <v>43630</v>
      </c>
      <c r="E1770" s="176">
        <v>11823.3</v>
      </c>
      <c r="F1770" s="3"/>
      <c r="G1770" s="3"/>
    </row>
    <row r="1771" ht="17.6" spans="4:7">
      <c r="D1771" s="175">
        <v>43629</v>
      </c>
      <c r="E1771" s="176">
        <v>11914.05</v>
      </c>
      <c r="F1771" s="3"/>
      <c r="G1771" s="3"/>
    </row>
    <row r="1772" ht="17.6" spans="4:7">
      <c r="D1772" s="175">
        <v>43628</v>
      </c>
      <c r="E1772" s="176">
        <v>11906.2</v>
      </c>
      <c r="F1772" s="3"/>
      <c r="G1772" s="3"/>
    </row>
    <row r="1773" ht="17.6" spans="4:7">
      <c r="D1773" s="175">
        <v>43627</v>
      </c>
      <c r="E1773" s="176">
        <v>11965.6</v>
      </c>
      <c r="F1773" s="3"/>
      <c r="G1773" s="3"/>
    </row>
    <row r="1774" ht="17.6" spans="4:7">
      <c r="D1774" s="175">
        <v>43626</v>
      </c>
      <c r="E1774" s="176">
        <v>11922.7</v>
      </c>
      <c r="F1774" s="3"/>
      <c r="G1774" s="3"/>
    </row>
    <row r="1775" ht="17.6" spans="4:7">
      <c r="D1775" s="175">
        <v>43623</v>
      </c>
      <c r="E1775" s="176">
        <v>11870.65</v>
      </c>
      <c r="F1775" s="3"/>
      <c r="G1775" s="3"/>
    </row>
    <row r="1776" ht="17.6" spans="4:7">
      <c r="D1776" s="175">
        <v>43622</v>
      </c>
      <c r="E1776" s="176">
        <v>11843.75</v>
      </c>
      <c r="F1776" s="3"/>
      <c r="G1776" s="3"/>
    </row>
    <row r="1777" ht="17.6" spans="4:7">
      <c r="D1777" s="175">
        <v>43620</v>
      </c>
      <c r="E1777" s="176">
        <v>12021.65</v>
      </c>
      <c r="F1777" s="3"/>
      <c r="G1777" s="3"/>
    </row>
    <row r="1778" ht="17.6" spans="4:7">
      <c r="D1778" s="175">
        <v>43619</v>
      </c>
      <c r="E1778" s="176">
        <v>12088.55</v>
      </c>
      <c r="F1778" s="3"/>
      <c r="G1778" s="3"/>
    </row>
    <row r="1779" ht="17.6" spans="4:7">
      <c r="D1779" s="175">
        <v>43616</v>
      </c>
      <c r="E1779" s="176">
        <v>11922.8</v>
      </c>
      <c r="F1779" s="3"/>
      <c r="G1779" s="3"/>
    </row>
    <row r="1780" ht="17.6" spans="4:7">
      <c r="D1780" s="175">
        <v>43615</v>
      </c>
      <c r="E1780" s="176">
        <v>11945.9</v>
      </c>
      <c r="F1780" s="3"/>
      <c r="G1780" s="3"/>
    </row>
    <row r="1781" ht="17.6" spans="4:7">
      <c r="D1781" s="175">
        <v>43614</v>
      </c>
      <c r="E1781" s="176">
        <v>11861.1</v>
      </c>
      <c r="F1781" s="3"/>
      <c r="G1781" s="3"/>
    </row>
    <row r="1782" ht="17.6" spans="4:7">
      <c r="D1782" s="175">
        <v>43613</v>
      </c>
      <c r="E1782" s="176">
        <v>11928.75</v>
      </c>
      <c r="F1782" s="3"/>
      <c r="G1782" s="3"/>
    </row>
    <row r="1783" ht="17.6" spans="4:7">
      <c r="D1783" s="175">
        <v>43612</v>
      </c>
      <c r="E1783" s="176">
        <v>11924.75</v>
      </c>
      <c r="F1783" s="3"/>
      <c r="G1783" s="3"/>
    </row>
    <row r="1784" ht="17.6" spans="4:7">
      <c r="D1784" s="175">
        <v>43609</v>
      </c>
      <c r="E1784" s="176">
        <v>11844.1</v>
      </c>
      <c r="F1784" s="3"/>
      <c r="G1784" s="3"/>
    </row>
    <row r="1785" ht="17.6" spans="4:7">
      <c r="D1785" s="175">
        <v>43608</v>
      </c>
      <c r="E1785" s="176">
        <v>11657.05</v>
      </c>
      <c r="F1785" s="3"/>
      <c r="G1785" s="3"/>
    </row>
    <row r="1786" ht="17.6" spans="4:7">
      <c r="D1786" s="175">
        <v>43607</v>
      </c>
      <c r="E1786" s="176">
        <v>11737.9</v>
      </c>
      <c r="F1786" s="3"/>
      <c r="G1786" s="3"/>
    </row>
    <row r="1787" ht="17.6" spans="4:7">
      <c r="D1787" s="175">
        <v>43606</v>
      </c>
      <c r="E1787" s="176">
        <v>11709.1</v>
      </c>
      <c r="F1787" s="3"/>
      <c r="G1787" s="3"/>
    </row>
    <row r="1788" ht="17.6" spans="4:7">
      <c r="D1788" s="175">
        <v>43605</v>
      </c>
      <c r="E1788" s="176">
        <v>11828.25</v>
      </c>
      <c r="F1788" s="3"/>
      <c r="G1788" s="3"/>
    </row>
    <row r="1789" ht="17.6" spans="4:7">
      <c r="D1789" s="175">
        <v>43602</v>
      </c>
      <c r="E1789" s="176">
        <v>11407.15</v>
      </c>
      <c r="F1789" s="3"/>
      <c r="G1789" s="3"/>
    </row>
    <row r="1790" ht="17.6" spans="4:7">
      <c r="D1790" s="175">
        <v>43601</v>
      </c>
      <c r="E1790" s="176">
        <v>11257.1</v>
      </c>
      <c r="F1790" s="3"/>
      <c r="G1790" s="3"/>
    </row>
    <row r="1791" ht="17.6" spans="4:7">
      <c r="D1791" s="175">
        <v>43600</v>
      </c>
      <c r="E1791" s="176">
        <v>11157</v>
      </c>
      <c r="F1791" s="3"/>
      <c r="G1791" s="3"/>
    </row>
    <row r="1792" ht="17.6" spans="4:7">
      <c r="D1792" s="175">
        <v>43599</v>
      </c>
      <c r="E1792" s="176">
        <v>11222.05</v>
      </c>
      <c r="F1792" s="3"/>
      <c r="G1792" s="3"/>
    </row>
    <row r="1793" ht="17.6" spans="4:7">
      <c r="D1793" s="175">
        <v>43598</v>
      </c>
      <c r="E1793" s="176">
        <v>11148.2</v>
      </c>
      <c r="F1793" s="3"/>
      <c r="G1793" s="3"/>
    </row>
    <row r="1794" ht="17.6" spans="4:7">
      <c r="D1794" s="175">
        <v>43595</v>
      </c>
      <c r="E1794" s="176">
        <v>11278.9</v>
      </c>
      <c r="F1794" s="3"/>
      <c r="G1794" s="3"/>
    </row>
    <row r="1795" ht="17.6" spans="4:7">
      <c r="D1795" s="175">
        <v>43594</v>
      </c>
      <c r="E1795" s="176">
        <v>11301.8</v>
      </c>
      <c r="F1795" s="3"/>
      <c r="G1795" s="3"/>
    </row>
    <row r="1796" ht="17.6" spans="4:7">
      <c r="D1796" s="175">
        <v>43593</v>
      </c>
      <c r="E1796" s="176">
        <v>11359.45</v>
      </c>
      <c r="F1796" s="3"/>
      <c r="G1796" s="3"/>
    </row>
    <row r="1797" ht="17.6" spans="4:7">
      <c r="D1797" s="175">
        <v>43592</v>
      </c>
      <c r="E1797" s="176">
        <v>11497.9</v>
      </c>
      <c r="F1797" s="3"/>
      <c r="G1797" s="3"/>
    </row>
    <row r="1798" ht="17.6" spans="4:7">
      <c r="D1798" s="175">
        <v>43591</v>
      </c>
      <c r="E1798" s="176">
        <v>11598.25</v>
      </c>
      <c r="F1798" s="3"/>
      <c r="G1798" s="3"/>
    </row>
    <row r="1799" ht="17.6" spans="4:7">
      <c r="D1799" s="175">
        <v>43588</v>
      </c>
      <c r="E1799" s="176">
        <v>11712.25</v>
      </c>
      <c r="F1799" s="3"/>
      <c r="G1799" s="3"/>
    </row>
    <row r="1800" ht="17.6" spans="4:7">
      <c r="D1800" s="175">
        <v>43587</v>
      </c>
      <c r="E1800" s="176">
        <v>11724.75</v>
      </c>
      <c r="F1800" s="3"/>
      <c r="G1800" s="3"/>
    </row>
    <row r="1801" ht="17.6" spans="4:7">
      <c r="D1801" s="175">
        <v>43585</v>
      </c>
      <c r="E1801" s="176">
        <v>11748.15</v>
      </c>
      <c r="F1801" s="3"/>
      <c r="G1801" s="3"/>
    </row>
    <row r="1802" ht="17.6" spans="4:7">
      <c r="D1802" s="175">
        <v>43581</v>
      </c>
      <c r="E1802" s="176">
        <v>11754.65</v>
      </c>
      <c r="F1802" s="3"/>
      <c r="G1802" s="3"/>
    </row>
    <row r="1803" ht="17.6" spans="4:7">
      <c r="D1803" s="175">
        <v>43580</v>
      </c>
      <c r="E1803" s="176">
        <v>11641.8</v>
      </c>
      <c r="F1803" s="3"/>
      <c r="G1803" s="3"/>
    </row>
    <row r="1804" ht="17.6" spans="4:7">
      <c r="D1804" s="175">
        <v>43579</v>
      </c>
      <c r="E1804" s="176">
        <v>11726.15</v>
      </c>
      <c r="F1804" s="3"/>
      <c r="G1804" s="3"/>
    </row>
    <row r="1805" ht="17.6" spans="4:7">
      <c r="D1805" s="175">
        <v>43578</v>
      </c>
      <c r="E1805" s="176">
        <v>11575.95</v>
      </c>
      <c r="F1805" s="3"/>
      <c r="G1805" s="3"/>
    </row>
    <row r="1806" ht="17.6" spans="4:7">
      <c r="D1806" s="175">
        <v>43577</v>
      </c>
      <c r="E1806" s="176">
        <v>11594.45</v>
      </c>
      <c r="F1806" s="3"/>
      <c r="G1806" s="3"/>
    </row>
    <row r="1807" ht="17.6" spans="4:7">
      <c r="D1807" s="175">
        <v>43573</v>
      </c>
      <c r="E1807" s="176">
        <v>11752.8</v>
      </c>
      <c r="F1807" s="3"/>
      <c r="G1807" s="3"/>
    </row>
    <row r="1808" ht="17.6" spans="4:7">
      <c r="D1808" s="175">
        <v>43571</v>
      </c>
      <c r="E1808" s="176">
        <v>11787.15</v>
      </c>
      <c r="F1808" s="3"/>
      <c r="G1808" s="3"/>
    </row>
    <row r="1809" ht="17.6" spans="4:7">
      <c r="D1809" s="175">
        <v>43570</v>
      </c>
      <c r="E1809" s="176">
        <v>11690.35</v>
      </c>
      <c r="F1809" s="3"/>
      <c r="G1809" s="3"/>
    </row>
    <row r="1810" ht="17.6" spans="4:7">
      <c r="D1810" s="175">
        <v>43567</v>
      </c>
      <c r="E1810" s="176">
        <v>11643.45</v>
      </c>
      <c r="F1810" s="3"/>
      <c r="G1810" s="3"/>
    </row>
    <row r="1811" ht="17.6" spans="4:7">
      <c r="D1811" s="175">
        <v>43566</v>
      </c>
      <c r="E1811" s="176">
        <v>11596.7</v>
      </c>
      <c r="F1811" s="3"/>
      <c r="G1811" s="3"/>
    </row>
    <row r="1812" ht="17.6" spans="4:7">
      <c r="D1812" s="175">
        <v>43565</v>
      </c>
      <c r="E1812" s="176">
        <v>11584.3</v>
      </c>
      <c r="F1812" s="3"/>
      <c r="G1812" s="3"/>
    </row>
    <row r="1813" ht="17.6" spans="4:7">
      <c r="D1813" s="175">
        <v>43564</v>
      </c>
      <c r="E1813" s="176">
        <v>11671.95</v>
      </c>
      <c r="F1813" s="3"/>
      <c r="G1813" s="3"/>
    </row>
    <row r="1814" ht="17.6" spans="4:7">
      <c r="D1814" s="175">
        <v>43563</v>
      </c>
      <c r="E1814" s="176">
        <v>11604.5</v>
      </c>
      <c r="F1814" s="3"/>
      <c r="G1814" s="3"/>
    </row>
    <row r="1815" ht="17.6" spans="4:7">
      <c r="D1815" s="175">
        <v>43560</v>
      </c>
      <c r="E1815" s="176">
        <v>11665.95</v>
      </c>
      <c r="F1815" s="3"/>
      <c r="G1815" s="3"/>
    </row>
    <row r="1816" ht="17.6" spans="4:7">
      <c r="D1816" s="175">
        <v>43559</v>
      </c>
      <c r="E1816" s="176">
        <v>11598</v>
      </c>
      <c r="F1816" s="3"/>
      <c r="G1816" s="3"/>
    </row>
    <row r="1817" ht="17.6" spans="4:7">
      <c r="D1817" s="175">
        <v>43558</v>
      </c>
      <c r="E1817" s="176">
        <v>11643.95</v>
      </c>
      <c r="F1817" s="3"/>
      <c r="G1817" s="3"/>
    </row>
    <row r="1818" ht="17.6" spans="4:7">
      <c r="D1818" s="175">
        <v>43557</v>
      </c>
      <c r="E1818" s="176">
        <v>11713.2</v>
      </c>
      <c r="F1818" s="3"/>
      <c r="G1818" s="3"/>
    </row>
    <row r="1819" ht="17.6" spans="4:7">
      <c r="D1819" s="175">
        <v>43556</v>
      </c>
      <c r="E1819" s="176">
        <v>11669.15</v>
      </c>
      <c r="F1819" s="3"/>
      <c r="G1819" s="3"/>
    </row>
    <row r="1820" ht="17.6" spans="4:7">
      <c r="D1820" s="175">
        <v>43553</v>
      </c>
      <c r="E1820" s="176">
        <v>11623.9</v>
      </c>
      <c r="F1820" s="3"/>
      <c r="G1820" s="3"/>
    </row>
    <row r="1821" ht="17.6" spans="4:7">
      <c r="D1821" s="175">
        <v>43552</v>
      </c>
      <c r="E1821" s="176">
        <v>11570</v>
      </c>
      <c r="F1821" s="3"/>
      <c r="G1821" s="3"/>
    </row>
    <row r="1822" ht="17.6" spans="4:7">
      <c r="D1822" s="175">
        <v>43551</v>
      </c>
      <c r="E1822" s="176">
        <v>11445.05</v>
      </c>
      <c r="F1822" s="3"/>
      <c r="G1822" s="3"/>
    </row>
    <row r="1823" ht="17.6" spans="4:7">
      <c r="D1823" s="175">
        <v>43550</v>
      </c>
      <c r="E1823" s="176">
        <v>11483.25</v>
      </c>
      <c r="F1823" s="3"/>
      <c r="G1823" s="3"/>
    </row>
    <row r="1824" ht="17.6" spans="4:7">
      <c r="D1824" s="175">
        <v>43549</v>
      </c>
      <c r="E1824" s="176">
        <v>11354.25</v>
      </c>
      <c r="F1824" s="3"/>
      <c r="G1824" s="3"/>
    </row>
    <row r="1825" ht="17.6" spans="4:7">
      <c r="D1825" s="175">
        <v>43546</v>
      </c>
      <c r="E1825" s="176">
        <v>11456.9</v>
      </c>
      <c r="F1825" s="3"/>
      <c r="G1825" s="3"/>
    </row>
    <row r="1826" ht="17.6" spans="4:7">
      <c r="D1826" s="175">
        <v>43544</v>
      </c>
      <c r="E1826" s="176">
        <v>11521.05</v>
      </c>
      <c r="F1826" s="3"/>
      <c r="G1826" s="3"/>
    </row>
    <row r="1827" ht="17.6" spans="4:7">
      <c r="D1827" s="175">
        <v>43543</v>
      </c>
      <c r="E1827" s="176">
        <v>11532.4</v>
      </c>
      <c r="F1827" s="3"/>
      <c r="G1827" s="3"/>
    </row>
    <row r="1828" ht="17.6" spans="4:7">
      <c r="D1828" s="175">
        <v>43542</v>
      </c>
      <c r="E1828" s="176">
        <v>11462.2</v>
      </c>
      <c r="F1828" s="3"/>
      <c r="G1828" s="3"/>
    </row>
    <row r="1829" ht="17.6" spans="4:7">
      <c r="D1829" s="175">
        <v>43539</v>
      </c>
      <c r="E1829" s="176">
        <v>11426.85</v>
      </c>
      <c r="F1829" s="3"/>
      <c r="G1829" s="3"/>
    </row>
    <row r="1830" ht="17.6" spans="4:7">
      <c r="D1830" s="175">
        <v>43538</v>
      </c>
      <c r="E1830" s="176">
        <v>11343.25</v>
      </c>
      <c r="F1830" s="3"/>
      <c r="G1830" s="3"/>
    </row>
    <row r="1831" ht="17.6" spans="4:7">
      <c r="D1831" s="175">
        <v>43537</v>
      </c>
      <c r="E1831" s="176">
        <v>11341.7</v>
      </c>
      <c r="F1831" s="3"/>
      <c r="G1831" s="3"/>
    </row>
    <row r="1832" ht="17.6" spans="4:7">
      <c r="D1832" s="175">
        <v>43536</v>
      </c>
      <c r="E1832" s="176">
        <v>11301.2</v>
      </c>
      <c r="F1832" s="3"/>
      <c r="G1832" s="3"/>
    </row>
    <row r="1833" ht="17.6" spans="4:7">
      <c r="D1833" s="175">
        <v>43535</v>
      </c>
      <c r="E1833" s="176">
        <v>11168.05</v>
      </c>
      <c r="F1833" s="3"/>
      <c r="G1833" s="3"/>
    </row>
    <row r="1834" ht="17.6" spans="4:7">
      <c r="D1834" s="175">
        <v>43532</v>
      </c>
      <c r="E1834" s="176">
        <v>11035.4</v>
      </c>
      <c r="F1834" s="3"/>
      <c r="G1834" s="3"/>
    </row>
    <row r="1835" ht="17.6" spans="4:7">
      <c r="D1835" s="175">
        <v>43531</v>
      </c>
      <c r="E1835" s="176">
        <v>11058.2</v>
      </c>
      <c r="F1835" s="3"/>
      <c r="G1835" s="3"/>
    </row>
    <row r="1836" ht="17.6" spans="4:7">
      <c r="D1836" s="175">
        <v>43530</v>
      </c>
      <c r="E1836" s="176">
        <v>11053</v>
      </c>
      <c r="F1836" s="3"/>
      <c r="G1836" s="3"/>
    </row>
    <row r="1837" ht="17.6" spans="4:7">
      <c r="D1837" s="175">
        <v>43529</v>
      </c>
      <c r="E1837" s="176">
        <v>10987.45</v>
      </c>
      <c r="F1837" s="3"/>
      <c r="G1837" s="3"/>
    </row>
    <row r="1838" ht="17.6" spans="4:7">
      <c r="D1838" s="175">
        <v>43525</v>
      </c>
      <c r="E1838" s="176">
        <v>10863.5</v>
      </c>
      <c r="F1838" s="3"/>
      <c r="G1838" s="3"/>
    </row>
    <row r="1839" ht="17.6" spans="4:7">
      <c r="D1839" s="175">
        <v>43524</v>
      </c>
      <c r="E1839" s="176">
        <v>10792.5</v>
      </c>
      <c r="F1839" s="3"/>
      <c r="G1839" s="3"/>
    </row>
    <row r="1840" ht="17.6" spans="4:7">
      <c r="D1840" s="175">
        <v>43523</v>
      </c>
      <c r="E1840" s="176">
        <v>10806.65</v>
      </c>
      <c r="F1840" s="3"/>
      <c r="G1840" s="3"/>
    </row>
    <row r="1841" ht="17.6" spans="4:7">
      <c r="D1841" s="175">
        <v>43522</v>
      </c>
      <c r="E1841" s="176">
        <v>10835.3</v>
      </c>
      <c r="F1841" s="3"/>
      <c r="G1841" s="3"/>
    </row>
    <row r="1842" ht="17.6" spans="4:7">
      <c r="D1842" s="175">
        <v>43521</v>
      </c>
      <c r="E1842" s="176">
        <v>10880.1</v>
      </c>
      <c r="F1842" s="3"/>
      <c r="G1842" s="3"/>
    </row>
    <row r="1843" ht="17.6" spans="4:7">
      <c r="D1843" s="175">
        <v>43518</v>
      </c>
      <c r="E1843" s="176">
        <v>10791.65</v>
      </c>
      <c r="F1843" s="3"/>
      <c r="G1843" s="3"/>
    </row>
    <row r="1844" ht="17.6" spans="4:7">
      <c r="D1844" s="175">
        <v>43517</v>
      </c>
      <c r="E1844" s="176">
        <v>10789.85</v>
      </c>
      <c r="F1844" s="3"/>
      <c r="G1844" s="3"/>
    </row>
    <row r="1845" ht="17.6" spans="4:7">
      <c r="D1845" s="175">
        <v>43516</v>
      </c>
      <c r="E1845" s="176">
        <v>10735.45</v>
      </c>
      <c r="F1845" s="3"/>
      <c r="G1845" s="3"/>
    </row>
    <row r="1846" ht="17.6" spans="4:7">
      <c r="D1846" s="175">
        <v>43515</v>
      </c>
      <c r="E1846" s="176">
        <v>10604.35</v>
      </c>
      <c r="F1846" s="3"/>
      <c r="G1846" s="3"/>
    </row>
    <row r="1847" ht="17.6" spans="4:7">
      <c r="D1847" s="175">
        <v>43514</v>
      </c>
      <c r="E1847" s="176">
        <v>10640.95</v>
      </c>
      <c r="F1847" s="3"/>
      <c r="G1847" s="3"/>
    </row>
    <row r="1848" ht="17.6" spans="4:7">
      <c r="D1848" s="175">
        <v>43511</v>
      </c>
      <c r="E1848" s="176">
        <v>10724.4</v>
      </c>
      <c r="F1848" s="3"/>
      <c r="G1848" s="3"/>
    </row>
    <row r="1849" ht="17.6" spans="4:7">
      <c r="D1849" s="175">
        <v>43510</v>
      </c>
      <c r="E1849" s="176">
        <v>10746.05</v>
      </c>
      <c r="F1849" s="3"/>
      <c r="G1849" s="3"/>
    </row>
    <row r="1850" ht="17.6" spans="4:7">
      <c r="D1850" s="175">
        <v>43509</v>
      </c>
      <c r="E1850" s="176">
        <v>10793.65</v>
      </c>
      <c r="F1850" s="3"/>
      <c r="G1850" s="3"/>
    </row>
    <row r="1851" ht="17.6" spans="4:7">
      <c r="D1851" s="175">
        <v>43508</v>
      </c>
      <c r="E1851" s="176">
        <v>10831.4</v>
      </c>
      <c r="F1851" s="3"/>
      <c r="G1851" s="3"/>
    </row>
    <row r="1852" ht="17.6" spans="4:7">
      <c r="D1852" s="175">
        <v>43507</v>
      </c>
      <c r="E1852" s="176">
        <v>10888.8</v>
      </c>
      <c r="F1852" s="3"/>
      <c r="G1852" s="3"/>
    </row>
    <row r="1853" ht="17.6" spans="4:7">
      <c r="D1853" s="175">
        <v>43504</v>
      </c>
      <c r="E1853" s="176">
        <v>10943.6</v>
      </c>
      <c r="F1853" s="3"/>
      <c r="G1853" s="3"/>
    </row>
    <row r="1854" ht="17.6" spans="4:7">
      <c r="D1854" s="175">
        <v>43503</v>
      </c>
      <c r="E1854" s="176">
        <v>11069.4</v>
      </c>
      <c r="F1854" s="3"/>
      <c r="G1854" s="3"/>
    </row>
    <row r="1855" ht="17.6" spans="4:7">
      <c r="D1855" s="175">
        <v>43502</v>
      </c>
      <c r="E1855" s="176">
        <v>11062.45</v>
      </c>
      <c r="F1855" s="3"/>
      <c r="G1855" s="3"/>
    </row>
    <row r="1856" ht="17.6" spans="4:7">
      <c r="D1856" s="175">
        <v>43501</v>
      </c>
      <c r="E1856" s="176">
        <v>10934.35</v>
      </c>
      <c r="F1856" s="3"/>
      <c r="G1856" s="3"/>
    </row>
    <row r="1857" ht="17.6" spans="4:7">
      <c r="D1857" s="175">
        <v>43500</v>
      </c>
      <c r="E1857" s="176">
        <v>10912.25</v>
      </c>
      <c r="F1857" s="3"/>
      <c r="G1857" s="3"/>
    </row>
    <row r="1858" ht="17.6" spans="4:7">
      <c r="D1858" s="175">
        <v>43497</v>
      </c>
      <c r="E1858" s="176">
        <v>10893.65</v>
      </c>
      <c r="F1858" s="3"/>
      <c r="G1858" s="3"/>
    </row>
    <row r="1859" ht="17.6" spans="4:7">
      <c r="D1859" s="175">
        <v>43496</v>
      </c>
      <c r="E1859" s="176">
        <v>10830.95</v>
      </c>
      <c r="F1859" s="3"/>
      <c r="G1859" s="3"/>
    </row>
    <row r="1860" ht="17.6" spans="4:7">
      <c r="D1860" s="175">
        <v>43495</v>
      </c>
      <c r="E1860" s="176">
        <v>10651.8</v>
      </c>
      <c r="F1860" s="3"/>
      <c r="G1860" s="3"/>
    </row>
    <row r="1861" ht="17.6" spans="4:7">
      <c r="D1861" s="175">
        <v>43494</v>
      </c>
      <c r="E1861" s="176">
        <v>10652.2</v>
      </c>
      <c r="F1861" s="3"/>
      <c r="G1861" s="3"/>
    </row>
    <row r="1862" ht="17.6" spans="4:7">
      <c r="D1862" s="175">
        <v>43493</v>
      </c>
      <c r="E1862" s="176">
        <v>10661.55</v>
      </c>
      <c r="F1862" s="3"/>
      <c r="G1862" s="3"/>
    </row>
    <row r="1863" ht="17.6" spans="4:7">
      <c r="D1863" s="175">
        <v>43490</v>
      </c>
      <c r="E1863" s="176">
        <v>10780.55</v>
      </c>
      <c r="F1863" s="3"/>
      <c r="G1863" s="3"/>
    </row>
    <row r="1864" ht="17.6" spans="4:7">
      <c r="D1864" s="175">
        <v>43489</v>
      </c>
      <c r="E1864" s="176">
        <v>10849.8</v>
      </c>
      <c r="F1864" s="3"/>
      <c r="G1864" s="3"/>
    </row>
    <row r="1865" ht="17.6" spans="4:7">
      <c r="D1865" s="175">
        <v>43488</v>
      </c>
      <c r="E1865" s="176">
        <v>10831.5</v>
      </c>
      <c r="F1865" s="3"/>
      <c r="G1865" s="3"/>
    </row>
    <row r="1866" ht="17.6" spans="4:7">
      <c r="D1866" s="175">
        <v>43487</v>
      </c>
      <c r="E1866" s="176">
        <v>10922.75</v>
      </c>
      <c r="F1866" s="3"/>
      <c r="G1866" s="3"/>
    </row>
    <row r="1867" ht="17.6" spans="4:7">
      <c r="D1867" s="175">
        <v>43486</v>
      </c>
      <c r="E1867" s="176">
        <v>10961.85</v>
      </c>
      <c r="F1867" s="3"/>
      <c r="G1867" s="3"/>
    </row>
    <row r="1868" ht="17.6" spans="4:7">
      <c r="D1868" s="175">
        <v>43483</v>
      </c>
      <c r="E1868" s="176">
        <v>10906.95</v>
      </c>
      <c r="F1868" s="3"/>
      <c r="G1868" s="3"/>
    </row>
    <row r="1869" ht="17.6" spans="4:7">
      <c r="D1869" s="175">
        <v>43482</v>
      </c>
      <c r="E1869" s="176">
        <v>10905.2</v>
      </c>
      <c r="F1869" s="3"/>
      <c r="G1869" s="3"/>
    </row>
    <row r="1870" ht="17.6" spans="4:7">
      <c r="D1870" s="175">
        <v>43481</v>
      </c>
      <c r="E1870" s="176">
        <v>10890.3</v>
      </c>
      <c r="F1870" s="3"/>
      <c r="G1870" s="3"/>
    </row>
    <row r="1871" ht="17.6" spans="4:7">
      <c r="D1871" s="175">
        <v>43480</v>
      </c>
      <c r="E1871" s="176">
        <v>10886.8</v>
      </c>
      <c r="F1871" s="3"/>
      <c r="G1871" s="3"/>
    </row>
    <row r="1872" ht="17.6" spans="4:7">
      <c r="D1872" s="175">
        <v>43479</v>
      </c>
      <c r="E1872" s="176">
        <v>10737.6</v>
      </c>
      <c r="F1872" s="3"/>
      <c r="G1872" s="3"/>
    </row>
    <row r="1873" ht="17.6" spans="4:7">
      <c r="D1873" s="175">
        <v>43476</v>
      </c>
      <c r="E1873" s="176">
        <v>10794.95</v>
      </c>
      <c r="F1873" s="3"/>
      <c r="G1873" s="3"/>
    </row>
    <row r="1874" ht="17.6" spans="4:7">
      <c r="D1874" s="175">
        <v>43475</v>
      </c>
      <c r="E1874" s="176">
        <v>10821.6</v>
      </c>
      <c r="F1874" s="3"/>
      <c r="G1874" s="3"/>
    </row>
    <row r="1875" ht="17.6" spans="4:7">
      <c r="D1875" s="175">
        <v>43474</v>
      </c>
      <c r="E1875" s="176">
        <v>10855.15</v>
      </c>
      <c r="F1875" s="3"/>
      <c r="G1875" s="3"/>
    </row>
    <row r="1876" ht="17.6" spans="4:7">
      <c r="D1876" s="175">
        <v>43473</v>
      </c>
      <c r="E1876" s="176">
        <v>10802.15</v>
      </c>
      <c r="F1876" s="3"/>
      <c r="G1876" s="3"/>
    </row>
    <row r="1877" ht="17.6" spans="4:7">
      <c r="D1877" s="175">
        <v>43472</v>
      </c>
      <c r="E1877" s="176">
        <v>10771.8</v>
      </c>
      <c r="F1877" s="3"/>
      <c r="G1877" s="3"/>
    </row>
    <row r="1878" ht="17.6" spans="4:7">
      <c r="D1878" s="175">
        <v>43469</v>
      </c>
      <c r="E1878" s="176">
        <v>10727.35</v>
      </c>
      <c r="F1878" s="3"/>
      <c r="G1878" s="3"/>
    </row>
    <row r="1879" ht="17.6" spans="4:7">
      <c r="D1879" s="175">
        <v>43468</v>
      </c>
      <c r="E1879" s="176">
        <v>10672.25</v>
      </c>
      <c r="F1879" s="3"/>
      <c r="G1879" s="3"/>
    </row>
    <row r="1880" ht="17.6" spans="4:7">
      <c r="D1880" s="175">
        <v>43467</v>
      </c>
      <c r="E1880" s="176">
        <v>10792.5</v>
      </c>
      <c r="F1880" s="3"/>
      <c r="G1880" s="3"/>
    </row>
    <row r="1881" ht="17.6" spans="4:7">
      <c r="D1881" s="175">
        <v>43466</v>
      </c>
      <c r="E1881" s="176">
        <v>10910.1</v>
      </c>
      <c r="F1881" s="3"/>
      <c r="G1881" s="3"/>
    </row>
    <row r="1882" ht="17.6" spans="4:7">
      <c r="D1882" s="175">
        <v>43465</v>
      </c>
      <c r="E1882" s="176">
        <v>10862.55</v>
      </c>
      <c r="F1882" s="3"/>
      <c r="G1882" s="3"/>
    </row>
    <row r="1883" ht="17.6" spans="4:7">
      <c r="D1883" s="175">
        <v>43462</v>
      </c>
      <c r="E1883" s="176">
        <v>10859.9</v>
      </c>
      <c r="F1883" s="3"/>
      <c r="G1883" s="3"/>
    </row>
    <row r="1884" ht="17.6" spans="4:7">
      <c r="D1884" s="175">
        <v>43461</v>
      </c>
      <c r="E1884" s="176">
        <v>10779.8</v>
      </c>
      <c r="F1884" s="3"/>
      <c r="G1884" s="3"/>
    </row>
    <row r="1885" ht="17.6" spans="4:7">
      <c r="D1885" s="175">
        <v>43460</v>
      </c>
      <c r="E1885" s="176">
        <v>10729.85</v>
      </c>
      <c r="F1885" s="3"/>
      <c r="G1885" s="3"/>
    </row>
    <row r="1886" ht="17.6" spans="4:7">
      <c r="D1886" s="175">
        <v>43458</v>
      </c>
      <c r="E1886" s="176">
        <v>10663.5</v>
      </c>
      <c r="F1886" s="3"/>
      <c r="G1886" s="3"/>
    </row>
    <row r="1887" ht="17.6" spans="4:7">
      <c r="D1887" s="175">
        <v>43455</v>
      </c>
      <c r="E1887" s="176">
        <v>10754</v>
      </c>
      <c r="F1887" s="3"/>
      <c r="G1887" s="3"/>
    </row>
    <row r="1888" ht="17.6" spans="4:7">
      <c r="D1888" s="175">
        <v>43454</v>
      </c>
      <c r="E1888" s="176">
        <v>10951.7</v>
      </c>
      <c r="F1888" s="3"/>
      <c r="G1888" s="3"/>
    </row>
    <row r="1889" ht="17.6" spans="4:7">
      <c r="D1889" s="175">
        <v>43453</v>
      </c>
      <c r="E1889" s="176">
        <v>10967.3</v>
      </c>
      <c r="F1889" s="3"/>
      <c r="G1889" s="3"/>
    </row>
    <row r="1890" ht="17.6" spans="4:7">
      <c r="D1890" s="175">
        <v>43452</v>
      </c>
      <c r="E1890" s="176">
        <v>10908.7</v>
      </c>
      <c r="F1890" s="3"/>
      <c r="G1890" s="3"/>
    </row>
    <row r="1891" ht="17.6" spans="4:7">
      <c r="D1891" s="175">
        <v>43451</v>
      </c>
      <c r="E1891" s="176">
        <v>10888.35</v>
      </c>
      <c r="F1891" s="3"/>
      <c r="G1891" s="3"/>
    </row>
    <row r="1892" ht="17.6" spans="4:7">
      <c r="D1892" s="175">
        <v>43448</v>
      </c>
      <c r="E1892" s="176">
        <v>10805.45</v>
      </c>
      <c r="F1892" s="3"/>
      <c r="G1892" s="3"/>
    </row>
    <row r="1893" ht="17.6" spans="4:7">
      <c r="D1893" s="175">
        <v>43447</v>
      </c>
      <c r="E1893" s="176">
        <v>10791.55</v>
      </c>
      <c r="F1893" s="3"/>
      <c r="G1893" s="3"/>
    </row>
    <row r="1894" ht="17.6" spans="4:7">
      <c r="D1894" s="175">
        <v>43446</v>
      </c>
      <c r="E1894" s="176">
        <v>10737.6</v>
      </c>
      <c r="F1894" s="3"/>
      <c r="G1894" s="3"/>
    </row>
    <row r="1895" ht="17.6" spans="4:7">
      <c r="D1895" s="175">
        <v>43445</v>
      </c>
      <c r="E1895" s="176">
        <v>10549.15</v>
      </c>
      <c r="F1895" s="3"/>
      <c r="G1895" s="3"/>
    </row>
    <row r="1896" ht="17.6" spans="4:7">
      <c r="D1896" s="175">
        <v>43444</v>
      </c>
      <c r="E1896" s="176">
        <v>10488.45</v>
      </c>
      <c r="F1896" s="3"/>
      <c r="G1896" s="3"/>
    </row>
    <row r="1897" ht="17.6" spans="4:7">
      <c r="D1897" s="175">
        <v>43441</v>
      </c>
      <c r="E1897" s="176">
        <v>10693.7</v>
      </c>
      <c r="F1897" s="3"/>
      <c r="G1897" s="3"/>
    </row>
    <row r="1898" ht="17.6" spans="4:7">
      <c r="D1898" s="175">
        <v>43440</v>
      </c>
      <c r="E1898" s="176">
        <v>10601.15</v>
      </c>
      <c r="F1898" s="3"/>
      <c r="G1898" s="3"/>
    </row>
    <row r="1899" ht="17.6" spans="4:7">
      <c r="D1899" s="175">
        <v>43439</v>
      </c>
      <c r="E1899" s="176">
        <v>10782.9</v>
      </c>
      <c r="F1899" s="3"/>
      <c r="G1899" s="3"/>
    </row>
    <row r="1900" ht="17.6" spans="4:7">
      <c r="D1900" s="175">
        <v>43438</v>
      </c>
      <c r="E1900" s="176">
        <v>10869.5</v>
      </c>
      <c r="F1900" s="3"/>
      <c r="G1900" s="3"/>
    </row>
    <row r="1901" ht="17.6" spans="4:7">
      <c r="D1901" s="175">
        <v>43437</v>
      </c>
      <c r="E1901" s="176">
        <v>10883.75</v>
      </c>
      <c r="F1901" s="3"/>
      <c r="G1901" s="3"/>
    </row>
    <row r="1902" ht="17.6" spans="4:7">
      <c r="D1902" s="175">
        <v>43434</v>
      </c>
      <c r="E1902" s="176">
        <v>10876.75</v>
      </c>
      <c r="F1902" s="3"/>
      <c r="G1902" s="3"/>
    </row>
    <row r="1903" ht="17.6" spans="4:7">
      <c r="D1903" s="175">
        <v>43433</v>
      </c>
      <c r="E1903" s="176">
        <v>10858.7</v>
      </c>
      <c r="F1903" s="3"/>
      <c r="G1903" s="3"/>
    </row>
    <row r="1904" ht="17.6" spans="4:7">
      <c r="D1904" s="175">
        <v>43432</v>
      </c>
      <c r="E1904" s="176">
        <v>10728.85</v>
      </c>
      <c r="F1904" s="3"/>
      <c r="G1904" s="3"/>
    </row>
    <row r="1905" ht="17.6" spans="4:7">
      <c r="D1905" s="175">
        <v>43431</v>
      </c>
      <c r="E1905" s="176">
        <v>10685.6</v>
      </c>
      <c r="F1905" s="3"/>
      <c r="G1905" s="3"/>
    </row>
    <row r="1906" ht="17.6" spans="4:7">
      <c r="D1906" s="175">
        <v>43430</v>
      </c>
      <c r="E1906" s="176">
        <v>10628.6</v>
      </c>
      <c r="F1906" s="3"/>
      <c r="G1906" s="3"/>
    </row>
    <row r="1907" ht="17.6" spans="4:7">
      <c r="D1907" s="175">
        <v>43426</v>
      </c>
      <c r="E1907" s="176">
        <v>10526.75</v>
      </c>
      <c r="F1907" s="3"/>
      <c r="G1907" s="3"/>
    </row>
    <row r="1908" ht="17.6" spans="4:7">
      <c r="D1908" s="175">
        <v>43425</v>
      </c>
      <c r="E1908" s="176">
        <v>10600.05</v>
      </c>
      <c r="F1908" s="3"/>
      <c r="G1908" s="3"/>
    </row>
    <row r="1909" ht="17.6" spans="4:7">
      <c r="D1909" s="175">
        <v>43424</v>
      </c>
      <c r="E1909" s="176">
        <v>10656.2</v>
      </c>
      <c r="F1909" s="3"/>
      <c r="G1909" s="3"/>
    </row>
    <row r="1910" ht="17.6" spans="4:7">
      <c r="D1910" s="175">
        <v>43423</v>
      </c>
      <c r="E1910" s="176">
        <v>10763.4</v>
      </c>
      <c r="F1910" s="3"/>
      <c r="G1910" s="3"/>
    </row>
    <row r="1911" ht="17.6" spans="4:7">
      <c r="D1911" s="175">
        <v>43420</v>
      </c>
      <c r="E1911" s="176">
        <v>10682.2</v>
      </c>
      <c r="F1911" s="3"/>
      <c r="G1911" s="3"/>
    </row>
    <row r="1912" ht="17.6" spans="4:7">
      <c r="D1912" s="175">
        <v>43419</v>
      </c>
      <c r="E1912" s="176">
        <v>10616.7</v>
      </c>
      <c r="F1912" s="3"/>
      <c r="G1912" s="3"/>
    </row>
    <row r="1913" ht="17.6" spans="4:7">
      <c r="D1913" s="175">
        <v>43418</v>
      </c>
      <c r="E1913" s="176">
        <v>10576.3</v>
      </c>
      <c r="F1913" s="3"/>
      <c r="G1913" s="3"/>
    </row>
    <row r="1914" ht="17.6" spans="4:7">
      <c r="D1914" s="175">
        <v>43417</v>
      </c>
      <c r="E1914" s="176">
        <v>10582.5</v>
      </c>
      <c r="F1914" s="3"/>
      <c r="G1914" s="3"/>
    </row>
    <row r="1915" ht="17.6" spans="4:7">
      <c r="D1915" s="175">
        <v>43416</v>
      </c>
      <c r="E1915" s="176">
        <v>10482.2</v>
      </c>
      <c r="F1915" s="3"/>
      <c r="G1915" s="3"/>
    </row>
    <row r="1916" ht="17.6" spans="4:7">
      <c r="D1916" s="175">
        <v>43413</v>
      </c>
      <c r="E1916" s="176">
        <v>10585.2</v>
      </c>
      <c r="F1916" s="3"/>
      <c r="G1916" s="3"/>
    </row>
    <row r="1917" ht="17.6" spans="4:7">
      <c r="D1917" s="175">
        <v>43411</v>
      </c>
      <c r="E1917" s="176">
        <v>10598.4</v>
      </c>
      <c r="F1917" s="3"/>
      <c r="G1917" s="3"/>
    </row>
    <row r="1918" ht="17.6" spans="4:7">
      <c r="D1918" s="175">
        <v>43410</v>
      </c>
      <c r="E1918" s="176">
        <v>10530</v>
      </c>
      <c r="F1918" s="3"/>
      <c r="G1918" s="3"/>
    </row>
    <row r="1919" ht="17.6" spans="4:7">
      <c r="D1919" s="175">
        <v>43409</v>
      </c>
      <c r="E1919" s="176">
        <v>10524</v>
      </c>
      <c r="F1919" s="3"/>
      <c r="G1919" s="3"/>
    </row>
    <row r="1920" ht="17.6" spans="4:7">
      <c r="D1920" s="175">
        <v>43406</v>
      </c>
      <c r="E1920" s="176">
        <v>10553</v>
      </c>
      <c r="F1920" s="3"/>
      <c r="G1920" s="3"/>
    </row>
    <row r="1921" ht="17.6" spans="4:7">
      <c r="D1921" s="175">
        <v>43405</v>
      </c>
      <c r="E1921" s="176">
        <v>10380.45</v>
      </c>
      <c r="F1921" s="3"/>
      <c r="G1921" s="3"/>
    </row>
    <row r="1922" ht="17.6" spans="4:7">
      <c r="D1922" s="175">
        <v>43404</v>
      </c>
      <c r="E1922" s="176">
        <v>10386.6</v>
      </c>
      <c r="F1922" s="3"/>
      <c r="G1922" s="3"/>
    </row>
    <row r="1923" ht="17.6" spans="4:7">
      <c r="D1923" s="175">
        <v>43403</v>
      </c>
      <c r="E1923" s="176">
        <v>10198.4</v>
      </c>
      <c r="F1923" s="3"/>
      <c r="G1923" s="3"/>
    </row>
    <row r="1924" ht="17.6" spans="4:7">
      <c r="D1924" s="175">
        <v>43402</v>
      </c>
      <c r="E1924" s="176">
        <v>10250.85</v>
      </c>
      <c r="F1924" s="3"/>
      <c r="G1924" s="3"/>
    </row>
    <row r="1925" ht="17.6" spans="4:7">
      <c r="D1925" s="175">
        <v>43399</v>
      </c>
      <c r="E1925" s="176">
        <v>10030</v>
      </c>
      <c r="F1925" s="3"/>
      <c r="G1925" s="3"/>
    </row>
    <row r="1926" ht="17.6" spans="4:7">
      <c r="D1926" s="175">
        <v>43398</v>
      </c>
      <c r="E1926" s="176">
        <v>10124.9</v>
      </c>
      <c r="F1926" s="3"/>
      <c r="G1926" s="3"/>
    </row>
    <row r="1927" ht="17.6" spans="4:7">
      <c r="D1927" s="175">
        <v>43397</v>
      </c>
      <c r="E1927" s="176">
        <v>10224.75</v>
      </c>
      <c r="F1927" s="3"/>
      <c r="G1927" s="3"/>
    </row>
    <row r="1928" ht="17.6" spans="4:7">
      <c r="D1928" s="175">
        <v>43396</v>
      </c>
      <c r="E1928" s="176">
        <v>10146.8</v>
      </c>
      <c r="F1928" s="3"/>
      <c r="G1928" s="3"/>
    </row>
    <row r="1929" ht="17.6" spans="4:7">
      <c r="D1929" s="175">
        <v>43395</v>
      </c>
      <c r="E1929" s="176">
        <v>10245.25</v>
      </c>
      <c r="F1929" s="3"/>
      <c r="G1929" s="3"/>
    </row>
    <row r="1930" ht="17.6" spans="4:7">
      <c r="D1930" s="175">
        <v>43392</v>
      </c>
      <c r="E1930" s="176">
        <v>10303.55</v>
      </c>
      <c r="F1930" s="3"/>
      <c r="G1930" s="3"/>
    </row>
    <row r="1931" ht="17.6" spans="4:7">
      <c r="D1931" s="175">
        <v>43390</v>
      </c>
      <c r="E1931" s="176">
        <v>10453.05</v>
      </c>
      <c r="F1931" s="3"/>
      <c r="G1931" s="3"/>
    </row>
    <row r="1932" ht="17.6" spans="4:7">
      <c r="D1932" s="175">
        <v>43389</v>
      </c>
      <c r="E1932" s="176">
        <v>10584.75</v>
      </c>
      <c r="F1932" s="3"/>
      <c r="G1932" s="3"/>
    </row>
    <row r="1933" ht="17.6" spans="4:7">
      <c r="D1933" s="175">
        <v>43388</v>
      </c>
      <c r="E1933" s="176">
        <v>10512.5</v>
      </c>
      <c r="F1933" s="3"/>
      <c r="G1933" s="3"/>
    </row>
    <row r="1934" ht="17.6" spans="4:7">
      <c r="D1934" s="175">
        <v>43385</v>
      </c>
      <c r="E1934" s="176">
        <v>10472.5</v>
      </c>
      <c r="F1934" s="3"/>
      <c r="G1934" s="3"/>
    </row>
    <row r="1935" ht="17.6" spans="4:7">
      <c r="D1935" s="175">
        <v>43384</v>
      </c>
      <c r="E1935" s="176">
        <v>10234.65</v>
      </c>
      <c r="F1935" s="3"/>
      <c r="G1935" s="3"/>
    </row>
    <row r="1936" ht="17.6" spans="4:7">
      <c r="D1936" s="175">
        <v>43383</v>
      </c>
      <c r="E1936" s="176">
        <v>10460.1</v>
      </c>
      <c r="F1936" s="3"/>
      <c r="G1936" s="3"/>
    </row>
    <row r="1937" ht="17.6" spans="4:7">
      <c r="D1937" s="175">
        <v>43382</v>
      </c>
      <c r="E1937" s="176">
        <v>10301.05</v>
      </c>
      <c r="F1937" s="3"/>
      <c r="G1937" s="3"/>
    </row>
    <row r="1938" ht="17.6" spans="4:7">
      <c r="D1938" s="175">
        <v>43381</v>
      </c>
      <c r="E1938" s="176">
        <v>10348.05</v>
      </c>
      <c r="F1938" s="3"/>
      <c r="G1938" s="3"/>
    </row>
    <row r="1939" ht="17.6" spans="4:7">
      <c r="D1939" s="175">
        <v>43378</v>
      </c>
      <c r="E1939" s="176">
        <v>10316.45</v>
      </c>
      <c r="F1939" s="3"/>
      <c r="G1939" s="3"/>
    </row>
    <row r="1940" ht="17.6" spans="4:7">
      <c r="D1940" s="175">
        <v>43377</v>
      </c>
      <c r="E1940" s="176">
        <v>10599.25</v>
      </c>
      <c r="F1940" s="3"/>
      <c r="G1940" s="3"/>
    </row>
    <row r="1941" ht="17.6" spans="4:7">
      <c r="D1941" s="175">
        <v>43376</v>
      </c>
      <c r="E1941" s="176">
        <v>10858.25</v>
      </c>
      <c r="F1941" s="3"/>
      <c r="G1941" s="3"/>
    </row>
    <row r="1942" ht="17.6" spans="4:7">
      <c r="D1942" s="175">
        <v>43374</v>
      </c>
      <c r="E1942" s="176">
        <v>11008.3</v>
      </c>
      <c r="F1942" s="3"/>
      <c r="G1942" s="3"/>
    </row>
    <row r="1943" ht="17.6" spans="4:7">
      <c r="D1943" s="175">
        <v>43371</v>
      </c>
      <c r="E1943" s="176">
        <v>10930.45</v>
      </c>
      <c r="F1943" s="3"/>
      <c r="G1943" s="3"/>
    </row>
    <row r="1944" ht="17.6" spans="4:7">
      <c r="D1944" s="175">
        <v>43370</v>
      </c>
      <c r="E1944" s="176">
        <v>10977.55</v>
      </c>
      <c r="F1944" s="3"/>
      <c r="G1944" s="3"/>
    </row>
    <row r="1945" ht="17.6" spans="4:7">
      <c r="D1945" s="175">
        <v>43369</v>
      </c>
      <c r="E1945" s="176">
        <v>11053.8</v>
      </c>
      <c r="F1945" s="3"/>
      <c r="G1945" s="3"/>
    </row>
    <row r="1946" ht="17.6" spans="4:7">
      <c r="D1946" s="175">
        <v>43368</v>
      </c>
      <c r="E1946" s="176">
        <v>11067.45</v>
      </c>
      <c r="F1946" s="3"/>
      <c r="G1946" s="3"/>
    </row>
    <row r="1947" ht="17.6" spans="4:7">
      <c r="D1947" s="175">
        <v>43367</v>
      </c>
      <c r="E1947" s="176">
        <v>10967.4</v>
      </c>
      <c r="F1947" s="3"/>
      <c r="G1947" s="3"/>
    </row>
    <row r="1948" ht="17.6" spans="4:7">
      <c r="D1948" s="175">
        <v>43364</v>
      </c>
      <c r="E1948" s="176">
        <v>11143.1</v>
      </c>
      <c r="F1948" s="3"/>
      <c r="G1948" s="3"/>
    </row>
    <row r="1949" ht="17.6" spans="4:7">
      <c r="D1949" s="175">
        <v>43362</v>
      </c>
      <c r="E1949" s="176">
        <v>11234.35</v>
      </c>
      <c r="F1949" s="3"/>
      <c r="G1949" s="3"/>
    </row>
    <row r="1950" ht="17.6" spans="4:7">
      <c r="D1950" s="175">
        <v>43361</v>
      </c>
      <c r="E1950" s="176">
        <v>11278.9</v>
      </c>
      <c r="F1950" s="3"/>
      <c r="G1950" s="3"/>
    </row>
    <row r="1951" ht="17.6" spans="4:7">
      <c r="D1951" s="175">
        <v>43360</v>
      </c>
      <c r="E1951" s="176">
        <v>11377.75</v>
      </c>
      <c r="F1951" s="3"/>
      <c r="G1951" s="3"/>
    </row>
    <row r="1952" ht="17.6" spans="4:7">
      <c r="D1952" s="175">
        <v>43357</v>
      </c>
      <c r="E1952" s="176">
        <v>11515.2</v>
      </c>
      <c r="F1952" s="3"/>
      <c r="G1952" s="3"/>
    </row>
    <row r="1953" ht="17.6" spans="4:7">
      <c r="D1953" s="175">
        <v>43355</v>
      </c>
      <c r="E1953" s="176">
        <v>11369.9</v>
      </c>
      <c r="F1953" s="3"/>
      <c r="G1953" s="3"/>
    </row>
    <row r="1954" ht="17.6" spans="4:7">
      <c r="D1954" s="175">
        <v>43354</v>
      </c>
      <c r="E1954" s="176">
        <v>11287.5</v>
      </c>
      <c r="F1954" s="3"/>
      <c r="G1954" s="3"/>
    </row>
    <row r="1955" ht="17.6" spans="4:7">
      <c r="D1955" s="175">
        <v>43353</v>
      </c>
      <c r="E1955" s="176">
        <v>11438.1</v>
      </c>
      <c r="F1955" s="3"/>
      <c r="G1955" s="3"/>
    </row>
    <row r="1956" ht="17.6" spans="4:7">
      <c r="D1956" s="175">
        <v>43350</v>
      </c>
      <c r="E1956" s="176">
        <v>11589.1</v>
      </c>
      <c r="F1956" s="3"/>
      <c r="G1956" s="3"/>
    </row>
    <row r="1957" ht="17.6" spans="4:7">
      <c r="D1957" s="175">
        <v>43349</v>
      </c>
      <c r="E1957" s="176">
        <v>11536.9</v>
      </c>
      <c r="F1957" s="3"/>
      <c r="G1957" s="3"/>
    </row>
    <row r="1958" ht="17.6" spans="4:7">
      <c r="D1958" s="175">
        <v>43348</v>
      </c>
      <c r="E1958" s="176">
        <v>11476.95</v>
      </c>
      <c r="F1958" s="3"/>
      <c r="G1958" s="3"/>
    </row>
    <row r="1959" ht="17.6" spans="4:7">
      <c r="D1959" s="175">
        <v>43347</v>
      </c>
      <c r="E1959" s="176">
        <v>11520.3</v>
      </c>
      <c r="F1959" s="3"/>
      <c r="G1959" s="3"/>
    </row>
    <row r="1960" ht="17.6" spans="4:7">
      <c r="D1960" s="175">
        <v>43346</v>
      </c>
      <c r="E1960" s="176">
        <v>11582.35</v>
      </c>
      <c r="F1960" s="3"/>
      <c r="G1960" s="3"/>
    </row>
    <row r="1961" ht="17.6" spans="4:7">
      <c r="D1961" s="175">
        <v>43343</v>
      </c>
      <c r="E1961" s="176">
        <v>11680.5</v>
      </c>
      <c r="F1961" s="3"/>
      <c r="G1961" s="3"/>
    </row>
    <row r="1962" ht="17.6" spans="4:7">
      <c r="D1962" s="175">
        <v>43342</v>
      </c>
      <c r="E1962" s="176">
        <v>11676.8</v>
      </c>
      <c r="F1962" s="3"/>
      <c r="G1962" s="3"/>
    </row>
    <row r="1963" ht="17.6" spans="4:7">
      <c r="D1963" s="175">
        <v>43341</v>
      </c>
      <c r="E1963" s="176">
        <v>11691.9</v>
      </c>
      <c r="F1963" s="3"/>
      <c r="G1963" s="3"/>
    </row>
    <row r="1964" ht="17.6" spans="4:7">
      <c r="D1964" s="175">
        <v>43340</v>
      </c>
      <c r="E1964" s="176">
        <v>11738.5</v>
      </c>
      <c r="F1964" s="3"/>
      <c r="G1964" s="3"/>
    </row>
    <row r="1965" ht="17.6" spans="4:7">
      <c r="D1965" s="175">
        <v>43339</v>
      </c>
      <c r="E1965" s="176">
        <v>11691.95</v>
      </c>
      <c r="F1965" s="3"/>
      <c r="G1965" s="3"/>
    </row>
    <row r="1966" ht="17.6" spans="4:7">
      <c r="D1966" s="175">
        <v>43336</v>
      </c>
      <c r="E1966" s="176">
        <v>11557.1</v>
      </c>
      <c r="F1966" s="3"/>
      <c r="G1966" s="3"/>
    </row>
    <row r="1967" ht="17.6" spans="4:7">
      <c r="D1967" s="175">
        <v>43335</v>
      </c>
      <c r="E1967" s="176">
        <v>11582.75</v>
      </c>
      <c r="F1967" s="3"/>
      <c r="G1967" s="3"/>
    </row>
    <row r="1968" ht="17.6" spans="4:7">
      <c r="D1968" s="175">
        <v>43333</v>
      </c>
      <c r="E1968" s="176">
        <v>11570.9</v>
      </c>
      <c r="F1968" s="3"/>
      <c r="G1968" s="3"/>
    </row>
    <row r="1969" ht="17.6" spans="4:7">
      <c r="D1969" s="175">
        <v>43332</v>
      </c>
      <c r="E1969" s="176">
        <v>11551.75</v>
      </c>
      <c r="F1969" s="3"/>
      <c r="G1969" s="3"/>
    </row>
    <row r="1970" ht="17.6" spans="4:7">
      <c r="D1970" s="175">
        <v>43329</v>
      </c>
      <c r="E1970" s="176">
        <v>11470.75</v>
      </c>
      <c r="F1970" s="3"/>
      <c r="G1970" s="3"/>
    </row>
    <row r="1971" ht="17.6" spans="4:7">
      <c r="D1971" s="175">
        <v>43328</v>
      </c>
      <c r="E1971" s="176">
        <v>11385.05</v>
      </c>
      <c r="F1971" s="3"/>
      <c r="G1971" s="3"/>
    </row>
    <row r="1972" ht="17.6" spans="4:7">
      <c r="D1972" s="175">
        <v>43326</v>
      </c>
      <c r="E1972" s="176">
        <v>11435.1</v>
      </c>
      <c r="F1972" s="3"/>
      <c r="G1972" s="3"/>
    </row>
    <row r="1973" ht="17.6" spans="4:7">
      <c r="D1973" s="175">
        <v>43325</v>
      </c>
      <c r="E1973" s="176">
        <v>11355.75</v>
      </c>
      <c r="F1973" s="3"/>
      <c r="G1973" s="3"/>
    </row>
    <row r="1974" ht="17.6" spans="4:7">
      <c r="D1974" s="175">
        <v>43322</v>
      </c>
      <c r="E1974" s="176">
        <v>11429.5</v>
      </c>
      <c r="F1974" s="3"/>
      <c r="G1974" s="3"/>
    </row>
    <row r="1975" ht="17.6" spans="4:7">
      <c r="D1975" s="175">
        <v>43321</v>
      </c>
      <c r="E1975" s="176">
        <v>11470.7</v>
      </c>
      <c r="F1975" s="3"/>
      <c r="G1975" s="3"/>
    </row>
    <row r="1976" ht="17.6" spans="4:7">
      <c r="D1976" s="175">
        <v>43320</v>
      </c>
      <c r="E1976" s="176">
        <v>11450</v>
      </c>
      <c r="F1976" s="3"/>
      <c r="G1976" s="3"/>
    </row>
    <row r="1977" ht="17.6" spans="4:7">
      <c r="D1977" s="175">
        <v>43319</v>
      </c>
      <c r="E1977" s="176">
        <v>11389.45</v>
      </c>
      <c r="F1977" s="3"/>
      <c r="G1977" s="3"/>
    </row>
    <row r="1978" ht="17.6" spans="4:7">
      <c r="D1978" s="175">
        <v>43318</v>
      </c>
      <c r="E1978" s="176">
        <v>11387.1</v>
      </c>
      <c r="F1978" s="3"/>
      <c r="G1978" s="3"/>
    </row>
    <row r="1979" ht="17.6" spans="4:7">
      <c r="D1979" s="175">
        <v>43315</v>
      </c>
      <c r="E1979" s="176">
        <v>11360.8</v>
      </c>
      <c r="F1979" s="3"/>
      <c r="G1979" s="3"/>
    </row>
    <row r="1980" ht="17.6" spans="4:7">
      <c r="D1980" s="175">
        <v>43314</v>
      </c>
      <c r="E1980" s="176">
        <v>11244.7</v>
      </c>
      <c r="F1980" s="3"/>
      <c r="G1980" s="3"/>
    </row>
    <row r="1981" ht="17.6" spans="4:7">
      <c r="D1981" s="175">
        <v>43313</v>
      </c>
      <c r="E1981" s="176">
        <v>11346.2</v>
      </c>
      <c r="F1981" s="3"/>
      <c r="G1981" s="3"/>
    </row>
    <row r="1982" ht="17.6" spans="4:7">
      <c r="D1982" s="175">
        <v>43312</v>
      </c>
      <c r="E1982" s="176">
        <v>11356.5</v>
      </c>
      <c r="F1982" s="3"/>
      <c r="G1982" s="3"/>
    </row>
    <row r="1983" ht="17.6" spans="4:7">
      <c r="D1983" s="175">
        <v>43311</v>
      </c>
      <c r="E1983" s="176">
        <v>11319.55</v>
      </c>
      <c r="F1983" s="3"/>
      <c r="G1983" s="3"/>
    </row>
    <row r="1984" ht="17.6" spans="4:7">
      <c r="D1984" s="175">
        <v>43308</v>
      </c>
      <c r="E1984" s="176">
        <v>11278.35</v>
      </c>
      <c r="F1984" s="3"/>
      <c r="G1984" s="3"/>
    </row>
    <row r="1985" ht="17.6" spans="4:7">
      <c r="D1985" s="175">
        <v>43307</v>
      </c>
      <c r="E1985" s="176">
        <v>11167.3</v>
      </c>
      <c r="F1985" s="3"/>
      <c r="G1985" s="3"/>
    </row>
    <row r="1986" ht="17.6" spans="4:7">
      <c r="D1986" s="175">
        <v>43306</v>
      </c>
      <c r="E1986" s="176">
        <v>11132</v>
      </c>
      <c r="F1986" s="3"/>
      <c r="G1986" s="3"/>
    </row>
    <row r="1987" ht="17.6" spans="4:7">
      <c r="D1987" s="175">
        <v>43305</v>
      </c>
      <c r="E1987" s="176">
        <v>11134.3</v>
      </c>
      <c r="F1987" s="3"/>
      <c r="G1987" s="3"/>
    </row>
    <row r="1988" ht="17.6" spans="4:7">
      <c r="D1988" s="175">
        <v>43304</v>
      </c>
      <c r="E1988" s="176">
        <v>11084.75</v>
      </c>
      <c r="F1988" s="3"/>
      <c r="G1988" s="3"/>
    </row>
    <row r="1989" ht="17.6" spans="4:7">
      <c r="D1989" s="175">
        <v>43301</v>
      </c>
      <c r="E1989" s="176">
        <v>11010.2</v>
      </c>
      <c r="F1989" s="3"/>
      <c r="G1989" s="3"/>
    </row>
    <row r="1990" ht="17.6" spans="4:7">
      <c r="D1990" s="175">
        <v>43300</v>
      </c>
      <c r="E1990" s="176">
        <v>10957.1</v>
      </c>
      <c r="F1990" s="3"/>
      <c r="G1990" s="3"/>
    </row>
    <row r="1991" ht="17.6" spans="4:7">
      <c r="D1991" s="175">
        <v>43299</v>
      </c>
      <c r="E1991" s="176">
        <v>10980.45</v>
      </c>
      <c r="F1991" s="3"/>
      <c r="G1991" s="3"/>
    </row>
    <row r="1992" ht="17.6" spans="4:7">
      <c r="D1992" s="175">
        <v>43298</v>
      </c>
      <c r="E1992" s="176">
        <v>11008.05</v>
      </c>
      <c r="F1992" s="3"/>
      <c r="G1992" s="3"/>
    </row>
    <row r="1993" ht="17.6" spans="4:7">
      <c r="D1993" s="175">
        <v>43297</v>
      </c>
      <c r="E1993" s="176">
        <v>10936.85</v>
      </c>
      <c r="F1993" s="3"/>
      <c r="G1993" s="3"/>
    </row>
    <row r="1994" ht="17.6" spans="4:7">
      <c r="D1994" s="175">
        <v>43294</v>
      </c>
      <c r="E1994" s="176">
        <v>11018.9</v>
      </c>
      <c r="F1994" s="3"/>
      <c r="G1994" s="3"/>
    </row>
    <row r="1995" ht="17.6" spans="4:7">
      <c r="D1995" s="175">
        <v>43293</v>
      </c>
      <c r="E1995" s="176">
        <v>11023.2</v>
      </c>
      <c r="F1995" s="3"/>
      <c r="G1995" s="3"/>
    </row>
    <row r="1996" ht="17.6" spans="4:7">
      <c r="D1996" s="175">
        <v>43292</v>
      </c>
      <c r="E1996" s="176">
        <v>10948.3</v>
      </c>
      <c r="F1996" s="3"/>
      <c r="G1996" s="3"/>
    </row>
    <row r="1997" ht="17.6" spans="4:7">
      <c r="D1997" s="175">
        <v>43291</v>
      </c>
      <c r="E1997" s="176">
        <v>10947.25</v>
      </c>
      <c r="F1997" s="3"/>
      <c r="G1997" s="3"/>
    </row>
    <row r="1998" ht="17.6" spans="4:7">
      <c r="D1998" s="175">
        <v>43290</v>
      </c>
      <c r="E1998" s="176">
        <v>10852.9</v>
      </c>
      <c r="F1998" s="3"/>
      <c r="G1998" s="3"/>
    </row>
    <row r="1999" ht="17.6" spans="4:7">
      <c r="D1999" s="175">
        <v>43287</v>
      </c>
      <c r="E1999" s="176">
        <v>10772.65</v>
      </c>
      <c r="F1999" s="3"/>
      <c r="G1999" s="3"/>
    </row>
    <row r="2000" ht="17.6" spans="4:7">
      <c r="D2000" s="175">
        <v>43286</v>
      </c>
      <c r="E2000" s="176">
        <v>10749.75</v>
      </c>
      <c r="F2000" s="3"/>
      <c r="G2000" s="3"/>
    </row>
    <row r="2001" ht="17.6" spans="4:7">
      <c r="D2001" s="175">
        <v>43285</v>
      </c>
      <c r="E2001" s="176">
        <v>10769.9</v>
      </c>
      <c r="F2001" s="3"/>
      <c r="G2001" s="3"/>
    </row>
    <row r="2002" ht="17.6" spans="4:7">
      <c r="D2002" s="175">
        <v>43284</v>
      </c>
      <c r="E2002" s="176">
        <v>10699.9</v>
      </c>
      <c r="F2002" s="3"/>
      <c r="G2002" s="3"/>
    </row>
    <row r="2003" ht="17.6" spans="4:7">
      <c r="D2003" s="175">
        <v>43283</v>
      </c>
      <c r="E2003" s="176">
        <v>10657.3</v>
      </c>
      <c r="F2003" s="3"/>
      <c r="G2003" s="3"/>
    </row>
    <row r="2004" ht="17.6" spans="4:7">
      <c r="D2004" s="175">
        <v>43280</v>
      </c>
      <c r="E2004" s="176">
        <v>10714.3</v>
      </c>
      <c r="F2004" s="3"/>
      <c r="G2004" s="3"/>
    </row>
    <row r="2005" ht="17.6" spans="4:7">
      <c r="D2005" s="175">
        <v>43279</v>
      </c>
      <c r="E2005" s="176">
        <v>10589.1</v>
      </c>
      <c r="F2005" s="3"/>
      <c r="G2005" s="3"/>
    </row>
    <row r="2006" ht="17.6" spans="4:7">
      <c r="D2006" s="175">
        <v>43278</v>
      </c>
      <c r="E2006" s="176">
        <v>10671.4</v>
      </c>
      <c r="F2006" s="3"/>
      <c r="G2006" s="3"/>
    </row>
    <row r="2007" ht="17.6" spans="4:7">
      <c r="D2007" s="175">
        <v>43277</v>
      </c>
      <c r="E2007" s="176">
        <v>10769.15</v>
      </c>
      <c r="F2007" s="3"/>
      <c r="G2007" s="3"/>
    </row>
    <row r="2008" ht="17.6" spans="4:7">
      <c r="D2008" s="175">
        <v>43276</v>
      </c>
      <c r="E2008" s="176">
        <v>10762.45</v>
      </c>
      <c r="F2008" s="3"/>
      <c r="G2008" s="3"/>
    </row>
    <row r="2009" ht="17.6" spans="4:7">
      <c r="D2009" s="175">
        <v>43273</v>
      </c>
      <c r="E2009" s="176">
        <v>10821.85</v>
      </c>
      <c r="F2009" s="3"/>
      <c r="G2009" s="3"/>
    </row>
    <row r="2010" ht="17.6" spans="4:7">
      <c r="D2010" s="175">
        <v>43272</v>
      </c>
      <c r="E2010" s="176">
        <v>10741.1</v>
      </c>
      <c r="F2010" s="3"/>
      <c r="G2010" s="3"/>
    </row>
    <row r="2011" ht="17.6" spans="4:7">
      <c r="D2011" s="175">
        <v>43271</v>
      </c>
      <c r="E2011" s="176">
        <v>10772.05</v>
      </c>
      <c r="F2011" s="3"/>
      <c r="G2011" s="3"/>
    </row>
    <row r="2012" ht="17.6" spans="4:7">
      <c r="D2012" s="175">
        <v>43270</v>
      </c>
      <c r="E2012" s="176">
        <v>10710.45</v>
      </c>
      <c r="F2012" s="3"/>
      <c r="G2012" s="3"/>
    </row>
    <row r="2013" ht="17.6" spans="4:7">
      <c r="D2013" s="175">
        <v>43269</v>
      </c>
      <c r="E2013" s="176">
        <v>10799.85</v>
      </c>
      <c r="F2013" s="3"/>
      <c r="G2013" s="3"/>
    </row>
    <row r="2014" ht="17.6" spans="4:7">
      <c r="D2014" s="175">
        <v>43266</v>
      </c>
      <c r="E2014" s="176">
        <v>10817.7</v>
      </c>
      <c r="F2014" s="3"/>
      <c r="G2014" s="3"/>
    </row>
    <row r="2015" ht="17.6" spans="4:7">
      <c r="D2015" s="175">
        <v>43265</v>
      </c>
      <c r="E2015" s="176">
        <v>10808.05</v>
      </c>
      <c r="F2015" s="3"/>
      <c r="G2015" s="3"/>
    </row>
    <row r="2016" ht="17.6" spans="4:7">
      <c r="D2016" s="175">
        <v>43264</v>
      </c>
      <c r="E2016" s="176">
        <v>10856.7</v>
      </c>
      <c r="F2016" s="3"/>
      <c r="G2016" s="3"/>
    </row>
    <row r="2017" ht="17.6" spans="4:7">
      <c r="D2017" s="175">
        <v>43263</v>
      </c>
      <c r="E2017" s="176">
        <v>10842.85</v>
      </c>
      <c r="F2017" s="3"/>
      <c r="G2017" s="3"/>
    </row>
    <row r="2018" ht="17.6" spans="4:7">
      <c r="D2018" s="175">
        <v>43262</v>
      </c>
      <c r="E2018" s="176">
        <v>10786.95</v>
      </c>
      <c r="F2018" s="3"/>
      <c r="G2018" s="3"/>
    </row>
    <row r="2019" ht="17.6" spans="4:7">
      <c r="D2019" s="175">
        <v>43259</v>
      </c>
      <c r="E2019" s="176">
        <v>10767.65</v>
      </c>
      <c r="F2019" s="3"/>
      <c r="G2019" s="3"/>
    </row>
    <row r="2020" ht="17.6" spans="4:7">
      <c r="D2020" s="175">
        <v>43258</v>
      </c>
      <c r="E2020" s="176">
        <v>10768.35</v>
      </c>
      <c r="F2020" s="3"/>
      <c r="G2020" s="3"/>
    </row>
    <row r="2021" ht="17.6" spans="4:7">
      <c r="D2021" s="175">
        <v>43257</v>
      </c>
      <c r="E2021" s="176">
        <v>10684.65</v>
      </c>
      <c r="F2021" s="3"/>
      <c r="G2021" s="3"/>
    </row>
    <row r="2022" ht="17.6" spans="4:7">
      <c r="D2022" s="175">
        <v>43256</v>
      </c>
      <c r="E2022" s="176">
        <v>10593.15</v>
      </c>
      <c r="F2022" s="3"/>
      <c r="G2022" s="3"/>
    </row>
    <row r="2023" ht="17.6" spans="4:7">
      <c r="D2023" s="175">
        <v>43255</v>
      </c>
      <c r="E2023" s="176">
        <v>10628.5</v>
      </c>
      <c r="F2023" s="3"/>
      <c r="G2023" s="3"/>
    </row>
    <row r="2024" ht="17.6" spans="4:7">
      <c r="D2024" s="175">
        <v>43252</v>
      </c>
      <c r="E2024" s="176">
        <v>10696.2</v>
      </c>
      <c r="F2024" s="3"/>
      <c r="G2024" s="3"/>
    </row>
    <row r="2025" ht="17.6" spans="4:7">
      <c r="D2025" s="175">
        <v>43251</v>
      </c>
      <c r="E2025" s="176">
        <v>10736.15</v>
      </c>
      <c r="F2025" s="3"/>
      <c r="G2025" s="3"/>
    </row>
    <row r="2026" ht="17.6" spans="4:7">
      <c r="D2026" s="175">
        <v>43250</v>
      </c>
      <c r="E2026" s="176">
        <v>10614.35</v>
      </c>
      <c r="F2026" s="3"/>
      <c r="G2026" s="3"/>
    </row>
    <row r="2027" ht="17.6" spans="4:7">
      <c r="D2027" s="175">
        <v>43249</v>
      </c>
      <c r="E2027" s="176">
        <v>10633.3</v>
      </c>
      <c r="F2027" s="3"/>
      <c r="G2027" s="3"/>
    </row>
    <row r="2028" ht="17.6" spans="4:7">
      <c r="D2028" s="175">
        <v>43248</v>
      </c>
      <c r="E2028" s="176">
        <v>10688.65</v>
      </c>
      <c r="F2028" s="3"/>
      <c r="G2028" s="3"/>
    </row>
    <row r="2029" ht="17.6" spans="4:7">
      <c r="D2029" s="175">
        <v>43245</v>
      </c>
      <c r="E2029" s="176">
        <v>10605.15</v>
      </c>
      <c r="F2029" s="3"/>
      <c r="G2029" s="3"/>
    </row>
    <row r="2030" ht="17.6" spans="4:7">
      <c r="D2030" s="175">
        <v>43244</v>
      </c>
      <c r="E2030" s="176">
        <v>10513.85</v>
      </c>
      <c r="F2030" s="3"/>
      <c r="G2030" s="3"/>
    </row>
    <row r="2031" ht="17.6" spans="4:7">
      <c r="D2031" s="175">
        <v>43243</v>
      </c>
      <c r="E2031" s="176">
        <v>10430.35</v>
      </c>
      <c r="F2031" s="3"/>
      <c r="G2031" s="3"/>
    </row>
    <row r="2032" ht="17.6" spans="4:7">
      <c r="D2032" s="175">
        <v>43242</v>
      </c>
      <c r="E2032" s="176">
        <v>10536.7</v>
      </c>
      <c r="F2032" s="3"/>
      <c r="G2032" s="3"/>
    </row>
    <row r="2033" ht="17.6" spans="4:7">
      <c r="D2033" s="175">
        <v>43241</v>
      </c>
      <c r="E2033" s="176">
        <v>10516.7</v>
      </c>
      <c r="F2033" s="3"/>
      <c r="G2033" s="3"/>
    </row>
    <row r="2034" ht="17.6" spans="4:7">
      <c r="D2034" s="175">
        <v>43238</v>
      </c>
      <c r="E2034" s="176">
        <v>10596.4</v>
      </c>
      <c r="F2034" s="3"/>
      <c r="G2034" s="3"/>
    </row>
    <row r="2035" ht="17.6" spans="4:7">
      <c r="D2035" s="175">
        <v>43237</v>
      </c>
      <c r="E2035" s="176">
        <v>10682.7</v>
      </c>
      <c r="F2035" s="3"/>
      <c r="G2035" s="3"/>
    </row>
    <row r="2036" ht="17.6" spans="4:7">
      <c r="D2036" s="175">
        <v>43236</v>
      </c>
      <c r="E2036" s="176">
        <v>10741.1</v>
      </c>
      <c r="F2036" s="3"/>
      <c r="G2036" s="3"/>
    </row>
    <row r="2037" ht="17.6" spans="4:7">
      <c r="D2037" s="175">
        <v>43235</v>
      </c>
      <c r="E2037" s="176">
        <v>10801.85</v>
      </c>
      <c r="F2037" s="3"/>
      <c r="G2037" s="3"/>
    </row>
    <row r="2038" ht="17.6" spans="4:7">
      <c r="D2038" s="175">
        <v>43234</v>
      </c>
      <c r="E2038" s="176">
        <v>10806.6</v>
      </c>
      <c r="F2038" s="3"/>
      <c r="G2038" s="3"/>
    </row>
    <row r="2039" ht="17.6" spans="4:7">
      <c r="D2039" s="175">
        <v>43231</v>
      </c>
      <c r="E2039" s="176">
        <v>10806.5</v>
      </c>
      <c r="F2039" s="3"/>
      <c r="G2039" s="3"/>
    </row>
    <row r="2040" ht="17.6" spans="4:7">
      <c r="D2040" s="175">
        <v>43230</v>
      </c>
      <c r="E2040" s="176">
        <v>10716.55</v>
      </c>
      <c r="F2040" s="3"/>
      <c r="G2040" s="3"/>
    </row>
    <row r="2041" ht="17.6" spans="4:7">
      <c r="D2041" s="175">
        <v>43229</v>
      </c>
      <c r="E2041" s="176">
        <v>10741.7</v>
      </c>
      <c r="F2041" s="3"/>
      <c r="G2041" s="3"/>
    </row>
    <row r="2042" ht="17.6" spans="4:7">
      <c r="D2042" s="175">
        <v>43228</v>
      </c>
      <c r="E2042" s="176">
        <v>10717.8</v>
      </c>
      <c r="F2042" s="3"/>
      <c r="G2042" s="3"/>
    </row>
    <row r="2043" ht="17.6" spans="4:7">
      <c r="D2043" s="175">
        <v>43227</v>
      </c>
      <c r="E2043" s="176">
        <v>10715.5</v>
      </c>
      <c r="F2043" s="3"/>
      <c r="G2043" s="3"/>
    </row>
    <row r="2044" ht="17.6" spans="4:7">
      <c r="D2044" s="175">
        <v>43224</v>
      </c>
      <c r="E2044" s="176">
        <v>10618.25</v>
      </c>
      <c r="F2044" s="3"/>
      <c r="G2044" s="3"/>
    </row>
    <row r="2045" ht="17.6" spans="4:7">
      <c r="D2045" s="175">
        <v>43223</v>
      </c>
      <c r="E2045" s="176">
        <v>10679.65</v>
      </c>
      <c r="F2045" s="3"/>
      <c r="G2045" s="3"/>
    </row>
    <row r="2046" ht="17.6" spans="4:7">
      <c r="D2046" s="175">
        <v>43222</v>
      </c>
      <c r="E2046" s="176">
        <v>10718.05</v>
      </c>
      <c r="F2046" s="3"/>
      <c r="G2046" s="3"/>
    </row>
    <row r="2047" ht="17.6" spans="4:7">
      <c r="D2047" s="175">
        <v>43220</v>
      </c>
      <c r="E2047" s="176">
        <v>10739.35</v>
      </c>
      <c r="F2047" s="3"/>
      <c r="G2047" s="3"/>
    </row>
    <row r="2048" ht="17.6" spans="4:7">
      <c r="D2048" s="175">
        <v>43217</v>
      </c>
      <c r="E2048" s="176">
        <v>10692.3</v>
      </c>
      <c r="F2048" s="3"/>
      <c r="G2048" s="3"/>
    </row>
    <row r="2049" ht="17.6" spans="4:7">
      <c r="D2049" s="175">
        <v>43216</v>
      </c>
      <c r="E2049" s="176">
        <v>10617.8</v>
      </c>
      <c r="F2049" s="3"/>
      <c r="G2049" s="3"/>
    </row>
    <row r="2050" ht="17.6" spans="4:7">
      <c r="D2050" s="175">
        <v>43215</v>
      </c>
      <c r="E2050" s="176">
        <v>10570.55</v>
      </c>
      <c r="F2050" s="3"/>
      <c r="G2050" s="3"/>
    </row>
    <row r="2051" ht="17.6" spans="4:7">
      <c r="D2051" s="175">
        <v>43214</v>
      </c>
      <c r="E2051" s="176">
        <v>10614.35</v>
      </c>
      <c r="F2051" s="3"/>
      <c r="G2051" s="3"/>
    </row>
    <row r="2052" ht="17.6" spans="4:7">
      <c r="D2052" s="175">
        <v>43213</v>
      </c>
      <c r="E2052" s="176">
        <v>10584.7</v>
      </c>
      <c r="F2052" s="3"/>
      <c r="G2052" s="3"/>
    </row>
    <row r="2053" ht="17.6" spans="4:7">
      <c r="D2053" s="175">
        <v>43210</v>
      </c>
      <c r="E2053" s="176">
        <v>10564.05</v>
      </c>
      <c r="F2053" s="3"/>
      <c r="G2053" s="3"/>
    </row>
    <row r="2054" ht="17.6" spans="4:7">
      <c r="D2054" s="175">
        <v>43209</v>
      </c>
      <c r="E2054" s="176">
        <v>10565.3</v>
      </c>
      <c r="F2054" s="3"/>
      <c r="G2054" s="3"/>
    </row>
    <row r="2055" ht="17.6" spans="4:7">
      <c r="D2055" s="175">
        <v>43208</v>
      </c>
      <c r="E2055" s="176">
        <v>10526.2</v>
      </c>
      <c r="F2055" s="3"/>
      <c r="G2055" s="3"/>
    </row>
    <row r="2056" ht="17.6" spans="4:7">
      <c r="D2056" s="175">
        <v>43207</v>
      </c>
      <c r="E2056" s="176">
        <v>10548.7</v>
      </c>
      <c r="F2056" s="3"/>
      <c r="G2056" s="3"/>
    </row>
    <row r="2057" ht="17.6" spans="4:7">
      <c r="D2057" s="175">
        <v>43206</v>
      </c>
      <c r="E2057" s="176">
        <v>10528.35</v>
      </c>
      <c r="F2057" s="3"/>
      <c r="G2057" s="3"/>
    </row>
    <row r="2058" ht="17.6" spans="4:7">
      <c r="D2058" s="175">
        <v>43203</v>
      </c>
      <c r="E2058" s="176">
        <v>10480.6</v>
      </c>
      <c r="F2058" s="3"/>
      <c r="G2058" s="3"/>
    </row>
    <row r="2059" ht="17.6" spans="4:7">
      <c r="D2059" s="175">
        <v>43202</v>
      </c>
      <c r="E2059" s="176">
        <v>10458.65</v>
      </c>
      <c r="F2059" s="3"/>
      <c r="G2059" s="3"/>
    </row>
    <row r="2060" ht="17.6" spans="4:7">
      <c r="D2060" s="175">
        <v>43201</v>
      </c>
      <c r="E2060" s="176">
        <v>10417.15</v>
      </c>
      <c r="F2060" s="3"/>
      <c r="G2060" s="3"/>
    </row>
    <row r="2061" ht="17.6" spans="4:7">
      <c r="D2061" s="175">
        <v>43200</v>
      </c>
      <c r="E2061" s="176">
        <v>10402.25</v>
      </c>
      <c r="F2061" s="3"/>
      <c r="G2061" s="3"/>
    </row>
    <row r="2062" ht="17.6" spans="4:7">
      <c r="D2062" s="175">
        <v>43199</v>
      </c>
      <c r="E2062" s="176">
        <v>10379.35</v>
      </c>
      <c r="F2062" s="3"/>
      <c r="G2062" s="3"/>
    </row>
    <row r="2063" ht="17.6" spans="4:7">
      <c r="D2063" s="175">
        <v>43196</v>
      </c>
      <c r="E2063" s="176">
        <v>10331.6</v>
      </c>
      <c r="F2063" s="3"/>
      <c r="G2063" s="3"/>
    </row>
    <row r="2064" ht="17.6" spans="4:7">
      <c r="D2064" s="175">
        <v>43195</v>
      </c>
      <c r="E2064" s="176">
        <v>10325.15</v>
      </c>
      <c r="F2064" s="3"/>
      <c r="G2064" s="3"/>
    </row>
    <row r="2065" ht="17.6" spans="4:7">
      <c r="D2065" s="175">
        <v>43194</v>
      </c>
      <c r="E2065" s="176">
        <v>10128.4</v>
      </c>
      <c r="F2065" s="3"/>
      <c r="G2065" s="3"/>
    </row>
    <row r="2066" ht="17.6" spans="4:7">
      <c r="D2066" s="175">
        <v>43193</v>
      </c>
      <c r="E2066" s="176">
        <v>10245</v>
      </c>
      <c r="F2066" s="3"/>
      <c r="G2066" s="3"/>
    </row>
    <row r="2067" ht="17.6" spans="4:7">
      <c r="D2067" s="175">
        <v>43192</v>
      </c>
      <c r="E2067" s="176">
        <v>10211.8</v>
      </c>
      <c r="F2067" s="3"/>
      <c r="G2067" s="3"/>
    </row>
    <row r="2068" ht="17.6" spans="4:7">
      <c r="D2068" s="175">
        <v>43187</v>
      </c>
      <c r="E2068" s="176">
        <v>10113.7</v>
      </c>
      <c r="F2068" s="3"/>
      <c r="G2068" s="3"/>
    </row>
    <row r="2069" ht="17.6" spans="4:7">
      <c r="D2069" s="175">
        <v>43186</v>
      </c>
      <c r="E2069" s="176">
        <v>10184.15</v>
      </c>
      <c r="F2069" s="3"/>
      <c r="G2069" s="3"/>
    </row>
    <row r="2070" ht="17.6" spans="4:7">
      <c r="D2070" s="175">
        <v>43185</v>
      </c>
      <c r="E2070" s="176">
        <v>10130.65</v>
      </c>
      <c r="F2070" s="3"/>
      <c r="G2070" s="3"/>
    </row>
    <row r="2071" ht="17.6" spans="4:7">
      <c r="D2071" s="175">
        <v>43182</v>
      </c>
      <c r="E2071" s="176">
        <v>9998.05</v>
      </c>
      <c r="F2071" s="3"/>
      <c r="G2071" s="3"/>
    </row>
    <row r="2072" ht="17.6" spans="4:7">
      <c r="D2072" s="175">
        <v>43181</v>
      </c>
      <c r="E2072" s="176">
        <v>10114.75</v>
      </c>
      <c r="F2072" s="3"/>
      <c r="G2072" s="3"/>
    </row>
    <row r="2073" ht="17.6" spans="4:7">
      <c r="D2073" s="175">
        <v>43180</v>
      </c>
      <c r="E2073" s="176">
        <v>10155.25</v>
      </c>
      <c r="F2073" s="3"/>
      <c r="G2073" s="3"/>
    </row>
    <row r="2074" ht="17.6" spans="4:7">
      <c r="D2074" s="175">
        <v>43179</v>
      </c>
      <c r="E2074" s="176">
        <v>10124.35</v>
      </c>
      <c r="F2074" s="3"/>
      <c r="G2074" s="3"/>
    </row>
    <row r="2075" ht="17.6" spans="4:7">
      <c r="D2075" s="175">
        <v>43178</v>
      </c>
      <c r="E2075" s="176">
        <v>10094.25</v>
      </c>
      <c r="F2075" s="3"/>
      <c r="G2075" s="3"/>
    </row>
    <row r="2076" ht="17.6" spans="4:7">
      <c r="D2076" s="175">
        <v>43175</v>
      </c>
      <c r="E2076" s="176">
        <v>10195.15</v>
      </c>
      <c r="F2076" s="3"/>
      <c r="G2076" s="3"/>
    </row>
    <row r="2077" ht="17.6" spans="4:7">
      <c r="D2077" s="175">
        <v>43174</v>
      </c>
      <c r="E2077" s="176">
        <v>10360.15</v>
      </c>
      <c r="F2077" s="3"/>
      <c r="G2077" s="3"/>
    </row>
    <row r="2078" ht="17.6" spans="4:7">
      <c r="D2078" s="175">
        <v>43173</v>
      </c>
      <c r="E2078" s="176">
        <v>10410.9</v>
      </c>
      <c r="F2078" s="3"/>
      <c r="G2078" s="3"/>
    </row>
    <row r="2079" ht="17.6" spans="4:7">
      <c r="D2079" s="175">
        <v>43172</v>
      </c>
      <c r="E2079" s="176">
        <v>10426.85</v>
      </c>
      <c r="F2079" s="3"/>
      <c r="G2079" s="3"/>
    </row>
    <row r="2080" ht="17.6" spans="4:7">
      <c r="D2080" s="175">
        <v>43171</v>
      </c>
      <c r="E2080" s="176">
        <v>10421.4</v>
      </c>
      <c r="F2080" s="3"/>
      <c r="G2080" s="3"/>
    </row>
    <row r="2081" ht="17.6" spans="4:7">
      <c r="D2081" s="175">
        <v>43168</v>
      </c>
      <c r="E2081" s="176">
        <v>10226.85</v>
      </c>
      <c r="F2081" s="3"/>
      <c r="G2081" s="3"/>
    </row>
    <row r="2082" ht="17.6" spans="4:7">
      <c r="D2082" s="175">
        <v>43167</v>
      </c>
      <c r="E2082" s="176">
        <v>10242.65</v>
      </c>
      <c r="F2082" s="3"/>
      <c r="G2082" s="3"/>
    </row>
    <row r="2083" ht="17.6" spans="4:7">
      <c r="D2083" s="175">
        <v>43166</v>
      </c>
      <c r="E2083" s="176">
        <v>10154.2</v>
      </c>
      <c r="F2083" s="3"/>
      <c r="G2083" s="3"/>
    </row>
    <row r="2084" ht="17.6" spans="4:7">
      <c r="D2084" s="175">
        <v>43165</v>
      </c>
      <c r="E2084" s="176">
        <v>10249.25</v>
      </c>
      <c r="F2084" s="3"/>
      <c r="G2084" s="3"/>
    </row>
    <row r="2085" ht="17.6" spans="4:7">
      <c r="D2085" s="175">
        <v>43164</v>
      </c>
      <c r="E2085" s="176">
        <v>10358.85</v>
      </c>
      <c r="F2085" s="3"/>
      <c r="G2085" s="3"/>
    </row>
    <row r="2086" ht="17.6" spans="4:7">
      <c r="D2086" s="175">
        <v>43160</v>
      </c>
      <c r="E2086" s="176">
        <v>10458.35</v>
      </c>
      <c r="F2086" s="3"/>
      <c r="G2086" s="3"/>
    </row>
    <row r="2087" ht="17.6" spans="4:7">
      <c r="D2087" s="175">
        <v>43159</v>
      </c>
      <c r="E2087" s="176">
        <v>10492.85</v>
      </c>
      <c r="F2087" s="3"/>
      <c r="G2087" s="3"/>
    </row>
    <row r="2088" ht="17.6" spans="4:7">
      <c r="D2088" s="175">
        <v>43158</v>
      </c>
      <c r="E2088" s="176">
        <v>10554.3</v>
      </c>
      <c r="F2088" s="3"/>
      <c r="G2088" s="3"/>
    </row>
    <row r="2089" ht="17.6" spans="4:7">
      <c r="D2089" s="175">
        <v>43157</v>
      </c>
      <c r="E2089" s="176">
        <v>10582.6</v>
      </c>
      <c r="F2089" s="3"/>
      <c r="G2089" s="3"/>
    </row>
    <row r="2090" ht="17.6" spans="4:7">
      <c r="D2090" s="175">
        <v>43154</v>
      </c>
      <c r="E2090" s="176">
        <v>10491.05</v>
      </c>
      <c r="F2090" s="3"/>
      <c r="G2090" s="3"/>
    </row>
    <row r="2091" ht="17.6" spans="4:7">
      <c r="D2091" s="175">
        <v>43153</v>
      </c>
      <c r="E2091" s="176">
        <v>10382.7</v>
      </c>
      <c r="F2091" s="3"/>
      <c r="G2091" s="3"/>
    </row>
    <row r="2092" ht="17.6" spans="4:7">
      <c r="D2092" s="175">
        <v>43152</v>
      </c>
      <c r="E2092" s="176">
        <v>10397.45</v>
      </c>
      <c r="F2092" s="3"/>
      <c r="G2092" s="3"/>
    </row>
    <row r="2093" ht="17.6" spans="4:7">
      <c r="D2093" s="175">
        <v>43151</v>
      </c>
      <c r="E2093" s="176">
        <v>10360.4</v>
      </c>
      <c r="F2093" s="3"/>
      <c r="G2093" s="3"/>
    </row>
    <row r="2094" ht="17.6" spans="4:7">
      <c r="D2094" s="175">
        <v>43150</v>
      </c>
      <c r="E2094" s="176">
        <v>10378.4</v>
      </c>
      <c r="F2094" s="3"/>
      <c r="G2094" s="3"/>
    </row>
    <row r="2095" ht="17.6" spans="4:7">
      <c r="D2095" s="175">
        <v>43147</v>
      </c>
      <c r="E2095" s="176">
        <v>10452.3</v>
      </c>
      <c r="F2095" s="3"/>
      <c r="G2095" s="3"/>
    </row>
    <row r="2096" ht="17.6" spans="4:7">
      <c r="D2096" s="175">
        <v>43146</v>
      </c>
      <c r="E2096" s="176">
        <v>10545.5</v>
      </c>
      <c r="F2096" s="3"/>
      <c r="G2096" s="3"/>
    </row>
    <row r="2097" ht="17.6" spans="4:7">
      <c r="D2097" s="175">
        <v>43145</v>
      </c>
      <c r="E2097" s="176">
        <v>10500.9</v>
      </c>
      <c r="F2097" s="3"/>
      <c r="G2097" s="3"/>
    </row>
    <row r="2098" ht="17.6" spans="4:7">
      <c r="D2098" s="175">
        <v>43143</v>
      </c>
      <c r="E2098" s="176">
        <v>10539.75</v>
      </c>
      <c r="F2098" s="3"/>
      <c r="G2098" s="3"/>
    </row>
    <row r="2099" ht="17.6" spans="4:7">
      <c r="D2099" s="175">
        <v>43140</v>
      </c>
      <c r="E2099" s="176">
        <v>10454.95</v>
      </c>
      <c r="F2099" s="3"/>
      <c r="G2099" s="3"/>
    </row>
    <row r="2100" ht="17.6" spans="4:7">
      <c r="D2100" s="175">
        <v>43139</v>
      </c>
      <c r="E2100" s="176">
        <v>10576.85</v>
      </c>
      <c r="F2100" s="3"/>
      <c r="G2100" s="3"/>
    </row>
    <row r="2101" ht="17.6" spans="4:7">
      <c r="D2101" s="175">
        <v>43138</v>
      </c>
      <c r="E2101" s="176">
        <v>10476.7</v>
      </c>
      <c r="F2101" s="3"/>
      <c r="G2101" s="3"/>
    </row>
    <row r="2102" ht="17.6" spans="4:7">
      <c r="D2102" s="175">
        <v>43137</v>
      </c>
      <c r="E2102" s="176">
        <v>10498.25</v>
      </c>
      <c r="F2102" s="3"/>
      <c r="G2102" s="3"/>
    </row>
    <row r="2103" ht="17.6" spans="4:7">
      <c r="D2103" s="175">
        <v>43136</v>
      </c>
      <c r="E2103" s="176">
        <v>10666.55</v>
      </c>
      <c r="F2103" s="3"/>
      <c r="G2103" s="3"/>
    </row>
    <row r="2104" ht="17.6" spans="4:7">
      <c r="D2104" s="175">
        <v>43133</v>
      </c>
      <c r="E2104" s="176">
        <v>10760.6</v>
      </c>
      <c r="F2104" s="3"/>
      <c r="G2104" s="3"/>
    </row>
    <row r="2105" ht="17.6" spans="4:7">
      <c r="D2105" s="175">
        <v>43132</v>
      </c>
      <c r="E2105" s="176">
        <v>11016.9</v>
      </c>
      <c r="F2105" s="3"/>
      <c r="G2105" s="3"/>
    </row>
    <row r="2106" ht="17.6" spans="4:7">
      <c r="D2106" s="175">
        <v>43131</v>
      </c>
      <c r="E2106" s="176">
        <v>11027.7</v>
      </c>
      <c r="F2106" s="3"/>
      <c r="G2106" s="3"/>
    </row>
    <row r="2107" ht="17.6" spans="4:7">
      <c r="D2107" s="175">
        <v>43130</v>
      </c>
      <c r="E2107" s="176">
        <v>11049.65</v>
      </c>
      <c r="F2107" s="3"/>
      <c r="G2107" s="3"/>
    </row>
    <row r="2108" ht="17.6" spans="4:7">
      <c r="D2108" s="175">
        <v>43129</v>
      </c>
      <c r="E2108" s="176">
        <v>11130.4</v>
      </c>
      <c r="F2108" s="3"/>
      <c r="G2108" s="3"/>
    </row>
    <row r="2109" ht="17.6" spans="4:7">
      <c r="D2109" s="175">
        <v>43125</v>
      </c>
      <c r="E2109" s="176">
        <v>11069.65</v>
      </c>
      <c r="F2109" s="3"/>
      <c r="G2109" s="3"/>
    </row>
    <row r="2110" ht="17.6" spans="4:7">
      <c r="D2110" s="175">
        <v>43124</v>
      </c>
      <c r="E2110" s="176">
        <v>11086</v>
      </c>
      <c r="F2110" s="3"/>
      <c r="G2110" s="3"/>
    </row>
    <row r="2111" ht="17.6" spans="4:7">
      <c r="D2111" s="175">
        <v>43123</v>
      </c>
      <c r="E2111" s="176">
        <v>11083.7</v>
      </c>
      <c r="F2111" s="3"/>
      <c r="G2111" s="3"/>
    </row>
    <row r="2112" ht="17.6" spans="4:7">
      <c r="D2112" s="175">
        <v>43122</v>
      </c>
      <c r="E2112" s="176">
        <v>10966.2</v>
      </c>
      <c r="F2112" s="3"/>
      <c r="G2112" s="3"/>
    </row>
    <row r="2113" ht="17.6" spans="4:7">
      <c r="D2113" s="175">
        <v>43119</v>
      </c>
      <c r="E2113" s="176">
        <v>10894.7</v>
      </c>
      <c r="F2113" s="3"/>
      <c r="G2113" s="3"/>
    </row>
    <row r="2114" ht="17.6" spans="4:7">
      <c r="D2114" s="175">
        <v>43118</v>
      </c>
      <c r="E2114" s="176">
        <v>10817</v>
      </c>
      <c r="F2114" s="3"/>
      <c r="G2114" s="3"/>
    </row>
    <row r="2115" ht="17.6" spans="4:7">
      <c r="D2115" s="175">
        <v>43117</v>
      </c>
      <c r="E2115" s="176">
        <v>10788.55</v>
      </c>
      <c r="F2115" s="3"/>
      <c r="G2115" s="3"/>
    </row>
    <row r="2116" ht="17.6" spans="4:7">
      <c r="D2116" s="175">
        <v>43116</v>
      </c>
      <c r="E2116" s="176">
        <v>10700.45</v>
      </c>
      <c r="F2116" s="3"/>
      <c r="G2116" s="3"/>
    </row>
    <row r="2117" ht="17.6" spans="4:7">
      <c r="D2117" s="175">
        <v>43115</v>
      </c>
      <c r="E2117" s="176">
        <v>10741.55</v>
      </c>
      <c r="F2117" s="3"/>
      <c r="G2117" s="3"/>
    </row>
    <row r="2118" ht="17.6" spans="4:7">
      <c r="D2118" s="175">
        <v>43112</v>
      </c>
      <c r="E2118" s="176">
        <v>10681.25</v>
      </c>
      <c r="F2118" s="3"/>
      <c r="G2118" s="3"/>
    </row>
    <row r="2119" ht="17.6" spans="4:7">
      <c r="D2119" s="175">
        <v>43111</v>
      </c>
      <c r="E2119" s="176">
        <v>10651.2</v>
      </c>
      <c r="F2119" s="3"/>
      <c r="G2119" s="3"/>
    </row>
    <row r="2120" ht="17.6" spans="4:7">
      <c r="D2120" s="175">
        <v>43110</v>
      </c>
      <c r="E2120" s="176">
        <v>10632.2</v>
      </c>
      <c r="F2120" s="3"/>
      <c r="G2120" s="3"/>
    </row>
    <row r="2121" ht="17.6" spans="4:7">
      <c r="D2121" s="175">
        <v>43109</v>
      </c>
      <c r="E2121" s="176">
        <v>10637</v>
      </c>
      <c r="F2121" s="3"/>
      <c r="G2121" s="3"/>
    </row>
    <row r="2122" ht="17.6" spans="4:7">
      <c r="D2122" s="175">
        <v>43108</v>
      </c>
      <c r="E2122" s="176">
        <v>10623.6</v>
      </c>
      <c r="F2122" s="3"/>
      <c r="G2122" s="3"/>
    </row>
    <row r="2123" ht="17.6" spans="4:7">
      <c r="D2123" s="175">
        <v>43105</v>
      </c>
      <c r="E2123" s="176">
        <v>10558.85</v>
      </c>
      <c r="F2123" s="3"/>
      <c r="G2123" s="3"/>
    </row>
    <row r="2124" ht="17.6" spans="4:7">
      <c r="D2124" s="175">
        <v>43104</v>
      </c>
      <c r="E2124" s="176">
        <v>10504.8</v>
      </c>
      <c r="F2124" s="3"/>
      <c r="G2124" s="3"/>
    </row>
    <row r="2125" ht="17.6" spans="4:7">
      <c r="D2125" s="175">
        <v>43103</v>
      </c>
      <c r="E2125" s="176">
        <v>10443.2</v>
      </c>
      <c r="F2125" s="3"/>
      <c r="G2125" s="3"/>
    </row>
    <row r="2126" ht="17.6" spans="4:7">
      <c r="D2126" s="175">
        <v>43102</v>
      </c>
      <c r="E2126" s="176">
        <v>10442.2</v>
      </c>
      <c r="F2126" s="3"/>
      <c r="G2126" s="3"/>
    </row>
    <row r="2127" ht="17.6" spans="4:7">
      <c r="D2127" s="175">
        <v>43101</v>
      </c>
      <c r="E2127" s="176">
        <v>10435.55</v>
      </c>
      <c r="F2127" s="3"/>
      <c r="G2127" s="3"/>
    </row>
    <row r="2128" ht="17.6" spans="4:7">
      <c r="D2128" s="175">
        <v>43098</v>
      </c>
      <c r="E2128" s="176">
        <v>10530.7</v>
      </c>
      <c r="F2128" s="3"/>
      <c r="G2128" s="3"/>
    </row>
    <row r="2129" ht="17.6" spans="4:7">
      <c r="D2129" s="175">
        <v>43097</v>
      </c>
      <c r="E2129" s="176">
        <v>10477.9</v>
      </c>
      <c r="F2129" s="3"/>
      <c r="G2129" s="3"/>
    </row>
    <row r="2130" ht="17.6" spans="4:7">
      <c r="D2130" s="175">
        <v>43096</v>
      </c>
      <c r="E2130" s="176">
        <v>10490.75</v>
      </c>
      <c r="F2130" s="3"/>
      <c r="G2130" s="3"/>
    </row>
    <row r="2131" ht="17.6" spans="4:7">
      <c r="D2131" s="175">
        <v>43095</v>
      </c>
      <c r="E2131" s="176">
        <v>10531.5</v>
      </c>
      <c r="F2131" s="3"/>
      <c r="G2131" s="3"/>
    </row>
    <row r="2132" ht="17.6" spans="4:7">
      <c r="D2132" s="175">
        <v>43091</v>
      </c>
      <c r="E2132" s="176">
        <v>10493</v>
      </c>
      <c r="F2132" s="3"/>
      <c r="G2132" s="3"/>
    </row>
    <row r="2133" ht="17.6" spans="4:7">
      <c r="D2133" s="175">
        <v>43090</v>
      </c>
      <c r="E2133" s="176">
        <v>10440.3</v>
      </c>
      <c r="F2133" s="3"/>
      <c r="G2133" s="3"/>
    </row>
    <row r="2134" ht="17.6" spans="4:7">
      <c r="D2134" s="175">
        <v>43089</v>
      </c>
      <c r="E2134" s="176">
        <v>10444.2</v>
      </c>
      <c r="F2134" s="3"/>
      <c r="G2134" s="3"/>
    </row>
    <row r="2135" ht="17.6" spans="4:7">
      <c r="D2135" s="175">
        <v>43088</v>
      </c>
      <c r="E2135" s="176">
        <v>10463.2</v>
      </c>
      <c r="F2135" s="3"/>
      <c r="G2135" s="3"/>
    </row>
    <row r="2136" ht="17.6" spans="4:7">
      <c r="D2136" s="175">
        <v>43087</v>
      </c>
      <c r="E2136" s="176">
        <v>10388.75</v>
      </c>
      <c r="F2136" s="3"/>
      <c r="G2136" s="3"/>
    </row>
    <row r="2137" ht="17.6" spans="4:7">
      <c r="D2137" s="175">
        <v>43084</v>
      </c>
      <c r="E2137" s="176">
        <v>10333.25</v>
      </c>
      <c r="F2137" s="3"/>
      <c r="G2137" s="3"/>
    </row>
    <row r="2138" ht="17.6" spans="4:7">
      <c r="D2138" s="175">
        <v>43083</v>
      </c>
      <c r="E2138" s="176">
        <v>10252.1</v>
      </c>
      <c r="F2138" s="3"/>
      <c r="G2138" s="3"/>
    </row>
    <row r="2139" ht="17.6" spans="4:7">
      <c r="D2139" s="175">
        <v>43082</v>
      </c>
      <c r="E2139" s="176">
        <v>10192.95</v>
      </c>
      <c r="F2139" s="3"/>
      <c r="G2139" s="3"/>
    </row>
    <row r="2140" ht="17.6" spans="4:7">
      <c r="D2140" s="175">
        <v>43081</v>
      </c>
      <c r="E2140" s="176">
        <v>10240.15</v>
      </c>
      <c r="F2140" s="3"/>
      <c r="G2140" s="3"/>
    </row>
    <row r="2141" ht="17.6" spans="4:7">
      <c r="D2141" s="175">
        <v>43080</v>
      </c>
      <c r="E2141" s="176">
        <v>10322.25</v>
      </c>
      <c r="F2141" s="3"/>
      <c r="G2141" s="3"/>
    </row>
    <row r="2142" ht="17.6" spans="4:7">
      <c r="D2142" s="175">
        <v>43077</v>
      </c>
      <c r="E2142" s="176">
        <v>10265.65</v>
      </c>
      <c r="F2142" s="3"/>
      <c r="G2142" s="3"/>
    </row>
    <row r="2143" ht="17.6" spans="4:7">
      <c r="D2143" s="175">
        <v>43076</v>
      </c>
      <c r="E2143" s="176">
        <v>10166.7</v>
      </c>
      <c r="F2143" s="3"/>
      <c r="G2143" s="3"/>
    </row>
    <row r="2144" ht="17.6" spans="4:7">
      <c r="D2144" s="175">
        <v>43075</v>
      </c>
      <c r="E2144" s="176">
        <v>10044.1</v>
      </c>
      <c r="F2144" s="3"/>
      <c r="G2144" s="3"/>
    </row>
    <row r="2145" ht="17.6" spans="4:7">
      <c r="D2145" s="175">
        <v>43074</v>
      </c>
      <c r="E2145" s="176">
        <v>10118.25</v>
      </c>
      <c r="F2145" s="3"/>
      <c r="G2145" s="3"/>
    </row>
    <row r="2146" ht="17.6" spans="4:7">
      <c r="D2146" s="175">
        <v>43073</v>
      </c>
      <c r="E2146" s="176">
        <v>10127.75</v>
      </c>
      <c r="F2146" s="3"/>
      <c r="G2146" s="3"/>
    </row>
    <row r="2147" ht="17.6" spans="4:7">
      <c r="D2147" s="175">
        <v>43070</v>
      </c>
      <c r="E2147" s="176">
        <v>10121.8</v>
      </c>
      <c r="F2147" s="3"/>
      <c r="G2147" s="3"/>
    </row>
    <row r="2148" ht="17.6" spans="4:7">
      <c r="D2148" s="175">
        <v>43069</v>
      </c>
      <c r="E2148" s="176">
        <v>10226.55</v>
      </c>
      <c r="F2148" s="3"/>
      <c r="G2148" s="3"/>
    </row>
    <row r="2149" ht="17.6" spans="4:7">
      <c r="D2149" s="175">
        <v>43068</v>
      </c>
      <c r="E2149" s="176">
        <v>10361.3</v>
      </c>
      <c r="F2149" s="3"/>
      <c r="G2149" s="3"/>
    </row>
    <row r="2150" ht="17.6" spans="4:7">
      <c r="D2150" s="175">
        <v>43067</v>
      </c>
      <c r="E2150" s="176">
        <v>10370.25</v>
      </c>
      <c r="F2150" s="3"/>
      <c r="G2150" s="3"/>
    </row>
    <row r="2151" ht="17.6" spans="4:7">
      <c r="D2151" s="175">
        <v>43066</v>
      </c>
      <c r="E2151" s="176">
        <v>10399.55</v>
      </c>
      <c r="F2151" s="3"/>
      <c r="G2151" s="3"/>
    </row>
    <row r="2152" ht="17.6" spans="4:7">
      <c r="D2152" s="175">
        <v>43063</v>
      </c>
      <c r="E2152" s="176">
        <v>10389.7</v>
      </c>
      <c r="F2152" s="3"/>
      <c r="G2152" s="3"/>
    </row>
    <row r="2153" ht="17.6" spans="4:7">
      <c r="D2153" s="175">
        <v>43062</v>
      </c>
      <c r="E2153" s="176">
        <v>10348.75</v>
      </c>
      <c r="F2153" s="3"/>
      <c r="G2153" s="3"/>
    </row>
    <row r="2154" ht="17.6" spans="4:7">
      <c r="D2154" s="175">
        <v>43061</v>
      </c>
      <c r="E2154" s="176">
        <v>10342.3</v>
      </c>
      <c r="F2154" s="3"/>
      <c r="G2154" s="3"/>
    </row>
    <row r="2155" ht="17.6" spans="4:7">
      <c r="D2155" s="175">
        <v>43060</v>
      </c>
      <c r="E2155" s="176">
        <v>10326.9</v>
      </c>
      <c r="F2155" s="3"/>
      <c r="G2155" s="3"/>
    </row>
    <row r="2156" ht="17.6" spans="4:7">
      <c r="D2156" s="175">
        <v>43059</v>
      </c>
      <c r="E2156" s="176">
        <v>10298.75</v>
      </c>
      <c r="F2156" s="3"/>
      <c r="G2156" s="3"/>
    </row>
    <row r="2157" ht="17.6" spans="4:7">
      <c r="D2157" s="175">
        <v>43056</v>
      </c>
      <c r="E2157" s="176">
        <v>10283.6</v>
      </c>
      <c r="F2157" s="3"/>
      <c r="G2157" s="3"/>
    </row>
    <row r="2158" ht="17.6" spans="4:7">
      <c r="D2158" s="175">
        <v>43055</v>
      </c>
      <c r="E2158" s="176">
        <v>10214.75</v>
      </c>
      <c r="F2158" s="3"/>
      <c r="G2158" s="3"/>
    </row>
    <row r="2159" ht="17.6" spans="4:7">
      <c r="D2159" s="175">
        <v>43054</v>
      </c>
      <c r="E2159" s="176">
        <v>10118.05</v>
      </c>
      <c r="F2159" s="3"/>
      <c r="G2159" s="3"/>
    </row>
    <row r="2160" ht="17.6" spans="4:7">
      <c r="D2160" s="175">
        <v>43053</v>
      </c>
      <c r="E2160" s="176">
        <v>10186.6</v>
      </c>
      <c r="F2160" s="3"/>
      <c r="G2160" s="3"/>
    </row>
    <row r="2161" ht="17.6" spans="4:7">
      <c r="D2161" s="175">
        <v>43052</v>
      </c>
      <c r="E2161" s="176">
        <v>10224.95</v>
      </c>
      <c r="F2161" s="3"/>
      <c r="G2161" s="3"/>
    </row>
    <row r="2162" ht="17.6" spans="4:7">
      <c r="D2162" s="175">
        <v>43049</v>
      </c>
      <c r="E2162" s="176">
        <v>10321.75</v>
      </c>
      <c r="F2162" s="3"/>
      <c r="G2162" s="3"/>
    </row>
    <row r="2163" ht="17.6" spans="4:7">
      <c r="D2163" s="175">
        <v>43048</v>
      </c>
      <c r="E2163" s="176">
        <v>10308.95</v>
      </c>
      <c r="F2163" s="3"/>
      <c r="G2163" s="3"/>
    </row>
    <row r="2164" ht="17.6" spans="4:7">
      <c r="D2164" s="175">
        <v>43047</v>
      </c>
      <c r="E2164" s="176">
        <v>10303.15</v>
      </c>
      <c r="F2164" s="3"/>
      <c r="G2164" s="3"/>
    </row>
    <row r="2165" ht="17.6" spans="4:7">
      <c r="D2165" s="175">
        <v>43046</v>
      </c>
      <c r="E2165" s="176">
        <v>10350.15</v>
      </c>
      <c r="F2165" s="3"/>
      <c r="G2165" s="3"/>
    </row>
    <row r="2166" ht="17.6" spans="4:7">
      <c r="D2166" s="175">
        <v>43045</v>
      </c>
      <c r="E2166" s="176">
        <v>10451.8</v>
      </c>
      <c r="F2166" s="3"/>
      <c r="G2166" s="3"/>
    </row>
    <row r="2167" ht="17.6" spans="4:7">
      <c r="D2167" s="175">
        <v>43042</v>
      </c>
      <c r="E2167" s="176">
        <v>10452.5</v>
      </c>
      <c r="F2167" s="3"/>
      <c r="G2167" s="3"/>
    </row>
    <row r="2168" ht="17.6" spans="4:7">
      <c r="D2168" s="175">
        <v>43041</v>
      </c>
      <c r="E2168" s="176">
        <v>10423.8</v>
      </c>
      <c r="F2168" s="3"/>
      <c r="G2168" s="3"/>
    </row>
    <row r="2169" ht="17.6" spans="4:7">
      <c r="D2169" s="175">
        <v>43040</v>
      </c>
      <c r="E2169" s="176">
        <v>10440.5</v>
      </c>
      <c r="F2169" s="3"/>
      <c r="G2169" s="3"/>
    </row>
    <row r="2170" ht="17.6" spans="4:7">
      <c r="D2170" s="175">
        <v>43039</v>
      </c>
      <c r="E2170" s="176">
        <v>10335.3</v>
      </c>
      <c r="F2170" s="3"/>
      <c r="G2170" s="3"/>
    </row>
    <row r="2171" ht="17.6" spans="4:7">
      <c r="D2171" s="175">
        <v>43038</v>
      </c>
      <c r="E2171" s="176">
        <v>10363.65</v>
      </c>
      <c r="F2171" s="3"/>
      <c r="G2171" s="3"/>
    </row>
    <row r="2172" ht="17.6" spans="4:7">
      <c r="D2172" s="175">
        <v>43035</v>
      </c>
      <c r="E2172" s="176">
        <v>10323.05</v>
      </c>
      <c r="F2172" s="3"/>
      <c r="G2172" s="3"/>
    </row>
    <row r="2173" ht="17.6" spans="4:7">
      <c r="D2173" s="175">
        <v>43034</v>
      </c>
      <c r="E2173" s="176">
        <v>10343.8</v>
      </c>
      <c r="F2173" s="3"/>
      <c r="G2173" s="3"/>
    </row>
    <row r="2174" ht="17.6" spans="4:7">
      <c r="D2174" s="175">
        <v>43033</v>
      </c>
      <c r="E2174" s="176">
        <v>10295.35</v>
      </c>
      <c r="F2174" s="3"/>
      <c r="G2174" s="3"/>
    </row>
    <row r="2175" ht="17.6" spans="4:7">
      <c r="D2175" s="175">
        <v>43032</v>
      </c>
      <c r="E2175" s="176">
        <v>10207.7</v>
      </c>
      <c r="F2175" s="3"/>
      <c r="G2175" s="3"/>
    </row>
    <row r="2176" ht="17.6" spans="4:7">
      <c r="D2176" s="175">
        <v>43031</v>
      </c>
      <c r="E2176" s="176">
        <v>10184.85</v>
      </c>
      <c r="F2176" s="3"/>
      <c r="G2176" s="3"/>
    </row>
    <row r="2177" ht="17.6" spans="4:7">
      <c r="D2177" s="175">
        <v>43027</v>
      </c>
      <c r="E2177" s="176">
        <v>10146.55</v>
      </c>
      <c r="F2177" s="3"/>
      <c r="G2177" s="3"/>
    </row>
    <row r="2178" ht="17.6" spans="4:7">
      <c r="D2178" s="175">
        <v>43026</v>
      </c>
      <c r="E2178" s="176">
        <v>10210.85</v>
      </c>
      <c r="F2178" s="3"/>
      <c r="G2178" s="3"/>
    </row>
    <row r="2179" ht="17.6" spans="4:7">
      <c r="D2179" s="175">
        <v>43025</v>
      </c>
      <c r="E2179" s="176">
        <v>10234.45</v>
      </c>
      <c r="F2179" s="3"/>
      <c r="G2179" s="3"/>
    </row>
    <row r="2180" ht="17.6" spans="4:7">
      <c r="D2180" s="175">
        <v>43024</v>
      </c>
      <c r="E2180" s="176">
        <v>10230.85</v>
      </c>
      <c r="F2180" s="3"/>
      <c r="G2180" s="3"/>
    </row>
    <row r="2181" ht="17.6" spans="4:7">
      <c r="D2181" s="175">
        <v>43021</v>
      </c>
      <c r="E2181" s="176">
        <v>10167.45</v>
      </c>
      <c r="F2181" s="3"/>
      <c r="G2181" s="3"/>
    </row>
    <row r="2182" ht="17.6" spans="4:7">
      <c r="D2182" s="175">
        <v>43020</v>
      </c>
      <c r="E2182" s="176">
        <v>10096.4</v>
      </c>
      <c r="F2182" s="3"/>
      <c r="G2182" s="3"/>
    </row>
    <row r="2183" ht="17.6" spans="4:7">
      <c r="D2183" s="175">
        <v>43019</v>
      </c>
      <c r="E2183" s="176">
        <v>9984.8</v>
      </c>
      <c r="F2183" s="3"/>
      <c r="G2183" s="3"/>
    </row>
    <row r="2184" ht="17.6" spans="4:7">
      <c r="D2184" s="175">
        <v>43018</v>
      </c>
      <c r="E2184" s="176">
        <v>10016.95</v>
      </c>
      <c r="F2184" s="3"/>
      <c r="G2184" s="3"/>
    </row>
    <row r="2185" ht="17.6" spans="4:7">
      <c r="D2185" s="175">
        <v>43017</v>
      </c>
      <c r="E2185" s="176">
        <v>9988.75</v>
      </c>
      <c r="F2185" s="3"/>
      <c r="G2185" s="3"/>
    </row>
    <row r="2186" ht="17.6" spans="4:7">
      <c r="D2186" s="175">
        <v>43014</v>
      </c>
      <c r="E2186" s="176">
        <v>9979.7</v>
      </c>
      <c r="F2186" s="3"/>
      <c r="G2186" s="3"/>
    </row>
    <row r="2187" ht="17.6" spans="4:7">
      <c r="D2187" s="175">
        <v>43013</v>
      </c>
      <c r="E2187" s="176">
        <v>9888.7</v>
      </c>
      <c r="F2187" s="3"/>
      <c r="G2187" s="3"/>
    </row>
    <row r="2188" ht="17.6" spans="4:7">
      <c r="D2188" s="175">
        <v>43012</v>
      </c>
      <c r="E2188" s="176">
        <v>9914.9</v>
      </c>
      <c r="F2188" s="3"/>
      <c r="G2188" s="3"/>
    </row>
    <row r="2189" ht="17.6" spans="4:7">
      <c r="D2189" s="175">
        <v>43011</v>
      </c>
      <c r="E2189" s="176">
        <v>9859.5</v>
      </c>
      <c r="F2189" s="3"/>
      <c r="G2189" s="3"/>
    </row>
    <row r="2190" ht="17.6" spans="4:7">
      <c r="D2190" s="175">
        <v>43007</v>
      </c>
      <c r="E2190" s="176">
        <v>9788.6</v>
      </c>
      <c r="F2190" s="3"/>
      <c r="G2190" s="3"/>
    </row>
    <row r="2191" ht="17.6" spans="4:7">
      <c r="D2191" s="175">
        <v>43006</v>
      </c>
      <c r="E2191" s="176">
        <v>9768.95</v>
      </c>
      <c r="F2191" s="3"/>
      <c r="G2191" s="3"/>
    </row>
    <row r="2192" ht="17.6" spans="4:7">
      <c r="D2192" s="175">
        <v>43005</v>
      </c>
      <c r="E2192" s="176">
        <v>9735.75</v>
      </c>
      <c r="F2192" s="3"/>
      <c r="G2192" s="3"/>
    </row>
    <row r="2193" ht="17.6" spans="4:7">
      <c r="D2193" s="175">
        <v>43004</v>
      </c>
      <c r="E2193" s="176">
        <v>9871.5</v>
      </c>
      <c r="F2193" s="3"/>
      <c r="G2193" s="3"/>
    </row>
    <row r="2194" ht="17.6" spans="4:7">
      <c r="D2194" s="175">
        <v>43003</v>
      </c>
      <c r="E2194" s="176">
        <v>9872.6</v>
      </c>
      <c r="F2194" s="3"/>
      <c r="G2194" s="3"/>
    </row>
    <row r="2195" ht="17.6" spans="4:7">
      <c r="D2195" s="175">
        <v>43000</v>
      </c>
      <c r="E2195" s="176">
        <v>9964.4</v>
      </c>
      <c r="F2195" s="3"/>
      <c r="G2195" s="3"/>
    </row>
    <row r="2196" ht="17.6" spans="4:7">
      <c r="D2196" s="175">
        <v>42999</v>
      </c>
      <c r="E2196" s="176">
        <v>10121.9</v>
      </c>
      <c r="F2196" s="3"/>
      <c r="G2196" s="3"/>
    </row>
    <row r="2197" ht="17.6" spans="4:7">
      <c r="D2197" s="175">
        <v>42998</v>
      </c>
      <c r="E2197" s="176">
        <v>10141.15</v>
      </c>
      <c r="F2197" s="3"/>
      <c r="G2197" s="3"/>
    </row>
    <row r="2198" ht="17.6" spans="4:7">
      <c r="D2198" s="175">
        <v>42997</v>
      </c>
      <c r="E2198" s="176">
        <v>10147.55</v>
      </c>
      <c r="F2198" s="3"/>
      <c r="G2198" s="3"/>
    </row>
    <row r="2199" ht="17.6" spans="4:7">
      <c r="D2199" s="175">
        <v>42996</v>
      </c>
      <c r="E2199" s="176">
        <v>10153.1</v>
      </c>
      <c r="F2199" s="3"/>
      <c r="G2199" s="3"/>
    </row>
    <row r="2200" ht="17.6" spans="4:7">
      <c r="D2200" s="175">
        <v>42993</v>
      </c>
      <c r="E2200" s="176">
        <v>10085.4</v>
      </c>
      <c r="F2200" s="3"/>
      <c r="G2200" s="3"/>
    </row>
    <row r="2201" ht="17.6" spans="4:7">
      <c r="D2201" s="175">
        <v>42992</v>
      </c>
      <c r="E2201" s="176">
        <v>10086.6</v>
      </c>
      <c r="F2201" s="3"/>
      <c r="G2201" s="3"/>
    </row>
    <row r="2202" ht="17.6" spans="4:7">
      <c r="D2202" s="175">
        <v>42991</v>
      </c>
      <c r="E2202" s="176">
        <v>10079.3</v>
      </c>
      <c r="F2202" s="3"/>
      <c r="G2202" s="3"/>
    </row>
    <row r="2203" ht="17.6" spans="4:7">
      <c r="D2203" s="175">
        <v>42990</v>
      </c>
      <c r="E2203" s="176">
        <v>10093.05</v>
      </c>
      <c r="F2203" s="3"/>
      <c r="G2203" s="3"/>
    </row>
    <row r="2204" ht="17.6" spans="4:7">
      <c r="D2204" s="175">
        <v>42989</v>
      </c>
      <c r="E2204" s="176">
        <v>10006.05</v>
      </c>
      <c r="F2204" s="3"/>
      <c r="G2204" s="3"/>
    </row>
    <row r="2205" ht="17.6" spans="4:7">
      <c r="D2205" s="175">
        <v>42986</v>
      </c>
      <c r="E2205" s="176">
        <v>9934.8</v>
      </c>
      <c r="F2205" s="3"/>
      <c r="G2205" s="3"/>
    </row>
    <row r="2206" ht="17.6" spans="4:7">
      <c r="D2206" s="175">
        <v>42985</v>
      </c>
      <c r="E2206" s="176">
        <v>9929.9</v>
      </c>
      <c r="F2206" s="3"/>
      <c r="G2206" s="3"/>
    </row>
    <row r="2207" ht="17.6" spans="4:7">
      <c r="D2207" s="175">
        <v>42984</v>
      </c>
      <c r="E2207" s="176">
        <v>9916.2</v>
      </c>
      <c r="F2207" s="3"/>
      <c r="G2207" s="3"/>
    </row>
    <row r="2208" ht="17.6" spans="4:7">
      <c r="D2208" s="175">
        <v>42983</v>
      </c>
      <c r="E2208" s="176">
        <v>9952.2</v>
      </c>
      <c r="F2208" s="3"/>
      <c r="G2208" s="3"/>
    </row>
    <row r="2209" ht="17.6" spans="4:7">
      <c r="D2209" s="175">
        <v>42982</v>
      </c>
      <c r="E2209" s="176">
        <v>9912.85</v>
      </c>
      <c r="F2209" s="3"/>
      <c r="G2209" s="3"/>
    </row>
    <row r="2210" ht="17.6" spans="4:7">
      <c r="D2210" s="175">
        <v>42979</v>
      </c>
      <c r="E2210" s="176">
        <v>9974.4</v>
      </c>
      <c r="F2210" s="3"/>
      <c r="G2210" s="3"/>
    </row>
    <row r="2211" ht="17.6" spans="4:7">
      <c r="D2211" s="175">
        <v>42978</v>
      </c>
      <c r="E2211" s="176">
        <v>9917.9</v>
      </c>
      <c r="F2211" s="3"/>
      <c r="G2211" s="3"/>
    </row>
    <row r="2212" ht="17.6" spans="4:7">
      <c r="D2212" s="175">
        <v>42977</v>
      </c>
      <c r="E2212" s="176">
        <v>9884.4</v>
      </c>
      <c r="F2212" s="3"/>
      <c r="G2212" s="3"/>
    </row>
    <row r="2213" ht="17.6" spans="4:7">
      <c r="D2213" s="175">
        <v>42976</v>
      </c>
      <c r="E2213" s="176">
        <v>9796.05</v>
      </c>
      <c r="F2213" s="3"/>
      <c r="G2213" s="3"/>
    </row>
    <row r="2214" ht="17.6" spans="4:7">
      <c r="D2214" s="175">
        <v>42975</v>
      </c>
      <c r="E2214" s="176">
        <v>9912.8</v>
      </c>
      <c r="F2214" s="3"/>
      <c r="G2214" s="3"/>
    </row>
    <row r="2215" ht="17.6" spans="4:7">
      <c r="D2215" s="175">
        <v>42971</v>
      </c>
      <c r="E2215" s="176">
        <v>9857.05</v>
      </c>
      <c r="F2215" s="3"/>
      <c r="G2215" s="3"/>
    </row>
    <row r="2216" ht="17.6" spans="4:7">
      <c r="D2216" s="175">
        <v>42970</v>
      </c>
      <c r="E2216" s="176">
        <v>9852.5</v>
      </c>
      <c r="F2216" s="3"/>
      <c r="G2216" s="3"/>
    </row>
    <row r="2217" ht="17.6" spans="4:7">
      <c r="D2217" s="175">
        <v>42969</v>
      </c>
      <c r="E2217" s="176">
        <v>9765.55</v>
      </c>
      <c r="F2217" s="3"/>
      <c r="G2217" s="3"/>
    </row>
    <row r="2218" ht="17.6" spans="4:7">
      <c r="D2218" s="175">
        <v>42968</v>
      </c>
      <c r="E2218" s="176">
        <v>9754.35</v>
      </c>
      <c r="F2218" s="3"/>
      <c r="G2218" s="3"/>
    </row>
    <row r="2219" ht="17.6" spans="4:7">
      <c r="D2219" s="175">
        <v>42965</v>
      </c>
      <c r="E2219" s="176">
        <v>9837.4</v>
      </c>
      <c r="F2219" s="3"/>
      <c r="G2219" s="3"/>
    </row>
    <row r="2220" ht="17.6" spans="4:7">
      <c r="D2220" s="175">
        <v>42964</v>
      </c>
      <c r="E2220" s="176">
        <v>9904.15</v>
      </c>
      <c r="F2220" s="3"/>
      <c r="G2220" s="3"/>
    </row>
    <row r="2221" ht="17.6" spans="4:7">
      <c r="D2221" s="175">
        <v>42963</v>
      </c>
      <c r="E2221" s="176">
        <v>9897.3</v>
      </c>
      <c r="F2221" s="3"/>
      <c r="G2221" s="3"/>
    </row>
    <row r="2222" ht="17.6" spans="4:7">
      <c r="D2222" s="175">
        <v>42961</v>
      </c>
      <c r="E2222" s="176">
        <v>9794.15</v>
      </c>
      <c r="F2222" s="3"/>
      <c r="G2222" s="3"/>
    </row>
    <row r="2223" ht="17.6" spans="4:7">
      <c r="D2223" s="175">
        <v>42958</v>
      </c>
      <c r="E2223" s="176">
        <v>9710.8</v>
      </c>
      <c r="F2223" s="3"/>
      <c r="G2223" s="3"/>
    </row>
    <row r="2224" ht="17.6" spans="4:7">
      <c r="D2224" s="175">
        <v>42957</v>
      </c>
      <c r="E2224" s="176">
        <v>9820.25</v>
      </c>
      <c r="F2224" s="3"/>
      <c r="G2224" s="3"/>
    </row>
    <row r="2225" ht="17.6" spans="4:7">
      <c r="D2225" s="175">
        <v>42956</v>
      </c>
      <c r="E2225" s="176">
        <v>9908.05</v>
      </c>
      <c r="F2225" s="3"/>
      <c r="G2225" s="3"/>
    </row>
    <row r="2226" ht="17.6" spans="4:7">
      <c r="D2226" s="175">
        <v>42955</v>
      </c>
      <c r="E2226" s="176">
        <v>9978.55</v>
      </c>
      <c r="F2226" s="3"/>
      <c r="G2226" s="3"/>
    </row>
    <row r="2227" ht="17.6" spans="4:7">
      <c r="D2227" s="175">
        <v>42954</v>
      </c>
      <c r="E2227" s="176">
        <v>10057.4</v>
      </c>
      <c r="F2227" s="3"/>
      <c r="G2227" s="3"/>
    </row>
    <row r="2228" ht="17.6" spans="4:7">
      <c r="D2228" s="175">
        <v>42951</v>
      </c>
      <c r="E2228" s="176">
        <v>10066.4</v>
      </c>
      <c r="F2228" s="3"/>
      <c r="G2228" s="3"/>
    </row>
    <row r="2229" ht="17.6" spans="4:7">
      <c r="D2229" s="175">
        <v>42950</v>
      </c>
      <c r="E2229" s="176">
        <v>10013.65</v>
      </c>
      <c r="F2229" s="3"/>
      <c r="G2229" s="3"/>
    </row>
    <row r="2230" ht="17.6" spans="4:7">
      <c r="D2230" s="175">
        <v>42949</v>
      </c>
      <c r="E2230" s="176">
        <v>10081.5</v>
      </c>
      <c r="F2230" s="3"/>
      <c r="G2230" s="3"/>
    </row>
    <row r="2231" ht="17.6" spans="4:7">
      <c r="D2231" s="175">
        <v>42948</v>
      </c>
      <c r="E2231" s="176">
        <v>10114.65</v>
      </c>
      <c r="F2231" s="3"/>
      <c r="G2231" s="3"/>
    </row>
    <row r="2232" ht="17.6" spans="4:7">
      <c r="D2232" s="175">
        <v>42947</v>
      </c>
      <c r="E2232" s="176">
        <v>10077.1</v>
      </c>
      <c r="F2232" s="3"/>
      <c r="G2232" s="3"/>
    </row>
    <row r="2233" ht="17.6" spans="4:7">
      <c r="D2233" s="175">
        <v>42944</v>
      </c>
      <c r="E2233" s="176">
        <v>10014.5</v>
      </c>
      <c r="F2233" s="3"/>
      <c r="G2233" s="3"/>
    </row>
    <row r="2234" ht="17.6" spans="4:7">
      <c r="D2234" s="175">
        <v>42943</v>
      </c>
      <c r="E2234" s="176">
        <v>10020.55</v>
      </c>
      <c r="F2234" s="3"/>
      <c r="G2234" s="3"/>
    </row>
    <row r="2235" ht="17.6" spans="4:7">
      <c r="D2235" s="175">
        <v>42942</v>
      </c>
      <c r="E2235" s="176">
        <v>10020.65</v>
      </c>
      <c r="F2235" s="3"/>
      <c r="G2235" s="3"/>
    </row>
    <row r="2236" ht="17.6" spans="4:7">
      <c r="D2236" s="175">
        <v>42941</v>
      </c>
      <c r="E2236" s="176">
        <v>9964.55</v>
      </c>
      <c r="F2236" s="3"/>
      <c r="G2236" s="3"/>
    </row>
    <row r="2237" ht="17.6" spans="4:7">
      <c r="D2237" s="175">
        <v>42940</v>
      </c>
      <c r="E2237" s="176">
        <v>9966.4</v>
      </c>
      <c r="F2237" s="3"/>
      <c r="G2237" s="3"/>
    </row>
    <row r="2238" ht="17.6" spans="4:7">
      <c r="D2238" s="175">
        <v>42937</v>
      </c>
      <c r="E2238" s="176">
        <v>9915.25</v>
      </c>
      <c r="F2238" s="3"/>
      <c r="G2238" s="3"/>
    </row>
    <row r="2239" ht="17.6" spans="4:7">
      <c r="D2239" s="175">
        <v>42936</v>
      </c>
      <c r="E2239" s="176">
        <v>9873.3</v>
      </c>
      <c r="F2239" s="3"/>
      <c r="G2239" s="3"/>
    </row>
    <row r="2240" ht="17.6" spans="4:7">
      <c r="D2240" s="175">
        <v>42935</v>
      </c>
      <c r="E2240" s="176">
        <v>9899.6</v>
      </c>
      <c r="F2240" s="3"/>
      <c r="G2240" s="3"/>
    </row>
    <row r="2241" ht="17.6" spans="4:7">
      <c r="D2241" s="175">
        <v>42934</v>
      </c>
      <c r="E2241" s="176">
        <v>9827.15</v>
      </c>
      <c r="F2241" s="3"/>
      <c r="G2241" s="3"/>
    </row>
    <row r="2242" ht="17.6" spans="4:7">
      <c r="D2242" s="175">
        <v>42933</v>
      </c>
      <c r="E2242" s="176">
        <v>9915.95</v>
      </c>
      <c r="F2242" s="3"/>
      <c r="G2242" s="3"/>
    </row>
    <row r="2243" ht="17.6" spans="4:7">
      <c r="D2243" s="175">
        <v>42930</v>
      </c>
      <c r="E2243" s="176">
        <v>9886.35</v>
      </c>
      <c r="F2243" s="3"/>
      <c r="G2243" s="3"/>
    </row>
    <row r="2244" ht="17.6" spans="4:7">
      <c r="D2244" s="175">
        <v>42929</v>
      </c>
      <c r="E2244" s="176">
        <v>9891.7</v>
      </c>
      <c r="F2244" s="3"/>
      <c r="G2244" s="3"/>
    </row>
    <row r="2245" ht="17.6" spans="4:7">
      <c r="D2245" s="175">
        <v>42928</v>
      </c>
      <c r="E2245" s="176">
        <v>9816.1</v>
      </c>
      <c r="F2245" s="3"/>
      <c r="G2245" s="3"/>
    </row>
    <row r="2246" ht="17.6" spans="4:7">
      <c r="D2246" s="175">
        <v>42927</v>
      </c>
      <c r="E2246" s="176">
        <v>9786.05</v>
      </c>
      <c r="F2246" s="3"/>
      <c r="G2246" s="3"/>
    </row>
    <row r="2247" ht="17.6" spans="4:7">
      <c r="D2247" s="175">
        <v>42926</v>
      </c>
      <c r="E2247" s="176">
        <v>9771.05</v>
      </c>
      <c r="F2247" s="3"/>
      <c r="G2247" s="3"/>
    </row>
    <row r="2248" ht="17.6" spans="4:7">
      <c r="D2248" s="175">
        <v>42923</v>
      </c>
      <c r="E2248" s="176">
        <v>9665.8</v>
      </c>
      <c r="F2248" s="3"/>
      <c r="G2248" s="3"/>
    </row>
    <row r="2249" ht="17.6" spans="4:7">
      <c r="D2249" s="175">
        <v>42922</v>
      </c>
      <c r="E2249" s="176">
        <v>9674.55</v>
      </c>
      <c r="F2249" s="3"/>
      <c r="G2249" s="3"/>
    </row>
    <row r="2250" ht="17.6" spans="4:7">
      <c r="D2250" s="175">
        <v>42921</v>
      </c>
      <c r="E2250" s="176">
        <v>9637.6</v>
      </c>
      <c r="F2250" s="3"/>
      <c r="G2250" s="3"/>
    </row>
    <row r="2251" ht="17.6" spans="4:7">
      <c r="D2251" s="175">
        <v>42920</v>
      </c>
      <c r="E2251" s="176">
        <v>9613.3</v>
      </c>
      <c r="F2251" s="3"/>
      <c r="G2251" s="3"/>
    </row>
    <row r="2252" ht="17.6" spans="4:7">
      <c r="D2252" s="175">
        <v>42919</v>
      </c>
      <c r="E2252" s="176">
        <v>9615</v>
      </c>
      <c r="F2252" s="3"/>
      <c r="G2252" s="3"/>
    </row>
    <row r="2253" ht="17.6" spans="4:7">
      <c r="D2253" s="175">
        <v>42916</v>
      </c>
      <c r="E2253" s="176">
        <v>9520.9</v>
      </c>
      <c r="F2253" s="3"/>
      <c r="G2253" s="3"/>
    </row>
    <row r="2254" ht="17.6" spans="4:7">
      <c r="D2254" s="175">
        <v>42915</v>
      </c>
      <c r="E2254" s="176">
        <v>9504.1</v>
      </c>
      <c r="F2254" s="3"/>
      <c r="G2254" s="3"/>
    </row>
    <row r="2255" ht="17.6" spans="4:7">
      <c r="D2255" s="175">
        <v>42914</v>
      </c>
      <c r="E2255" s="176">
        <v>9491.25</v>
      </c>
      <c r="F2255" s="3"/>
      <c r="G2255" s="3"/>
    </row>
    <row r="2256" ht="17.6" spans="4:7">
      <c r="D2256" s="175">
        <v>42913</v>
      </c>
      <c r="E2256" s="176">
        <v>9511.4</v>
      </c>
      <c r="F2256" s="3"/>
      <c r="G2256" s="3"/>
    </row>
    <row r="2257" ht="17.6" spans="4:7">
      <c r="D2257" s="175">
        <v>42909</v>
      </c>
      <c r="E2257" s="176">
        <v>9574.95</v>
      </c>
      <c r="F2257" s="3"/>
      <c r="G2257" s="3"/>
    </row>
    <row r="2258" ht="17.6" spans="4:7">
      <c r="D2258" s="175">
        <v>42908</v>
      </c>
      <c r="E2258" s="176">
        <v>9630</v>
      </c>
      <c r="F2258" s="3"/>
      <c r="G2258" s="3"/>
    </row>
    <row r="2259" ht="17.6" spans="4:7">
      <c r="D2259" s="175">
        <v>42907</v>
      </c>
      <c r="E2259" s="176">
        <v>9633.6</v>
      </c>
      <c r="F2259" s="3"/>
      <c r="G2259" s="3"/>
    </row>
    <row r="2260" ht="17.6" spans="4:7">
      <c r="D2260" s="175">
        <v>42906</v>
      </c>
      <c r="E2260" s="176">
        <v>9653.5</v>
      </c>
      <c r="F2260" s="3"/>
      <c r="G2260" s="3"/>
    </row>
    <row r="2261" ht="17.6" spans="4:7">
      <c r="D2261" s="175">
        <v>42905</v>
      </c>
      <c r="E2261" s="176">
        <v>9657.55</v>
      </c>
      <c r="F2261" s="3"/>
      <c r="G2261" s="3"/>
    </row>
    <row r="2262" ht="17.6" spans="4:7">
      <c r="D2262" s="175">
        <v>42902</v>
      </c>
      <c r="E2262" s="176">
        <v>9588.05</v>
      </c>
      <c r="F2262" s="3"/>
      <c r="G2262" s="3"/>
    </row>
    <row r="2263" ht="17.6" spans="4:7">
      <c r="D2263" s="175">
        <v>42901</v>
      </c>
      <c r="E2263" s="176">
        <v>9578.05</v>
      </c>
      <c r="F2263" s="3"/>
      <c r="G2263" s="3"/>
    </row>
    <row r="2264" ht="17.6" spans="4:7">
      <c r="D2264" s="175">
        <v>42900</v>
      </c>
      <c r="E2264" s="176">
        <v>9618.15</v>
      </c>
      <c r="F2264" s="3"/>
      <c r="G2264" s="3"/>
    </row>
    <row r="2265" ht="17.6" spans="4:7">
      <c r="D2265" s="175">
        <v>42899</v>
      </c>
      <c r="E2265" s="176">
        <v>9606.9</v>
      </c>
      <c r="F2265" s="3"/>
      <c r="G2265" s="3"/>
    </row>
    <row r="2266" ht="17.6" spans="4:7">
      <c r="D2266" s="175">
        <v>42898</v>
      </c>
      <c r="E2266" s="176">
        <v>9616.4</v>
      </c>
      <c r="F2266" s="3"/>
      <c r="G2266" s="3"/>
    </row>
    <row r="2267" ht="17.6" spans="4:7">
      <c r="D2267" s="175">
        <v>42895</v>
      </c>
      <c r="E2267" s="176">
        <v>9668.25</v>
      </c>
      <c r="F2267" s="3"/>
      <c r="G2267" s="3"/>
    </row>
    <row r="2268" ht="17.6" spans="4:7">
      <c r="D2268" s="175">
        <v>42894</v>
      </c>
      <c r="E2268" s="176">
        <v>9647.25</v>
      </c>
      <c r="F2268" s="3"/>
      <c r="G2268" s="3"/>
    </row>
    <row r="2269" ht="17.6" spans="4:7">
      <c r="D2269" s="175">
        <v>42893</v>
      </c>
      <c r="E2269" s="176">
        <v>9663.9</v>
      </c>
      <c r="F2269" s="3"/>
      <c r="G2269" s="3"/>
    </row>
    <row r="2270" ht="17.6" spans="4:7">
      <c r="D2270" s="175">
        <v>42892</v>
      </c>
      <c r="E2270" s="176">
        <v>9637.15</v>
      </c>
      <c r="F2270" s="3"/>
      <c r="G2270" s="3"/>
    </row>
    <row r="2271" ht="17.6" spans="4:7">
      <c r="D2271" s="175">
        <v>42891</v>
      </c>
      <c r="E2271" s="176">
        <v>9675.1</v>
      </c>
      <c r="F2271" s="3"/>
      <c r="G2271" s="3"/>
    </row>
    <row r="2272" ht="17.6" spans="4:7">
      <c r="D2272" s="175">
        <v>42888</v>
      </c>
      <c r="E2272" s="176">
        <v>9653.5</v>
      </c>
      <c r="F2272" s="3"/>
      <c r="G2272" s="3"/>
    </row>
    <row r="2273" ht="17.6" spans="4:7">
      <c r="D2273" s="175">
        <v>42887</v>
      </c>
      <c r="E2273" s="176">
        <v>9616.1</v>
      </c>
      <c r="F2273" s="3"/>
      <c r="G2273" s="3"/>
    </row>
    <row r="2274" ht="17.6" spans="4:7">
      <c r="D2274" s="175">
        <v>42886</v>
      </c>
      <c r="E2274" s="176">
        <v>9621.25</v>
      </c>
      <c r="F2274" s="3"/>
      <c r="G2274" s="3"/>
    </row>
    <row r="2275" ht="17.6" spans="4:7">
      <c r="D2275" s="175">
        <v>42885</v>
      </c>
      <c r="E2275" s="176">
        <v>9624.55</v>
      </c>
      <c r="F2275" s="3"/>
      <c r="G2275" s="3"/>
    </row>
    <row r="2276" ht="17.6" spans="4:7">
      <c r="D2276" s="175">
        <v>42884</v>
      </c>
      <c r="E2276" s="176">
        <v>9604.9</v>
      </c>
      <c r="F2276" s="3"/>
      <c r="G2276" s="3"/>
    </row>
    <row r="2277" ht="17.6" spans="4:7">
      <c r="D2277" s="175">
        <v>42881</v>
      </c>
      <c r="E2277" s="176">
        <v>9595.1</v>
      </c>
      <c r="F2277" s="3"/>
      <c r="G2277" s="3"/>
    </row>
    <row r="2278" ht="17.6" spans="4:7">
      <c r="D2278" s="175">
        <v>42880</v>
      </c>
      <c r="E2278" s="176">
        <v>9509.75</v>
      </c>
      <c r="F2278" s="3"/>
      <c r="G2278" s="3"/>
    </row>
    <row r="2279" ht="17.6" spans="4:7">
      <c r="D2279" s="175">
        <v>42879</v>
      </c>
      <c r="E2279" s="176">
        <v>9360.55</v>
      </c>
      <c r="F2279" s="3"/>
      <c r="G2279" s="3"/>
    </row>
    <row r="2280" ht="17.6" spans="4:7">
      <c r="D2280" s="175">
        <v>42878</v>
      </c>
      <c r="E2280" s="176">
        <v>9386.15</v>
      </c>
      <c r="F2280" s="3"/>
      <c r="G2280" s="3"/>
    </row>
    <row r="2281" ht="17.6" spans="4:7">
      <c r="D2281" s="175">
        <v>42877</v>
      </c>
      <c r="E2281" s="176">
        <v>9438.25</v>
      </c>
      <c r="F2281" s="3"/>
      <c r="G2281" s="3"/>
    </row>
    <row r="2282" ht="17.6" spans="4:7">
      <c r="D2282" s="175">
        <v>42874</v>
      </c>
      <c r="E2282" s="176">
        <v>9427.9</v>
      </c>
      <c r="F2282" s="3"/>
      <c r="G2282" s="3"/>
    </row>
    <row r="2283" ht="17.6" spans="4:7">
      <c r="D2283" s="175">
        <v>42873</v>
      </c>
      <c r="E2283" s="176">
        <v>9429.45</v>
      </c>
      <c r="F2283" s="3"/>
      <c r="G2283" s="3"/>
    </row>
    <row r="2284" ht="17.6" spans="4:7">
      <c r="D2284" s="175">
        <v>42872</v>
      </c>
      <c r="E2284" s="176">
        <v>9525.75</v>
      </c>
      <c r="F2284" s="3"/>
      <c r="G2284" s="3"/>
    </row>
    <row r="2285" ht="17.6" spans="4:7">
      <c r="D2285" s="175">
        <v>42871</v>
      </c>
      <c r="E2285" s="176">
        <v>9512.25</v>
      </c>
      <c r="F2285" s="3"/>
      <c r="G2285" s="3"/>
    </row>
    <row r="2286" ht="17.6" spans="4:7">
      <c r="D2286" s="175">
        <v>42870</v>
      </c>
      <c r="E2286" s="176">
        <v>9445.4</v>
      </c>
      <c r="F2286" s="3"/>
      <c r="G2286" s="3"/>
    </row>
    <row r="2287" ht="17.6" spans="4:7">
      <c r="D2287" s="175">
        <v>42867</v>
      </c>
      <c r="E2287" s="176">
        <v>9400.9</v>
      </c>
      <c r="F2287" s="3"/>
      <c r="G2287" s="3"/>
    </row>
    <row r="2288" ht="17.6" spans="4:7">
      <c r="D2288" s="175">
        <v>42866</v>
      </c>
      <c r="E2288" s="176">
        <v>9422.4</v>
      </c>
      <c r="F2288" s="3"/>
      <c r="G2288" s="3"/>
    </row>
    <row r="2289" ht="17.6" spans="4:7">
      <c r="D2289" s="175">
        <v>42865</v>
      </c>
      <c r="E2289" s="176">
        <v>9407.3</v>
      </c>
      <c r="F2289" s="3"/>
      <c r="G2289" s="3"/>
    </row>
    <row r="2290" ht="17.6" spans="4:7">
      <c r="D2290" s="175">
        <v>42864</v>
      </c>
      <c r="E2290" s="176">
        <v>9316.85</v>
      </c>
      <c r="F2290" s="3"/>
      <c r="G2290" s="3"/>
    </row>
    <row r="2291" ht="17.6" spans="4:7">
      <c r="D2291" s="175">
        <v>42863</v>
      </c>
      <c r="E2291" s="176">
        <v>9314.05</v>
      </c>
      <c r="F2291" s="3"/>
      <c r="G2291" s="3"/>
    </row>
    <row r="2292" ht="17.6" spans="4:7">
      <c r="D2292" s="175">
        <v>42860</v>
      </c>
      <c r="E2292" s="176">
        <v>9285.3</v>
      </c>
      <c r="F2292" s="3"/>
      <c r="G2292" s="3"/>
    </row>
    <row r="2293" ht="17.6" spans="4:7">
      <c r="D2293" s="175">
        <v>42859</v>
      </c>
      <c r="E2293" s="176">
        <v>9359.9</v>
      </c>
      <c r="F2293" s="3"/>
      <c r="G2293" s="3"/>
    </row>
    <row r="2294" ht="17.6" spans="4:7">
      <c r="D2294" s="175">
        <v>42858</v>
      </c>
      <c r="E2294" s="176">
        <v>9311.95</v>
      </c>
      <c r="F2294" s="3"/>
      <c r="G2294" s="3"/>
    </row>
    <row r="2295" ht="17.6" spans="4:7">
      <c r="D2295" s="175">
        <v>42857</v>
      </c>
      <c r="E2295" s="176">
        <v>9313.8</v>
      </c>
      <c r="F2295" s="3"/>
      <c r="G2295" s="3"/>
    </row>
    <row r="2296" ht="17.6" spans="4:7">
      <c r="D2296" s="175">
        <v>42853</v>
      </c>
      <c r="E2296" s="176">
        <v>9304.05</v>
      </c>
      <c r="F2296" s="3"/>
      <c r="G2296" s="3"/>
    </row>
    <row r="2297" ht="17.6" spans="4:7">
      <c r="D2297" s="175">
        <v>42852</v>
      </c>
      <c r="E2297" s="176">
        <v>9342.15</v>
      </c>
      <c r="F2297" s="3"/>
      <c r="G2297" s="3"/>
    </row>
    <row r="2298" ht="17.6" spans="4:7">
      <c r="D2298" s="175">
        <v>42851</v>
      </c>
      <c r="E2298" s="176">
        <v>9351.85</v>
      </c>
      <c r="F2298" s="3"/>
      <c r="G2298" s="3"/>
    </row>
    <row r="2299" ht="17.6" spans="4:7">
      <c r="D2299" s="175">
        <v>42850</v>
      </c>
      <c r="E2299" s="176">
        <v>9306.6</v>
      </c>
      <c r="F2299" s="3"/>
      <c r="G2299" s="3"/>
    </row>
    <row r="2300" ht="17.6" spans="4:7">
      <c r="D2300" s="175">
        <v>42849</v>
      </c>
      <c r="E2300" s="176">
        <v>9217.95</v>
      </c>
      <c r="F2300" s="3"/>
      <c r="G2300" s="3"/>
    </row>
    <row r="2301" ht="17.6" spans="4:7">
      <c r="D2301" s="175">
        <v>42846</v>
      </c>
      <c r="E2301" s="176">
        <v>9119.4</v>
      </c>
      <c r="F2301" s="3"/>
      <c r="G2301" s="3"/>
    </row>
    <row r="2302" ht="17.6" spans="4:7">
      <c r="D2302" s="175">
        <v>42845</v>
      </c>
      <c r="E2302" s="176">
        <v>9136.4</v>
      </c>
      <c r="F2302" s="3"/>
      <c r="G2302" s="3"/>
    </row>
    <row r="2303" ht="17.6" spans="4:7">
      <c r="D2303" s="175">
        <v>42844</v>
      </c>
      <c r="E2303" s="176">
        <v>9103.5</v>
      </c>
      <c r="F2303" s="3"/>
      <c r="G2303" s="3"/>
    </row>
    <row r="2304" ht="17.6" spans="4:7">
      <c r="D2304" s="175">
        <v>42843</v>
      </c>
      <c r="E2304" s="176">
        <v>9105.15</v>
      </c>
      <c r="F2304" s="3"/>
      <c r="G2304" s="3"/>
    </row>
    <row r="2305" ht="17.6" spans="4:7">
      <c r="D2305" s="175">
        <v>42842</v>
      </c>
      <c r="E2305" s="176">
        <v>9139.3</v>
      </c>
      <c r="F2305" s="3"/>
      <c r="G2305" s="3"/>
    </row>
    <row r="2306" ht="17.6" spans="4:7">
      <c r="D2306" s="175">
        <v>42838</v>
      </c>
      <c r="E2306" s="176">
        <v>9150.8</v>
      </c>
      <c r="F2306" s="3"/>
      <c r="G2306" s="3"/>
    </row>
    <row r="2307" ht="17.6" spans="4:7">
      <c r="D2307" s="175">
        <v>42837</v>
      </c>
      <c r="E2307" s="176">
        <v>9203.45</v>
      </c>
      <c r="F2307" s="3"/>
      <c r="G2307" s="3"/>
    </row>
    <row r="2308" ht="17.6" spans="4:7">
      <c r="D2308" s="175">
        <v>42836</v>
      </c>
      <c r="E2308" s="176">
        <v>9237</v>
      </c>
      <c r="F2308" s="3"/>
      <c r="G2308" s="3"/>
    </row>
    <row r="2309" ht="17.6" spans="4:7">
      <c r="D2309" s="175">
        <v>42835</v>
      </c>
      <c r="E2309" s="176">
        <v>9181.45</v>
      </c>
      <c r="F2309" s="3"/>
      <c r="G2309" s="3"/>
    </row>
    <row r="2310" ht="17.6" spans="4:7">
      <c r="D2310" s="175">
        <v>42832</v>
      </c>
      <c r="E2310" s="176">
        <v>9198.3</v>
      </c>
      <c r="F2310" s="3"/>
      <c r="G2310" s="3"/>
    </row>
    <row r="2311" ht="17.6" spans="4:7">
      <c r="D2311" s="175">
        <v>42831</v>
      </c>
      <c r="E2311" s="176">
        <v>9261.95</v>
      </c>
      <c r="F2311" s="3"/>
      <c r="G2311" s="3"/>
    </row>
    <row r="2312" ht="17.6" spans="4:7">
      <c r="D2312" s="175">
        <v>42830</v>
      </c>
      <c r="E2312" s="176">
        <v>9265.15</v>
      </c>
      <c r="F2312" s="3"/>
      <c r="G2312" s="3"/>
    </row>
    <row r="2313" ht="17.6" spans="4:7">
      <c r="D2313" s="175">
        <v>42828</v>
      </c>
      <c r="E2313" s="176">
        <v>9237.85</v>
      </c>
      <c r="F2313" s="3"/>
      <c r="G2313" s="3"/>
    </row>
    <row r="2314" ht="17.6" spans="4:7">
      <c r="D2314" s="175">
        <v>42825</v>
      </c>
      <c r="E2314" s="176">
        <v>9173.75</v>
      </c>
      <c r="F2314" s="3"/>
      <c r="G2314" s="3"/>
    </row>
    <row r="2315" ht="17.6" spans="4:7">
      <c r="D2315" s="175">
        <v>42824</v>
      </c>
      <c r="E2315" s="176">
        <v>9173.75</v>
      </c>
      <c r="F2315" s="3"/>
      <c r="G2315" s="3"/>
    </row>
    <row r="2316" ht="17.6" spans="4:7">
      <c r="D2316" s="175">
        <v>42823</v>
      </c>
      <c r="E2316" s="176">
        <v>9143.8</v>
      </c>
      <c r="F2316" s="3"/>
      <c r="G2316" s="3"/>
    </row>
    <row r="2317" ht="17.6" spans="4:7">
      <c r="D2317" s="175">
        <v>42822</v>
      </c>
      <c r="E2317" s="176">
        <v>9100.8</v>
      </c>
      <c r="F2317" s="3"/>
      <c r="G2317" s="3"/>
    </row>
    <row r="2318" ht="17.6" spans="4:7">
      <c r="D2318" s="175">
        <v>42821</v>
      </c>
      <c r="E2318" s="176">
        <v>9045.2</v>
      </c>
      <c r="F2318" s="3"/>
      <c r="G2318" s="3"/>
    </row>
    <row r="2319" ht="17.6" spans="4:7">
      <c r="D2319" s="175">
        <v>42818</v>
      </c>
      <c r="E2319" s="176">
        <v>9108</v>
      </c>
      <c r="F2319" s="3"/>
      <c r="G2319" s="3"/>
    </row>
    <row r="2320" ht="17.6" spans="4:7">
      <c r="D2320" s="175">
        <v>42817</v>
      </c>
      <c r="E2320" s="176">
        <v>9086.3</v>
      </c>
      <c r="F2320" s="3"/>
      <c r="G2320" s="3"/>
    </row>
    <row r="2321" ht="17.6" spans="4:7">
      <c r="D2321" s="175">
        <v>42816</v>
      </c>
      <c r="E2321" s="176">
        <v>9030.45</v>
      </c>
      <c r="F2321" s="3"/>
      <c r="G2321" s="3"/>
    </row>
    <row r="2322" ht="17.6" spans="4:7">
      <c r="D2322" s="175">
        <v>42815</v>
      </c>
      <c r="E2322" s="176">
        <v>9121.5</v>
      </c>
      <c r="F2322" s="3"/>
      <c r="G2322" s="3"/>
    </row>
    <row r="2323" ht="17.6" spans="4:7">
      <c r="D2323" s="175">
        <v>42814</v>
      </c>
      <c r="E2323" s="176">
        <v>9126.85</v>
      </c>
      <c r="F2323" s="3"/>
      <c r="G2323" s="3"/>
    </row>
    <row r="2324" ht="17.6" spans="4:7">
      <c r="D2324" s="175">
        <v>42811</v>
      </c>
      <c r="E2324" s="176">
        <v>9160.05</v>
      </c>
      <c r="F2324" s="3"/>
      <c r="G2324" s="3"/>
    </row>
    <row r="2325" ht="17.6" spans="4:7">
      <c r="D2325" s="175">
        <v>42810</v>
      </c>
      <c r="E2325" s="176">
        <v>9153.7</v>
      </c>
      <c r="F2325" s="3"/>
      <c r="G2325" s="3"/>
    </row>
    <row r="2326" ht="17.6" spans="4:7">
      <c r="D2326" s="175">
        <v>42809</v>
      </c>
      <c r="E2326" s="176">
        <v>9084.8</v>
      </c>
      <c r="F2326" s="3"/>
      <c r="G2326" s="3"/>
    </row>
    <row r="2327" ht="17.6" spans="4:7">
      <c r="D2327" s="175">
        <v>42808</v>
      </c>
      <c r="E2327" s="176">
        <v>9087</v>
      </c>
      <c r="F2327" s="3"/>
      <c r="G2327" s="3"/>
    </row>
    <row r="2328" ht="17.6" spans="4:7">
      <c r="D2328" s="175">
        <v>42804</v>
      </c>
      <c r="E2328" s="176">
        <v>8934.55</v>
      </c>
      <c r="F2328" s="3"/>
      <c r="G2328" s="3"/>
    </row>
    <row r="2329" ht="17.6" spans="4:7">
      <c r="D2329" s="175">
        <v>42803</v>
      </c>
      <c r="E2329" s="176">
        <v>8927</v>
      </c>
      <c r="F2329" s="3"/>
      <c r="G2329" s="3"/>
    </row>
    <row r="2330" ht="17.6" spans="4:7">
      <c r="D2330" s="175">
        <v>42802</v>
      </c>
      <c r="E2330" s="176">
        <v>8924.3</v>
      </c>
      <c r="F2330" s="3"/>
      <c r="G2330" s="3"/>
    </row>
    <row r="2331" ht="17.6" spans="4:7">
      <c r="D2331" s="175">
        <v>42801</v>
      </c>
      <c r="E2331" s="176">
        <v>8946.9</v>
      </c>
      <c r="F2331" s="3"/>
      <c r="G2331" s="3"/>
    </row>
    <row r="2332" ht="17.6" spans="4:7">
      <c r="D2332" s="175">
        <v>42800</v>
      </c>
      <c r="E2332" s="176">
        <v>8963.45</v>
      </c>
      <c r="F2332" s="3"/>
      <c r="G2332" s="3"/>
    </row>
    <row r="2333" ht="17.6" spans="4:7">
      <c r="D2333" s="175">
        <v>42797</v>
      </c>
      <c r="E2333" s="176">
        <v>8897.55</v>
      </c>
      <c r="F2333" s="3"/>
      <c r="G2333" s="3"/>
    </row>
    <row r="2334" ht="17.6" spans="4:7">
      <c r="D2334" s="175">
        <v>42796</v>
      </c>
      <c r="E2334" s="176">
        <v>8899.75</v>
      </c>
      <c r="F2334" s="3"/>
      <c r="G2334" s="3"/>
    </row>
    <row r="2335" ht="17.6" spans="4:7">
      <c r="D2335" s="175">
        <v>42795</v>
      </c>
      <c r="E2335" s="176">
        <v>8945.8</v>
      </c>
      <c r="F2335" s="3"/>
      <c r="G2335" s="3"/>
    </row>
    <row r="2336" ht="17.6" spans="4:7">
      <c r="D2336" s="175">
        <v>42794</v>
      </c>
      <c r="E2336" s="176">
        <v>8879.6</v>
      </c>
      <c r="F2336" s="3"/>
      <c r="G2336" s="3"/>
    </row>
    <row r="2337" ht="17.6" spans="4:7">
      <c r="D2337" s="175">
        <v>42793</v>
      </c>
      <c r="E2337" s="176">
        <v>8896.7</v>
      </c>
      <c r="F2337" s="3"/>
      <c r="G2337" s="3"/>
    </row>
    <row r="2338" ht="17.6" spans="4:7">
      <c r="D2338" s="175">
        <v>42789</v>
      </c>
      <c r="E2338" s="176">
        <v>8939.5</v>
      </c>
      <c r="F2338" s="3"/>
      <c r="G2338" s="3"/>
    </row>
    <row r="2339" ht="17.6" spans="4:7">
      <c r="D2339" s="175">
        <v>42788</v>
      </c>
      <c r="E2339" s="176">
        <v>8926.9</v>
      </c>
      <c r="F2339" s="3"/>
      <c r="G2339" s="3"/>
    </row>
    <row r="2340" ht="17.6" spans="4:7">
      <c r="D2340" s="175">
        <v>42787</v>
      </c>
      <c r="E2340" s="176">
        <v>8907.85</v>
      </c>
      <c r="F2340" s="3"/>
      <c r="G2340" s="3"/>
    </row>
    <row r="2341" ht="17.6" spans="4:7">
      <c r="D2341" s="175">
        <v>42786</v>
      </c>
      <c r="E2341" s="176">
        <v>8879.2</v>
      </c>
      <c r="F2341" s="3"/>
      <c r="G2341" s="3"/>
    </row>
    <row r="2342" ht="17.6" spans="4:7">
      <c r="D2342" s="175">
        <v>42783</v>
      </c>
      <c r="E2342" s="176">
        <v>8821.7</v>
      </c>
      <c r="F2342" s="3"/>
      <c r="G2342" s="3"/>
    </row>
    <row r="2343" ht="17.6" spans="4:7">
      <c r="D2343" s="175">
        <v>42782</v>
      </c>
      <c r="E2343" s="176">
        <v>8778</v>
      </c>
      <c r="F2343" s="3"/>
      <c r="G2343" s="3"/>
    </row>
    <row r="2344" ht="17.6" spans="4:7">
      <c r="D2344" s="175">
        <v>42781</v>
      </c>
      <c r="E2344" s="176">
        <v>8724.7</v>
      </c>
      <c r="F2344" s="3"/>
      <c r="G2344" s="3"/>
    </row>
    <row r="2345" ht="17.6" spans="4:7">
      <c r="D2345" s="175">
        <v>42780</v>
      </c>
      <c r="E2345" s="176">
        <v>8792.3</v>
      </c>
      <c r="F2345" s="3"/>
      <c r="G2345" s="3"/>
    </row>
    <row r="2346" ht="17.6" spans="4:7">
      <c r="D2346" s="175">
        <v>42779</v>
      </c>
      <c r="E2346" s="176">
        <v>8805.05</v>
      </c>
      <c r="F2346" s="3"/>
      <c r="G2346" s="3"/>
    </row>
    <row r="2347" ht="17.6" spans="4:7">
      <c r="D2347" s="175">
        <v>42776</v>
      </c>
      <c r="E2347" s="176">
        <v>8793.55</v>
      </c>
      <c r="F2347" s="3"/>
      <c r="G2347" s="3"/>
    </row>
    <row r="2348" ht="17.6" spans="4:7">
      <c r="D2348" s="175">
        <v>42775</v>
      </c>
      <c r="E2348" s="176">
        <v>8778.4</v>
      </c>
      <c r="F2348" s="3"/>
      <c r="G2348" s="3"/>
    </row>
    <row r="2349" ht="17.6" spans="4:7">
      <c r="D2349" s="175">
        <v>42774</v>
      </c>
      <c r="E2349" s="176">
        <v>8769.05</v>
      </c>
      <c r="F2349" s="3"/>
      <c r="G2349" s="3"/>
    </row>
    <row r="2350" ht="17.6" spans="4:7">
      <c r="D2350" s="175">
        <v>42773</v>
      </c>
      <c r="E2350" s="176">
        <v>8768.3</v>
      </c>
      <c r="F2350" s="3"/>
      <c r="G2350" s="3"/>
    </row>
    <row r="2351" ht="17.6" spans="4:7">
      <c r="D2351" s="175">
        <v>42772</v>
      </c>
      <c r="E2351" s="176">
        <v>8801.05</v>
      </c>
      <c r="F2351" s="3"/>
      <c r="G2351" s="3"/>
    </row>
    <row r="2352" ht="17.6" spans="4:7">
      <c r="D2352" s="175">
        <v>42769</v>
      </c>
      <c r="E2352" s="176">
        <v>8740.95</v>
      </c>
      <c r="F2352" s="3"/>
      <c r="G2352" s="3"/>
    </row>
    <row r="2353" ht="17.6" spans="4:7">
      <c r="D2353" s="175">
        <v>42768</v>
      </c>
      <c r="E2353" s="176">
        <v>8734.25</v>
      </c>
      <c r="F2353" s="3"/>
      <c r="G2353" s="3"/>
    </row>
    <row r="2354" ht="17.6" spans="4:7">
      <c r="D2354" s="175">
        <v>42767</v>
      </c>
      <c r="E2354" s="176">
        <v>8716.4</v>
      </c>
      <c r="F2354" s="3"/>
      <c r="G2354" s="3"/>
    </row>
    <row r="2355" ht="17.6" spans="4:7">
      <c r="D2355" s="175">
        <v>42766</v>
      </c>
      <c r="E2355" s="176">
        <v>8561.3</v>
      </c>
      <c r="F2355" s="3"/>
      <c r="G2355" s="3"/>
    </row>
    <row r="2356" ht="17.6" spans="4:7">
      <c r="D2356" s="175">
        <v>42765</v>
      </c>
      <c r="E2356" s="176">
        <v>8632.75</v>
      </c>
      <c r="F2356" s="3"/>
      <c r="G2356" s="3"/>
    </row>
    <row r="2357" ht="17.6" spans="4:7">
      <c r="D2357" s="175">
        <v>42762</v>
      </c>
      <c r="E2357" s="176">
        <v>8641.25</v>
      </c>
      <c r="F2357" s="3"/>
      <c r="G2357" s="3"/>
    </row>
    <row r="2358" ht="17.6" spans="4:7">
      <c r="D2358" s="175">
        <v>42760</v>
      </c>
      <c r="E2358" s="176">
        <v>8602.75</v>
      </c>
      <c r="F2358" s="3"/>
      <c r="G2358" s="3"/>
    </row>
    <row r="2359" ht="17.6" spans="4:7">
      <c r="D2359" s="175">
        <v>42759</v>
      </c>
      <c r="E2359" s="176">
        <v>8475.8</v>
      </c>
      <c r="F2359" s="3"/>
      <c r="G2359" s="3"/>
    </row>
    <row r="2360" ht="17.6" spans="4:7">
      <c r="D2360" s="175">
        <v>42758</v>
      </c>
      <c r="E2360" s="176">
        <v>8391.5</v>
      </c>
      <c r="F2360" s="3"/>
      <c r="G2360" s="3"/>
    </row>
    <row r="2361" ht="17.6" spans="4:7">
      <c r="D2361" s="175">
        <v>42755</v>
      </c>
      <c r="E2361" s="176">
        <v>8349.35</v>
      </c>
      <c r="F2361" s="3"/>
      <c r="G2361" s="3"/>
    </row>
    <row r="2362" ht="17.6" spans="4:7">
      <c r="D2362" s="175">
        <v>42754</v>
      </c>
      <c r="E2362" s="176">
        <v>8435.1</v>
      </c>
      <c r="F2362" s="3"/>
      <c r="G2362" s="3"/>
    </row>
    <row r="2363" ht="17.6" spans="4:7">
      <c r="D2363" s="175">
        <v>42753</v>
      </c>
      <c r="E2363" s="176">
        <v>8417</v>
      </c>
      <c r="F2363" s="3"/>
      <c r="G2363" s="3"/>
    </row>
    <row r="2364" ht="17.6" spans="4:7">
      <c r="D2364" s="175">
        <v>42752</v>
      </c>
      <c r="E2364" s="176">
        <v>8398</v>
      </c>
      <c r="F2364" s="3"/>
      <c r="G2364" s="3"/>
    </row>
    <row r="2365" ht="17.6" spans="4:7">
      <c r="D2365" s="175">
        <v>42751</v>
      </c>
      <c r="E2365" s="176">
        <v>8412.8</v>
      </c>
      <c r="F2365" s="3"/>
      <c r="G2365" s="3"/>
    </row>
    <row r="2366" ht="17.6" spans="4:7">
      <c r="D2366" s="175">
        <v>42748</v>
      </c>
      <c r="E2366" s="176">
        <v>8400.35</v>
      </c>
      <c r="F2366" s="3"/>
      <c r="G2366" s="3"/>
    </row>
    <row r="2367" ht="17.6" spans="4:7">
      <c r="D2367" s="175">
        <v>42747</v>
      </c>
      <c r="E2367" s="176">
        <v>8407.2</v>
      </c>
      <c r="F2367" s="3"/>
      <c r="G2367" s="3"/>
    </row>
    <row r="2368" ht="17.6" spans="4:7">
      <c r="D2368" s="175">
        <v>42746</v>
      </c>
      <c r="E2368" s="176">
        <v>8380.65</v>
      </c>
      <c r="F2368" s="3"/>
      <c r="G2368" s="3"/>
    </row>
    <row r="2369" ht="17.6" spans="4:7">
      <c r="D2369" s="175">
        <v>42745</v>
      </c>
      <c r="E2369" s="176">
        <v>8288.6</v>
      </c>
      <c r="F2369" s="3"/>
      <c r="G2369" s="3"/>
    </row>
    <row r="2370" ht="17.6" spans="4:7">
      <c r="D2370" s="175">
        <v>42744</v>
      </c>
      <c r="E2370" s="176">
        <v>8236.05</v>
      </c>
      <c r="F2370" s="3"/>
      <c r="G2370" s="3"/>
    </row>
    <row r="2371" ht="17.6" spans="4:7">
      <c r="D2371" s="175">
        <v>42741</v>
      </c>
      <c r="E2371" s="176">
        <v>8243.8</v>
      </c>
      <c r="F2371" s="3"/>
      <c r="G2371" s="3"/>
    </row>
    <row r="2372" ht="17.6" spans="4:7">
      <c r="D2372" s="175">
        <v>42740</v>
      </c>
      <c r="E2372" s="176">
        <v>8273.8</v>
      </c>
      <c r="F2372" s="3"/>
      <c r="G2372" s="3"/>
    </row>
    <row r="2373" ht="17.6" spans="4:7">
      <c r="D2373" s="175">
        <v>42739</v>
      </c>
      <c r="E2373" s="176">
        <v>8190.5</v>
      </c>
      <c r="F2373" s="3"/>
      <c r="G2373" s="3"/>
    </row>
    <row r="2374" ht="17.6" spans="4:7">
      <c r="D2374" s="175">
        <v>42738</v>
      </c>
      <c r="E2374" s="176">
        <v>8192.25</v>
      </c>
      <c r="F2374" s="3"/>
      <c r="G2374" s="3"/>
    </row>
    <row r="2375" ht="17.6" spans="4:7">
      <c r="D2375" s="175">
        <v>42737</v>
      </c>
      <c r="E2375" s="176">
        <v>8179.5</v>
      </c>
      <c r="F2375" s="3"/>
      <c r="G2375" s="3"/>
    </row>
    <row r="2376" ht="17.6" spans="4:7">
      <c r="D2376" s="175">
        <v>42734</v>
      </c>
      <c r="E2376" s="176">
        <v>8185.8</v>
      </c>
      <c r="F2376" s="3"/>
      <c r="G2376" s="3"/>
    </row>
    <row r="2377" ht="17.6" spans="4:7">
      <c r="D2377" s="175">
        <v>42733</v>
      </c>
      <c r="E2377" s="176">
        <v>8103.6</v>
      </c>
      <c r="F2377" s="3"/>
      <c r="G2377" s="3"/>
    </row>
    <row r="2378" ht="17.6" spans="4:7">
      <c r="D2378" s="175">
        <v>42732</v>
      </c>
      <c r="E2378" s="176">
        <v>8034.85</v>
      </c>
      <c r="F2378" s="3"/>
      <c r="G2378" s="3"/>
    </row>
    <row r="2379" ht="17.6" spans="4:7">
      <c r="D2379" s="175">
        <v>42731</v>
      </c>
      <c r="E2379" s="176">
        <v>8032.85</v>
      </c>
      <c r="F2379" s="3"/>
      <c r="G2379" s="3"/>
    </row>
    <row r="2380" ht="17.6" spans="4:7">
      <c r="D2380" s="175">
        <v>42730</v>
      </c>
      <c r="E2380" s="176">
        <v>7908.25</v>
      </c>
      <c r="F2380" s="3"/>
      <c r="G2380" s="3"/>
    </row>
    <row r="2381" ht="17.6" spans="4:7">
      <c r="D2381" s="175">
        <v>42727</v>
      </c>
      <c r="E2381" s="176">
        <v>7985.75</v>
      </c>
      <c r="F2381" s="3"/>
      <c r="G2381" s="3"/>
    </row>
    <row r="2382" ht="17.6" spans="4:7">
      <c r="D2382" s="175">
        <v>42726</v>
      </c>
      <c r="E2382" s="176">
        <v>7979.1</v>
      </c>
      <c r="F2382" s="3"/>
      <c r="G2382" s="3"/>
    </row>
    <row r="2383" ht="17.6" spans="4:7">
      <c r="D2383" s="175">
        <v>42725</v>
      </c>
      <c r="E2383" s="176">
        <v>8061.3</v>
      </c>
      <c r="F2383" s="3"/>
      <c r="G2383" s="3"/>
    </row>
    <row r="2384" ht="17.6" spans="4:7">
      <c r="D2384" s="175">
        <v>42724</v>
      </c>
      <c r="E2384" s="176">
        <v>8082.4</v>
      </c>
      <c r="F2384" s="3"/>
      <c r="G2384" s="3"/>
    </row>
    <row r="2385" ht="17.6" spans="4:7">
      <c r="D2385" s="175">
        <v>42723</v>
      </c>
      <c r="E2385" s="176">
        <v>8104.35</v>
      </c>
      <c r="F2385" s="3"/>
      <c r="G2385" s="3"/>
    </row>
    <row r="2386" ht="17.6" spans="4:7">
      <c r="D2386" s="175">
        <v>42720</v>
      </c>
      <c r="E2386" s="176">
        <v>8139.45</v>
      </c>
      <c r="F2386" s="3"/>
      <c r="G2386" s="3"/>
    </row>
    <row r="2387" ht="17.6" spans="4:7">
      <c r="D2387" s="175">
        <v>42719</v>
      </c>
      <c r="E2387" s="176">
        <v>8153.6</v>
      </c>
      <c r="F2387" s="3"/>
      <c r="G2387" s="3"/>
    </row>
    <row r="2388" ht="17.6" spans="4:7">
      <c r="D2388" s="175">
        <v>42718</v>
      </c>
      <c r="E2388" s="176">
        <v>8182.45</v>
      </c>
      <c r="F2388" s="3"/>
      <c r="G2388" s="3"/>
    </row>
    <row r="2389" ht="17.6" spans="4:7">
      <c r="D2389" s="175">
        <v>42717</v>
      </c>
      <c r="E2389" s="176">
        <v>8221.8</v>
      </c>
      <c r="F2389" s="3"/>
      <c r="G2389" s="3"/>
    </row>
    <row r="2390" ht="17.6" spans="4:7">
      <c r="D2390" s="175">
        <v>42716</v>
      </c>
      <c r="E2390" s="176">
        <v>8170.8</v>
      </c>
      <c r="F2390" s="3"/>
      <c r="G2390" s="3"/>
    </row>
    <row r="2391" ht="17.6" spans="4:7">
      <c r="D2391" s="175">
        <v>42713</v>
      </c>
      <c r="E2391" s="176">
        <v>8261.75</v>
      </c>
      <c r="F2391" s="3"/>
      <c r="G2391" s="3"/>
    </row>
    <row r="2392" ht="17.6" spans="4:7">
      <c r="D2392" s="175">
        <v>42712</v>
      </c>
      <c r="E2392" s="176">
        <v>8246.85</v>
      </c>
      <c r="F2392" s="3"/>
      <c r="G2392" s="3"/>
    </row>
    <row r="2393" ht="17.6" spans="4:7">
      <c r="D2393" s="175">
        <v>42711</v>
      </c>
      <c r="E2393" s="176">
        <v>8102.05</v>
      </c>
      <c r="F2393" s="3"/>
      <c r="G2393" s="3"/>
    </row>
    <row r="2394" ht="17.6" spans="4:7">
      <c r="D2394" s="175">
        <v>42710</v>
      </c>
      <c r="E2394" s="176">
        <v>8143.15</v>
      </c>
      <c r="F2394" s="3"/>
      <c r="G2394" s="3"/>
    </row>
    <row r="2395" ht="17.6" spans="4:7">
      <c r="D2395" s="175">
        <v>42709</v>
      </c>
      <c r="E2395" s="176">
        <v>8128.75</v>
      </c>
      <c r="F2395" s="3"/>
      <c r="G2395" s="3"/>
    </row>
    <row r="2396" ht="17.6" spans="4:7">
      <c r="D2396" s="175">
        <v>42706</v>
      </c>
      <c r="E2396" s="176">
        <v>8086.8</v>
      </c>
      <c r="F2396" s="3"/>
      <c r="G2396" s="3"/>
    </row>
    <row r="2397" ht="17.6" spans="4:7">
      <c r="D2397" s="175">
        <v>42705</v>
      </c>
      <c r="E2397" s="176">
        <v>8192.9</v>
      </c>
      <c r="F2397" s="3"/>
      <c r="G2397" s="3"/>
    </row>
    <row r="2398" ht="17.6" spans="4:7">
      <c r="D2398" s="175">
        <v>42704</v>
      </c>
      <c r="E2398" s="176">
        <v>8224.5</v>
      </c>
      <c r="F2398" s="3"/>
      <c r="G2398" s="3"/>
    </row>
    <row r="2399" ht="17.6" spans="4:7">
      <c r="D2399" s="175">
        <v>42703</v>
      </c>
      <c r="E2399" s="176">
        <v>8142.15</v>
      </c>
      <c r="F2399" s="3"/>
      <c r="G2399" s="3"/>
    </row>
    <row r="2400" ht="17.6" spans="4:7">
      <c r="D2400" s="175">
        <v>42702</v>
      </c>
      <c r="E2400" s="176">
        <v>8126.9</v>
      </c>
      <c r="F2400" s="3"/>
      <c r="G2400" s="3"/>
    </row>
    <row r="2401" ht="17.6" spans="4:7">
      <c r="D2401" s="175">
        <v>42699</v>
      </c>
      <c r="E2401" s="176">
        <v>8114.3</v>
      </c>
      <c r="F2401" s="3"/>
      <c r="G2401" s="3"/>
    </row>
    <row r="2402" ht="17.6" spans="4:7">
      <c r="D2402" s="175">
        <v>42698</v>
      </c>
      <c r="E2402" s="176">
        <v>7965.5</v>
      </c>
      <c r="F2402" s="3"/>
      <c r="G2402" s="3"/>
    </row>
    <row r="2403" ht="17.6" spans="4:7">
      <c r="D2403" s="175">
        <v>42697</v>
      </c>
      <c r="E2403" s="176">
        <v>8033.3</v>
      </c>
      <c r="F2403" s="3"/>
      <c r="G2403" s="3"/>
    </row>
    <row r="2404" ht="17.6" spans="4:7">
      <c r="D2404" s="175">
        <v>42696</v>
      </c>
      <c r="E2404" s="176">
        <v>8002.3</v>
      </c>
      <c r="F2404" s="3"/>
      <c r="G2404" s="3"/>
    </row>
    <row r="2405" ht="17.6" spans="4:7">
      <c r="D2405" s="175">
        <v>42695</v>
      </c>
      <c r="E2405" s="176">
        <v>7929.1</v>
      </c>
      <c r="F2405" s="3"/>
      <c r="G2405" s="3"/>
    </row>
    <row r="2406" ht="17.6" spans="4:7">
      <c r="D2406" s="175">
        <v>42692</v>
      </c>
      <c r="E2406" s="176">
        <v>8074.1</v>
      </c>
      <c r="F2406" s="3"/>
      <c r="G2406" s="3"/>
    </row>
    <row r="2407" ht="17.6" spans="4:7">
      <c r="D2407" s="175">
        <v>42691</v>
      </c>
      <c r="E2407" s="176">
        <v>8079.95</v>
      </c>
      <c r="F2407" s="3"/>
      <c r="G2407" s="3"/>
    </row>
    <row r="2408" ht="17.6" spans="4:7">
      <c r="D2408" s="175">
        <v>42690</v>
      </c>
      <c r="E2408" s="176">
        <v>8111.6</v>
      </c>
      <c r="F2408" s="3"/>
      <c r="G2408" s="3"/>
    </row>
    <row r="2409" ht="17.6" spans="4:7">
      <c r="D2409" s="175">
        <v>42689</v>
      </c>
      <c r="E2409" s="176">
        <v>8108.45</v>
      </c>
      <c r="F2409" s="3"/>
      <c r="G2409" s="3"/>
    </row>
    <row r="2410" ht="17.6" spans="4:7">
      <c r="D2410" s="175">
        <v>42685</v>
      </c>
      <c r="E2410" s="176">
        <v>8296.3</v>
      </c>
      <c r="F2410" s="3"/>
      <c r="G2410" s="3"/>
    </row>
    <row r="2411" ht="17.6" spans="4:7">
      <c r="D2411" s="175">
        <v>42684</v>
      </c>
      <c r="E2411" s="176">
        <v>8525.75</v>
      </c>
      <c r="F2411" s="3"/>
      <c r="G2411" s="3"/>
    </row>
    <row r="2412" ht="17.6" spans="4:7">
      <c r="D2412" s="175">
        <v>42683</v>
      </c>
      <c r="E2412" s="176">
        <v>8432</v>
      </c>
      <c r="F2412" s="3"/>
      <c r="G2412" s="3"/>
    </row>
    <row r="2413" ht="17.6" spans="4:7">
      <c r="D2413" s="175">
        <v>42682</v>
      </c>
      <c r="E2413" s="176">
        <v>8543.55</v>
      </c>
      <c r="F2413" s="3"/>
      <c r="G2413" s="3"/>
    </row>
    <row r="2414" ht="17.6" spans="4:7">
      <c r="D2414" s="175">
        <v>42681</v>
      </c>
      <c r="E2414" s="176">
        <v>8497.05</v>
      </c>
      <c r="F2414" s="3"/>
      <c r="G2414" s="3"/>
    </row>
    <row r="2415" ht="17.6" spans="4:7">
      <c r="D2415" s="175">
        <v>42678</v>
      </c>
      <c r="E2415" s="176">
        <v>8433.75</v>
      </c>
      <c r="F2415" s="3"/>
      <c r="G2415" s="3"/>
    </row>
    <row r="2416" ht="17.6" spans="4:7">
      <c r="D2416" s="175">
        <v>42677</v>
      </c>
      <c r="E2416" s="176">
        <v>8484.95</v>
      </c>
      <c r="F2416" s="3"/>
      <c r="G2416" s="3"/>
    </row>
    <row r="2417" ht="17.6" spans="4:7">
      <c r="D2417" s="175">
        <v>42676</v>
      </c>
      <c r="E2417" s="176">
        <v>8514</v>
      </c>
      <c r="F2417" s="3"/>
      <c r="G2417" s="3"/>
    </row>
    <row r="2418" ht="17.6" spans="4:7">
      <c r="D2418" s="175">
        <v>42675</v>
      </c>
      <c r="E2418" s="176">
        <v>8626.25</v>
      </c>
      <c r="F2418" s="3"/>
      <c r="G2418" s="3"/>
    </row>
    <row r="2419" ht="17.6" spans="4:7">
      <c r="D2419" s="175">
        <v>42673</v>
      </c>
      <c r="E2419" s="176">
        <v>8625.7</v>
      </c>
      <c r="F2419" s="3"/>
      <c r="G2419" s="3"/>
    </row>
    <row r="2420" ht="17.6" spans="4:7">
      <c r="D2420" s="175">
        <v>42671</v>
      </c>
      <c r="E2420" s="176">
        <v>8638</v>
      </c>
      <c r="F2420" s="3"/>
      <c r="G2420" s="3"/>
    </row>
    <row r="2421" ht="17.6" spans="4:7">
      <c r="D2421" s="175">
        <v>42670</v>
      </c>
      <c r="E2421" s="176">
        <v>8615.25</v>
      </c>
      <c r="F2421" s="3"/>
      <c r="G2421" s="3"/>
    </row>
    <row r="2422" ht="17.6" spans="4:7">
      <c r="D2422" s="175">
        <v>42669</v>
      </c>
      <c r="E2422" s="176">
        <v>8615.25</v>
      </c>
      <c r="F2422" s="3"/>
      <c r="G2422" s="3"/>
    </row>
    <row r="2423" ht="17.6" spans="4:7">
      <c r="D2423" s="175">
        <v>42668</v>
      </c>
      <c r="E2423" s="176">
        <v>8691.3</v>
      </c>
      <c r="F2423" s="3"/>
      <c r="G2423" s="3"/>
    </row>
    <row r="2424" ht="17.6" spans="4:7">
      <c r="D2424" s="175">
        <v>42667</v>
      </c>
      <c r="E2424" s="176">
        <v>8708.95</v>
      </c>
      <c r="F2424" s="3"/>
      <c r="G2424" s="3"/>
    </row>
    <row r="2425" ht="17.6" spans="4:7">
      <c r="D2425" s="175">
        <v>42664</v>
      </c>
      <c r="E2425" s="176">
        <v>8693.05</v>
      </c>
      <c r="F2425" s="3"/>
      <c r="G2425" s="3"/>
    </row>
    <row r="2426" ht="17.6" spans="4:7">
      <c r="D2426" s="175">
        <v>42663</v>
      </c>
      <c r="E2426" s="176">
        <v>8699.4</v>
      </c>
      <c r="F2426" s="3"/>
      <c r="G2426" s="3"/>
    </row>
    <row r="2427" ht="17.6" spans="4:7">
      <c r="D2427" s="175">
        <v>42662</v>
      </c>
      <c r="E2427" s="176">
        <v>8659.1</v>
      </c>
      <c r="F2427" s="3"/>
      <c r="G2427" s="3"/>
    </row>
    <row r="2428" ht="17.6" spans="4:7">
      <c r="D2428" s="175">
        <v>42661</v>
      </c>
      <c r="E2428" s="176">
        <v>8677.9</v>
      </c>
      <c r="F2428" s="3"/>
      <c r="G2428" s="3"/>
    </row>
    <row r="2429" ht="17.6" spans="4:7">
      <c r="D2429" s="175">
        <v>42660</v>
      </c>
      <c r="E2429" s="176">
        <v>8520.4</v>
      </c>
      <c r="F2429" s="3"/>
      <c r="G2429" s="3"/>
    </row>
    <row r="2430" ht="17.6" spans="4:7">
      <c r="D2430" s="175">
        <v>42657</v>
      </c>
      <c r="E2430" s="176">
        <v>8583.4</v>
      </c>
      <c r="F2430" s="3"/>
      <c r="G2430" s="3"/>
    </row>
    <row r="2431" ht="17.6" spans="4:7">
      <c r="D2431" s="175">
        <v>42656</v>
      </c>
      <c r="E2431" s="176">
        <v>8573.35</v>
      </c>
      <c r="F2431" s="3"/>
      <c r="G2431" s="3"/>
    </row>
    <row r="2432" ht="17.6" spans="4:7">
      <c r="D2432" s="175">
        <v>42653</v>
      </c>
      <c r="E2432" s="176">
        <v>8708.8</v>
      </c>
      <c r="F2432" s="3"/>
      <c r="G2432" s="3"/>
    </row>
    <row r="2433" ht="17.6" spans="4:7">
      <c r="D2433" s="175">
        <v>42650</v>
      </c>
      <c r="E2433" s="176">
        <v>8697.6</v>
      </c>
      <c r="F2433" s="3"/>
      <c r="G2433" s="3"/>
    </row>
    <row r="2434" ht="17.6" spans="4:7">
      <c r="D2434" s="175">
        <v>42649</v>
      </c>
      <c r="E2434" s="176">
        <v>8709.55</v>
      </c>
      <c r="F2434" s="3"/>
      <c r="G2434" s="3"/>
    </row>
    <row r="2435" ht="17.6" spans="4:7">
      <c r="D2435" s="175">
        <v>42648</v>
      </c>
      <c r="E2435" s="176">
        <v>8743.95</v>
      </c>
      <c r="F2435" s="3"/>
      <c r="G2435" s="3"/>
    </row>
    <row r="2436" ht="17.6" spans="4:7">
      <c r="D2436" s="175">
        <v>42647</v>
      </c>
      <c r="E2436" s="176">
        <v>8769.15</v>
      </c>
      <c r="F2436" s="3"/>
      <c r="G2436" s="3"/>
    </row>
    <row r="2437" ht="17.6" spans="4:7">
      <c r="D2437" s="175">
        <v>42646</v>
      </c>
      <c r="E2437" s="176">
        <v>8738.1</v>
      </c>
      <c r="F2437" s="3"/>
      <c r="G2437" s="3"/>
    </row>
    <row r="2438" ht="17.6" spans="4:7">
      <c r="D2438" s="175">
        <v>42643</v>
      </c>
      <c r="E2438" s="176">
        <v>8611.15</v>
      </c>
      <c r="F2438" s="3"/>
      <c r="G2438" s="3"/>
    </row>
    <row r="2439" ht="17.6" spans="4:7">
      <c r="D2439" s="175">
        <v>42642</v>
      </c>
      <c r="E2439" s="176">
        <v>8591.25</v>
      </c>
      <c r="F2439" s="3"/>
      <c r="G2439" s="3"/>
    </row>
    <row r="2440" ht="17.6" spans="4:7">
      <c r="D2440" s="175">
        <v>42641</v>
      </c>
      <c r="E2440" s="176">
        <v>8745.15</v>
      </c>
      <c r="F2440" s="3"/>
      <c r="G2440" s="3"/>
    </row>
    <row r="2441" ht="17.6" spans="4:7">
      <c r="D2441" s="175">
        <v>42640</v>
      </c>
      <c r="E2441" s="176">
        <v>8706.4</v>
      </c>
      <c r="F2441" s="3"/>
      <c r="G2441" s="3"/>
    </row>
    <row r="2442" ht="17.6" spans="4:7">
      <c r="D2442" s="175">
        <v>42639</v>
      </c>
      <c r="E2442" s="176">
        <v>8723.05</v>
      </c>
      <c r="F2442" s="3"/>
      <c r="G2442" s="3"/>
    </row>
    <row r="2443" ht="17.6" spans="4:7">
      <c r="D2443" s="175">
        <v>42636</v>
      </c>
      <c r="E2443" s="176">
        <v>8831.55</v>
      </c>
      <c r="F2443" s="3"/>
      <c r="G2443" s="3"/>
    </row>
    <row r="2444" ht="17.6" spans="4:7">
      <c r="D2444" s="175">
        <v>42635</v>
      </c>
      <c r="E2444" s="176">
        <v>8867.45</v>
      </c>
      <c r="F2444" s="3"/>
      <c r="G2444" s="3"/>
    </row>
    <row r="2445" ht="17.6" spans="4:7">
      <c r="D2445" s="175">
        <v>42634</v>
      </c>
      <c r="E2445" s="176">
        <v>8777.15</v>
      </c>
      <c r="F2445" s="3"/>
      <c r="G2445" s="3"/>
    </row>
    <row r="2446" ht="17.6" spans="4:7">
      <c r="D2446" s="175">
        <v>42633</v>
      </c>
      <c r="E2446" s="176">
        <v>8775.9</v>
      </c>
      <c r="F2446" s="3"/>
      <c r="G2446" s="3"/>
    </row>
    <row r="2447" ht="17.6" spans="4:7">
      <c r="D2447" s="175">
        <v>42632</v>
      </c>
      <c r="E2447" s="176">
        <v>8808.4</v>
      </c>
      <c r="F2447" s="3"/>
      <c r="G2447" s="3"/>
    </row>
    <row r="2448" ht="17.6" spans="4:7">
      <c r="D2448" s="175">
        <v>42629</v>
      </c>
      <c r="E2448" s="176">
        <v>8779.85</v>
      </c>
      <c r="F2448" s="3"/>
      <c r="G2448" s="3"/>
    </row>
    <row r="2449" ht="17.6" spans="4:7">
      <c r="D2449" s="175">
        <v>42628</v>
      </c>
      <c r="E2449" s="176">
        <v>8742.55</v>
      </c>
      <c r="F2449" s="3"/>
      <c r="G2449" s="3"/>
    </row>
    <row r="2450" ht="17.6" spans="4:7">
      <c r="D2450" s="175">
        <v>42627</v>
      </c>
      <c r="E2450" s="176">
        <v>8726.6</v>
      </c>
      <c r="F2450" s="3"/>
      <c r="G2450" s="3"/>
    </row>
    <row r="2451" ht="17.6" spans="4:7">
      <c r="D2451" s="175">
        <v>42625</v>
      </c>
      <c r="E2451" s="176">
        <v>8715.6</v>
      </c>
      <c r="F2451" s="3"/>
      <c r="G2451" s="3"/>
    </row>
    <row r="2452" ht="17.6" spans="4:7">
      <c r="D2452" s="175">
        <v>42622</v>
      </c>
      <c r="E2452" s="176">
        <v>8866.7</v>
      </c>
      <c r="F2452" s="3"/>
      <c r="G2452" s="3"/>
    </row>
    <row r="2453" ht="17.6" spans="4:7">
      <c r="D2453" s="175">
        <v>42621</v>
      </c>
      <c r="E2453" s="176">
        <v>8952.5</v>
      </c>
      <c r="F2453" s="3"/>
      <c r="G2453" s="3"/>
    </row>
    <row r="2454" ht="17.6" spans="4:7">
      <c r="D2454" s="175">
        <v>42620</v>
      </c>
      <c r="E2454" s="176">
        <v>8917.95</v>
      </c>
      <c r="F2454" s="3"/>
      <c r="G2454" s="3"/>
    </row>
    <row r="2455" ht="17.6" spans="4:7">
      <c r="D2455" s="175">
        <v>42619</v>
      </c>
      <c r="E2455" s="176">
        <v>8943</v>
      </c>
      <c r="F2455" s="3"/>
      <c r="G2455" s="3"/>
    </row>
    <row r="2456" ht="17.6" spans="4:7">
      <c r="D2456" s="175">
        <v>42615</v>
      </c>
      <c r="E2456" s="176">
        <v>8809.65</v>
      </c>
      <c r="F2456" s="3"/>
      <c r="G2456" s="3"/>
    </row>
    <row r="2457" ht="17.6" spans="4:7">
      <c r="D2457" s="175">
        <v>42614</v>
      </c>
      <c r="E2457" s="176">
        <v>8774.65</v>
      </c>
      <c r="F2457" s="3"/>
      <c r="G2457" s="3"/>
    </row>
    <row r="2458" ht="17.6" spans="4:7">
      <c r="D2458" s="175">
        <v>42613</v>
      </c>
      <c r="E2458" s="176">
        <v>8786.2</v>
      </c>
      <c r="F2458" s="3"/>
      <c r="G2458" s="3"/>
    </row>
    <row r="2459" ht="17.6" spans="4:7">
      <c r="D2459" s="175">
        <v>42612</v>
      </c>
      <c r="E2459" s="176">
        <v>8744.35</v>
      </c>
      <c r="F2459" s="3"/>
      <c r="G2459" s="3"/>
    </row>
    <row r="2460" ht="17.6" spans="4:7">
      <c r="D2460" s="175">
        <v>42611</v>
      </c>
      <c r="E2460" s="176">
        <v>8607.45</v>
      </c>
      <c r="F2460" s="3"/>
      <c r="G2460" s="3"/>
    </row>
    <row r="2461" ht="17.6" spans="4:7">
      <c r="D2461" s="175">
        <v>42608</v>
      </c>
      <c r="E2461" s="176">
        <v>8572.55</v>
      </c>
      <c r="F2461" s="3"/>
      <c r="G2461" s="3"/>
    </row>
    <row r="2462" ht="17.6" spans="4:7">
      <c r="D2462" s="175">
        <v>42607</v>
      </c>
      <c r="E2462" s="176">
        <v>8592.2</v>
      </c>
      <c r="F2462" s="3"/>
      <c r="G2462" s="3"/>
    </row>
    <row r="2463" ht="17.6" spans="4:7">
      <c r="D2463" s="175">
        <v>42606</v>
      </c>
      <c r="E2463" s="176">
        <v>8650.3</v>
      </c>
      <c r="F2463" s="3"/>
      <c r="G2463" s="3"/>
    </row>
    <row r="2464" ht="17.6" spans="4:7">
      <c r="D2464" s="175">
        <v>42605</v>
      </c>
      <c r="E2464" s="176">
        <v>8632.6</v>
      </c>
      <c r="F2464" s="3"/>
      <c r="G2464" s="3"/>
    </row>
    <row r="2465" ht="17.6" spans="4:7">
      <c r="D2465" s="175">
        <v>42604</v>
      </c>
      <c r="E2465" s="176">
        <v>8629.15</v>
      </c>
      <c r="F2465" s="3"/>
      <c r="G2465" s="3"/>
    </row>
    <row r="2466" ht="17.6" spans="4:7">
      <c r="D2466" s="175">
        <v>42601</v>
      </c>
      <c r="E2466" s="176">
        <v>8666.9</v>
      </c>
      <c r="F2466" s="3"/>
      <c r="G2466" s="3"/>
    </row>
    <row r="2467" ht="17.6" spans="4:7">
      <c r="D2467" s="175">
        <v>42600</v>
      </c>
      <c r="E2467" s="176">
        <v>8673.25</v>
      </c>
      <c r="F2467" s="3"/>
      <c r="G2467" s="3"/>
    </row>
    <row r="2468" ht="17.6" spans="4:7">
      <c r="D2468" s="175">
        <v>42599</v>
      </c>
      <c r="E2468" s="176">
        <v>8624.05</v>
      </c>
      <c r="F2468" s="3"/>
      <c r="G2468" s="3"/>
    </row>
    <row r="2469" ht="17.6" spans="4:7">
      <c r="D2469" s="175">
        <v>42598</v>
      </c>
      <c r="E2469" s="176">
        <v>8642.55</v>
      </c>
      <c r="F2469" s="3"/>
      <c r="G2469" s="3"/>
    </row>
    <row r="2470" ht="17.6" spans="4:7">
      <c r="D2470" s="175">
        <v>42594</v>
      </c>
      <c r="E2470" s="176">
        <v>8672.15</v>
      </c>
      <c r="F2470" s="3"/>
      <c r="G2470" s="3"/>
    </row>
    <row r="2471" ht="17.6" spans="4:7">
      <c r="D2471" s="175">
        <v>42593</v>
      </c>
      <c r="E2471" s="176">
        <v>8592.15</v>
      </c>
      <c r="F2471" s="3"/>
      <c r="G2471" s="3"/>
    </row>
    <row r="2472" ht="17.6" spans="4:7">
      <c r="D2472" s="175">
        <v>42592</v>
      </c>
      <c r="E2472" s="176">
        <v>8575.3</v>
      </c>
      <c r="F2472" s="3"/>
      <c r="G2472" s="3"/>
    </row>
    <row r="2473" ht="17.6" spans="4:7">
      <c r="D2473" s="175">
        <v>42591</v>
      </c>
      <c r="E2473" s="176">
        <v>8678.25</v>
      </c>
      <c r="F2473" s="3"/>
      <c r="G2473" s="3"/>
    </row>
    <row r="2474" ht="17.6" spans="4:7">
      <c r="D2474" s="175">
        <v>42590</v>
      </c>
      <c r="E2474" s="176">
        <v>8711.35</v>
      </c>
      <c r="F2474" s="3"/>
      <c r="G2474" s="3"/>
    </row>
    <row r="2475" ht="17.6" spans="4:7">
      <c r="D2475" s="175">
        <v>42587</v>
      </c>
      <c r="E2475" s="176">
        <v>8683.15</v>
      </c>
      <c r="F2475" s="3"/>
      <c r="G2475" s="3"/>
    </row>
    <row r="2476" ht="17.6" spans="4:7">
      <c r="D2476" s="175">
        <v>42586</v>
      </c>
      <c r="E2476" s="176">
        <v>8551.1</v>
      </c>
      <c r="F2476" s="3"/>
      <c r="G2476" s="3"/>
    </row>
    <row r="2477" ht="17.6" spans="4:7">
      <c r="D2477" s="175">
        <v>42585</v>
      </c>
      <c r="E2477" s="176">
        <v>8544.85</v>
      </c>
      <c r="F2477" s="3"/>
      <c r="G2477" s="3"/>
    </row>
    <row r="2478" ht="17.6" spans="4:7">
      <c r="D2478" s="175">
        <v>42584</v>
      </c>
      <c r="E2478" s="176">
        <v>8622.9</v>
      </c>
      <c r="F2478" s="3"/>
      <c r="G2478" s="3"/>
    </row>
    <row r="2479" ht="17.6" spans="4:7">
      <c r="D2479" s="175">
        <v>42583</v>
      </c>
      <c r="E2479" s="176">
        <v>8636.55</v>
      </c>
      <c r="F2479" s="3"/>
      <c r="G2479" s="3"/>
    </row>
    <row r="2480" ht="17.6" spans="4:7">
      <c r="D2480" s="175">
        <v>42580</v>
      </c>
      <c r="E2480" s="176">
        <v>8638.5</v>
      </c>
      <c r="F2480" s="3"/>
      <c r="G2480" s="3"/>
    </row>
    <row r="2481" ht="17.6" spans="4:7">
      <c r="D2481" s="175">
        <v>42579</v>
      </c>
      <c r="E2481" s="176">
        <v>8666.3</v>
      </c>
      <c r="F2481" s="3"/>
      <c r="G2481" s="3"/>
    </row>
    <row r="2482" ht="17.6" spans="4:7">
      <c r="D2482" s="175">
        <v>42578</v>
      </c>
      <c r="E2482" s="176">
        <v>8615.8</v>
      </c>
      <c r="F2482" s="3"/>
      <c r="G2482" s="3"/>
    </row>
    <row r="2483" ht="17.6" spans="4:7">
      <c r="D2483" s="175">
        <v>42577</v>
      </c>
      <c r="E2483" s="176">
        <v>8590.65</v>
      </c>
      <c r="F2483" s="3"/>
      <c r="G2483" s="3"/>
    </row>
    <row r="2484" ht="17.6" spans="4:7">
      <c r="D2484" s="175">
        <v>42576</v>
      </c>
      <c r="E2484" s="176">
        <v>8635.65</v>
      </c>
      <c r="F2484" s="3"/>
      <c r="G2484" s="3"/>
    </row>
    <row r="2485" ht="17.6" spans="4:7">
      <c r="D2485" s="175">
        <v>42573</v>
      </c>
      <c r="E2485" s="176">
        <v>8541.2</v>
      </c>
      <c r="F2485" s="3"/>
      <c r="G2485" s="3"/>
    </row>
    <row r="2486" ht="17.6" spans="4:7">
      <c r="D2486" s="175">
        <v>42572</v>
      </c>
      <c r="E2486" s="176">
        <v>8510.1</v>
      </c>
      <c r="F2486" s="3"/>
      <c r="G2486" s="3"/>
    </row>
    <row r="2487" ht="17.6" spans="4:7">
      <c r="D2487" s="175">
        <v>42571</v>
      </c>
      <c r="E2487" s="176">
        <v>8565.85</v>
      </c>
      <c r="F2487" s="3"/>
      <c r="G2487" s="3"/>
    </row>
    <row r="2488" ht="17.6" spans="4:7">
      <c r="D2488" s="175">
        <v>42570</v>
      </c>
      <c r="E2488" s="176">
        <v>8528.55</v>
      </c>
      <c r="F2488" s="3"/>
      <c r="G2488" s="3"/>
    </row>
    <row r="2489" ht="17.6" spans="4:7">
      <c r="D2489" s="175">
        <v>42569</v>
      </c>
      <c r="E2489" s="176">
        <v>8508.7</v>
      </c>
      <c r="F2489" s="3"/>
      <c r="G2489" s="3"/>
    </row>
    <row r="2490" ht="17.6" spans="4:7">
      <c r="D2490" s="175">
        <v>42566</v>
      </c>
      <c r="E2490" s="176">
        <v>8541.4</v>
      </c>
      <c r="F2490" s="3"/>
      <c r="G2490" s="3"/>
    </row>
    <row r="2491" ht="17.6" spans="4:7">
      <c r="D2491" s="175">
        <v>42565</v>
      </c>
      <c r="E2491" s="176">
        <v>8565</v>
      </c>
      <c r="F2491" s="3"/>
      <c r="G2491" s="3"/>
    </row>
    <row r="2492" ht="17.6" spans="4:7">
      <c r="D2492" s="175">
        <v>42564</v>
      </c>
      <c r="E2492" s="176">
        <v>8519.5</v>
      </c>
      <c r="F2492" s="3"/>
      <c r="G2492" s="3"/>
    </row>
    <row r="2493" ht="17.6" spans="4:7">
      <c r="D2493" s="175">
        <v>42563</v>
      </c>
      <c r="E2493" s="176">
        <v>8521.05</v>
      </c>
      <c r="F2493" s="3"/>
      <c r="G2493" s="3"/>
    </row>
    <row r="2494" ht="17.6" spans="4:7">
      <c r="D2494" s="175">
        <v>42562</v>
      </c>
      <c r="E2494" s="176">
        <v>8467.9</v>
      </c>
      <c r="F2494" s="3"/>
      <c r="G2494" s="3"/>
    </row>
    <row r="2495" ht="17.6" spans="4:7">
      <c r="D2495" s="175">
        <v>42559</v>
      </c>
      <c r="E2495" s="176">
        <v>8323.2</v>
      </c>
      <c r="F2495" s="3"/>
      <c r="G2495" s="3"/>
    </row>
    <row r="2496" ht="17.6" spans="4:7">
      <c r="D2496" s="175">
        <v>42558</v>
      </c>
      <c r="E2496" s="176">
        <v>8337.9</v>
      </c>
      <c r="F2496" s="3"/>
      <c r="G2496" s="3"/>
    </row>
    <row r="2497" ht="17.6" spans="4:7">
      <c r="D2497" s="175">
        <v>42556</v>
      </c>
      <c r="E2497" s="176">
        <v>8335.95</v>
      </c>
      <c r="F2497" s="3"/>
      <c r="G2497" s="3"/>
    </row>
    <row r="2498" ht="17.6" spans="4:7">
      <c r="D2498" s="175">
        <v>42555</v>
      </c>
      <c r="E2498" s="176">
        <v>8370.7</v>
      </c>
      <c r="F2498" s="3"/>
      <c r="G2498" s="3"/>
    </row>
    <row r="2499" ht="17.6" spans="4:7">
      <c r="D2499" s="175">
        <v>42552</v>
      </c>
      <c r="E2499" s="176">
        <v>8328.35</v>
      </c>
      <c r="F2499" s="3"/>
      <c r="G2499" s="3"/>
    </row>
    <row r="2500" ht="17.6" spans="4:7">
      <c r="D2500" s="175">
        <v>42551</v>
      </c>
      <c r="E2500" s="176">
        <v>8287.75</v>
      </c>
      <c r="F2500" s="3"/>
      <c r="G2500" s="3"/>
    </row>
    <row r="2501" ht="17.6" spans="4:7">
      <c r="D2501" s="175">
        <v>42550</v>
      </c>
      <c r="E2501" s="176">
        <v>8204</v>
      </c>
      <c r="F2501" s="3"/>
      <c r="G2501" s="3"/>
    </row>
    <row r="2502" ht="17.6" spans="4:7">
      <c r="D2502" s="175">
        <v>42549</v>
      </c>
      <c r="E2502" s="176">
        <v>8127.85</v>
      </c>
      <c r="F2502" s="3"/>
      <c r="G2502" s="3"/>
    </row>
    <row r="2503" ht="17.6" spans="4:7">
      <c r="D2503" s="175">
        <v>42548</v>
      </c>
      <c r="E2503" s="176">
        <v>8094.7</v>
      </c>
      <c r="F2503" s="3"/>
      <c r="G2503" s="3"/>
    </row>
    <row r="2504" ht="17.6" spans="4:7">
      <c r="D2504" s="175">
        <v>42545</v>
      </c>
      <c r="E2504" s="176">
        <v>8088.6</v>
      </c>
      <c r="F2504" s="3"/>
      <c r="G2504" s="3"/>
    </row>
    <row r="2505" ht="17.6" spans="4:7">
      <c r="D2505" s="175">
        <v>42544</v>
      </c>
      <c r="E2505" s="176">
        <v>8270.45</v>
      </c>
      <c r="F2505" s="3"/>
      <c r="G2505" s="3"/>
    </row>
    <row r="2506" ht="17.6" spans="4:7">
      <c r="D2506" s="175">
        <v>42543</v>
      </c>
      <c r="E2506" s="176">
        <v>8203.7</v>
      </c>
      <c r="F2506" s="3"/>
      <c r="G2506" s="3"/>
    </row>
    <row r="2507" ht="17.6" spans="4:7">
      <c r="D2507" s="175">
        <v>42542</v>
      </c>
      <c r="E2507" s="176">
        <v>8219.9</v>
      </c>
      <c r="F2507" s="3"/>
      <c r="G2507" s="3"/>
    </row>
    <row r="2508" ht="17.6" spans="4:7">
      <c r="D2508" s="175">
        <v>42541</v>
      </c>
      <c r="E2508" s="176">
        <v>8238.5</v>
      </c>
      <c r="F2508" s="3"/>
      <c r="G2508" s="3"/>
    </row>
    <row r="2509" ht="17.6" spans="4:7">
      <c r="D2509" s="175">
        <v>42538</v>
      </c>
      <c r="E2509" s="176">
        <v>8170.2</v>
      </c>
      <c r="F2509" s="3"/>
      <c r="G2509" s="3"/>
    </row>
    <row r="2510" ht="17.6" spans="4:7">
      <c r="D2510" s="175">
        <v>42537</v>
      </c>
      <c r="E2510" s="176">
        <v>8140.75</v>
      </c>
      <c r="F2510" s="3"/>
      <c r="G2510" s="3"/>
    </row>
    <row r="2511" ht="17.6" spans="4:7">
      <c r="D2511" s="175">
        <v>42536</v>
      </c>
      <c r="E2511" s="176">
        <v>8206.6</v>
      </c>
      <c r="F2511" s="3"/>
      <c r="G2511" s="3"/>
    </row>
    <row r="2512" ht="17.6" spans="4:7">
      <c r="D2512" s="175">
        <v>42535</v>
      </c>
      <c r="E2512" s="176">
        <v>8108.85</v>
      </c>
      <c r="F2512" s="3"/>
      <c r="G2512" s="3"/>
    </row>
    <row r="2513" ht="17.6" spans="4:7">
      <c r="D2513" s="175">
        <v>42534</v>
      </c>
      <c r="E2513" s="176">
        <v>8110.6</v>
      </c>
      <c r="F2513" s="3"/>
      <c r="G2513" s="3"/>
    </row>
    <row r="2514" ht="17.6" spans="4:7">
      <c r="D2514" s="175">
        <v>42531</v>
      </c>
      <c r="E2514" s="176">
        <v>8170.05</v>
      </c>
      <c r="F2514" s="3"/>
      <c r="G2514" s="3"/>
    </row>
    <row r="2515" ht="17.6" spans="4:7">
      <c r="D2515" s="175">
        <v>42530</v>
      </c>
      <c r="E2515" s="176">
        <v>8203.6</v>
      </c>
      <c r="F2515" s="3"/>
      <c r="G2515" s="3"/>
    </row>
    <row r="2516" ht="17.6" spans="4:7">
      <c r="D2516" s="175">
        <v>42529</v>
      </c>
      <c r="E2516" s="176">
        <v>8273.05</v>
      </c>
      <c r="F2516" s="3"/>
      <c r="G2516" s="3"/>
    </row>
    <row r="2517" ht="17.6" spans="4:7">
      <c r="D2517" s="175">
        <v>42528</v>
      </c>
      <c r="E2517" s="176">
        <v>8266.45</v>
      </c>
      <c r="F2517" s="3"/>
      <c r="G2517" s="3"/>
    </row>
    <row r="2518" ht="17.6" spans="4:7">
      <c r="D2518" s="175">
        <v>42527</v>
      </c>
      <c r="E2518" s="176">
        <v>8201.05</v>
      </c>
      <c r="F2518" s="3"/>
      <c r="G2518" s="3"/>
    </row>
    <row r="2519" ht="17.6" spans="4:7">
      <c r="D2519" s="175">
        <v>42524</v>
      </c>
      <c r="E2519" s="176">
        <v>8220.8</v>
      </c>
      <c r="F2519" s="3"/>
      <c r="G2519" s="3"/>
    </row>
    <row r="2520" ht="17.6" spans="4:7">
      <c r="D2520" s="175">
        <v>42523</v>
      </c>
      <c r="E2520" s="176">
        <v>8218.95</v>
      </c>
      <c r="F2520" s="3"/>
      <c r="G2520" s="3"/>
    </row>
    <row r="2521" ht="17.6" spans="4:7">
      <c r="D2521" s="175">
        <v>42522</v>
      </c>
      <c r="E2521" s="176">
        <v>8179.95</v>
      </c>
      <c r="F2521" s="3"/>
      <c r="G2521" s="3"/>
    </row>
    <row r="2522" ht="17.6" spans="4:7">
      <c r="D2522" s="175">
        <v>42521</v>
      </c>
      <c r="E2522" s="176">
        <v>8160.1</v>
      </c>
      <c r="F2522" s="3"/>
      <c r="G2522" s="3"/>
    </row>
    <row r="2523" ht="17.6" spans="4:7">
      <c r="D2523" s="175">
        <v>42520</v>
      </c>
      <c r="E2523" s="176">
        <v>8178.5</v>
      </c>
      <c r="F2523" s="3"/>
      <c r="G2523" s="3"/>
    </row>
    <row r="2524" ht="17.6" spans="4:7">
      <c r="D2524" s="175">
        <v>42517</v>
      </c>
      <c r="E2524" s="176">
        <v>8156.65</v>
      </c>
      <c r="F2524" s="3"/>
      <c r="G2524" s="3"/>
    </row>
    <row r="2525" ht="17.6" spans="4:7">
      <c r="D2525" s="175">
        <v>42516</v>
      </c>
      <c r="E2525" s="176">
        <v>8069.65</v>
      </c>
      <c r="F2525" s="3"/>
      <c r="G2525" s="3"/>
    </row>
    <row r="2526" ht="17.6" spans="4:7">
      <c r="D2526" s="175">
        <v>42515</v>
      </c>
      <c r="E2526" s="176">
        <v>7934.9</v>
      </c>
      <c r="F2526" s="3"/>
      <c r="G2526" s="3"/>
    </row>
    <row r="2527" ht="17.6" spans="4:7">
      <c r="D2527" s="175">
        <v>42514</v>
      </c>
      <c r="E2527" s="176">
        <v>7748.85</v>
      </c>
      <c r="F2527" s="3"/>
      <c r="G2527" s="3"/>
    </row>
    <row r="2528" ht="17.6" spans="4:7">
      <c r="D2528" s="175">
        <v>42513</v>
      </c>
      <c r="E2528" s="176">
        <v>7731.05</v>
      </c>
      <c r="F2528" s="3"/>
      <c r="G2528" s="3"/>
    </row>
    <row r="2529" ht="17.6" spans="4:7">
      <c r="D2529" s="175">
        <v>42510</v>
      </c>
      <c r="E2529" s="176">
        <v>7749.7</v>
      </c>
      <c r="F2529" s="3"/>
      <c r="G2529" s="3"/>
    </row>
    <row r="2530" ht="17.6" spans="4:7">
      <c r="D2530" s="175">
        <v>42509</v>
      </c>
      <c r="E2530" s="176">
        <v>7783.4</v>
      </c>
      <c r="F2530" s="3"/>
      <c r="G2530" s="3"/>
    </row>
    <row r="2531" ht="17.6" spans="4:7">
      <c r="D2531" s="175">
        <v>42508</v>
      </c>
      <c r="E2531" s="176">
        <v>7870.15</v>
      </c>
      <c r="F2531" s="3"/>
      <c r="G2531" s="3"/>
    </row>
    <row r="2532" ht="17.6" spans="4:7">
      <c r="D2532" s="175">
        <v>42507</v>
      </c>
      <c r="E2532" s="176">
        <v>7890.75</v>
      </c>
      <c r="F2532" s="3"/>
      <c r="G2532" s="3"/>
    </row>
    <row r="2533" ht="17.6" spans="4:7">
      <c r="D2533" s="175">
        <v>42506</v>
      </c>
      <c r="E2533" s="176">
        <v>7860.75</v>
      </c>
      <c r="F2533" s="3"/>
      <c r="G2533" s="3"/>
    </row>
    <row r="2534" ht="17.6" spans="4:7">
      <c r="D2534" s="175">
        <v>42503</v>
      </c>
      <c r="E2534" s="176">
        <v>7814.9</v>
      </c>
      <c r="F2534" s="3"/>
      <c r="G2534" s="3"/>
    </row>
    <row r="2535" ht="17.6" spans="4:7">
      <c r="D2535" s="175">
        <v>42502</v>
      </c>
      <c r="E2535" s="176">
        <v>7900.4</v>
      </c>
      <c r="F2535" s="3"/>
      <c r="G2535" s="3"/>
    </row>
    <row r="2536" ht="17.6" spans="4:7">
      <c r="D2536" s="175">
        <v>42501</v>
      </c>
      <c r="E2536" s="176">
        <v>7848.85</v>
      </c>
      <c r="F2536" s="3"/>
      <c r="G2536" s="3"/>
    </row>
    <row r="2537" ht="17.6" spans="4:7">
      <c r="D2537" s="175">
        <v>42500</v>
      </c>
      <c r="E2537" s="176">
        <v>7887.8</v>
      </c>
      <c r="F2537" s="3"/>
      <c r="G2537" s="3"/>
    </row>
    <row r="2538" ht="17.6" spans="4:7">
      <c r="D2538" s="175">
        <v>42499</v>
      </c>
      <c r="E2538" s="176">
        <v>7866.05</v>
      </c>
      <c r="F2538" s="3"/>
      <c r="G2538" s="3"/>
    </row>
    <row r="2539" ht="17.6" spans="4:7">
      <c r="D2539" s="175">
        <v>42496</v>
      </c>
      <c r="E2539" s="176">
        <v>7733.45</v>
      </c>
      <c r="F2539" s="3"/>
      <c r="G2539" s="3"/>
    </row>
    <row r="2540" ht="17.6" spans="4:7">
      <c r="D2540" s="175">
        <v>42495</v>
      </c>
      <c r="E2540" s="176">
        <v>7735.5</v>
      </c>
      <c r="F2540" s="3"/>
      <c r="G2540" s="3"/>
    </row>
    <row r="2541" ht="17.6" spans="4:7">
      <c r="D2541" s="175">
        <v>42494</v>
      </c>
      <c r="E2541" s="176">
        <v>7706.55</v>
      </c>
      <c r="F2541" s="3"/>
      <c r="G2541" s="3"/>
    </row>
    <row r="2542" ht="17.6" spans="4:7">
      <c r="D2542" s="175">
        <v>42493</v>
      </c>
      <c r="E2542" s="176">
        <v>7747</v>
      </c>
      <c r="F2542" s="3"/>
      <c r="G2542" s="3"/>
    </row>
    <row r="2543" ht="17.6" spans="4:7">
      <c r="D2543" s="175">
        <v>42492</v>
      </c>
      <c r="E2543" s="176">
        <v>7805.9</v>
      </c>
      <c r="F2543" s="3"/>
      <c r="G2543" s="3"/>
    </row>
    <row r="2544" ht="17.6" spans="4:7">
      <c r="D2544" s="175">
        <v>42489</v>
      </c>
      <c r="E2544" s="176">
        <v>7849.8</v>
      </c>
      <c r="F2544" s="3"/>
      <c r="G2544" s="3"/>
    </row>
    <row r="2545" ht="17.6" spans="4:7">
      <c r="D2545" s="175">
        <v>42488</v>
      </c>
      <c r="E2545" s="176">
        <v>7847.25</v>
      </c>
      <c r="F2545" s="3"/>
      <c r="G2545" s="3"/>
    </row>
    <row r="2546" ht="17.6" spans="4:7">
      <c r="D2546" s="175">
        <v>42487</v>
      </c>
      <c r="E2546" s="176">
        <v>7979.9</v>
      </c>
      <c r="F2546" s="3"/>
      <c r="G2546" s="3"/>
    </row>
    <row r="2547" ht="17.6" spans="4:7">
      <c r="D2547" s="175">
        <v>42486</v>
      </c>
      <c r="E2547" s="176">
        <v>7962.65</v>
      </c>
      <c r="F2547" s="3"/>
      <c r="G2547" s="3"/>
    </row>
    <row r="2548" ht="17.6" spans="4:7">
      <c r="D2548" s="175">
        <v>42485</v>
      </c>
      <c r="E2548" s="176">
        <v>7855.05</v>
      </c>
      <c r="F2548" s="3"/>
      <c r="G2548" s="3"/>
    </row>
    <row r="2549" ht="17.6" spans="4:7">
      <c r="D2549" s="175">
        <v>42482</v>
      </c>
      <c r="E2549" s="176">
        <v>7899.3</v>
      </c>
      <c r="F2549" s="3"/>
      <c r="G2549" s="3"/>
    </row>
    <row r="2550" ht="17.6" spans="4:7">
      <c r="D2550" s="175">
        <v>42481</v>
      </c>
      <c r="E2550" s="176">
        <v>7912.05</v>
      </c>
      <c r="F2550" s="3"/>
      <c r="G2550" s="3"/>
    </row>
    <row r="2551" ht="17.6" spans="4:7">
      <c r="D2551" s="175">
        <v>42480</v>
      </c>
      <c r="E2551" s="176">
        <v>7914.75</v>
      </c>
      <c r="F2551" s="3"/>
      <c r="G2551" s="3"/>
    </row>
    <row r="2552" ht="17.6" spans="4:7">
      <c r="D2552" s="175">
        <v>42478</v>
      </c>
      <c r="E2552" s="176">
        <v>7914.7</v>
      </c>
      <c r="F2552" s="3"/>
      <c r="G2552" s="3"/>
    </row>
    <row r="2553" ht="17.6" spans="4:7">
      <c r="D2553" s="175">
        <v>42473</v>
      </c>
      <c r="E2553" s="176">
        <v>7850.45</v>
      </c>
      <c r="F2553" s="3"/>
      <c r="G2553" s="3"/>
    </row>
    <row r="2554" ht="17.6" spans="4:7">
      <c r="D2554" s="175">
        <v>42472</v>
      </c>
      <c r="E2554" s="176">
        <v>7708.95</v>
      </c>
      <c r="F2554" s="3"/>
      <c r="G2554" s="3"/>
    </row>
    <row r="2555" ht="17.6" spans="4:7">
      <c r="D2555" s="175">
        <v>42471</v>
      </c>
      <c r="E2555" s="176">
        <v>7671.4</v>
      </c>
      <c r="F2555" s="3"/>
      <c r="G2555" s="3"/>
    </row>
    <row r="2556" ht="17.6" spans="4:7">
      <c r="D2556" s="175">
        <v>42468</v>
      </c>
      <c r="E2556" s="176">
        <v>7555.2</v>
      </c>
      <c r="F2556" s="3"/>
      <c r="G2556" s="3"/>
    </row>
    <row r="2557" ht="17.6" spans="4:7">
      <c r="D2557" s="175">
        <v>42467</v>
      </c>
      <c r="E2557" s="176">
        <v>7546.45</v>
      </c>
      <c r="F2557" s="3"/>
      <c r="G2557" s="3"/>
    </row>
    <row r="2558" ht="17.6" spans="4:7">
      <c r="D2558" s="175">
        <v>42466</v>
      </c>
      <c r="E2558" s="176">
        <v>7614.35</v>
      </c>
      <c r="F2558" s="3"/>
      <c r="G2558" s="3"/>
    </row>
    <row r="2559" ht="17.6" spans="4:7">
      <c r="D2559" s="175">
        <v>42465</v>
      </c>
      <c r="E2559" s="176">
        <v>7603.2</v>
      </c>
      <c r="F2559" s="3"/>
      <c r="G2559" s="3"/>
    </row>
    <row r="2560" ht="17.6" spans="4:7">
      <c r="D2560" s="175">
        <v>42464</v>
      </c>
      <c r="E2560" s="176">
        <v>7758.8</v>
      </c>
      <c r="F2560" s="3"/>
      <c r="G2560" s="3"/>
    </row>
    <row r="2561" ht="17.6" spans="4:7">
      <c r="D2561" s="175">
        <v>42461</v>
      </c>
      <c r="E2561" s="176">
        <v>7713.05</v>
      </c>
      <c r="F2561" s="3"/>
      <c r="G2561" s="3"/>
    </row>
    <row r="2562" ht="17.6" spans="4:7">
      <c r="D2562" s="175">
        <v>42460</v>
      </c>
      <c r="E2562" s="176">
        <v>7738.4</v>
      </c>
      <c r="F2562" s="3"/>
      <c r="G2562" s="3"/>
    </row>
    <row r="2563" ht="17.6" spans="4:7">
      <c r="D2563" s="175">
        <v>42459</v>
      </c>
      <c r="E2563" s="176">
        <v>7735.2</v>
      </c>
      <c r="F2563" s="3"/>
      <c r="G2563" s="3"/>
    </row>
    <row r="2564" ht="17.6" spans="4:7">
      <c r="D2564" s="175">
        <v>42458</v>
      </c>
      <c r="E2564" s="176">
        <v>7597</v>
      </c>
      <c r="F2564" s="3"/>
      <c r="G2564" s="3"/>
    </row>
    <row r="2565" ht="17.6" spans="4:7">
      <c r="D2565" s="175">
        <v>42457</v>
      </c>
      <c r="E2565" s="176">
        <v>7615.1</v>
      </c>
      <c r="F2565" s="3"/>
      <c r="G2565" s="3"/>
    </row>
    <row r="2566" ht="17.6" spans="4:7">
      <c r="D2566" s="175">
        <v>42452</v>
      </c>
      <c r="E2566" s="176">
        <v>7716.5</v>
      </c>
      <c r="F2566" s="3"/>
      <c r="G2566" s="3"/>
    </row>
    <row r="2567" ht="17.6" spans="4:7">
      <c r="D2567" s="175">
        <v>42451</v>
      </c>
      <c r="E2567" s="176">
        <v>7714.9</v>
      </c>
      <c r="F2567" s="3"/>
      <c r="G2567" s="3"/>
    </row>
    <row r="2568" ht="17.6" spans="4:7">
      <c r="D2568" s="175">
        <v>42450</v>
      </c>
      <c r="E2568" s="176">
        <v>7704.25</v>
      </c>
      <c r="F2568" s="3"/>
      <c r="G2568" s="3"/>
    </row>
    <row r="2569" ht="17.6" spans="4:7">
      <c r="D2569" s="175">
        <v>42447</v>
      </c>
      <c r="E2569" s="176">
        <v>7604.35</v>
      </c>
      <c r="F2569" s="3"/>
      <c r="G2569" s="3"/>
    </row>
    <row r="2570" ht="17.6" spans="4:7">
      <c r="D2570" s="175">
        <v>42446</v>
      </c>
      <c r="E2570" s="176">
        <v>7512.55</v>
      </c>
      <c r="F2570" s="3"/>
      <c r="G2570" s="3"/>
    </row>
    <row r="2571" ht="17.6" spans="4:7">
      <c r="D2571" s="175">
        <v>42445</v>
      </c>
      <c r="E2571" s="176">
        <v>7498.75</v>
      </c>
      <c r="F2571" s="3"/>
      <c r="G2571" s="3"/>
    </row>
    <row r="2572" ht="17.6" spans="4:7">
      <c r="D2572" s="175">
        <v>42444</v>
      </c>
      <c r="E2572" s="176">
        <v>7460.6</v>
      </c>
      <c r="F2572" s="3"/>
      <c r="G2572" s="3"/>
    </row>
    <row r="2573" ht="17.6" spans="4:7">
      <c r="D2573" s="175">
        <v>42443</v>
      </c>
      <c r="E2573" s="176">
        <v>7538.75</v>
      </c>
      <c r="F2573" s="3"/>
      <c r="G2573" s="3"/>
    </row>
    <row r="2574" ht="17.6" spans="4:7">
      <c r="D2574" s="175">
        <v>42440</v>
      </c>
      <c r="E2574" s="176">
        <v>7510.2</v>
      </c>
      <c r="F2574" s="3"/>
      <c r="G2574" s="3"/>
    </row>
    <row r="2575" ht="17.6" spans="4:7">
      <c r="D2575" s="175">
        <v>42439</v>
      </c>
      <c r="E2575" s="176">
        <v>7486.15</v>
      </c>
      <c r="F2575" s="3"/>
      <c r="G2575" s="3"/>
    </row>
    <row r="2576" ht="17.6" spans="4:7">
      <c r="D2576" s="175">
        <v>42438</v>
      </c>
      <c r="E2576" s="176">
        <v>7531.8</v>
      </c>
      <c r="F2576" s="3"/>
      <c r="G2576" s="3"/>
    </row>
    <row r="2577" ht="17.6" spans="4:7">
      <c r="D2577" s="175">
        <v>42437</v>
      </c>
      <c r="E2577" s="176">
        <v>7485.3</v>
      </c>
      <c r="F2577" s="3"/>
      <c r="G2577" s="3"/>
    </row>
    <row r="2578" ht="17.6" spans="4:7">
      <c r="D2578" s="175">
        <v>42433</v>
      </c>
      <c r="E2578" s="176">
        <v>7485.35</v>
      </c>
      <c r="F2578" s="3"/>
      <c r="G2578" s="3"/>
    </row>
    <row r="2579" ht="17.6" spans="4:7">
      <c r="D2579" s="175">
        <v>42432</v>
      </c>
      <c r="E2579" s="176">
        <v>7475.6</v>
      </c>
      <c r="F2579" s="3"/>
      <c r="G2579" s="3"/>
    </row>
    <row r="2580" ht="17.6" spans="4:7">
      <c r="D2580" s="175">
        <v>42431</v>
      </c>
      <c r="E2580" s="176">
        <v>7368.85</v>
      </c>
      <c r="F2580" s="3"/>
      <c r="G2580" s="3"/>
    </row>
    <row r="2581" ht="17.6" spans="4:7">
      <c r="D2581" s="175">
        <v>42430</v>
      </c>
      <c r="E2581" s="176">
        <v>7222.3</v>
      </c>
      <c r="F2581" s="3"/>
      <c r="G2581" s="3"/>
    </row>
    <row r="2582" ht="17.6" spans="4:7">
      <c r="D2582" s="175">
        <v>42429</v>
      </c>
      <c r="E2582" s="176">
        <v>6987.05</v>
      </c>
      <c r="F2582" s="3"/>
      <c r="G2582" s="3"/>
    </row>
    <row r="2583" ht="17.6" spans="4:7">
      <c r="D2583" s="175">
        <v>42426</v>
      </c>
      <c r="E2583" s="176">
        <v>7029.75</v>
      </c>
      <c r="F2583" s="3"/>
      <c r="G2583" s="3"/>
    </row>
    <row r="2584" ht="17.6" spans="4:7">
      <c r="D2584" s="175">
        <v>42425</v>
      </c>
      <c r="E2584" s="176">
        <v>6970.6</v>
      </c>
      <c r="F2584" s="3"/>
      <c r="G2584" s="3"/>
    </row>
    <row r="2585" ht="17.6" spans="4:7">
      <c r="D2585" s="175">
        <v>42424</v>
      </c>
      <c r="E2585" s="176">
        <v>7018.7</v>
      </c>
      <c r="F2585" s="3"/>
      <c r="G2585" s="3"/>
    </row>
    <row r="2586" ht="17.6" spans="4:7">
      <c r="D2586" s="175">
        <v>42423</v>
      </c>
      <c r="E2586" s="176">
        <v>7109.55</v>
      </c>
      <c r="F2586" s="3"/>
      <c r="G2586" s="3"/>
    </row>
    <row r="2587" ht="17.6" spans="4:7">
      <c r="D2587" s="175">
        <v>42422</v>
      </c>
      <c r="E2587" s="176">
        <v>7234.55</v>
      </c>
      <c r="F2587" s="3"/>
      <c r="G2587" s="3"/>
    </row>
    <row r="2588" ht="17.6" spans="4:7">
      <c r="D2588" s="175">
        <v>42419</v>
      </c>
      <c r="E2588" s="176">
        <v>7210.75</v>
      </c>
      <c r="F2588" s="3"/>
      <c r="G2588" s="3"/>
    </row>
    <row r="2589" ht="17.6" spans="4:7">
      <c r="D2589" s="175">
        <v>42418</v>
      </c>
      <c r="E2589" s="176">
        <v>7191.75</v>
      </c>
      <c r="F2589" s="3"/>
      <c r="G2589" s="3"/>
    </row>
    <row r="2590" ht="17.6" spans="4:7">
      <c r="D2590" s="175">
        <v>42417</v>
      </c>
      <c r="E2590" s="176">
        <v>7108.45</v>
      </c>
      <c r="F2590" s="3"/>
      <c r="G2590" s="3"/>
    </row>
    <row r="2591" ht="17.6" spans="4:7">
      <c r="D2591" s="175">
        <v>42416</v>
      </c>
      <c r="E2591" s="176">
        <v>7048.25</v>
      </c>
      <c r="F2591" s="3"/>
      <c r="G2591" s="3"/>
    </row>
    <row r="2592" ht="17.6" spans="4:7">
      <c r="D2592" s="175">
        <v>42415</v>
      </c>
      <c r="E2592" s="176">
        <v>7162.95</v>
      </c>
      <c r="F2592" s="3"/>
      <c r="G2592" s="3"/>
    </row>
    <row r="2593" ht="17.6" spans="4:7">
      <c r="D2593" s="175">
        <v>42412</v>
      </c>
      <c r="E2593" s="176">
        <v>6980.95</v>
      </c>
      <c r="F2593" s="3"/>
      <c r="G2593" s="3"/>
    </row>
    <row r="2594" ht="17.6" spans="4:7">
      <c r="D2594" s="175">
        <v>42411</v>
      </c>
      <c r="E2594" s="176">
        <v>6976.35</v>
      </c>
      <c r="F2594" s="3"/>
      <c r="G2594" s="3"/>
    </row>
    <row r="2595" ht="17.6" spans="4:7">
      <c r="D2595" s="175">
        <v>42410</v>
      </c>
      <c r="E2595" s="176">
        <v>7215.7</v>
      </c>
      <c r="F2595" s="3"/>
      <c r="G2595" s="3"/>
    </row>
    <row r="2596" ht="17.6" spans="4:7">
      <c r="D2596" s="175">
        <v>42409</v>
      </c>
      <c r="E2596" s="176">
        <v>7298.2</v>
      </c>
      <c r="F2596" s="3"/>
      <c r="G2596" s="3"/>
    </row>
    <row r="2597" ht="17.6" spans="4:7">
      <c r="D2597" s="175">
        <v>42408</v>
      </c>
      <c r="E2597" s="176">
        <v>7387.25</v>
      </c>
      <c r="F2597" s="3"/>
      <c r="G2597" s="3"/>
    </row>
    <row r="2598" ht="17.6" spans="4:7">
      <c r="D2598" s="175">
        <v>42405</v>
      </c>
      <c r="E2598" s="176">
        <v>7489.1</v>
      </c>
      <c r="F2598" s="3"/>
      <c r="G2598" s="3"/>
    </row>
    <row r="2599" ht="17.6" spans="4:7">
      <c r="D2599" s="175">
        <v>42404</v>
      </c>
      <c r="E2599" s="176">
        <v>7404</v>
      </c>
      <c r="F2599" s="3"/>
      <c r="G2599" s="3"/>
    </row>
    <row r="2600" ht="17.6" spans="4:7">
      <c r="D2600" s="175">
        <v>42403</v>
      </c>
      <c r="E2600" s="176">
        <v>7361.8</v>
      </c>
      <c r="F2600" s="3"/>
      <c r="G2600" s="3"/>
    </row>
    <row r="2601" ht="17.6" spans="4:7">
      <c r="D2601" s="175">
        <v>42402</v>
      </c>
      <c r="E2601" s="176">
        <v>7455.55</v>
      </c>
      <c r="F2601" s="3"/>
      <c r="G2601" s="3"/>
    </row>
    <row r="2602" ht="17.6" spans="4:7">
      <c r="D2602" s="175">
        <v>42401</v>
      </c>
      <c r="E2602" s="176">
        <v>7555.95</v>
      </c>
      <c r="F2602" s="3"/>
      <c r="G2602" s="3"/>
    </row>
    <row r="2603" ht="17.6" spans="4:7">
      <c r="D2603" s="175">
        <v>42398</v>
      </c>
      <c r="E2603" s="176">
        <v>7563.55</v>
      </c>
      <c r="F2603" s="3"/>
      <c r="G2603" s="3"/>
    </row>
    <row r="2604" ht="17.6" spans="4:7">
      <c r="D2604" s="175">
        <v>42397</v>
      </c>
      <c r="E2604" s="176">
        <v>7424.65</v>
      </c>
      <c r="F2604" s="3"/>
      <c r="G2604" s="3"/>
    </row>
    <row r="2605" ht="17.6" spans="4:7">
      <c r="D2605" s="175">
        <v>42396</v>
      </c>
      <c r="E2605" s="176">
        <v>7437.75</v>
      </c>
      <c r="F2605" s="3"/>
      <c r="G2605" s="3"/>
    </row>
    <row r="2606" ht="17.6" spans="4:7">
      <c r="D2606" s="175">
        <v>42394</v>
      </c>
      <c r="E2606" s="176">
        <v>7436.15</v>
      </c>
      <c r="F2606" s="3"/>
      <c r="G2606" s="3"/>
    </row>
    <row r="2607" ht="17.6" spans="4:7">
      <c r="D2607" s="175">
        <v>42391</v>
      </c>
      <c r="E2607" s="176">
        <v>7422.45</v>
      </c>
      <c r="F2607" s="3"/>
      <c r="G2607" s="3"/>
    </row>
    <row r="2608" ht="17.6" spans="4:7">
      <c r="D2608" s="175">
        <v>42390</v>
      </c>
      <c r="E2608" s="176">
        <v>7276.8</v>
      </c>
      <c r="F2608" s="3"/>
      <c r="G2608" s="3"/>
    </row>
    <row r="2609" ht="17.6" spans="4:7">
      <c r="D2609" s="175">
        <v>42389</v>
      </c>
      <c r="E2609" s="176">
        <v>7309.3</v>
      </c>
      <c r="F2609" s="3"/>
      <c r="G2609" s="3"/>
    </row>
    <row r="2610" ht="17.6" spans="4:7">
      <c r="D2610" s="175">
        <v>42388</v>
      </c>
      <c r="E2610" s="176">
        <v>7435.1</v>
      </c>
      <c r="F2610" s="3"/>
      <c r="G2610" s="3"/>
    </row>
    <row r="2611" ht="17.6" spans="4:7">
      <c r="D2611" s="175">
        <v>42387</v>
      </c>
      <c r="E2611" s="176">
        <v>7351</v>
      </c>
      <c r="F2611" s="3"/>
      <c r="G2611" s="3"/>
    </row>
    <row r="2612" ht="17.6" spans="4:7">
      <c r="D2612" s="175">
        <v>42384</v>
      </c>
      <c r="E2612" s="176">
        <v>7437.8</v>
      </c>
      <c r="F2612" s="3"/>
      <c r="G2612" s="3"/>
    </row>
    <row r="2613" ht="17.6" spans="4:7">
      <c r="D2613" s="175">
        <v>42383</v>
      </c>
      <c r="E2613" s="176">
        <v>7536.8</v>
      </c>
      <c r="F2613" s="3"/>
      <c r="G2613" s="3"/>
    </row>
    <row r="2614" ht="17.6" spans="4:7">
      <c r="D2614" s="175">
        <v>42382</v>
      </c>
      <c r="E2614" s="176">
        <v>7562.4</v>
      </c>
      <c r="F2614" s="3"/>
      <c r="G2614" s="3"/>
    </row>
    <row r="2615" ht="17.6" spans="4:7">
      <c r="D2615" s="175">
        <v>42381</v>
      </c>
      <c r="E2615" s="176">
        <v>7510.3</v>
      </c>
      <c r="F2615" s="3"/>
      <c r="G2615" s="3"/>
    </row>
    <row r="2616" ht="17.6" spans="4:7">
      <c r="D2616" s="175">
        <v>42380</v>
      </c>
      <c r="E2616" s="176">
        <v>7563.85</v>
      </c>
      <c r="F2616" s="3"/>
      <c r="G2616" s="3"/>
    </row>
    <row r="2617" ht="17.6" spans="4:7">
      <c r="D2617" s="175">
        <v>42377</v>
      </c>
      <c r="E2617" s="176">
        <v>7601.35</v>
      </c>
      <c r="F2617" s="3"/>
      <c r="G2617" s="3"/>
    </row>
    <row r="2618" ht="17.6" spans="4:7">
      <c r="D2618" s="175">
        <v>42376</v>
      </c>
      <c r="E2618" s="176">
        <v>7568.3</v>
      </c>
      <c r="F2618" s="3"/>
      <c r="G2618" s="3"/>
    </row>
    <row r="2619" ht="17.6" spans="4:7">
      <c r="D2619" s="175">
        <v>42375</v>
      </c>
      <c r="E2619" s="176">
        <v>7741</v>
      </c>
      <c r="F2619" s="3"/>
      <c r="G2619" s="3"/>
    </row>
    <row r="2620" ht="17.6" spans="4:7">
      <c r="D2620" s="175">
        <v>42374</v>
      </c>
      <c r="E2620" s="176">
        <v>7784.65</v>
      </c>
      <c r="F2620" s="3"/>
      <c r="G2620" s="3"/>
    </row>
    <row r="2621" ht="17.6" spans="4:7">
      <c r="D2621" s="175">
        <v>42373</v>
      </c>
      <c r="E2621" s="176">
        <v>7791.3</v>
      </c>
      <c r="F2621" s="3"/>
      <c r="G2621" s="3"/>
    </row>
    <row r="2622" ht="17.6" spans="4:7">
      <c r="D2622" s="175">
        <v>42370</v>
      </c>
      <c r="E2622" s="176">
        <v>7963.2</v>
      </c>
      <c r="F2622" s="3"/>
      <c r="G2622" s="3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5"/>
  <sheetViews>
    <sheetView showGridLines="0" zoomScale="68" zoomScaleNormal="68" workbookViewId="0">
      <selection activeCell="J26" sqref="J26"/>
    </sheetView>
  </sheetViews>
  <sheetFormatPr defaultColWidth="9.14285714285714" defaultRowHeight="16.8"/>
  <cols>
    <col min="1" max="1" width="1.23214285714286" style="1" customWidth="1"/>
    <col min="2" max="2" width="1.29464285714286" style="5" customWidth="1"/>
    <col min="3" max="3" width="1.33035714285714" style="5" customWidth="1"/>
    <col min="4" max="4" width="40.6428571428571" style="5" customWidth="1"/>
    <col min="5" max="6" width="9.14285714285714" style="5"/>
    <col min="7" max="7" width="2.64285714285714" style="5" customWidth="1"/>
    <col min="8" max="8" width="16.5" style="5" customWidth="1"/>
    <col min="9" max="9" width="13.6428571428571" style="5" customWidth="1"/>
    <col min="10" max="10" width="14.2321428571429" style="5" customWidth="1"/>
    <col min="11" max="11" width="19.1339285714286" style="5" customWidth="1"/>
    <col min="12" max="12" width="13.6428571428571" style="6" customWidth="1"/>
    <col min="13" max="19" width="13.6428571428571" style="2" customWidth="1"/>
    <col min="20" max="20" width="14.2589285714286" style="2" customWidth="1"/>
    <col min="21" max="21" width="15.5" style="2" customWidth="1"/>
    <col min="22" max="22" width="13.6428571428571" style="2" customWidth="1"/>
    <col min="23" max="16384" width="12.6428571428571" style="2" customWidth="1"/>
  </cols>
  <sheetData>
    <row r="1" s="1" customFormat="1" ht="36" spans="1:22">
      <c r="A1" s="7" t="s">
        <v>0</v>
      </c>
      <c r="B1" s="8"/>
      <c r="C1" s="8"/>
      <c r="D1" s="9"/>
      <c r="E1" s="9"/>
      <c r="F1" s="9"/>
      <c r="G1" s="10"/>
      <c r="H1" s="10"/>
      <c r="I1" s="10"/>
      <c r="J1" s="10"/>
      <c r="K1" s="10"/>
      <c r="L1" s="10"/>
      <c r="M1" s="11"/>
      <c r="N1" s="12"/>
      <c r="O1" s="12"/>
      <c r="P1" s="12"/>
      <c r="Q1" s="12"/>
      <c r="R1" s="12"/>
      <c r="S1" s="12"/>
      <c r="T1" s="12"/>
      <c r="U1" s="12"/>
      <c r="V1" s="12"/>
    </row>
    <row r="2" s="1" customFormat="1" ht="17.6" spans="1:22">
      <c r="A2" s="96" t="s">
        <v>317</v>
      </c>
      <c r="B2" s="14"/>
      <c r="C2" s="14"/>
      <c r="D2" s="15"/>
      <c r="E2" s="9"/>
      <c r="F2" s="9"/>
      <c r="G2" s="10"/>
      <c r="H2" s="10"/>
      <c r="I2" s="10"/>
      <c r="J2" s="10"/>
      <c r="K2" s="10"/>
      <c r="L2" s="16"/>
      <c r="M2" s="11"/>
      <c r="N2" s="12"/>
      <c r="O2" s="12"/>
      <c r="P2" s="12"/>
      <c r="Q2" s="12"/>
      <c r="R2" s="12"/>
      <c r="S2" s="12"/>
      <c r="T2" s="12"/>
      <c r="U2" s="12"/>
      <c r="V2" s="12"/>
    </row>
    <row r="3" s="1" customFormat="1" spans="1:22">
      <c r="G3" s="2"/>
      <c r="H3" s="2"/>
      <c r="I3" s="2"/>
      <c r="J3" s="2"/>
      <c r="K3" s="2"/>
      <c r="L3" s="2"/>
      <c r="M3" s="2"/>
    </row>
    <row r="4" s="1" customFormat="1" ht="15" customHeight="1" spans="1:22">
      <c r="A4" s="82"/>
      <c r="B4" s="38"/>
    </row>
    <row r="5" s="1" customFormat="1" ht="20.4" spans="1:22">
      <c r="B5" s="5"/>
      <c r="D5" s="97"/>
      <c r="E5" s="98"/>
      <c r="F5" s="99"/>
      <c r="G5" s="99"/>
      <c r="H5" s="99"/>
      <c r="I5" s="100" t="s">
        <v>312</v>
      </c>
      <c r="J5" s="100"/>
      <c r="K5" s="101"/>
      <c r="L5" s="101"/>
      <c r="M5" s="101"/>
      <c r="N5" s="101"/>
      <c r="O5" s="102"/>
      <c r="P5" s="100" t="s">
        <v>318</v>
      </c>
      <c r="Q5" s="101"/>
      <c r="R5" s="100"/>
      <c r="S5" s="102"/>
      <c r="T5" s="100" t="s">
        <v>319</v>
      </c>
      <c r="U5" s="101"/>
      <c r="V5" s="100"/>
    </row>
    <row r="6" s="1" customFormat="1" ht="20.4" spans="1:22">
      <c r="B6" s="5"/>
      <c r="D6" s="97"/>
      <c r="E6" s="103"/>
      <c r="F6" s="99"/>
      <c r="G6" s="99"/>
      <c r="H6" s="99"/>
      <c r="I6" s="104" t="s">
        <v>320</v>
      </c>
      <c r="J6" s="104" t="s">
        <v>321</v>
      </c>
      <c r="K6" s="104" t="s">
        <v>301</v>
      </c>
      <c r="L6" s="104" t="s">
        <v>181</v>
      </c>
      <c r="M6" s="104" t="s">
        <v>322</v>
      </c>
      <c r="N6" s="104" t="s">
        <v>323</v>
      </c>
      <c r="O6" s="104"/>
      <c r="P6" s="104" t="s">
        <v>324</v>
      </c>
      <c r="Q6" s="104" t="s">
        <v>156</v>
      </c>
      <c r="R6" s="104" t="s">
        <v>325</v>
      </c>
      <c r="S6" s="105"/>
      <c r="T6" s="104" t="s">
        <v>326</v>
      </c>
      <c r="U6" s="104" t="s">
        <v>221</v>
      </c>
      <c r="V6" s="104" t="s">
        <v>327</v>
      </c>
    </row>
    <row r="7" s="1" customFormat="1" ht="23.2" spans="1:22">
      <c r="B7" s="5"/>
      <c r="C7" s="5"/>
      <c r="D7" s="106" t="s">
        <v>279</v>
      </c>
      <c r="E7" s="103"/>
      <c r="F7" s="99"/>
      <c r="G7" s="104" t="s">
        <v>328</v>
      </c>
      <c r="H7" s="99"/>
      <c r="I7" s="99" t="s">
        <v>329</v>
      </c>
      <c r="J7" s="404" t="s">
        <v>330</v>
      </c>
      <c r="K7" s="105" t="s">
        <v>331</v>
      </c>
      <c r="L7" s="99"/>
      <c r="M7" s="104" t="s">
        <v>332</v>
      </c>
      <c r="N7" s="105" t="s">
        <v>331</v>
      </c>
      <c r="O7" s="104"/>
      <c r="P7" s="105" t="s">
        <v>331</v>
      </c>
      <c r="Q7" s="105" t="s">
        <v>331</v>
      </c>
      <c r="R7" s="105" t="s">
        <v>331</v>
      </c>
      <c r="S7" s="105"/>
      <c r="T7" s="105" t="s">
        <v>333</v>
      </c>
      <c r="U7" s="105" t="s">
        <v>333</v>
      </c>
      <c r="V7" s="105" t="s">
        <v>333</v>
      </c>
    </row>
    <row r="8" s="1" customFormat="1" ht="18" spans="1:22">
      <c r="B8" s="107"/>
      <c r="C8" s="108"/>
      <c r="D8" s="109" t="s">
        <v>284</v>
      </c>
      <c r="E8" s="110"/>
      <c r="F8" s="110"/>
      <c r="G8" s="111" t="s">
        <v>334</v>
      </c>
      <c r="H8" s="111"/>
      <c r="I8" s="112">
        <f>Comps_Data!I7</f>
        <v>1328</v>
      </c>
      <c r="J8" s="112">
        <f>Comps_Data!J7</f>
        <v>830</v>
      </c>
      <c r="K8" s="113">
        <f>I8*J8</f>
        <v>1102240</v>
      </c>
      <c r="L8" s="114">
        <f>Comps_Data!K7</f>
        <v>46770</v>
      </c>
      <c r="M8" s="114">
        <f>Comps_Data!L7</f>
        <v>14654</v>
      </c>
      <c r="N8" s="115">
        <f>K8+L8-M8</f>
        <v>1134356</v>
      </c>
      <c r="O8" s="115"/>
      <c r="P8" s="116">
        <f>Comps_Data!M7</f>
        <v>325535</v>
      </c>
      <c r="Q8" s="116">
        <f>Comps_Data!N7</f>
        <v>92133</v>
      </c>
      <c r="R8" s="116">
        <f>Comps_Data!O7</f>
        <v>56544</v>
      </c>
      <c r="S8" s="117"/>
      <c r="T8" s="118">
        <f>N8/P8</f>
        <v>3.48458998264396</v>
      </c>
      <c r="U8" s="118">
        <f>N8/Q8</f>
        <v>12.3121574245927</v>
      </c>
      <c r="V8" s="118">
        <f>K8/R8</f>
        <v>19.4934917940011</v>
      </c>
    </row>
    <row r="9" s="1" customFormat="1" ht="18" spans="1:22">
      <c r="B9" s="108"/>
      <c r="C9" s="108"/>
      <c r="D9" s="109" t="s">
        <v>285</v>
      </c>
      <c r="E9" s="110"/>
      <c r="F9" s="110"/>
      <c r="G9" s="111" t="s">
        <v>335</v>
      </c>
      <c r="H9" s="111"/>
      <c r="I9" s="112">
        <f>Comps_Data!I8</f>
        <v>1104</v>
      </c>
      <c r="J9" s="112">
        <f>Comps_Data!J8</f>
        <v>1010</v>
      </c>
      <c r="K9" s="113">
        <f t="shared" ref="K9:K17" si="0">I9*J9</f>
        <v>1115040</v>
      </c>
      <c r="L9" s="114">
        <f>Comps_Data!K8</f>
        <v>32130</v>
      </c>
      <c r="M9" s="114">
        <f>Comps_Data!L8</f>
        <v>80970</v>
      </c>
      <c r="N9" s="115">
        <f t="shared" ref="N9:N17" si="1">K9+L9-M9</f>
        <v>1066200</v>
      </c>
      <c r="O9" s="115"/>
      <c r="P9" s="116">
        <f>Comps_Data!M8</f>
        <v>232420</v>
      </c>
      <c r="Q9" s="116">
        <f>Comps_Data!N8</f>
        <v>70580</v>
      </c>
      <c r="R9" s="116">
        <f>Comps_Data!O8</f>
        <v>46730</v>
      </c>
      <c r="S9" s="117"/>
      <c r="T9" s="118">
        <f t="shared" ref="T9:T17" si="2">N9/P9</f>
        <v>4.58738490663454</v>
      </c>
      <c r="U9" s="118">
        <f t="shared" ref="U9:U17" si="3">N9/Q9</f>
        <v>15.1062623972797</v>
      </c>
      <c r="V9" s="118">
        <f t="shared" ref="V9:V17" si="4">K9/R9</f>
        <v>23.8613310507169</v>
      </c>
    </row>
    <row r="10" s="1" customFormat="1" ht="18" spans="1:22">
      <c r="B10" s="108"/>
      <c r="C10" s="108"/>
      <c r="D10" s="109" t="s">
        <v>286</v>
      </c>
      <c r="E10" s="110"/>
      <c r="F10" s="110"/>
      <c r="G10" s="111" t="s">
        <v>336</v>
      </c>
      <c r="H10" s="111"/>
      <c r="I10" s="112">
        <f>Comps_Data!I9</f>
        <v>4604</v>
      </c>
      <c r="J10" s="112">
        <f>Comps_Data!J9</f>
        <v>338</v>
      </c>
      <c r="K10" s="113">
        <f t="shared" si="0"/>
        <v>1556152</v>
      </c>
      <c r="L10" s="114">
        <f>Comps_Data!K9</f>
        <v>32020</v>
      </c>
      <c r="M10" s="114">
        <f>Comps_Data!L9</f>
        <v>9690</v>
      </c>
      <c r="N10" s="115">
        <f t="shared" si="1"/>
        <v>1578482</v>
      </c>
      <c r="O10" s="115"/>
      <c r="P10" s="116">
        <f>Comps_Data!M9</f>
        <v>115160</v>
      </c>
      <c r="Q10" s="116">
        <f>Comps_Data!N9</f>
        <v>37210</v>
      </c>
      <c r="R10" s="116">
        <f>Comps_Data!O9</f>
        <v>19110</v>
      </c>
      <c r="S10" s="117"/>
      <c r="T10" s="118">
        <f t="shared" si="2"/>
        <v>13.7068600208406</v>
      </c>
      <c r="U10" s="118">
        <f t="shared" si="3"/>
        <v>42.4209083579683</v>
      </c>
      <c r="V10" s="118">
        <f t="shared" si="4"/>
        <v>81.4312925170068</v>
      </c>
    </row>
    <row r="11" s="1" customFormat="1" ht="18" spans="1:22">
      <c r="B11" s="108"/>
      <c r="C11" s="108"/>
      <c r="D11" s="109" t="s">
        <v>287</v>
      </c>
      <c r="E11" s="110"/>
      <c r="F11" s="110"/>
      <c r="G11" s="111" t="s">
        <v>337</v>
      </c>
      <c r="H11" s="111"/>
      <c r="I11" s="112">
        <f>Comps_Data!I10</f>
        <v>2393</v>
      </c>
      <c r="J11" s="112">
        <f>Comps_Data!J10</f>
        <v>410</v>
      </c>
      <c r="K11" s="113">
        <f t="shared" si="0"/>
        <v>981130</v>
      </c>
      <c r="L11" s="114">
        <f>Comps_Data!K10</f>
        <v>85110</v>
      </c>
      <c r="M11" s="114">
        <f>Comps_Data!L10</f>
        <v>22500</v>
      </c>
      <c r="N11" s="115">
        <f t="shared" si="1"/>
        <v>1043740</v>
      </c>
      <c r="O11" s="115"/>
      <c r="P11" s="116">
        <f>Comps_Data!M10</f>
        <v>122070</v>
      </c>
      <c r="Q11" s="116">
        <f>Comps_Data!N10</f>
        <v>30260</v>
      </c>
      <c r="R11" s="116">
        <f>Comps_Data!O10</f>
        <v>20110</v>
      </c>
      <c r="S11" s="117"/>
      <c r="T11" s="118">
        <f t="shared" si="2"/>
        <v>8.55033996887032</v>
      </c>
      <c r="U11" s="118">
        <f t="shared" si="3"/>
        <v>34.4923992068738</v>
      </c>
      <c r="V11" s="118">
        <f t="shared" si="4"/>
        <v>48.788165091994</v>
      </c>
    </row>
    <row r="12" s="1" customFormat="1" ht="18" spans="1:22">
      <c r="B12" s="108"/>
      <c r="C12" s="108"/>
      <c r="D12" s="109" t="s">
        <v>288</v>
      </c>
      <c r="E12" s="110"/>
      <c r="F12" s="110"/>
      <c r="G12" s="111" t="s">
        <v>338</v>
      </c>
      <c r="H12" s="111"/>
      <c r="I12" s="112">
        <f>Comps_Data!I11</f>
        <v>2278</v>
      </c>
      <c r="J12" s="112">
        <f>Comps_Data!J11</f>
        <v>455</v>
      </c>
      <c r="K12" s="113">
        <f t="shared" si="0"/>
        <v>1036490</v>
      </c>
      <c r="L12" s="114">
        <f>Comps_Data!K11</f>
        <v>54480</v>
      </c>
      <c r="M12" s="114">
        <f>Comps_Data!L11</f>
        <v>57580</v>
      </c>
      <c r="N12" s="115">
        <f t="shared" si="1"/>
        <v>1033390</v>
      </c>
      <c r="O12" s="115"/>
      <c r="P12" s="116">
        <f>Comps_Data!M11</f>
        <v>227080</v>
      </c>
      <c r="Q12" s="116">
        <f>Comps_Data!N11</f>
        <v>54792</v>
      </c>
      <c r="R12" s="116">
        <f>Comps_Data!O11</f>
        <v>33060</v>
      </c>
      <c r="S12" s="117"/>
      <c r="T12" s="118">
        <f t="shared" si="2"/>
        <v>4.55077505724855</v>
      </c>
      <c r="U12" s="118">
        <f t="shared" si="3"/>
        <v>18.8602350708133</v>
      </c>
      <c r="V12" s="118">
        <f t="shared" si="4"/>
        <v>31.3517846339988</v>
      </c>
    </row>
    <row r="13" s="1" customFormat="1" ht="18" spans="1:22">
      <c r="B13" s="108"/>
      <c r="C13" s="108"/>
      <c r="D13" s="109" t="s">
        <v>289</v>
      </c>
      <c r="E13" s="110"/>
      <c r="F13" s="110"/>
      <c r="G13" s="111" t="s">
        <v>339</v>
      </c>
      <c r="H13" s="111"/>
      <c r="I13" s="112">
        <f>Comps_Data!I12</f>
        <v>1454</v>
      </c>
      <c r="J13" s="112">
        <f>Comps_Data!J12</f>
        <v>580</v>
      </c>
      <c r="K13" s="113">
        <f t="shared" si="0"/>
        <v>843320</v>
      </c>
      <c r="L13" s="114">
        <f>Comps_Data!K12</f>
        <v>82630</v>
      </c>
      <c r="M13" s="114">
        <f>Comps_Data!L12</f>
        <v>82400</v>
      </c>
      <c r="N13" s="115">
        <f t="shared" si="1"/>
        <v>843550</v>
      </c>
      <c r="O13" s="115"/>
      <c r="P13" s="116">
        <f>Comps_Data!M12</f>
        <v>317240</v>
      </c>
      <c r="Q13" s="116">
        <f>Comps_Data!N12</f>
        <v>65510</v>
      </c>
      <c r="R13" s="116">
        <f>Comps_Data!O12</f>
        <v>34840</v>
      </c>
      <c r="S13" s="117"/>
      <c r="T13" s="118">
        <f t="shared" si="2"/>
        <v>2.65902786533854</v>
      </c>
      <c r="U13" s="118">
        <f t="shared" si="3"/>
        <v>12.8766600519005</v>
      </c>
      <c r="V13" s="118">
        <f t="shared" si="4"/>
        <v>24.2055109070034</v>
      </c>
    </row>
    <row r="14" s="1" customFormat="1" ht="18" spans="1:22">
      <c r="B14" s="108"/>
      <c r="C14" s="108"/>
      <c r="D14" s="109" t="s">
        <v>290</v>
      </c>
      <c r="E14" s="110"/>
      <c r="F14" s="110"/>
      <c r="G14" s="111" t="s">
        <v>340</v>
      </c>
      <c r="H14" s="111"/>
      <c r="I14" s="112">
        <f>Comps_Data!I13</f>
        <v>26073</v>
      </c>
      <c r="J14" s="112">
        <f>Comps_Data!J13</f>
        <v>21</v>
      </c>
      <c r="K14" s="113">
        <f t="shared" si="0"/>
        <v>547533</v>
      </c>
      <c r="L14" s="114">
        <f>Comps_Data!K13</f>
        <v>1970</v>
      </c>
      <c r="M14" s="114">
        <f>Comps_Data!L13</f>
        <v>11100</v>
      </c>
      <c r="N14" s="115">
        <f t="shared" si="1"/>
        <v>538403</v>
      </c>
      <c r="O14" s="115"/>
      <c r="P14" s="116">
        <f>Comps_Data!M13</f>
        <v>64090</v>
      </c>
      <c r="Q14" s="116">
        <f>Comps_Data!N13</f>
        <v>16950</v>
      </c>
      <c r="R14" s="116">
        <f>Comps_Data!O13</f>
        <v>14140</v>
      </c>
      <c r="S14" s="117"/>
      <c r="T14" s="118">
        <f t="shared" si="2"/>
        <v>8.40073334373537</v>
      </c>
      <c r="U14" s="118">
        <f t="shared" si="3"/>
        <v>31.7641887905605</v>
      </c>
      <c r="V14" s="118">
        <f t="shared" si="4"/>
        <v>38.7222772277228</v>
      </c>
    </row>
    <row r="15" s="1" customFormat="1" ht="17.6" spans="1:22">
      <c r="B15" s="108"/>
      <c r="C15" s="108"/>
      <c r="D15" s="119" t="s">
        <v>291</v>
      </c>
      <c r="E15" s="110"/>
      <c r="F15" s="110"/>
      <c r="G15" s="111" t="s">
        <v>341</v>
      </c>
      <c r="H15" s="111"/>
      <c r="I15" s="112">
        <f>Comps_Data!I14</f>
        <v>2174</v>
      </c>
      <c r="J15" s="112">
        <f>Comps_Data!J14</f>
        <v>169</v>
      </c>
      <c r="K15" s="113">
        <f t="shared" si="0"/>
        <v>367406</v>
      </c>
      <c r="L15" s="114">
        <f>Comps_Data!K14</f>
        <v>100</v>
      </c>
      <c r="M15" s="114">
        <f>Comps_Data!L14</f>
        <v>28170</v>
      </c>
      <c r="N15" s="115">
        <f t="shared" si="1"/>
        <v>339336</v>
      </c>
      <c r="O15" s="115"/>
      <c r="P15" s="116">
        <f>Comps_Data!M14</f>
        <v>37490</v>
      </c>
      <c r="Q15" s="116">
        <f>Comps_Data!N14</f>
        <v>11790</v>
      </c>
      <c r="R15" s="116">
        <f>Comps_Data!O14</f>
        <v>9280</v>
      </c>
      <c r="S15" s="117"/>
      <c r="T15" s="118">
        <f t="shared" si="2"/>
        <v>9.05137369965324</v>
      </c>
      <c r="U15" s="118">
        <f t="shared" si="3"/>
        <v>28.781679389313</v>
      </c>
      <c r="V15" s="118">
        <f t="shared" si="4"/>
        <v>39.5911637931034</v>
      </c>
    </row>
    <row r="16" s="1" customFormat="1" ht="18" spans="1:22">
      <c r="B16" s="108"/>
      <c r="C16" s="107"/>
      <c r="D16" s="109" t="s">
        <v>292</v>
      </c>
      <c r="E16" s="110"/>
      <c r="F16" s="110"/>
      <c r="G16" s="111" t="s">
        <v>342</v>
      </c>
      <c r="H16" s="111"/>
      <c r="I16" s="112">
        <f>Comps_Data!I15</f>
        <v>1656</v>
      </c>
      <c r="J16" s="112">
        <f>Comps_Data!J15</f>
        <v>250</v>
      </c>
      <c r="K16" s="113">
        <f t="shared" si="0"/>
        <v>414000</v>
      </c>
      <c r="L16" s="114">
        <f>Comps_Data!K15</f>
        <v>13630</v>
      </c>
      <c r="M16" s="114">
        <f>Comps_Data!L15</f>
        <v>11100</v>
      </c>
      <c r="N16" s="115">
        <f t="shared" si="1"/>
        <v>416530</v>
      </c>
      <c r="O16" s="115"/>
      <c r="P16" s="116">
        <f>Comps_Data!M15</f>
        <v>88970</v>
      </c>
      <c r="Q16" s="116">
        <f>Comps_Data!N15</f>
        <v>17310</v>
      </c>
      <c r="R16" s="116">
        <f>Comps_Data!O15</f>
        <v>7850</v>
      </c>
      <c r="S16" s="117"/>
      <c r="T16" s="118">
        <f t="shared" si="2"/>
        <v>4.68169045745757</v>
      </c>
      <c r="U16" s="118">
        <f t="shared" si="3"/>
        <v>24.0629693818602</v>
      </c>
      <c r="V16" s="118">
        <f t="shared" si="4"/>
        <v>52.7388535031847</v>
      </c>
    </row>
    <row r="17" s="1" customFormat="1" ht="18" spans="2:22">
      <c r="B17" s="108"/>
      <c r="C17" s="117"/>
      <c r="D17" s="109" t="s">
        <v>293</v>
      </c>
      <c r="E17" s="110"/>
      <c r="F17" s="110"/>
      <c r="G17" s="111" t="s">
        <v>343</v>
      </c>
      <c r="H17" s="120"/>
      <c r="I17" s="112">
        <f>Comps_Data!I16</f>
        <v>2522</v>
      </c>
      <c r="J17" s="112">
        <f>Comps_Data!J16</f>
        <v>160</v>
      </c>
      <c r="K17" s="113">
        <f t="shared" si="0"/>
        <v>403520</v>
      </c>
      <c r="L17" s="114">
        <f>Comps_Data!K16</f>
        <v>3140</v>
      </c>
      <c r="M17" s="114">
        <f>Comps_Data!L16</f>
        <v>30500</v>
      </c>
      <c r="N17" s="115">
        <f t="shared" si="1"/>
        <v>376160</v>
      </c>
      <c r="O17" s="115"/>
      <c r="P17" s="116">
        <f>Comps_Data!M16</f>
        <v>56160</v>
      </c>
      <c r="Q17" s="116">
        <f>Comps_Data!N16</f>
        <v>12690</v>
      </c>
      <c r="R17" s="116">
        <f>Comps_Data!O16</f>
        <v>6990</v>
      </c>
      <c r="S17" s="117"/>
      <c r="T17" s="118">
        <f t="shared" si="2"/>
        <v>6.6980056980057</v>
      </c>
      <c r="U17" s="118">
        <f t="shared" si="3"/>
        <v>29.6422379826635</v>
      </c>
      <c r="V17" s="118">
        <f t="shared" si="4"/>
        <v>57.7281831187411</v>
      </c>
    </row>
    <row r="18" s="1" customFormat="1" ht="17.6" spans="2:22">
      <c r="B18" s="108"/>
      <c r="C18" s="121"/>
      <c r="D18" s="110"/>
      <c r="E18" s="110"/>
      <c r="F18" s="110"/>
      <c r="G18" s="122"/>
      <c r="H18" s="123"/>
      <c r="I18" s="124"/>
      <c r="J18" s="124"/>
      <c r="K18" s="124"/>
      <c r="L18" s="125"/>
      <c r="M18" s="126"/>
      <c r="N18" s="115"/>
      <c r="O18" s="115"/>
      <c r="P18" s="117"/>
      <c r="Q18" s="117"/>
      <c r="R18" s="117"/>
      <c r="S18" s="117"/>
      <c r="T18" s="118"/>
      <c r="U18" s="118"/>
      <c r="V18" s="118"/>
    </row>
    <row r="19" s="1" customFormat="1" spans="2:22">
      <c r="B19" s="5"/>
      <c r="C19" s="5"/>
      <c r="D19" s="26"/>
      <c r="E19" s="26"/>
      <c r="F19" s="26"/>
      <c r="G19" s="27"/>
      <c r="H19" s="49"/>
      <c r="I19" s="50"/>
      <c r="J19" s="50"/>
      <c r="K19" s="50"/>
      <c r="L19" s="127"/>
      <c r="M19" s="128"/>
      <c r="N19" s="129"/>
      <c r="O19" s="129"/>
      <c r="T19" s="130"/>
      <c r="U19" s="130"/>
      <c r="V19" s="130"/>
    </row>
    <row r="20" s="1" customFormat="1" ht="20.4" spans="2:22">
      <c r="B20" s="5"/>
      <c r="C20" s="5"/>
      <c r="D20" s="131" t="s">
        <v>233</v>
      </c>
      <c r="E20" s="132"/>
      <c r="F20" s="133"/>
      <c r="G20" s="133"/>
      <c r="H20" s="133"/>
      <c r="I20" s="134"/>
      <c r="J20" s="134"/>
      <c r="K20" s="135"/>
      <c r="L20" s="135"/>
      <c r="M20" s="135"/>
      <c r="N20" s="135"/>
      <c r="O20" s="132"/>
      <c r="P20" s="134"/>
      <c r="Q20" s="135"/>
      <c r="R20" s="134"/>
      <c r="S20" s="132"/>
      <c r="T20" s="136">
        <f>AVERAGE(T8:T17)</f>
        <v>6.63707810004284</v>
      </c>
      <c r="U20" s="136">
        <f>AVERAGE(U8:U17)</f>
        <v>25.0319698053825</v>
      </c>
      <c r="V20" s="136">
        <f>AVERAGE(V8:V17)</f>
        <v>41.7912053637473</v>
      </c>
    </row>
    <row r="21" s="1" customFormat="1" ht="20.4" spans="2:22">
      <c r="B21" s="5"/>
      <c r="C21" s="5"/>
      <c r="D21" s="131" t="s">
        <v>294</v>
      </c>
      <c r="E21" s="137"/>
      <c r="F21" s="133"/>
      <c r="G21" s="133"/>
      <c r="H21" s="133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9"/>
      <c r="T21" s="136">
        <f>MEDIAN(T8:T17)</f>
        <v>5.68984807773163</v>
      </c>
      <c r="U21" s="136">
        <f>MEDIAN(U8:U17)</f>
        <v>26.4223243855866</v>
      </c>
      <c r="V21" s="136">
        <f>MEDIAN(V8:V17)</f>
        <v>39.1567205104131</v>
      </c>
    </row>
    <row r="22" s="1" customFormat="1" ht="20.4" spans="2:22">
      <c r="B22" s="5"/>
      <c r="C22" s="38"/>
      <c r="D22" s="140"/>
      <c r="E22" s="140"/>
      <c r="F22" s="141"/>
      <c r="G22" s="142"/>
      <c r="H22" s="141"/>
      <c r="I22" s="141"/>
      <c r="J22" s="141"/>
      <c r="K22" s="143"/>
      <c r="L22" s="141"/>
      <c r="M22" s="144"/>
      <c r="N22" s="143"/>
      <c r="O22" s="144"/>
      <c r="P22" s="143"/>
      <c r="Q22" s="143"/>
      <c r="R22" s="143"/>
      <c r="S22" s="143"/>
      <c r="T22" s="145"/>
      <c r="U22" s="145"/>
      <c r="V22" s="145"/>
    </row>
    <row r="23" s="1" customFormat="1" ht="21" spans="2:22">
      <c r="B23" s="5"/>
      <c r="C23" s="5"/>
      <c r="D23" s="146" t="s">
        <v>0</v>
      </c>
      <c r="E23" s="147"/>
      <c r="F23" s="148"/>
      <c r="G23" s="149"/>
      <c r="H23" s="150" t="s">
        <v>344</v>
      </c>
      <c r="I23" s="151">
        <f>Comps_Data!I5</f>
        <v>5458</v>
      </c>
      <c r="J23" s="151">
        <f>Comps_Data!J5</f>
        <v>120</v>
      </c>
      <c r="K23" s="152">
        <f>I23*J23</f>
        <v>654960</v>
      </c>
      <c r="L23" s="151">
        <f>Comps_Data!K5</f>
        <v>13810</v>
      </c>
      <c r="M23" s="151">
        <f>Comps_Data!L5</f>
        <v>18810</v>
      </c>
      <c r="N23" s="153">
        <f>K23+L23-M23</f>
        <v>649960</v>
      </c>
      <c r="O23" s="151"/>
      <c r="P23" s="154">
        <f>Comps_Data!M5</f>
        <v>129650</v>
      </c>
      <c r="Q23" s="154">
        <f>Comps_Data!N5</f>
        <v>25120</v>
      </c>
      <c r="R23" s="154">
        <f>Comps_Data!O5</f>
        <v>22150</v>
      </c>
      <c r="S23" s="154"/>
      <c r="T23" s="145"/>
      <c r="U23" s="145"/>
      <c r="V23" s="145"/>
    </row>
    <row r="24" s="1" customFormat="1" ht="20.4" spans="2:22">
      <c r="B24" s="5"/>
      <c r="C24" s="38"/>
      <c r="D24" s="148"/>
      <c r="E24" s="148"/>
      <c r="F24" s="148"/>
      <c r="G24" s="155"/>
      <c r="H24" s="156"/>
      <c r="I24" s="156"/>
      <c r="J24" s="156"/>
      <c r="K24" s="156"/>
      <c r="L24" s="156"/>
      <c r="M24" s="155"/>
      <c r="N24" s="155"/>
      <c r="O24" s="157"/>
      <c r="P24" s="158"/>
      <c r="Q24" s="158"/>
      <c r="R24" s="158"/>
      <c r="S24" s="158"/>
      <c r="T24" s="145"/>
      <c r="U24" s="145"/>
      <c r="V24" s="145"/>
    </row>
    <row r="25" s="1" customFormat="1" ht="20.4" spans="2:22">
      <c r="B25" s="5"/>
      <c r="C25" s="38"/>
      <c r="D25" s="159" t="s">
        <v>345</v>
      </c>
      <c r="E25" s="160" t="s">
        <v>346</v>
      </c>
      <c r="F25" s="159"/>
      <c r="G25" s="159"/>
      <c r="H25" s="161" t="s">
        <v>323</v>
      </c>
      <c r="I25" s="161" t="s">
        <v>347</v>
      </c>
      <c r="J25" s="161" t="s">
        <v>249</v>
      </c>
      <c r="K25" s="161" t="s">
        <v>321</v>
      </c>
      <c r="L25" s="161" t="s">
        <v>348</v>
      </c>
      <c r="M25" s="155"/>
      <c r="N25" s="155"/>
      <c r="O25" s="155"/>
      <c r="P25" s="158"/>
      <c r="Q25" s="158"/>
      <c r="R25" s="158"/>
      <c r="S25" s="158"/>
      <c r="T25" s="145"/>
      <c r="U25" s="145"/>
      <c r="V25" s="145"/>
    </row>
    <row r="26" ht="20.4" spans="2:22">
      <c r="C26" s="58"/>
      <c r="D26" s="148" t="s">
        <v>349</v>
      </c>
      <c r="E26" s="162">
        <f>T21</f>
        <v>5.68984807773163</v>
      </c>
      <c r="F26" s="163"/>
      <c r="G26" s="148"/>
      <c r="H26" s="164">
        <f>E26*P23</f>
        <v>737688.803277906</v>
      </c>
      <c r="I26" s="148">
        <f>$L$23-$M$23</f>
        <v>-5000</v>
      </c>
      <c r="J26" s="148">
        <f>H26-I26</f>
        <v>742688.803277906</v>
      </c>
      <c r="K26" s="148">
        <f>J23</f>
        <v>120</v>
      </c>
      <c r="L26" s="165">
        <f>J26/K26</f>
        <v>6189.07336064922</v>
      </c>
      <c r="M26" s="166"/>
      <c r="N26" s="166"/>
      <c r="O26" s="166"/>
      <c r="P26" s="167"/>
      <c r="Q26" s="167"/>
      <c r="R26" s="167"/>
      <c r="S26" s="167"/>
      <c r="T26" s="145"/>
      <c r="U26" s="145"/>
      <c r="V26" s="145"/>
    </row>
    <row r="27" ht="20.4" spans="2:22">
      <c r="D27" s="148" t="s">
        <v>350</v>
      </c>
      <c r="E27" s="162">
        <f>U21</f>
        <v>26.4223243855866</v>
      </c>
      <c r="F27" s="163"/>
      <c r="G27" s="148"/>
      <c r="H27" s="164">
        <f>E27*Q23</f>
        <v>663728.788565935</v>
      </c>
      <c r="I27" s="148">
        <f>$L$23-$M$23</f>
        <v>-5000</v>
      </c>
      <c r="J27" s="148">
        <f>H27-I27</f>
        <v>668728.788565935</v>
      </c>
      <c r="K27" s="148">
        <f>K26</f>
        <v>120</v>
      </c>
      <c r="L27" s="165">
        <f>J27/K27</f>
        <v>5572.73990471613</v>
      </c>
      <c r="M27" s="166"/>
      <c r="N27" s="166"/>
      <c r="O27" s="166"/>
      <c r="P27" s="167"/>
      <c r="Q27" s="167"/>
      <c r="R27" s="167"/>
      <c r="S27" s="167"/>
      <c r="T27" s="145"/>
      <c r="U27" s="145"/>
      <c r="V27" s="145"/>
    </row>
    <row r="28" ht="20.4" spans="2:22">
      <c r="C28" s="38"/>
      <c r="D28" s="148" t="s">
        <v>351</v>
      </c>
      <c r="E28" s="162">
        <f>V21</f>
        <v>39.1567205104131</v>
      </c>
      <c r="F28" s="163"/>
      <c r="G28" s="148"/>
      <c r="H28" s="164">
        <f>E28*R23</f>
        <v>867321.35930565</v>
      </c>
      <c r="I28" s="148">
        <f>$L$23-$M$23</f>
        <v>-5000</v>
      </c>
      <c r="J28" s="148">
        <f>H28-I28</f>
        <v>872321.35930565</v>
      </c>
      <c r="K28" s="148">
        <f>K27</f>
        <v>120</v>
      </c>
      <c r="L28" s="165">
        <f>J28/K28</f>
        <v>7269.34466088042</v>
      </c>
      <c r="M28" s="166"/>
      <c r="N28" s="166"/>
      <c r="O28" s="166"/>
      <c r="P28" s="167"/>
      <c r="Q28" s="167"/>
      <c r="R28" s="167"/>
      <c r="S28" s="167"/>
      <c r="T28" s="145"/>
      <c r="U28" s="145"/>
      <c r="V28" s="145"/>
    </row>
    <row r="29" ht="20.4" spans="2:22">
      <c r="D29" s="147"/>
      <c r="E29" s="168"/>
      <c r="F29" s="168"/>
      <c r="G29" s="147"/>
      <c r="H29" s="147"/>
      <c r="I29" s="147"/>
      <c r="J29" s="147"/>
      <c r="K29" s="147"/>
      <c r="L29" s="169"/>
      <c r="M29" s="167"/>
      <c r="N29" s="167"/>
      <c r="O29" s="167"/>
      <c r="P29" s="167"/>
      <c r="Q29" s="167"/>
      <c r="R29" s="167"/>
      <c r="S29" s="167"/>
      <c r="T29" s="167"/>
      <c r="U29" s="167"/>
      <c r="V29" s="167"/>
    </row>
    <row r="30" ht="20.4" spans="2:22">
      <c r="D30" s="147"/>
      <c r="E30" s="168"/>
      <c r="F30" s="168"/>
      <c r="G30" s="170"/>
      <c r="H30" s="170"/>
      <c r="I30" s="170"/>
      <c r="J30" s="170"/>
      <c r="K30" s="171"/>
      <c r="L30" s="171"/>
      <c r="M30" s="167"/>
      <c r="N30" s="167"/>
      <c r="O30" s="167"/>
      <c r="P30" s="167"/>
      <c r="Q30" s="167"/>
      <c r="R30" s="167"/>
      <c r="S30" s="167"/>
      <c r="T30" s="167"/>
      <c r="U30" s="167"/>
      <c r="V30" s="167"/>
    </row>
    <row r="31" ht="20.4" spans="2:22">
      <c r="D31" s="147"/>
      <c r="E31" s="168"/>
      <c r="F31" s="168"/>
      <c r="G31" s="170"/>
      <c r="H31" s="170"/>
      <c r="I31" s="170"/>
      <c r="J31" s="170"/>
      <c r="K31" s="171"/>
      <c r="L31" s="171"/>
      <c r="M31" s="167"/>
      <c r="N31" s="167"/>
      <c r="O31" s="167"/>
      <c r="P31" s="167"/>
      <c r="Q31" s="167"/>
      <c r="R31" s="167"/>
      <c r="S31" s="167"/>
      <c r="T31" s="167"/>
      <c r="U31" s="167"/>
      <c r="V31" s="167"/>
    </row>
    <row r="32" ht="20.4" spans="2:22">
      <c r="D32" s="147"/>
      <c r="E32" s="147"/>
      <c r="F32" s="147"/>
      <c r="G32" s="170"/>
      <c r="H32" s="170"/>
      <c r="I32" s="170"/>
      <c r="J32" s="170"/>
      <c r="K32" s="171"/>
      <c r="L32" s="171"/>
      <c r="M32" s="167"/>
      <c r="N32" s="167"/>
      <c r="O32" s="167"/>
      <c r="P32" s="167"/>
      <c r="Q32" s="167"/>
      <c r="R32" s="167"/>
      <c r="S32" s="167"/>
      <c r="T32" s="167"/>
      <c r="U32" s="167"/>
      <c r="V32" s="167"/>
    </row>
    <row r="33" ht="20.4" spans="1:22">
      <c r="D33" s="147"/>
      <c r="E33" s="147"/>
      <c r="F33" s="147"/>
      <c r="G33" s="170"/>
      <c r="H33" s="170"/>
      <c r="I33" s="170"/>
      <c r="J33" s="170"/>
      <c r="K33" s="171"/>
      <c r="L33" s="171"/>
      <c r="M33" s="167"/>
      <c r="N33" s="167"/>
      <c r="O33" s="167"/>
      <c r="P33" s="167"/>
      <c r="Q33" s="167"/>
      <c r="R33" s="167"/>
      <c r="S33" s="167"/>
      <c r="T33" s="167"/>
      <c r="U33" s="167"/>
      <c r="V33" s="167"/>
    </row>
    <row r="34" ht="20.4" spans="1:22">
      <c r="D34" s="147"/>
      <c r="E34" s="147"/>
      <c r="F34" s="147"/>
      <c r="G34" s="170"/>
      <c r="H34" s="170"/>
      <c r="I34" s="170"/>
      <c r="J34" s="168"/>
      <c r="K34" s="147"/>
      <c r="L34" s="147"/>
      <c r="M34" s="167"/>
      <c r="N34" s="167"/>
      <c r="O34" s="167"/>
      <c r="P34" s="167"/>
      <c r="Q34" s="167"/>
      <c r="R34" s="167"/>
      <c r="S34" s="167"/>
      <c r="T34" s="167"/>
      <c r="U34" s="167"/>
      <c r="V34" s="167"/>
    </row>
    <row r="35" spans="1:22">
      <c r="G35" s="61"/>
      <c r="H35" s="61"/>
      <c r="I35" s="61"/>
      <c r="J35" s="61"/>
      <c r="L35" s="5"/>
    </row>
    <row r="36" spans="1:22">
      <c r="C36" s="58"/>
      <c r="G36" s="61"/>
      <c r="H36" s="61"/>
      <c r="I36" s="61"/>
      <c r="J36" s="61"/>
      <c r="L36" s="5"/>
    </row>
    <row r="37" spans="1:22">
      <c r="C37" s="62"/>
      <c r="G37" s="59"/>
      <c r="H37" s="59"/>
      <c r="I37" s="59"/>
      <c r="J37" s="59"/>
      <c r="L37" s="5"/>
    </row>
    <row r="38" spans="1:22">
      <c r="C38" s="62"/>
      <c r="G38" s="61"/>
      <c r="H38" s="61"/>
      <c r="I38" s="61"/>
      <c r="J38" s="61"/>
      <c r="K38" s="60"/>
      <c r="L38" s="60"/>
    </row>
    <row r="39" spans="1:22">
      <c r="C39" s="62"/>
      <c r="G39" s="59"/>
      <c r="H39" s="59"/>
      <c r="I39" s="59"/>
      <c r="J39" s="59"/>
      <c r="K39" s="60"/>
      <c r="L39" s="60"/>
    </row>
    <row r="40" spans="1:22">
      <c r="G40" s="59"/>
      <c r="H40" s="59"/>
      <c r="I40" s="59"/>
      <c r="J40" s="59"/>
      <c r="K40" s="60"/>
      <c r="L40" s="60"/>
    </row>
    <row r="41" spans="1:22">
      <c r="G41" s="61"/>
      <c r="H41" s="61"/>
      <c r="I41" s="61"/>
      <c r="J41" s="61"/>
      <c r="L41" s="5"/>
    </row>
    <row r="42" spans="1:22">
      <c r="G42" s="61"/>
      <c r="H42" s="61"/>
      <c r="I42" s="61"/>
      <c r="J42" s="61"/>
      <c r="L42" s="60"/>
    </row>
    <row r="43" spans="1:22">
      <c r="C43" s="38"/>
      <c r="D43" s="38"/>
      <c r="E43" s="38"/>
      <c r="F43" s="38"/>
      <c r="G43" s="63"/>
      <c r="H43" s="63"/>
      <c r="I43" s="63"/>
      <c r="J43" s="63"/>
      <c r="K43" s="57"/>
      <c r="L43" s="57"/>
    </row>
    <row r="44" spans="1:22">
      <c r="G44" s="61"/>
      <c r="L44" s="5"/>
    </row>
    <row r="45" spans="1:22">
      <c r="C45" s="58"/>
    </row>
    <row r="46" spans="1:22">
      <c r="G46" s="59"/>
      <c r="H46" s="59"/>
      <c r="I46" s="59"/>
      <c r="J46" s="59"/>
      <c r="K46" s="60"/>
      <c r="L46" s="60"/>
    </row>
    <row r="47" spans="1:22">
      <c r="C47" s="64"/>
      <c r="G47" s="61"/>
      <c r="H47" s="61"/>
      <c r="I47" s="61"/>
      <c r="J47" s="61"/>
      <c r="L47" s="60"/>
    </row>
    <row r="48" s="2" customFormat="1" spans="1:22">
      <c r="A48" s="1"/>
      <c r="B48" s="5"/>
      <c r="C48" s="62"/>
      <c r="D48" s="5"/>
      <c r="E48" s="5"/>
      <c r="F48" s="5"/>
      <c r="G48" s="59"/>
      <c r="H48" s="59"/>
      <c r="I48" s="59"/>
      <c r="J48" s="59"/>
      <c r="K48" s="60"/>
      <c r="L48" s="60"/>
    </row>
    <row r="49" s="3" customFormat="1" ht="17.6" spans="1:14">
      <c r="A49" s="1"/>
      <c r="B49" s="5"/>
      <c r="C49" s="62"/>
      <c r="D49" s="5"/>
      <c r="E49" s="5"/>
      <c r="F49" s="5"/>
      <c r="G49" s="59"/>
      <c r="H49" s="59"/>
      <c r="I49" s="59"/>
      <c r="J49" s="59"/>
      <c r="K49" s="60"/>
      <c r="L49" s="60"/>
      <c r="N49" s="65"/>
    </row>
    <row r="50" s="3" customFormat="1" ht="17.6" spans="1:14">
      <c r="A50" s="1"/>
      <c r="B50" s="5"/>
      <c r="C50" s="62"/>
      <c r="D50" s="5"/>
      <c r="E50" s="5"/>
      <c r="F50" s="5"/>
      <c r="G50" s="59"/>
      <c r="H50" s="59"/>
      <c r="I50" s="59"/>
      <c r="J50" s="59"/>
      <c r="K50" s="60"/>
      <c r="L50" s="60"/>
    </row>
    <row r="51" s="3" customFormat="1" ht="17.6" spans="1:14">
      <c r="A51" s="1"/>
      <c r="B51" s="5"/>
      <c r="C51" s="62"/>
      <c r="D51" s="5"/>
      <c r="E51" s="5"/>
      <c r="F51" s="5"/>
      <c r="G51" s="59"/>
      <c r="H51" s="59"/>
      <c r="I51" s="59"/>
      <c r="J51" s="59"/>
      <c r="K51" s="60"/>
      <c r="L51" s="60"/>
    </row>
    <row r="52" s="3" customFormat="1" ht="17.6" spans="1:14">
      <c r="A52" s="1"/>
      <c r="B52" s="5"/>
      <c r="C52" s="62"/>
      <c r="D52" s="5"/>
      <c r="E52" s="5"/>
      <c r="F52" s="5"/>
      <c r="G52" s="61"/>
      <c r="H52" s="61"/>
      <c r="I52" s="61"/>
      <c r="J52" s="61"/>
      <c r="K52" s="5"/>
      <c r="L52" s="5"/>
    </row>
    <row r="53" s="3" customFormat="1" ht="17.6" spans="1:14">
      <c r="A53" s="1"/>
      <c r="B53" s="5"/>
      <c r="C53" s="62"/>
      <c r="D53" s="5"/>
      <c r="E53" s="5"/>
      <c r="F53" s="5"/>
      <c r="G53" s="59"/>
      <c r="H53" s="59"/>
      <c r="I53" s="61"/>
      <c r="J53" s="59"/>
      <c r="K53" s="60"/>
      <c r="L53" s="60"/>
    </row>
    <row r="54" s="3" customFormat="1" ht="17.6" spans="1:14">
      <c r="A54" s="1"/>
      <c r="B54" s="5"/>
      <c r="C54" s="5"/>
      <c r="D54" s="5"/>
      <c r="E54" s="5"/>
      <c r="F54" s="5"/>
      <c r="G54" s="59"/>
      <c r="H54" s="59"/>
      <c r="I54" s="59"/>
      <c r="J54" s="59"/>
      <c r="K54" s="60"/>
      <c r="L54" s="60"/>
    </row>
    <row r="55" s="3" customFormat="1" ht="17.6" spans="1:14">
      <c r="A55" s="1"/>
      <c r="B55" s="5"/>
      <c r="C55" s="5"/>
      <c r="D55" s="5"/>
      <c r="E55" s="5"/>
      <c r="F55" s="5"/>
      <c r="G55" s="63"/>
      <c r="H55" s="63"/>
      <c r="I55" s="63"/>
      <c r="J55" s="63"/>
      <c r="K55" s="57"/>
      <c r="L55" s="57"/>
    </row>
    <row r="56" s="3" customFormat="1" ht="17.6" spans="1:14">
      <c r="A56" s="1"/>
      <c r="B56" s="5"/>
      <c r="C56" s="5"/>
      <c r="D56" s="5"/>
      <c r="E56" s="5"/>
      <c r="F56" s="5"/>
      <c r="G56" s="61"/>
      <c r="H56" s="61"/>
      <c r="I56" s="61"/>
      <c r="J56" s="59"/>
      <c r="K56" s="5"/>
      <c r="L56" s="60"/>
    </row>
    <row r="57" s="3" customFormat="1" ht="17.6" spans="1:14">
      <c r="A57" s="1"/>
      <c r="B57" s="5"/>
      <c r="C57" s="38"/>
      <c r="D57" s="38"/>
      <c r="E57" s="38"/>
      <c r="F57" s="38"/>
      <c r="G57" s="63"/>
      <c r="H57" s="63"/>
      <c r="I57" s="63"/>
      <c r="J57" s="63"/>
      <c r="K57" s="57"/>
      <c r="L57" s="57"/>
    </row>
    <row r="58" s="3" customFormat="1" ht="17.6" spans="1:14">
      <c r="A58" s="1"/>
      <c r="B58" s="5"/>
      <c r="C58" s="5"/>
      <c r="D58" s="5"/>
      <c r="E58" s="5"/>
      <c r="F58" s="5"/>
      <c r="G58" s="5"/>
      <c r="H58" s="61"/>
      <c r="I58" s="61"/>
      <c r="J58" s="61"/>
      <c r="K58" s="5"/>
      <c r="L58" s="5"/>
    </row>
    <row r="59" s="3" customFormat="1" ht="17.6" spans="1:14">
      <c r="A59" s="1"/>
      <c r="B59" s="5"/>
      <c r="C59" s="38"/>
      <c r="D59" s="5"/>
      <c r="E59" s="5"/>
      <c r="F59" s="5"/>
      <c r="G59" s="61"/>
      <c r="H59" s="59"/>
      <c r="I59" s="59"/>
      <c r="J59" s="59"/>
      <c r="K59" s="5"/>
      <c r="L59" s="5"/>
    </row>
    <row r="60" s="3" customFormat="1" ht="17.6" spans="1:14">
      <c r="A60" s="1"/>
      <c r="B60" s="5"/>
      <c r="C60" s="5"/>
      <c r="D60" s="5"/>
      <c r="E60" s="5"/>
      <c r="F60" s="5"/>
      <c r="G60" s="59"/>
    </row>
    <row r="61" s="3" customFormat="1" ht="17.6" spans="1:14">
      <c r="A61" s="1"/>
      <c r="B61" s="5"/>
      <c r="C61" s="5"/>
      <c r="D61" s="5"/>
      <c r="E61" s="5"/>
      <c r="F61" s="5"/>
      <c r="G61" s="61"/>
      <c r="H61" s="61"/>
      <c r="I61" s="61"/>
      <c r="J61" s="61"/>
      <c r="K61" s="5"/>
      <c r="L61" s="5"/>
    </row>
    <row r="62" s="3" customFormat="1" ht="17.6" spans="1:14">
      <c r="A62" s="1"/>
      <c r="B62" s="5"/>
      <c r="C62" s="5"/>
      <c r="D62" s="5"/>
      <c r="E62" s="5"/>
      <c r="F62" s="5"/>
      <c r="G62" s="59"/>
      <c r="H62" s="59"/>
      <c r="I62" s="59"/>
      <c r="J62" s="59"/>
      <c r="K62" s="60"/>
      <c r="L62" s="60"/>
    </row>
    <row r="63" s="3" customFormat="1" ht="17.6" spans="1:14">
      <c r="A63" s="1"/>
      <c r="B63" s="5"/>
      <c r="C63" s="5"/>
      <c r="D63" s="5"/>
      <c r="E63" s="5"/>
      <c r="F63" s="5"/>
      <c r="G63" s="59"/>
      <c r="H63" s="59"/>
      <c r="I63" s="59"/>
      <c r="J63" s="59"/>
      <c r="K63" s="60"/>
      <c r="L63" s="60"/>
    </row>
    <row r="64" s="3" customFormat="1" ht="17.6" spans="1:14">
      <c r="A64" s="1"/>
      <c r="B64" s="5"/>
      <c r="C64" s="5"/>
      <c r="D64" s="5"/>
      <c r="E64" s="5"/>
      <c r="F64" s="5"/>
      <c r="G64" s="59"/>
      <c r="H64" s="59"/>
      <c r="I64" s="59"/>
      <c r="J64" s="59"/>
      <c r="K64" s="60"/>
      <c r="L64" s="60"/>
    </row>
    <row r="65" s="3" customFormat="1" ht="17.6" spans="1:12">
      <c r="A65" s="1"/>
      <c r="B65" s="5"/>
      <c r="C65" s="38"/>
      <c r="D65" s="38"/>
      <c r="E65" s="38"/>
      <c r="F65" s="38"/>
      <c r="G65" s="63"/>
      <c r="H65" s="63"/>
      <c r="I65" s="63"/>
      <c r="J65" s="63"/>
      <c r="K65" s="57"/>
      <c r="L65" s="57"/>
    </row>
    <row r="66" s="3" customFormat="1" ht="17.6" spans="1:12">
      <c r="A66" s="1"/>
      <c r="B66" s="5"/>
      <c r="C66" s="38"/>
      <c r="D66" s="38"/>
      <c r="E66" s="38"/>
      <c r="F66" s="38"/>
      <c r="G66" s="61"/>
      <c r="H66" s="61"/>
      <c r="I66" s="61"/>
      <c r="J66" s="61"/>
      <c r="K66" s="5"/>
      <c r="L66" s="5"/>
    </row>
    <row r="67" s="3" customFormat="1" ht="17.6" spans="1:12">
      <c r="A67" s="1"/>
      <c r="B67" s="5"/>
      <c r="C67" s="38"/>
      <c r="D67" s="5"/>
      <c r="E67" s="5"/>
      <c r="F67" s="5"/>
      <c r="G67" s="61"/>
      <c r="H67" s="61"/>
      <c r="I67" s="61"/>
      <c r="J67" s="61"/>
      <c r="K67" s="5"/>
      <c r="L67" s="5"/>
    </row>
    <row r="68" s="3" customFormat="1" ht="17.6" spans="1:12">
      <c r="A68" s="1"/>
      <c r="B68" s="5"/>
      <c r="C68" s="38"/>
      <c r="D68" s="5"/>
      <c r="E68" s="5"/>
      <c r="F68" s="5"/>
      <c r="G68" s="61"/>
      <c r="H68" s="5"/>
      <c r="I68" s="5"/>
      <c r="J68" s="5"/>
      <c r="K68" s="5"/>
      <c r="L68" s="5"/>
    </row>
    <row r="69" s="3" customFormat="1" ht="17.6" spans="1:12">
      <c r="A69" s="1"/>
      <c r="B69" s="5"/>
      <c r="C69" s="64"/>
      <c r="D69" s="5"/>
      <c r="E69" s="5"/>
      <c r="F69" s="5"/>
      <c r="G69" s="5"/>
    </row>
    <row r="70" s="3" customFormat="1" ht="17.6" spans="1:12">
      <c r="A70" s="1"/>
      <c r="B70" s="5"/>
      <c r="C70" s="62"/>
      <c r="D70" s="5"/>
      <c r="E70" s="5"/>
      <c r="F70" s="5"/>
      <c r="G70" s="61"/>
      <c r="H70" s="61"/>
      <c r="I70" s="61"/>
      <c r="J70" s="61"/>
      <c r="K70" s="5"/>
      <c r="L70" s="60"/>
    </row>
    <row r="71" s="3" customFormat="1" ht="17.6" spans="1:12">
      <c r="A71" s="1"/>
      <c r="B71" s="5"/>
      <c r="C71" s="62"/>
      <c r="D71" s="5"/>
      <c r="E71" s="5"/>
      <c r="F71" s="5"/>
      <c r="G71" s="61"/>
      <c r="H71" s="61"/>
      <c r="I71" s="61"/>
      <c r="J71" s="61"/>
      <c r="K71" s="60"/>
      <c r="L71" s="60"/>
    </row>
    <row r="72" s="3" customFormat="1" ht="17.6" spans="1:12">
      <c r="A72" s="1"/>
      <c r="B72" s="5"/>
      <c r="C72" s="62"/>
      <c r="D72" s="5"/>
      <c r="E72" s="5"/>
      <c r="F72" s="5"/>
      <c r="G72" s="61"/>
      <c r="H72" s="61"/>
      <c r="I72" s="61"/>
      <c r="J72" s="59"/>
      <c r="K72" s="60"/>
      <c r="L72" s="60"/>
    </row>
    <row r="73" s="3" customFormat="1" ht="17.6" spans="1:12">
      <c r="A73" s="1"/>
      <c r="B73" s="5"/>
      <c r="C73" s="5"/>
      <c r="D73" s="5"/>
      <c r="E73" s="5"/>
      <c r="F73" s="5"/>
      <c r="G73" s="59"/>
      <c r="H73" s="59"/>
      <c r="I73" s="59"/>
      <c r="J73" s="59"/>
      <c r="K73" s="60"/>
      <c r="L73" s="60"/>
    </row>
    <row r="74" s="3" customFormat="1" ht="17.6" spans="1:12">
      <c r="A74" s="1"/>
      <c r="B74" s="5"/>
      <c r="C74" s="5"/>
      <c r="D74" s="5"/>
      <c r="E74" s="5"/>
      <c r="F74" s="5"/>
      <c r="G74" s="61"/>
      <c r="H74" s="61"/>
      <c r="I74" s="61"/>
      <c r="J74" s="61"/>
      <c r="K74" s="5"/>
      <c r="L74" s="5"/>
    </row>
    <row r="75" s="3" customFormat="1" ht="17.6" spans="1:12">
      <c r="A75" s="1"/>
      <c r="B75" s="5"/>
      <c r="C75" s="38"/>
      <c r="D75" s="38"/>
      <c r="E75" s="38"/>
      <c r="F75" s="38"/>
      <c r="G75" s="63"/>
      <c r="H75" s="63"/>
      <c r="I75" s="63"/>
      <c r="J75" s="63"/>
      <c r="K75" s="57"/>
      <c r="L75" s="57"/>
    </row>
    <row r="76" s="3" customFormat="1" ht="17.6" spans="1:12">
      <c r="A76" s="1"/>
      <c r="B76" s="5"/>
      <c r="C76" s="38"/>
      <c r="D76" s="38"/>
      <c r="E76" s="38"/>
      <c r="F76" s="38"/>
      <c r="G76" s="5"/>
      <c r="H76" s="61"/>
      <c r="I76" s="61"/>
      <c r="J76" s="61"/>
      <c r="K76" s="5"/>
      <c r="L76" s="5"/>
    </row>
    <row r="77" s="3" customFormat="1" ht="17.6" spans="1:12">
      <c r="A77" s="1"/>
      <c r="B77" s="5"/>
      <c r="C77" s="38"/>
      <c r="D77" s="5"/>
      <c r="E77" s="5"/>
      <c r="F77" s="5"/>
      <c r="G77" s="61"/>
      <c r="H77" s="5"/>
      <c r="I77" s="5"/>
      <c r="J77" s="5"/>
      <c r="K77" s="5"/>
      <c r="L77" s="5"/>
    </row>
    <row r="78" s="3" customFormat="1" ht="17.6" spans="1:12">
      <c r="A78" s="1"/>
      <c r="B78" s="5"/>
      <c r="C78" s="38"/>
      <c r="D78" s="5"/>
      <c r="E78" s="5"/>
      <c r="F78" s="5"/>
      <c r="G78" s="5"/>
    </row>
    <row r="79" s="3" customFormat="1" ht="17.6" spans="1:12">
      <c r="A79" s="1"/>
      <c r="B79" s="5"/>
      <c r="C79" s="62"/>
      <c r="D79" s="5"/>
      <c r="E79" s="5"/>
      <c r="F79" s="5"/>
      <c r="G79" s="59"/>
      <c r="H79" s="59"/>
      <c r="I79" s="59"/>
      <c r="J79" s="59"/>
      <c r="K79" s="60"/>
      <c r="L79" s="60"/>
    </row>
    <row r="80" s="3" customFormat="1" ht="17.6" spans="1:12">
      <c r="A80" s="1"/>
      <c r="B80" s="5"/>
      <c r="C80" s="62"/>
      <c r="D80" s="5"/>
      <c r="E80" s="5"/>
      <c r="F80" s="5"/>
      <c r="G80" s="59"/>
      <c r="H80" s="59"/>
      <c r="I80" s="59"/>
      <c r="J80" s="61"/>
      <c r="K80" s="5"/>
      <c r="L80" s="5"/>
    </row>
    <row r="81" s="3" customFormat="1" ht="17.6" spans="1:12">
      <c r="A81" s="1"/>
      <c r="B81" s="5"/>
      <c r="C81" s="66"/>
      <c r="D81" s="5"/>
      <c r="E81" s="5"/>
      <c r="F81" s="5"/>
      <c r="G81" s="59"/>
      <c r="H81" s="59"/>
      <c r="I81" s="59"/>
      <c r="J81" s="61"/>
      <c r="K81" s="5"/>
      <c r="L81" s="5"/>
    </row>
    <row r="82" s="3" customFormat="1" ht="17.6" spans="1:12">
      <c r="A82" s="1"/>
      <c r="B82" s="5"/>
      <c r="C82" s="62"/>
      <c r="D82" s="5"/>
      <c r="E82" s="5"/>
      <c r="F82" s="5"/>
      <c r="G82" s="59"/>
      <c r="H82" s="59"/>
      <c r="I82" s="61"/>
      <c r="J82" s="59"/>
      <c r="K82" s="5"/>
      <c r="L82" s="5"/>
    </row>
    <row r="83" s="3" customFormat="1" ht="17.6" spans="1:12">
      <c r="A83" s="1"/>
      <c r="B83" s="5"/>
      <c r="C83" s="62"/>
      <c r="D83" s="5"/>
      <c r="E83" s="5"/>
      <c r="F83" s="5"/>
      <c r="G83" s="59"/>
      <c r="H83" s="59"/>
      <c r="I83" s="59"/>
      <c r="J83" s="59"/>
      <c r="K83" s="60"/>
      <c r="L83" s="60"/>
    </row>
    <row r="84" s="3" customFormat="1" ht="17.6" spans="1:12">
      <c r="A84" s="1"/>
      <c r="B84" s="5"/>
      <c r="C84" s="62"/>
      <c r="D84" s="5"/>
      <c r="E84" s="5"/>
      <c r="F84" s="5"/>
      <c r="G84" s="59"/>
      <c r="H84" s="59"/>
      <c r="I84" s="59"/>
      <c r="J84" s="59"/>
      <c r="K84" s="60"/>
      <c r="L84" s="60"/>
    </row>
    <row r="85" s="3" customFormat="1" ht="17.6" spans="1:12">
      <c r="A85" s="1"/>
      <c r="B85" s="5"/>
      <c r="C85" s="5"/>
      <c r="D85" s="5"/>
      <c r="E85" s="5"/>
      <c r="F85" s="5"/>
      <c r="G85" s="59"/>
      <c r="H85" s="59"/>
      <c r="I85" s="59"/>
      <c r="J85" s="59"/>
      <c r="K85" s="60"/>
      <c r="L85" s="60"/>
    </row>
    <row r="86" s="3" customFormat="1" ht="17.6" spans="1:12">
      <c r="A86" s="1"/>
      <c r="B86" s="5"/>
      <c r="C86" s="5"/>
      <c r="D86" s="5"/>
      <c r="E86" s="5"/>
      <c r="F86" s="5"/>
      <c r="G86" s="59"/>
      <c r="H86" s="59"/>
      <c r="I86" s="59"/>
      <c r="J86" s="59"/>
      <c r="K86" s="60"/>
      <c r="L86" s="60"/>
    </row>
    <row r="87" s="3" customFormat="1" ht="17.6" spans="1:12">
      <c r="A87" s="1"/>
      <c r="B87" s="5"/>
      <c r="C87" s="5"/>
      <c r="D87" s="5"/>
      <c r="E87" s="5"/>
      <c r="F87" s="5"/>
      <c r="G87" s="59"/>
      <c r="H87" s="59"/>
      <c r="I87" s="59"/>
      <c r="J87" s="61"/>
      <c r="K87" s="5"/>
      <c r="L87" s="5"/>
    </row>
    <row r="88" s="3" customFormat="1" ht="17.6" spans="1:12">
      <c r="A88" s="1"/>
      <c r="B88" s="5"/>
      <c r="C88" s="38"/>
      <c r="D88" s="38"/>
      <c r="E88" s="38"/>
      <c r="F88" s="38"/>
      <c r="G88" s="63"/>
      <c r="H88" s="63"/>
      <c r="I88" s="63"/>
      <c r="J88" s="63"/>
      <c r="K88" s="57"/>
      <c r="L88" s="57"/>
    </row>
    <row r="89" s="3" customFormat="1" ht="17.6" spans="1:12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="3" customFormat="1" ht="17.6" spans="1:12">
      <c r="A90" s="1"/>
      <c r="B90" s="5"/>
      <c r="C90" s="38"/>
      <c r="D90" s="38"/>
      <c r="E90" s="38"/>
      <c r="F90" s="38"/>
      <c r="G90" s="63"/>
      <c r="H90" s="63"/>
      <c r="I90" s="63"/>
      <c r="J90" s="63"/>
      <c r="K90" s="57"/>
      <c r="L90" s="57"/>
    </row>
    <row r="91" s="3" customFormat="1" ht="17.6" spans="1:12">
      <c r="A91" s="1"/>
      <c r="B91" s="5"/>
      <c r="C91" s="38"/>
      <c r="D91" s="38"/>
      <c r="E91" s="38"/>
      <c r="F91" s="38"/>
      <c r="G91" s="63"/>
      <c r="H91" s="63"/>
      <c r="I91" s="63"/>
      <c r="J91" s="63"/>
      <c r="K91" s="57"/>
      <c r="L91" s="57"/>
    </row>
    <row r="92" s="3" customFormat="1" ht="17.6" spans="1:12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="3" customFormat="1" ht="17.6" spans="1:12">
      <c r="A93" s="1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="3" customFormat="1" ht="17.6" spans="1:12">
      <c r="A94" s="1"/>
      <c r="B94" s="5"/>
      <c r="C94" s="58"/>
      <c r="D94" s="5"/>
      <c r="E94" s="5"/>
      <c r="F94" s="5"/>
      <c r="G94" s="5"/>
      <c r="H94" s="5"/>
      <c r="I94" s="5"/>
      <c r="J94" s="5"/>
      <c r="K94" s="5"/>
      <c r="L94" s="5"/>
    </row>
    <row r="95" s="3" customFormat="1" ht="17.6" spans="1:12">
      <c r="A95" s="1"/>
      <c r="B95" s="5"/>
      <c r="C95" s="38"/>
      <c r="D95" s="38"/>
      <c r="E95" s="38"/>
      <c r="F95" s="38"/>
      <c r="G95" s="38"/>
      <c r="H95" s="38"/>
      <c r="I95" s="38"/>
      <c r="J95" s="38"/>
      <c r="K95" s="38"/>
      <c r="L95" s="38"/>
    </row>
    <row r="96" s="3" customFormat="1" ht="17.6" spans="1:12">
      <c r="A96" s="1"/>
      <c r="B96" s="5"/>
      <c r="C96" s="38"/>
      <c r="D96" s="38"/>
      <c r="E96" s="38"/>
      <c r="F96" s="38"/>
      <c r="G96" s="63"/>
      <c r="H96" s="63"/>
      <c r="I96" s="63"/>
      <c r="J96" s="63"/>
      <c r="K96" s="57"/>
      <c r="L96" s="57"/>
    </row>
    <row r="97" s="3" customFormat="1" ht="17.6" spans="1:14">
      <c r="A97" s="1"/>
      <c r="B97" s="5"/>
      <c r="C97" s="5"/>
      <c r="D97" s="5"/>
      <c r="E97" s="5"/>
      <c r="F97" s="5"/>
      <c r="G97" s="59"/>
      <c r="H97" s="59"/>
      <c r="I97" s="59"/>
      <c r="J97" s="61"/>
      <c r="K97" s="5"/>
      <c r="L97" s="5"/>
    </row>
    <row r="98" s="3" customFormat="1" ht="17.6" spans="1:14">
      <c r="A98" s="1"/>
      <c r="B98" s="5"/>
      <c r="C98" s="5"/>
      <c r="D98" s="5"/>
      <c r="E98" s="5"/>
      <c r="F98" s="5"/>
      <c r="G98" s="59"/>
      <c r="H98" s="59"/>
      <c r="I98" s="61"/>
      <c r="J98" s="59"/>
      <c r="K98" s="60"/>
      <c r="L98" s="60"/>
    </row>
    <row r="99" s="3" customFormat="1" ht="17.6" spans="1:14">
      <c r="A99" s="1"/>
      <c r="B99" s="5"/>
      <c r="C99" s="5"/>
      <c r="D99" s="5"/>
      <c r="E99" s="5"/>
      <c r="F99" s="5"/>
      <c r="G99" s="61"/>
      <c r="H99" s="61"/>
      <c r="I99" s="61"/>
      <c r="J99" s="61"/>
      <c r="K99" s="5"/>
      <c r="L99" s="5"/>
    </row>
    <row r="100" s="3" customFormat="1" ht="17.6" spans="1:14">
      <c r="A100" s="1"/>
      <c r="B100" s="5"/>
      <c r="C100" s="5"/>
      <c r="D100" s="5"/>
      <c r="E100" s="5"/>
      <c r="F100" s="5"/>
      <c r="G100" s="61"/>
      <c r="H100" s="61"/>
      <c r="I100" s="59"/>
      <c r="J100" s="61"/>
      <c r="K100" s="5"/>
      <c r="L100" s="5"/>
    </row>
    <row r="101" s="3" customFormat="1" ht="17.6" spans="1:14">
      <c r="A101" s="1"/>
      <c r="B101" s="5"/>
      <c r="C101" s="5"/>
      <c r="D101" s="5"/>
      <c r="E101" s="5"/>
      <c r="F101" s="5"/>
      <c r="G101" s="59"/>
      <c r="H101" s="59"/>
      <c r="I101" s="61"/>
      <c r="J101" s="61"/>
      <c r="K101" s="5"/>
      <c r="L101" s="5"/>
    </row>
    <row r="102" s="3" customFormat="1" ht="17.6" spans="1:14">
      <c r="A102" s="1"/>
      <c r="B102" s="5"/>
      <c r="C102" s="5"/>
      <c r="D102" s="5"/>
      <c r="E102" s="5"/>
      <c r="F102" s="5"/>
      <c r="G102" s="61"/>
      <c r="H102" s="61"/>
      <c r="I102" s="61"/>
      <c r="J102" s="61"/>
      <c r="K102" s="5"/>
      <c r="L102" s="5"/>
    </row>
    <row r="103" s="3" customFormat="1" ht="17.6" spans="1:14">
      <c r="A103" s="1"/>
      <c r="B103" s="5"/>
      <c r="C103" s="5"/>
      <c r="D103" s="5"/>
      <c r="E103" s="5"/>
      <c r="F103" s="5"/>
      <c r="G103" s="61"/>
      <c r="H103" s="61"/>
      <c r="I103" s="61"/>
      <c r="J103" s="61"/>
      <c r="K103" s="5"/>
      <c r="L103" s="5"/>
    </row>
    <row r="104" s="3" customFormat="1" ht="17.6" spans="1:14">
      <c r="A104" s="1"/>
      <c r="B104" s="5"/>
      <c r="C104" s="5"/>
      <c r="D104" s="5"/>
      <c r="E104" s="5"/>
      <c r="F104" s="5"/>
      <c r="G104" s="59"/>
      <c r="H104" s="59"/>
      <c r="I104" s="59"/>
      <c r="J104" s="61"/>
      <c r="K104" s="5"/>
      <c r="L104" s="5"/>
    </row>
    <row r="105" s="3" customFormat="1" ht="17.6" spans="1:14">
      <c r="A105" s="1"/>
      <c r="B105" s="5"/>
      <c r="C105" s="5"/>
      <c r="D105" s="5"/>
      <c r="E105" s="5"/>
      <c r="F105" s="5"/>
      <c r="G105" s="61"/>
      <c r="H105" s="61"/>
      <c r="I105" s="59"/>
      <c r="J105" s="61"/>
      <c r="K105" s="5"/>
      <c r="L105" s="5"/>
    </row>
    <row r="106" s="3" customFormat="1" ht="17.6" spans="1:14">
      <c r="A106" s="1"/>
      <c r="B106" s="5"/>
      <c r="C106" s="5"/>
      <c r="D106" s="5"/>
      <c r="E106" s="5"/>
      <c r="F106" s="5"/>
      <c r="G106" s="61"/>
      <c r="H106" s="61"/>
      <c r="I106" s="59"/>
      <c r="J106" s="59"/>
      <c r="K106" s="60"/>
      <c r="L106" s="60"/>
    </row>
    <row r="107" s="3" customFormat="1" ht="17.6" spans="1:14">
      <c r="A107" s="1"/>
      <c r="B107" s="5"/>
      <c r="C107" s="5"/>
      <c r="D107" s="5"/>
      <c r="E107" s="5"/>
      <c r="F107" s="5"/>
      <c r="G107" s="61"/>
      <c r="H107" s="61"/>
      <c r="I107" s="59"/>
      <c r="J107" s="59"/>
      <c r="K107" s="5"/>
      <c r="L107" s="5"/>
    </row>
    <row r="108" s="3" customFormat="1" ht="17.6" spans="1:14">
      <c r="A108" s="1"/>
      <c r="B108" s="5"/>
      <c r="C108" s="5"/>
      <c r="D108" s="5"/>
      <c r="E108" s="5"/>
      <c r="F108" s="5"/>
      <c r="G108" s="61"/>
      <c r="H108" s="61"/>
      <c r="I108" s="59"/>
      <c r="J108" s="59"/>
      <c r="K108" s="60"/>
      <c r="L108" s="60"/>
    </row>
    <row r="109" s="3" customFormat="1" ht="17.6" spans="1:14">
      <c r="A109" s="1"/>
      <c r="B109" s="5"/>
      <c r="C109" s="5"/>
      <c r="D109" s="5"/>
      <c r="E109" s="5"/>
      <c r="F109" s="5"/>
      <c r="G109" s="61"/>
      <c r="H109" s="61"/>
      <c r="I109" s="59"/>
      <c r="J109" s="61"/>
      <c r="K109" s="5"/>
      <c r="L109" s="5"/>
    </row>
    <row r="110" s="3" customFormat="1" ht="17.6" spans="1:14">
      <c r="A110" s="1"/>
      <c r="B110" s="5"/>
      <c r="C110" s="5"/>
      <c r="D110" s="5"/>
      <c r="E110" s="5"/>
      <c r="F110" s="5"/>
      <c r="G110" s="61"/>
      <c r="H110" s="61"/>
      <c r="I110" s="59"/>
      <c r="J110" s="61"/>
      <c r="K110" s="5"/>
      <c r="L110" s="5"/>
    </row>
    <row r="111" s="4" customFormat="1" spans="1:14">
      <c r="A111" s="1"/>
      <c r="B111" s="38"/>
      <c r="C111" s="38"/>
      <c r="D111" s="38"/>
      <c r="E111" s="38"/>
      <c r="F111" s="38"/>
      <c r="G111" s="63"/>
      <c r="H111" s="63"/>
      <c r="I111" s="63"/>
      <c r="J111" s="63"/>
      <c r="K111" s="57"/>
      <c r="L111" s="57"/>
    </row>
    <row r="112" s="4" customFormat="1" spans="1:14">
      <c r="A112" s="1"/>
      <c r="B112" s="38"/>
      <c r="C112" s="38"/>
      <c r="D112" s="38"/>
      <c r="E112" s="38"/>
      <c r="F112" s="38"/>
      <c r="G112" s="63"/>
      <c r="H112" s="63"/>
      <c r="I112" s="63"/>
      <c r="J112" s="63"/>
      <c r="K112" s="57"/>
      <c r="L112" s="57"/>
      <c r="M112" s="67"/>
      <c r="N112" s="67"/>
    </row>
    <row r="113" s="4" customFormat="1" spans="1:14">
      <c r="A113" s="1"/>
      <c r="B113" s="5"/>
      <c r="C113" s="38"/>
      <c r="D113" s="5"/>
      <c r="E113" s="5"/>
      <c r="F113" s="5"/>
      <c r="G113" s="61"/>
      <c r="H113" s="61"/>
      <c r="I113" s="59"/>
      <c r="J113" s="61"/>
      <c r="K113" s="5"/>
      <c r="L113" s="5"/>
      <c r="M113" s="68"/>
      <c r="N113" s="68"/>
    </row>
    <row r="114" s="4" customFormat="1" spans="1:14">
      <c r="A114" s="1"/>
      <c r="B114" s="5"/>
      <c r="C114" s="5"/>
      <c r="D114" s="5"/>
      <c r="E114" s="5"/>
      <c r="F114" s="5"/>
      <c r="G114" s="59"/>
      <c r="H114" s="59"/>
      <c r="I114" s="59"/>
      <c r="J114" s="59"/>
      <c r="K114" s="60"/>
      <c r="L114" s="60"/>
      <c r="M114" s="69"/>
      <c r="N114" s="69"/>
    </row>
    <row r="115" s="4" customFormat="1" spans="1:14">
      <c r="A115" s="1"/>
      <c r="B115" s="5"/>
      <c r="C115" s="5"/>
      <c r="D115" s="5"/>
      <c r="E115" s="5"/>
      <c r="F115" s="5"/>
      <c r="G115" s="61"/>
      <c r="H115" s="61"/>
      <c r="I115" s="61"/>
      <c r="J115" s="61"/>
      <c r="K115" s="60"/>
      <c r="L115" s="5"/>
      <c r="M115" s="69"/>
      <c r="N115" s="69"/>
    </row>
    <row r="116" s="4" customFormat="1" spans="1:14">
      <c r="A116" s="1"/>
      <c r="B116" s="5"/>
      <c r="C116" s="5"/>
      <c r="D116" s="5"/>
      <c r="E116" s="5"/>
      <c r="F116" s="5"/>
      <c r="G116" s="59"/>
      <c r="H116" s="59"/>
      <c r="I116" s="59"/>
      <c r="J116" s="59"/>
      <c r="K116" s="5"/>
      <c r="L116" s="60"/>
      <c r="M116" s="69"/>
      <c r="N116" s="69"/>
    </row>
    <row r="117" s="4" customFormat="1" spans="1:14">
      <c r="A117" s="1"/>
      <c r="B117" s="5"/>
      <c r="C117" s="5"/>
      <c r="D117" s="5"/>
      <c r="E117" s="5"/>
      <c r="F117" s="5"/>
      <c r="G117" s="59"/>
      <c r="H117" s="59"/>
      <c r="I117" s="59"/>
      <c r="J117" s="61"/>
      <c r="K117" s="60"/>
      <c r="L117" s="60"/>
      <c r="M117" s="69"/>
      <c r="N117" s="69"/>
    </row>
    <row r="118" s="4" customFormat="1" spans="1:14">
      <c r="A118" s="1"/>
      <c r="B118" s="5"/>
      <c r="C118" s="5"/>
      <c r="D118" s="5"/>
      <c r="E118" s="5"/>
      <c r="F118" s="5"/>
      <c r="G118" s="61"/>
      <c r="H118" s="61"/>
      <c r="I118" s="61"/>
      <c r="J118" s="61"/>
      <c r="K118" s="60"/>
      <c r="L118" s="5"/>
      <c r="M118" s="69"/>
      <c r="N118" s="69"/>
    </row>
    <row r="119" s="4" customFormat="1" spans="1:14">
      <c r="A119" s="1"/>
      <c r="B119" s="38"/>
      <c r="C119" s="38"/>
      <c r="D119" s="38"/>
      <c r="E119" s="38"/>
      <c r="F119" s="38"/>
      <c r="G119" s="63"/>
      <c r="H119" s="63"/>
      <c r="I119" s="63"/>
      <c r="J119" s="63"/>
      <c r="K119" s="38"/>
      <c r="L119" s="57"/>
      <c r="M119" s="69"/>
      <c r="N119" s="69"/>
    </row>
    <row r="120" s="4" customFormat="1" spans="1:14">
      <c r="A120" s="1"/>
      <c r="B120" s="5"/>
      <c r="C120" s="5"/>
      <c r="D120" s="5"/>
      <c r="E120" s="5"/>
      <c r="F120" s="5"/>
      <c r="G120" s="70"/>
      <c r="H120" s="59"/>
      <c r="I120" s="59"/>
      <c r="J120" s="59"/>
      <c r="K120" s="60"/>
      <c r="L120" s="60"/>
      <c r="M120" s="69"/>
      <c r="N120" s="69"/>
    </row>
    <row r="121" s="4" customFormat="1" spans="1:14">
      <c r="A121" s="1"/>
      <c r="B121" s="5"/>
      <c r="C121" s="5"/>
      <c r="D121" s="5"/>
      <c r="E121" s="5"/>
      <c r="F121" s="5"/>
      <c r="G121" s="70"/>
      <c r="H121" s="59"/>
      <c r="I121" s="59"/>
      <c r="J121" s="59"/>
      <c r="K121" s="60"/>
      <c r="L121" s="60"/>
      <c r="M121" s="69"/>
      <c r="N121" s="69"/>
    </row>
    <row r="122" s="4" customFormat="1" spans="1:14">
      <c r="A122" s="1"/>
      <c r="B122" s="38"/>
      <c r="C122" s="38"/>
      <c r="D122" s="38"/>
      <c r="E122" s="38"/>
      <c r="F122" s="38"/>
      <c r="G122" s="71"/>
      <c r="H122" s="72"/>
      <c r="I122" s="72"/>
      <c r="J122" s="72"/>
      <c r="K122" s="73"/>
      <c r="L122" s="73"/>
      <c r="M122" s="69"/>
      <c r="N122" s="69"/>
    </row>
    <row r="123" s="4" customFormat="1" spans="1:14">
      <c r="A123" s="1"/>
      <c r="B123" s="5"/>
      <c r="C123" s="5"/>
      <c r="D123" s="5"/>
      <c r="E123" s="5"/>
      <c r="F123" s="5"/>
      <c r="G123" s="26"/>
      <c r="H123" s="5"/>
      <c r="I123" s="5"/>
      <c r="J123" s="5"/>
      <c r="K123" s="5"/>
      <c r="L123" s="5"/>
      <c r="M123" s="69"/>
      <c r="N123" s="69"/>
    </row>
    <row r="124" s="4" customFormat="1" spans="1:14">
      <c r="A124" s="1"/>
      <c r="B124" s="5"/>
      <c r="C124" s="5"/>
      <c r="D124" s="5"/>
      <c r="E124" s="5"/>
      <c r="F124" s="5"/>
      <c r="G124" s="70"/>
      <c r="H124" s="59"/>
      <c r="I124" s="59"/>
      <c r="J124" s="59"/>
      <c r="K124" s="60"/>
      <c r="L124" s="60"/>
      <c r="M124" s="69"/>
      <c r="N124" s="69"/>
    </row>
    <row r="125" s="4" customFormat="1" spans="1:14">
      <c r="A125" s="1"/>
      <c r="B125" s="5"/>
      <c r="C125" s="5"/>
      <c r="D125" s="5"/>
      <c r="E125" s="5"/>
      <c r="F125" s="5"/>
      <c r="G125" s="70"/>
      <c r="H125" s="59"/>
      <c r="I125" s="59"/>
      <c r="J125" s="61"/>
      <c r="K125" s="5"/>
      <c r="L125" s="5"/>
      <c r="M125" s="69"/>
      <c r="N125" s="69"/>
    </row>
    <row r="126" s="4" customFormat="1" spans="1:14">
      <c r="A126" s="1"/>
      <c r="B126" s="5"/>
      <c r="C126" s="5"/>
      <c r="D126" s="5"/>
      <c r="E126" s="5"/>
      <c r="F126" s="5"/>
      <c r="G126" s="70"/>
      <c r="H126" s="59"/>
      <c r="I126" s="59"/>
      <c r="J126" s="59"/>
      <c r="K126" s="60"/>
      <c r="L126" s="60"/>
      <c r="M126" s="69"/>
      <c r="N126" s="69"/>
    </row>
    <row r="127" s="4" customFormat="1" spans="1:14">
      <c r="A127" s="1"/>
      <c r="B127" s="5"/>
      <c r="C127" s="5"/>
      <c r="D127" s="5"/>
      <c r="E127" s="5"/>
      <c r="F127" s="5"/>
      <c r="G127" s="70"/>
      <c r="H127" s="59"/>
      <c r="I127" s="59"/>
      <c r="J127" s="59"/>
      <c r="K127" s="60"/>
      <c r="L127" s="60"/>
      <c r="M127" s="69"/>
      <c r="N127" s="69"/>
    </row>
    <row r="128" s="4" customFormat="1" spans="1:14">
      <c r="A128" s="1"/>
      <c r="B128" s="5"/>
      <c r="C128" s="5"/>
      <c r="D128" s="5"/>
      <c r="E128" s="5"/>
      <c r="F128" s="5"/>
      <c r="G128" s="70"/>
      <c r="H128" s="59"/>
      <c r="I128" s="59"/>
      <c r="J128" s="59"/>
      <c r="K128" s="5"/>
      <c r="L128" s="60"/>
      <c r="M128" s="69"/>
      <c r="N128" s="69"/>
    </row>
    <row r="129" s="4" customFormat="1" spans="1:14">
      <c r="A129" s="1"/>
      <c r="B129" s="5"/>
      <c r="C129" s="5"/>
      <c r="D129" s="5"/>
      <c r="E129" s="5"/>
      <c r="F129" s="5"/>
      <c r="G129" s="70"/>
      <c r="H129" s="59"/>
      <c r="I129" s="59"/>
      <c r="J129" s="59"/>
      <c r="K129" s="60"/>
      <c r="L129" s="60"/>
      <c r="M129" s="69"/>
      <c r="N129" s="69"/>
    </row>
    <row r="130" s="4" customFormat="1" spans="1:14">
      <c r="A130" s="1"/>
      <c r="B130" s="5"/>
      <c r="C130" s="5"/>
      <c r="D130" s="5"/>
      <c r="E130" s="5"/>
      <c r="F130" s="5"/>
      <c r="G130" s="74"/>
      <c r="H130" s="61"/>
      <c r="I130" s="61"/>
      <c r="J130" s="61"/>
      <c r="K130" s="5"/>
      <c r="L130" s="5"/>
      <c r="M130" s="69"/>
      <c r="N130" s="69"/>
    </row>
    <row r="131" s="4" customFormat="1" spans="1:14">
      <c r="A131" s="1"/>
      <c r="B131" s="5"/>
      <c r="C131" s="5"/>
      <c r="D131" s="5"/>
      <c r="E131" s="5"/>
      <c r="F131" s="5"/>
      <c r="G131" s="70"/>
      <c r="H131" s="59"/>
      <c r="I131" s="59"/>
      <c r="J131" s="59"/>
      <c r="K131" s="5"/>
      <c r="L131" s="5"/>
      <c r="M131" s="69"/>
      <c r="N131" s="69"/>
    </row>
    <row r="132" s="4" customFormat="1" spans="1:14">
      <c r="A132" s="1"/>
      <c r="B132" s="5"/>
      <c r="C132" s="5"/>
      <c r="D132" s="5"/>
      <c r="E132" s="5"/>
      <c r="F132" s="5"/>
      <c r="G132" s="70"/>
      <c r="H132" s="59"/>
      <c r="I132" s="59"/>
      <c r="J132" s="59"/>
      <c r="K132" s="60"/>
      <c r="L132" s="60"/>
      <c r="M132" s="69"/>
      <c r="N132" s="69"/>
    </row>
    <row r="133" s="4" customFormat="1" spans="1:14">
      <c r="A133" s="1"/>
      <c r="B133" s="5"/>
      <c r="C133" s="38"/>
      <c r="D133" s="5"/>
      <c r="E133" s="5"/>
      <c r="F133" s="5"/>
      <c r="G133" s="71"/>
      <c r="H133" s="72"/>
      <c r="I133" s="72"/>
      <c r="J133" s="72"/>
      <c r="K133" s="72"/>
      <c r="L133" s="72"/>
      <c r="M133" s="69"/>
      <c r="N133" s="69"/>
    </row>
    <row r="134" s="4" customFormat="1" spans="1:14">
      <c r="A134" s="1"/>
      <c r="B134" s="5"/>
      <c r="C134" s="5"/>
      <c r="D134" s="5"/>
      <c r="E134" s="5"/>
      <c r="F134" s="5"/>
      <c r="G134" s="70"/>
      <c r="H134" s="59"/>
      <c r="I134" s="59"/>
      <c r="J134" s="61"/>
      <c r="K134" s="5"/>
      <c r="L134" s="5"/>
      <c r="M134" s="69"/>
      <c r="N134" s="69"/>
    </row>
    <row r="135" s="4" customFormat="1" spans="1:14">
      <c r="A135" s="1"/>
      <c r="B135" s="5"/>
      <c r="C135" s="5"/>
      <c r="D135" s="5"/>
      <c r="E135" s="5"/>
      <c r="F135" s="5"/>
      <c r="G135" s="74"/>
      <c r="H135" s="61"/>
      <c r="I135" s="61"/>
      <c r="J135" s="61"/>
      <c r="K135" s="5"/>
      <c r="L135" s="60"/>
      <c r="M135" s="69"/>
      <c r="N135" s="69"/>
    </row>
    <row r="136" s="4" customFormat="1" spans="1:14">
      <c r="A136" s="1"/>
      <c r="B136" s="5"/>
      <c r="C136" s="5"/>
      <c r="D136" s="5"/>
      <c r="E136" s="5"/>
      <c r="F136" s="5"/>
      <c r="G136" s="70"/>
      <c r="H136" s="59"/>
      <c r="I136" s="59"/>
      <c r="J136" s="59"/>
      <c r="K136" s="60"/>
      <c r="L136" s="60"/>
      <c r="M136" s="69"/>
      <c r="N136" s="69"/>
    </row>
    <row r="137" s="4" customFormat="1" spans="1:14">
      <c r="A137" s="1"/>
      <c r="B137" s="5"/>
      <c r="C137" s="59"/>
      <c r="D137" s="5"/>
      <c r="E137" s="5"/>
      <c r="F137" s="5"/>
      <c r="G137" s="70"/>
      <c r="H137" s="59"/>
      <c r="I137" s="59"/>
      <c r="J137" s="59"/>
      <c r="K137" s="5"/>
      <c r="L137" s="5"/>
      <c r="M137" s="69"/>
      <c r="N137" s="69"/>
    </row>
    <row r="138" s="4" customFormat="1" spans="1:14">
      <c r="A138" s="1"/>
      <c r="B138" s="5"/>
      <c r="C138" s="5"/>
      <c r="D138" s="5"/>
      <c r="E138" s="5"/>
      <c r="F138" s="5"/>
      <c r="G138" s="70"/>
      <c r="H138" s="59"/>
      <c r="I138" s="59"/>
      <c r="J138" s="59"/>
      <c r="K138" s="60"/>
      <c r="L138" s="60"/>
      <c r="M138" s="69"/>
      <c r="N138" s="69"/>
    </row>
    <row r="139" s="4" customFormat="1" spans="1:14">
      <c r="A139" s="1"/>
      <c r="B139" s="5"/>
      <c r="C139" s="5"/>
      <c r="D139" s="5"/>
      <c r="E139" s="5"/>
      <c r="F139" s="5"/>
      <c r="G139" s="74"/>
      <c r="H139" s="61"/>
      <c r="I139" s="61"/>
      <c r="J139" s="61"/>
      <c r="K139" s="5"/>
      <c r="L139" s="5"/>
      <c r="M139" s="69"/>
      <c r="N139" s="69"/>
    </row>
    <row r="140" s="4" customFormat="1" spans="1:14">
      <c r="A140" s="1"/>
      <c r="B140" s="5"/>
      <c r="C140" s="5"/>
      <c r="D140" s="5"/>
      <c r="E140" s="5"/>
      <c r="F140" s="5"/>
      <c r="G140" s="74"/>
      <c r="H140" s="61"/>
      <c r="I140" s="61"/>
      <c r="J140" s="61"/>
      <c r="K140" s="5"/>
      <c r="L140" s="5"/>
      <c r="M140" s="69"/>
      <c r="N140" s="69"/>
    </row>
    <row r="141" s="4" customFormat="1" spans="1:14">
      <c r="A141" s="1"/>
      <c r="B141" s="5"/>
      <c r="C141" s="38"/>
      <c r="D141" s="5"/>
      <c r="E141" s="5"/>
      <c r="F141" s="5"/>
      <c r="G141" s="71"/>
      <c r="H141" s="72"/>
      <c r="I141" s="72"/>
      <c r="J141" s="72"/>
      <c r="K141" s="72"/>
      <c r="L141" s="72"/>
      <c r="M141" s="69"/>
      <c r="N141" s="69"/>
    </row>
    <row r="142" s="4" customFormat="1" spans="1:14">
      <c r="A142" s="1"/>
      <c r="B142" s="5"/>
      <c r="C142" s="5"/>
      <c r="D142" s="5"/>
      <c r="E142" s="5"/>
      <c r="F142" s="5"/>
      <c r="G142" s="74"/>
      <c r="H142" s="61"/>
      <c r="I142" s="61"/>
      <c r="J142" s="61"/>
      <c r="K142" s="60"/>
      <c r="L142" s="60"/>
      <c r="M142" s="69"/>
      <c r="N142" s="69"/>
    </row>
    <row r="143" s="4" customFormat="1" spans="1:14">
      <c r="A143" s="1"/>
      <c r="B143" s="5"/>
      <c r="C143" s="38"/>
      <c r="D143" s="5"/>
      <c r="E143" s="5"/>
      <c r="F143" s="5"/>
      <c r="G143" s="71"/>
      <c r="H143" s="63"/>
      <c r="I143" s="63"/>
      <c r="J143" s="63"/>
      <c r="K143" s="57"/>
      <c r="L143" s="38"/>
      <c r="M143" s="69"/>
      <c r="N143" s="69"/>
    </row>
    <row r="144" s="4" customFormat="1" spans="1:14">
      <c r="A144" s="1"/>
      <c r="B144" s="5"/>
      <c r="C144" s="38"/>
      <c r="D144" s="5"/>
      <c r="E144" s="5"/>
      <c r="F144" s="5"/>
      <c r="G144" s="75"/>
      <c r="H144" s="76"/>
      <c r="I144" s="76"/>
      <c r="J144" s="76"/>
      <c r="K144" s="38"/>
      <c r="L144" s="38"/>
      <c r="M144" s="69"/>
      <c r="N144" s="69"/>
    </row>
    <row r="145" s="4" customFormat="1" spans="1:14">
      <c r="A145" s="1"/>
      <c r="B145" s="5"/>
      <c r="C145" s="38"/>
      <c r="D145" s="5"/>
      <c r="E145" s="5"/>
      <c r="F145" s="5"/>
      <c r="G145" s="71"/>
      <c r="H145" s="63"/>
      <c r="I145" s="63"/>
      <c r="J145" s="63"/>
      <c r="K145" s="38"/>
      <c r="L145" s="57"/>
      <c r="M145" s="69"/>
      <c r="N145" s="69"/>
    </row>
    <row r="146" s="4" customFormat="1" spans="1:14">
      <c r="A146" s="1"/>
      <c r="B146" s="5"/>
      <c r="C146" s="5"/>
      <c r="D146" s="5"/>
      <c r="E146" s="5"/>
      <c r="F146" s="5"/>
      <c r="G146" s="26"/>
      <c r="H146" s="5"/>
      <c r="I146" s="5"/>
      <c r="J146" s="5"/>
      <c r="K146" s="5"/>
      <c r="L146" s="5"/>
      <c r="M146" s="69"/>
      <c r="N146" s="69"/>
    </row>
    <row r="147" s="4" customFormat="1" spans="1:14">
      <c r="A147" s="1"/>
      <c r="B147" s="5"/>
      <c r="C147" s="38"/>
      <c r="D147" s="5"/>
      <c r="E147" s="5"/>
      <c r="F147" s="5"/>
      <c r="G147" s="56"/>
      <c r="H147" s="77"/>
      <c r="I147" s="77"/>
      <c r="J147" s="77"/>
      <c r="K147" s="77"/>
      <c r="L147" s="77"/>
      <c r="M147" s="69"/>
      <c r="N147" s="69"/>
    </row>
    <row r="148" s="4" customFormat="1" ht="17.6" spans="1:14">
      <c r="A148" s="1"/>
      <c r="B148" s="5"/>
      <c r="C148" s="5"/>
      <c r="D148" s="5"/>
      <c r="E148" s="5"/>
      <c r="F148" s="5"/>
      <c r="G148" s="26"/>
      <c r="H148" s="56"/>
      <c r="I148" s="56"/>
      <c r="J148" s="56"/>
      <c r="K148" s="56"/>
      <c r="L148" s="78"/>
      <c r="M148" s="69"/>
      <c r="N148" s="69"/>
    </row>
    <row r="149" s="4" customFormat="1" ht="17.6" spans="1:14">
      <c r="A149" s="1"/>
      <c r="B149" s="5"/>
      <c r="C149" s="5"/>
      <c r="D149" s="5"/>
      <c r="E149" s="5"/>
      <c r="F149" s="5"/>
      <c r="G149" s="26"/>
      <c r="H149" s="5"/>
      <c r="I149" s="5"/>
      <c r="J149" s="5"/>
      <c r="K149" s="5"/>
      <c r="L149" s="78"/>
      <c r="M149" s="69"/>
      <c r="N149" s="69"/>
    </row>
    <row r="150" s="4" customFormat="1" ht="17.6" spans="1:14">
      <c r="A150" s="1"/>
      <c r="B150" s="5"/>
      <c r="C150" s="5"/>
      <c r="D150" s="5"/>
      <c r="E150" s="5"/>
      <c r="F150" s="5"/>
      <c r="G150" s="26"/>
      <c r="H150" s="5"/>
      <c r="I150" s="5"/>
      <c r="J150" s="5"/>
      <c r="K150" s="5"/>
      <c r="L150" s="78"/>
      <c r="M150" s="69"/>
      <c r="N150" s="69"/>
    </row>
    <row r="151" s="4" customFormat="1" ht="17.6" spans="1:14">
      <c r="A151" s="1"/>
      <c r="B151" s="5"/>
      <c r="C151" s="5"/>
      <c r="D151" s="5"/>
      <c r="E151" s="5"/>
      <c r="F151" s="5"/>
      <c r="G151" s="26"/>
      <c r="H151" s="5"/>
      <c r="I151" s="5"/>
      <c r="J151" s="5"/>
      <c r="K151" s="5"/>
      <c r="L151" s="78"/>
      <c r="M151" s="69"/>
      <c r="N151" s="69"/>
    </row>
    <row r="152" s="4" customFormat="1" ht="17.6" spans="1:14">
      <c r="A152" s="1"/>
      <c r="B152" s="5"/>
      <c r="C152" s="5"/>
      <c r="D152" s="5"/>
      <c r="E152" s="5"/>
      <c r="F152" s="5"/>
      <c r="G152" s="26"/>
      <c r="H152" s="5"/>
      <c r="I152" s="5"/>
      <c r="J152" s="5"/>
      <c r="K152" s="5"/>
      <c r="L152" s="78"/>
      <c r="M152" s="69"/>
      <c r="N152" s="69"/>
    </row>
    <row r="153" s="4" customFormat="1" ht="17.6" spans="1:14">
      <c r="A153" s="1"/>
      <c r="B153" s="5"/>
      <c r="C153" s="5"/>
      <c r="D153" s="5"/>
      <c r="E153" s="5"/>
      <c r="F153" s="5"/>
      <c r="G153" s="26"/>
      <c r="H153" s="5"/>
      <c r="I153" s="5"/>
      <c r="J153" s="5"/>
      <c r="K153" s="5"/>
      <c r="L153" s="79"/>
      <c r="M153" s="69"/>
      <c r="N153" s="69"/>
    </row>
    <row r="154" s="4" customFormat="1" ht="17.6" spans="1:14">
      <c r="A154" s="1"/>
      <c r="B154" s="5"/>
      <c r="C154" s="5"/>
      <c r="D154" s="5"/>
      <c r="E154" s="5"/>
      <c r="F154" s="5"/>
      <c r="G154" s="26"/>
      <c r="H154" s="5"/>
      <c r="I154" s="5"/>
      <c r="J154" s="5"/>
      <c r="K154" s="5"/>
      <c r="L154" s="78"/>
      <c r="M154" s="69"/>
      <c r="N154" s="69"/>
    </row>
    <row r="155" s="4" customFormat="1" ht="17.6" spans="1:14">
      <c r="A155" s="1"/>
      <c r="B155" s="5"/>
      <c r="C155" s="5"/>
      <c r="D155" s="5"/>
      <c r="E155" s="5"/>
      <c r="F155" s="5"/>
      <c r="G155" s="26"/>
      <c r="H155" s="5"/>
      <c r="I155" s="5"/>
      <c r="J155" s="5"/>
      <c r="K155" s="5"/>
      <c r="L155" s="78"/>
      <c r="M155" s="69"/>
      <c r="N155" s="69"/>
    </row>
    <row r="156" s="4" customFormat="1" ht="17.6" spans="1:14">
      <c r="A156" s="1"/>
      <c r="B156" s="5"/>
      <c r="C156" s="5"/>
      <c r="D156" s="5"/>
      <c r="E156" s="5"/>
      <c r="F156" s="5"/>
      <c r="G156" s="26"/>
      <c r="H156" s="5"/>
      <c r="I156" s="5"/>
      <c r="J156" s="5"/>
      <c r="K156" s="5"/>
      <c r="L156" s="78"/>
      <c r="M156" s="69"/>
      <c r="N156" s="69"/>
    </row>
    <row r="157" s="4" customFormat="1" ht="17.6" spans="1:14">
      <c r="A157" s="1"/>
      <c r="B157" s="5"/>
      <c r="C157" s="5"/>
      <c r="D157" s="5"/>
      <c r="E157" s="5"/>
      <c r="F157" s="5"/>
      <c r="G157" s="26"/>
      <c r="H157" s="5"/>
      <c r="I157" s="5"/>
      <c r="J157" s="5"/>
      <c r="K157" s="5"/>
      <c r="L157" s="78"/>
      <c r="M157" s="69"/>
      <c r="N157" s="69"/>
    </row>
    <row r="158" s="4" customFormat="1" ht="17.6" spans="1:14">
      <c r="A158" s="1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78"/>
      <c r="M158" s="69"/>
      <c r="N158" s="69"/>
    </row>
    <row r="159" s="4" customFormat="1" ht="17.6" spans="1:14">
      <c r="A159" s="1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78"/>
      <c r="M159" s="69"/>
      <c r="N159" s="69"/>
    </row>
    <row r="160" s="4" customFormat="1" ht="17.6" spans="1:14">
      <c r="A160" s="1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78"/>
      <c r="M160" s="69"/>
      <c r="N160" s="69"/>
    </row>
    <row r="161" s="4" customFormat="1" ht="17.6" spans="1:14">
      <c r="A161" s="1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78"/>
      <c r="M161" s="69"/>
      <c r="N161" s="69"/>
    </row>
    <row r="162" s="4" customFormat="1" ht="17.6" spans="1:14">
      <c r="A162" s="1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78"/>
      <c r="M162" s="69"/>
      <c r="N162" s="69"/>
    </row>
    <row r="163" s="4" customFormat="1" ht="17.6" spans="1:14">
      <c r="A163" s="1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78"/>
      <c r="M163" s="69"/>
      <c r="N163" s="69"/>
    </row>
    <row r="164" s="4" customFormat="1" ht="17.6" spans="1:14">
      <c r="A164" s="1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78"/>
      <c r="M164" s="69"/>
      <c r="N164" s="69"/>
    </row>
    <row r="165" s="4" customFormat="1" ht="17.6" spans="1:14">
      <c r="A165" s="1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78"/>
      <c r="M165" s="69"/>
      <c r="N165" s="69"/>
    </row>
    <row r="166" s="4" customFormat="1" ht="17.6" spans="1:14">
      <c r="A166" s="1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78"/>
      <c r="M166" s="69"/>
      <c r="N166" s="69"/>
    </row>
    <row r="167" s="4" customFormat="1" ht="17.6" spans="1:14">
      <c r="A167" s="1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78"/>
      <c r="M167" s="69"/>
      <c r="N167" s="69"/>
    </row>
    <row r="168" s="4" customFormat="1" ht="17.6" spans="1:14">
      <c r="A168" s="1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78"/>
      <c r="M168" s="69"/>
      <c r="N168" s="69"/>
    </row>
    <row r="169" s="4" customFormat="1" ht="17.6" spans="1:14">
      <c r="A169" s="1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78"/>
      <c r="M169" s="69"/>
      <c r="N169" s="69"/>
    </row>
    <row r="170" s="4" customFormat="1" ht="17.6" spans="1:14">
      <c r="A170" s="1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78"/>
      <c r="M170" s="69"/>
      <c r="N170" s="69"/>
    </row>
    <row r="171" s="4" customFormat="1" ht="17.6" spans="1:14">
      <c r="A171" s="1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78"/>
      <c r="M171" s="69"/>
      <c r="N171" s="69"/>
    </row>
    <row r="172" s="4" customFormat="1" ht="17.6" spans="1:14">
      <c r="A172" s="1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78"/>
      <c r="M172" s="69"/>
      <c r="N172" s="69"/>
    </row>
    <row r="173" s="4" customFormat="1" ht="17.6" spans="1:14">
      <c r="A173" s="1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78"/>
      <c r="M173" s="69"/>
      <c r="N173" s="69"/>
    </row>
    <row r="174" s="4" customFormat="1" ht="17.6" spans="1:14">
      <c r="A174" s="1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78"/>
      <c r="M174" s="69"/>
      <c r="N174" s="69"/>
    </row>
    <row r="175" s="4" customFormat="1" ht="17.6" spans="1:14">
      <c r="A175" s="1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78"/>
      <c r="M175" s="69"/>
      <c r="N175" s="69"/>
    </row>
    <row r="176" s="4" customFormat="1" ht="17.6" spans="1:14">
      <c r="A176" s="1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78"/>
      <c r="M176" s="69"/>
      <c r="N176" s="69"/>
    </row>
    <row r="177" s="4" customFormat="1" ht="17.6" spans="1:14">
      <c r="A177" s="1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78"/>
      <c r="M177" s="69"/>
      <c r="N177" s="69"/>
    </row>
    <row r="178" s="4" customFormat="1" ht="17.6" spans="1:14">
      <c r="A178" s="1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78"/>
      <c r="M178" s="69"/>
      <c r="N178" s="69"/>
    </row>
    <row r="179" s="4" customFormat="1" ht="17.6" spans="1:14">
      <c r="A179" s="1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78"/>
      <c r="M179" s="69"/>
      <c r="N179" s="69"/>
    </row>
    <row r="180" s="4" customFormat="1" ht="17.6" spans="1:14">
      <c r="A180" s="1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78"/>
      <c r="M180" s="69"/>
      <c r="N180" s="69"/>
    </row>
    <row r="181" s="4" customFormat="1" ht="17.6" spans="1:14">
      <c r="A181" s="1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78"/>
      <c r="M181" s="69"/>
      <c r="N181" s="69"/>
    </row>
    <row r="182" s="4" customFormat="1" ht="17.6" spans="1:14">
      <c r="A182" s="1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78"/>
      <c r="M182" s="69"/>
      <c r="N182" s="69"/>
    </row>
    <row r="183" s="4" customFormat="1" ht="17.6" spans="1:14">
      <c r="A183" s="1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78"/>
      <c r="M183" s="69"/>
      <c r="N183" s="69"/>
    </row>
    <row r="184" s="4" customFormat="1" ht="17.6" spans="1:14">
      <c r="A184" s="1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78"/>
      <c r="M184" s="69"/>
      <c r="N184" s="69"/>
    </row>
    <row r="185" s="4" customFormat="1" ht="17.6" spans="1:14">
      <c r="A185" s="1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78"/>
      <c r="M185" s="69"/>
      <c r="N185" s="69"/>
    </row>
    <row r="186" s="4" customFormat="1" ht="17.6" spans="1:14">
      <c r="A186" s="1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78"/>
      <c r="M186" s="69"/>
      <c r="N186" s="69"/>
    </row>
    <row r="187" s="4" customFormat="1" ht="17.6" spans="1:14">
      <c r="A187" s="1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78"/>
      <c r="M187" s="69"/>
      <c r="N187" s="69"/>
    </row>
    <row r="188" s="4" customFormat="1" ht="17.6" spans="1:14">
      <c r="A188" s="1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78"/>
      <c r="M188" s="69"/>
      <c r="N188" s="69"/>
    </row>
    <row r="189" s="4" customFormat="1" ht="17.6" spans="1:14">
      <c r="A189" s="1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78"/>
      <c r="M189" s="69"/>
      <c r="N189" s="69"/>
    </row>
    <row r="190" s="4" customFormat="1" ht="17.6" spans="1:14">
      <c r="A190" s="1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78"/>
      <c r="M190" s="69"/>
      <c r="N190" s="69"/>
    </row>
    <row r="191" s="4" customFormat="1" ht="17.6" spans="1:14">
      <c r="A191" s="1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78"/>
      <c r="M191" s="69"/>
      <c r="N191" s="69"/>
    </row>
    <row r="192" s="4" customFormat="1" ht="17.6" spans="1:14">
      <c r="A192" s="1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80"/>
      <c r="M192" s="69"/>
      <c r="N192" s="69"/>
    </row>
    <row r="193" s="4" customFormat="1" ht="17.6" spans="1:14">
      <c r="A193" s="1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80"/>
      <c r="M193" s="69"/>
      <c r="N193" s="69"/>
    </row>
    <row r="194" s="4" customFormat="1" ht="17.6" spans="1:14">
      <c r="A194" s="1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80"/>
      <c r="M194" s="69"/>
      <c r="N194" s="69"/>
    </row>
    <row r="195" s="4" customFormat="1" spans="1:14">
      <c r="A195" s="1"/>
      <c r="B195" s="5"/>
      <c r="C195" s="5"/>
      <c r="D195" s="5"/>
      <c r="E195" s="5"/>
      <c r="F195" s="5"/>
      <c r="G195" s="5"/>
      <c r="H195" s="5"/>
      <c r="I195" s="5"/>
      <c r="J195" s="5"/>
      <c r="K195" s="5"/>
      <c r="M195" s="69"/>
      <c r="N195" s="69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5"/>
  <sheetViews>
    <sheetView showGridLines="0" zoomScale="75" zoomScaleNormal="75" workbookViewId="0">
      <selection activeCell="L24" sqref="L24"/>
    </sheetView>
  </sheetViews>
  <sheetFormatPr defaultColWidth="9.14285714285714" defaultRowHeight="16.8"/>
  <cols>
    <col min="1" max="1" width="1.23214285714286" style="1" customWidth="1"/>
    <col min="2" max="3" width="1.23214285714286" style="5" customWidth="1"/>
    <col min="4" max="4" width="40.6428571428571" style="5" customWidth="1"/>
    <col min="5" max="6" width="9.14285714285714" style="5"/>
    <col min="7" max="7" width="2.64285714285714" style="5" customWidth="1"/>
    <col min="8" max="11" width="12.6428571428571" style="5" customWidth="1"/>
    <col min="12" max="12" width="12.6428571428571" style="6" customWidth="1"/>
    <col min="13" max="16384" width="12.6428571428571" style="2" customWidth="1"/>
  </cols>
  <sheetData>
    <row r="1" s="1" customFormat="1" ht="36" spans="1:15">
      <c r="A1" s="7" t="s">
        <v>0</v>
      </c>
      <c r="B1" s="8"/>
      <c r="C1" s="8"/>
      <c r="D1" s="9"/>
      <c r="E1" s="9"/>
      <c r="F1" s="9"/>
      <c r="G1" s="10"/>
      <c r="H1" s="10"/>
      <c r="I1" s="10"/>
      <c r="J1" s="10"/>
      <c r="K1" s="10"/>
      <c r="L1" s="10"/>
      <c r="M1" s="11"/>
      <c r="N1" s="12"/>
      <c r="O1" s="12"/>
    </row>
    <row r="2" s="1" customFormat="1" ht="17.6" spans="1:15">
      <c r="A2" s="81" t="s">
        <v>352</v>
      </c>
      <c r="B2" s="14"/>
      <c r="C2" s="14"/>
      <c r="D2" s="15"/>
      <c r="E2" s="9"/>
      <c r="F2" s="9"/>
      <c r="G2" s="10"/>
      <c r="H2" s="10"/>
      <c r="I2" s="10"/>
      <c r="J2" s="10"/>
      <c r="K2" s="10"/>
      <c r="L2" s="16"/>
      <c r="M2" s="11"/>
      <c r="N2" s="12"/>
      <c r="O2" s="12"/>
    </row>
    <row r="3" s="1" customFormat="1" spans="1:15">
      <c r="G3" s="2"/>
      <c r="H3" s="2"/>
      <c r="I3" s="2"/>
      <c r="J3" s="2"/>
      <c r="K3" s="2"/>
      <c r="L3" s="2"/>
      <c r="M3" s="2"/>
    </row>
    <row r="4" s="1" customFormat="1" spans="1:15">
      <c r="A4" s="82"/>
      <c r="B4" s="38"/>
      <c r="C4" s="5"/>
      <c r="D4" s="83" t="s">
        <v>353</v>
      </c>
      <c r="E4" s="84"/>
      <c r="F4" s="84"/>
      <c r="G4" s="84"/>
      <c r="H4" s="85" t="s">
        <v>328</v>
      </c>
      <c r="I4" s="86" t="s">
        <v>320</v>
      </c>
      <c r="J4" s="86" t="s">
        <v>321</v>
      </c>
      <c r="K4" s="86" t="s">
        <v>181</v>
      </c>
      <c r="L4" s="86" t="s">
        <v>322</v>
      </c>
      <c r="M4" s="86" t="s">
        <v>324</v>
      </c>
      <c r="N4" s="86" t="s">
        <v>156</v>
      </c>
      <c r="O4" s="87" t="s">
        <v>354</v>
      </c>
    </row>
    <row r="5" s="1" customFormat="1" ht="18" spans="1:15">
      <c r="B5" s="5"/>
      <c r="C5" s="5"/>
      <c r="D5" s="88" t="s">
        <v>0</v>
      </c>
      <c r="E5" s="5"/>
      <c r="F5" s="26"/>
      <c r="G5" s="89"/>
      <c r="H5" s="28" t="s">
        <v>344</v>
      </c>
      <c r="I5" s="29">
        <v>5458</v>
      </c>
      <c r="J5" s="29">
        <v>120</v>
      </c>
      <c r="K5" s="29">
        <v>13810</v>
      </c>
      <c r="L5" s="29">
        <v>18810</v>
      </c>
      <c r="M5" s="29">
        <v>129650</v>
      </c>
      <c r="N5" s="29">
        <v>25120</v>
      </c>
      <c r="O5" s="29">
        <v>22150</v>
      </c>
    </row>
    <row r="6" s="1" customFormat="1" ht="17.6" spans="1:15">
      <c r="B6" s="5"/>
      <c r="C6" s="5"/>
      <c r="D6" s="90"/>
      <c r="E6" s="91"/>
      <c r="F6" s="92"/>
      <c r="G6" s="93"/>
      <c r="H6" s="93"/>
      <c r="I6" s="93"/>
      <c r="J6" s="93"/>
      <c r="K6" s="93"/>
      <c r="L6" s="93"/>
      <c r="M6" s="93"/>
      <c r="N6" s="93"/>
      <c r="O6" s="93"/>
    </row>
    <row r="7" s="1" customFormat="1" ht="18" spans="1:15">
      <c r="B7" s="5"/>
      <c r="C7" s="5"/>
      <c r="D7" s="88" t="s">
        <v>284</v>
      </c>
      <c r="E7" s="5"/>
      <c r="F7" s="26"/>
      <c r="G7" s="89"/>
      <c r="H7" s="28" t="s">
        <v>334</v>
      </c>
      <c r="I7" s="29">
        <v>1328</v>
      </c>
      <c r="J7" s="29">
        <v>830</v>
      </c>
      <c r="K7" s="29">
        <v>46770</v>
      </c>
      <c r="L7" s="29">
        <v>14654</v>
      </c>
      <c r="M7" s="29">
        <v>325535</v>
      </c>
      <c r="N7" s="29">
        <v>92133</v>
      </c>
      <c r="O7" s="29">
        <v>56544</v>
      </c>
    </row>
    <row r="8" s="1" customFormat="1" ht="18" spans="1:15">
      <c r="B8" s="38"/>
      <c r="C8" s="5"/>
      <c r="D8" s="88" t="s">
        <v>285</v>
      </c>
      <c r="E8" s="5"/>
      <c r="F8" s="26"/>
      <c r="G8" s="89"/>
      <c r="H8" s="28" t="s">
        <v>335</v>
      </c>
      <c r="I8" s="29">
        <v>1104</v>
      </c>
      <c r="J8" s="29">
        <v>1010</v>
      </c>
      <c r="K8" s="29">
        <v>32130</v>
      </c>
      <c r="L8" s="29">
        <v>80970</v>
      </c>
      <c r="M8" s="29">
        <v>232420</v>
      </c>
      <c r="N8" s="29">
        <v>70580</v>
      </c>
      <c r="O8" s="29">
        <v>46730</v>
      </c>
    </row>
    <row r="9" s="1" customFormat="1" ht="18" spans="1:15">
      <c r="B9" s="5"/>
      <c r="C9" s="5"/>
      <c r="D9" s="88" t="s">
        <v>286</v>
      </c>
      <c r="E9" s="5"/>
      <c r="F9" s="26"/>
      <c r="G9" s="89"/>
      <c r="H9" s="28" t="s">
        <v>336</v>
      </c>
      <c r="I9" s="29">
        <v>4604</v>
      </c>
      <c r="J9" s="29">
        <v>338</v>
      </c>
      <c r="K9" s="29">
        <v>32020</v>
      </c>
      <c r="L9" s="29">
        <v>9690</v>
      </c>
      <c r="M9" s="29">
        <v>115160</v>
      </c>
      <c r="N9" s="29">
        <v>37210</v>
      </c>
      <c r="O9" s="29">
        <v>19110</v>
      </c>
    </row>
    <row r="10" s="1" customFormat="1" ht="18" spans="1:15">
      <c r="B10" s="5"/>
      <c r="C10" s="5"/>
      <c r="D10" s="88" t="s">
        <v>287</v>
      </c>
      <c r="E10" s="5"/>
      <c r="F10" s="26"/>
      <c r="G10" s="89"/>
      <c r="H10" s="28" t="s">
        <v>337</v>
      </c>
      <c r="I10" s="29">
        <v>2393</v>
      </c>
      <c r="J10" s="29">
        <v>410</v>
      </c>
      <c r="K10" s="29">
        <v>85110</v>
      </c>
      <c r="L10" s="29">
        <v>22500</v>
      </c>
      <c r="M10" s="29">
        <v>122070</v>
      </c>
      <c r="N10" s="29">
        <v>30260</v>
      </c>
      <c r="O10" s="29">
        <v>20110</v>
      </c>
    </row>
    <row r="11" s="1" customFormat="1" ht="18" spans="1:15">
      <c r="B11" s="5"/>
      <c r="C11" s="5"/>
      <c r="D11" s="88" t="s">
        <v>288</v>
      </c>
      <c r="E11" s="5"/>
      <c r="F11" s="26"/>
      <c r="G11" s="89"/>
      <c r="H11" s="28" t="s">
        <v>338</v>
      </c>
      <c r="I11" s="29">
        <v>2278</v>
      </c>
      <c r="J11" s="29">
        <v>455</v>
      </c>
      <c r="K11" s="29">
        <v>54480</v>
      </c>
      <c r="L11" s="29">
        <v>57580</v>
      </c>
      <c r="M11" s="29">
        <v>227080</v>
      </c>
      <c r="N11" s="29">
        <v>54792</v>
      </c>
      <c r="O11" s="29">
        <v>33060</v>
      </c>
    </row>
    <row r="12" s="1" customFormat="1" ht="18" spans="1:15">
      <c r="B12" s="5"/>
      <c r="C12" s="5"/>
      <c r="D12" s="88" t="s">
        <v>289</v>
      </c>
      <c r="E12" s="5"/>
      <c r="F12" s="26"/>
      <c r="G12" s="89"/>
      <c r="H12" s="28" t="s">
        <v>339</v>
      </c>
      <c r="I12" s="29">
        <v>1454</v>
      </c>
      <c r="J12" s="29">
        <v>580</v>
      </c>
      <c r="K12" s="29">
        <v>82630</v>
      </c>
      <c r="L12" s="29">
        <v>82400</v>
      </c>
      <c r="M12" s="29">
        <v>317240</v>
      </c>
      <c r="N12" s="29">
        <v>65510</v>
      </c>
      <c r="O12" s="29">
        <v>34840</v>
      </c>
    </row>
    <row r="13" s="1" customFormat="1" ht="18" spans="1:15">
      <c r="B13" s="5"/>
      <c r="C13" s="5"/>
      <c r="D13" s="88" t="s">
        <v>290</v>
      </c>
      <c r="E13" s="5"/>
      <c r="F13" s="26"/>
      <c r="G13" s="89"/>
      <c r="H13" s="28" t="s">
        <v>340</v>
      </c>
      <c r="I13" s="29">
        <v>26073</v>
      </c>
      <c r="J13" s="29">
        <v>21</v>
      </c>
      <c r="K13" s="29">
        <v>1970</v>
      </c>
      <c r="L13" s="29">
        <v>11100</v>
      </c>
      <c r="M13" s="29">
        <v>64090</v>
      </c>
      <c r="N13" s="29">
        <v>16950</v>
      </c>
      <c r="O13" s="29">
        <v>14140</v>
      </c>
    </row>
    <row r="14" s="1" customFormat="1" ht="17.6" spans="1:15">
      <c r="B14" s="5"/>
      <c r="C14" s="5"/>
      <c r="D14" s="94" t="s">
        <v>291</v>
      </c>
      <c r="E14" s="5"/>
      <c r="F14" s="26"/>
      <c r="G14" s="89"/>
      <c r="H14" s="28" t="s">
        <v>341</v>
      </c>
      <c r="I14" s="29">
        <v>2174</v>
      </c>
      <c r="J14" s="29">
        <v>169</v>
      </c>
      <c r="K14" s="29">
        <v>100</v>
      </c>
      <c r="L14" s="29">
        <v>28170</v>
      </c>
      <c r="M14" s="29">
        <v>37490</v>
      </c>
      <c r="N14" s="29">
        <v>11790</v>
      </c>
      <c r="O14" s="29">
        <v>9280</v>
      </c>
    </row>
    <row r="15" s="1" customFormat="1" ht="18" spans="1:15">
      <c r="B15" s="5"/>
      <c r="C15" s="5"/>
      <c r="D15" s="88" t="s">
        <v>292</v>
      </c>
      <c r="E15" s="5"/>
      <c r="F15" s="26"/>
      <c r="G15" s="89"/>
      <c r="H15" s="28" t="s">
        <v>342</v>
      </c>
      <c r="I15" s="29">
        <v>1656</v>
      </c>
      <c r="J15" s="29">
        <v>250</v>
      </c>
      <c r="K15" s="29">
        <v>13630</v>
      </c>
      <c r="L15" s="29">
        <v>11100</v>
      </c>
      <c r="M15" s="29">
        <v>88970</v>
      </c>
      <c r="N15" s="29">
        <v>17310</v>
      </c>
      <c r="O15" s="29">
        <v>7850</v>
      </c>
    </row>
    <row r="16" s="1" customFormat="1" ht="18" spans="1:15">
      <c r="B16" s="5"/>
      <c r="C16" s="38"/>
      <c r="D16" s="88" t="s">
        <v>293</v>
      </c>
      <c r="E16" s="5"/>
      <c r="F16" s="26"/>
      <c r="G16" s="89"/>
      <c r="H16" s="28" t="s">
        <v>343</v>
      </c>
      <c r="I16" s="29">
        <v>2522</v>
      </c>
      <c r="J16" s="29">
        <v>160</v>
      </c>
      <c r="K16" s="29">
        <v>3140</v>
      </c>
      <c r="L16" s="29">
        <v>30500</v>
      </c>
      <c r="M16" s="29">
        <v>56160</v>
      </c>
      <c r="N16" s="29">
        <v>12690</v>
      </c>
      <c r="O16" s="29">
        <v>6990</v>
      </c>
    </row>
    <row r="17" s="1" customFormat="1" spans="2:13">
      <c r="B17" s="5"/>
      <c r="D17" s="5"/>
      <c r="E17" s="5"/>
      <c r="F17" s="5"/>
      <c r="H17" s="95"/>
      <c r="I17" s="60"/>
      <c r="K17" s="60"/>
      <c r="L17" s="51"/>
    </row>
    <row r="18" s="1" customFormat="1" spans="2:13">
      <c r="B18" s="5"/>
      <c r="C18" s="52" t="s">
        <v>355</v>
      </c>
      <c r="D18" s="5"/>
      <c r="E18" s="5"/>
      <c r="F18" s="5"/>
      <c r="H18" s="95"/>
      <c r="I18" s="60"/>
      <c r="J18" s="60"/>
      <c r="K18" s="60"/>
      <c r="L18" s="53"/>
      <c r="M18" s="2"/>
    </row>
    <row r="19" s="1" customFormat="1" spans="2:13">
      <c r="B19" s="5"/>
      <c r="C19" s="5"/>
      <c r="D19" s="5"/>
      <c r="E19" s="5"/>
      <c r="F19" s="5"/>
      <c r="H19" s="95"/>
      <c r="I19" s="60"/>
      <c r="J19" s="60"/>
      <c r="K19" s="60"/>
      <c r="L19" s="49"/>
    </row>
    <row r="20" s="1" customFormat="1" spans="2:13">
      <c r="B20" s="5"/>
      <c r="C20" s="5"/>
      <c r="D20" s="5"/>
      <c r="E20" s="5"/>
      <c r="F20" s="5"/>
      <c r="H20" s="60"/>
      <c r="I20" s="60"/>
      <c r="J20" s="60"/>
      <c r="K20" s="60"/>
      <c r="L20" s="60"/>
    </row>
    <row r="21" s="1" customFormat="1" spans="2:13">
      <c r="B21" s="5"/>
      <c r="C21" s="5"/>
      <c r="D21" s="5"/>
      <c r="E21" s="5"/>
      <c r="F21" s="5"/>
      <c r="H21" s="60"/>
      <c r="I21" s="60"/>
      <c r="J21" s="60"/>
      <c r="K21" s="60"/>
    </row>
    <row r="22" s="1" customFormat="1" spans="2:13">
      <c r="B22" s="5"/>
      <c r="C22" s="38"/>
      <c r="D22" s="38"/>
      <c r="E22" s="38"/>
      <c r="F22" s="38"/>
      <c r="H22" s="57"/>
      <c r="I22" s="57"/>
      <c r="J22" s="57"/>
      <c r="K22" s="57"/>
    </row>
    <row r="23" s="1" customFormat="1" spans="2:13">
      <c r="B23" s="5"/>
      <c r="C23" s="5"/>
      <c r="D23" s="5"/>
      <c r="E23" s="5"/>
      <c r="F23" s="5"/>
      <c r="H23" s="5"/>
      <c r="I23" s="5"/>
      <c r="J23" s="5"/>
      <c r="K23" s="5"/>
    </row>
    <row r="24" s="1" customFormat="1" spans="2:13">
      <c r="B24" s="5"/>
      <c r="C24" s="38"/>
      <c r="D24" s="5"/>
      <c r="E24" s="5"/>
      <c r="F24" s="5"/>
      <c r="H24" s="57"/>
      <c r="I24" s="57"/>
      <c r="J24" s="57"/>
      <c r="K24" s="57"/>
    </row>
    <row r="25" s="1" customFormat="1" spans="2:13">
      <c r="B25" s="5"/>
      <c r="C25" s="38"/>
      <c r="D25" s="5"/>
      <c r="E25" s="5"/>
      <c r="F25" s="5"/>
      <c r="H25" s="57"/>
      <c r="I25" s="57"/>
      <c r="J25" s="57"/>
      <c r="K25" s="57"/>
    </row>
    <row r="26" spans="2:13">
      <c r="C26" s="58"/>
    </row>
    <row r="28" spans="2:13">
      <c r="C28" s="38"/>
    </row>
    <row r="30" spans="2:13">
      <c r="G30" s="59"/>
      <c r="H30" s="59"/>
      <c r="I30" s="59"/>
      <c r="J30" s="59"/>
      <c r="K30" s="60"/>
    </row>
    <row r="31" spans="2:13">
      <c r="G31" s="59"/>
      <c r="H31" s="59"/>
      <c r="I31" s="59"/>
      <c r="J31" s="59"/>
      <c r="K31" s="60"/>
    </row>
    <row r="32" spans="2:13">
      <c r="G32" s="59"/>
      <c r="H32" s="59"/>
      <c r="I32" s="59"/>
      <c r="J32" s="59"/>
      <c r="K32" s="60"/>
      <c r="L32" s="60"/>
    </row>
    <row r="33" spans="1:12">
      <c r="G33" s="59"/>
      <c r="H33" s="59"/>
      <c r="I33" s="59"/>
      <c r="J33" s="59"/>
      <c r="K33" s="60"/>
      <c r="L33" s="60"/>
    </row>
    <row r="34" spans="1:12">
      <c r="G34" s="59"/>
      <c r="H34" s="59"/>
      <c r="I34" s="59"/>
      <c r="J34" s="61"/>
      <c r="L34" s="5"/>
    </row>
    <row r="35" spans="1:12">
      <c r="G35" s="61"/>
      <c r="H35" s="61"/>
      <c r="I35" s="61"/>
      <c r="J35" s="61"/>
      <c r="L35" s="5"/>
    </row>
    <row r="36" spans="1:12">
      <c r="C36" s="58"/>
      <c r="G36" s="61"/>
      <c r="H36" s="61"/>
      <c r="I36" s="61"/>
      <c r="J36" s="61"/>
      <c r="L36" s="5"/>
    </row>
    <row r="37" spans="1:12">
      <c r="C37" s="62"/>
      <c r="G37" s="59"/>
      <c r="H37" s="59"/>
      <c r="I37" s="59"/>
      <c r="J37" s="59"/>
      <c r="L37" s="5"/>
    </row>
    <row r="38" spans="1:12">
      <c r="C38" s="62"/>
      <c r="G38" s="61"/>
      <c r="H38" s="61"/>
      <c r="I38" s="61"/>
      <c r="J38" s="61"/>
      <c r="K38" s="60"/>
      <c r="L38" s="60"/>
    </row>
    <row r="39" spans="1:12">
      <c r="C39" s="62"/>
      <c r="G39" s="59"/>
      <c r="H39" s="59"/>
      <c r="I39" s="59"/>
      <c r="J39" s="59"/>
      <c r="K39" s="60"/>
      <c r="L39" s="60"/>
    </row>
    <row r="40" spans="1:12">
      <c r="G40" s="59"/>
      <c r="H40" s="59"/>
      <c r="I40" s="59"/>
      <c r="J40" s="59"/>
      <c r="K40" s="60"/>
      <c r="L40" s="60"/>
    </row>
    <row r="41" spans="1:12">
      <c r="G41" s="61"/>
      <c r="H41" s="61"/>
      <c r="I41" s="61"/>
      <c r="J41" s="61"/>
      <c r="L41" s="5"/>
    </row>
    <row r="42" spans="1:12">
      <c r="G42" s="61"/>
      <c r="H42" s="61"/>
      <c r="I42" s="61"/>
      <c r="J42" s="61"/>
      <c r="L42" s="60"/>
    </row>
    <row r="43" spans="1:12">
      <c r="C43" s="38"/>
      <c r="D43" s="38"/>
      <c r="E43" s="38"/>
      <c r="F43" s="38"/>
      <c r="G43" s="63"/>
      <c r="H43" s="63"/>
      <c r="I43" s="63"/>
      <c r="J43" s="63"/>
      <c r="K43" s="57"/>
      <c r="L43" s="57"/>
    </row>
    <row r="44" spans="1:12">
      <c r="G44" s="61"/>
      <c r="L44" s="5"/>
    </row>
    <row r="45" spans="1:12">
      <c r="C45" s="58"/>
    </row>
    <row r="46" spans="1:12">
      <c r="G46" s="59"/>
      <c r="H46" s="59"/>
      <c r="I46" s="59"/>
      <c r="J46" s="59"/>
      <c r="K46" s="60"/>
      <c r="L46" s="60"/>
    </row>
    <row r="47" spans="1:12">
      <c r="C47" s="64"/>
      <c r="G47" s="61"/>
      <c r="H47" s="61"/>
      <c r="I47" s="61"/>
      <c r="J47" s="61"/>
      <c r="L47" s="60"/>
    </row>
    <row r="48" s="2" customFormat="1" spans="1:12">
      <c r="A48" s="1"/>
      <c r="B48" s="5"/>
      <c r="C48" s="62"/>
      <c r="D48" s="5"/>
      <c r="E48" s="5"/>
      <c r="F48" s="5"/>
      <c r="G48" s="59"/>
      <c r="H48" s="59"/>
      <c r="I48" s="59"/>
      <c r="J48" s="59"/>
      <c r="K48" s="60"/>
      <c r="L48" s="60"/>
    </row>
    <row r="49" s="3" customFormat="1" ht="17.6" spans="1:14">
      <c r="A49" s="1"/>
      <c r="B49" s="5"/>
      <c r="C49" s="62"/>
      <c r="D49" s="5"/>
      <c r="E49" s="5"/>
      <c r="F49" s="5"/>
      <c r="G49" s="59"/>
      <c r="H49" s="59"/>
      <c r="I49" s="59"/>
      <c r="J49" s="59"/>
      <c r="K49" s="60"/>
      <c r="L49" s="60"/>
      <c r="N49" s="65"/>
    </row>
    <row r="50" s="3" customFormat="1" ht="17.6" spans="1:14">
      <c r="A50" s="1"/>
      <c r="B50" s="5"/>
      <c r="C50" s="62"/>
      <c r="D50" s="5"/>
      <c r="E50" s="5"/>
      <c r="F50" s="5"/>
      <c r="G50" s="59"/>
      <c r="H50" s="59"/>
      <c r="I50" s="59"/>
      <c r="J50" s="59"/>
      <c r="K50" s="60"/>
      <c r="L50" s="60"/>
    </row>
    <row r="51" s="3" customFormat="1" ht="17.6" spans="1:14">
      <c r="A51" s="1"/>
      <c r="B51" s="5"/>
      <c r="C51" s="62"/>
      <c r="D51" s="5"/>
      <c r="E51" s="5"/>
      <c r="F51" s="5"/>
      <c r="G51" s="59"/>
      <c r="H51" s="59"/>
      <c r="I51" s="59"/>
      <c r="J51" s="59"/>
      <c r="K51" s="60"/>
      <c r="L51" s="60"/>
    </row>
    <row r="52" s="3" customFormat="1" ht="17.6" spans="1:14">
      <c r="A52" s="1"/>
      <c r="B52" s="5"/>
      <c r="C52" s="62"/>
      <c r="D52" s="5"/>
      <c r="E52" s="5"/>
      <c r="F52" s="5"/>
      <c r="G52" s="61"/>
      <c r="H52" s="61"/>
      <c r="I52" s="61"/>
      <c r="J52" s="61"/>
      <c r="K52" s="5"/>
      <c r="L52" s="5"/>
    </row>
    <row r="53" s="3" customFormat="1" ht="17.6" spans="1:14">
      <c r="A53" s="1"/>
      <c r="B53" s="5"/>
      <c r="C53" s="62"/>
      <c r="D53" s="5"/>
      <c r="E53" s="5"/>
      <c r="F53" s="5"/>
      <c r="G53" s="59"/>
      <c r="H53" s="59"/>
      <c r="I53" s="61"/>
      <c r="J53" s="59"/>
      <c r="K53" s="60"/>
      <c r="L53" s="60"/>
    </row>
    <row r="54" s="3" customFormat="1" ht="17.6" spans="1:14">
      <c r="A54" s="1"/>
      <c r="B54" s="5"/>
      <c r="C54" s="5"/>
      <c r="D54" s="5"/>
      <c r="E54" s="5"/>
      <c r="F54" s="5"/>
      <c r="G54" s="59"/>
      <c r="H54" s="59"/>
      <c r="I54" s="59"/>
      <c r="J54" s="59"/>
      <c r="K54" s="60"/>
      <c r="L54" s="60"/>
    </row>
    <row r="55" s="3" customFormat="1" ht="17.6" spans="1:14">
      <c r="A55" s="1"/>
      <c r="B55" s="5"/>
      <c r="C55" s="5"/>
      <c r="D55" s="5"/>
      <c r="E55" s="5"/>
      <c r="F55" s="5"/>
      <c r="G55" s="63"/>
      <c r="H55" s="63"/>
      <c r="I55" s="63"/>
      <c r="J55" s="63"/>
      <c r="K55" s="57"/>
      <c r="L55" s="57"/>
    </row>
    <row r="56" s="3" customFormat="1" ht="17.6" spans="1:14">
      <c r="A56" s="1"/>
      <c r="B56" s="5"/>
      <c r="C56" s="5"/>
      <c r="D56" s="5"/>
      <c r="E56" s="5"/>
      <c r="F56" s="5"/>
      <c r="G56" s="61"/>
      <c r="H56" s="61"/>
      <c r="I56" s="61"/>
      <c r="J56" s="59"/>
      <c r="K56" s="5"/>
      <c r="L56" s="60"/>
    </row>
    <row r="57" s="3" customFormat="1" ht="17.6" spans="1:14">
      <c r="A57" s="1"/>
      <c r="B57" s="5"/>
      <c r="C57" s="38"/>
      <c r="D57" s="38"/>
      <c r="E57" s="38"/>
      <c r="F57" s="38"/>
      <c r="G57" s="63"/>
      <c r="H57" s="63"/>
      <c r="I57" s="63"/>
      <c r="J57" s="63"/>
      <c r="K57" s="57"/>
      <c r="L57" s="57"/>
    </row>
    <row r="58" s="3" customFormat="1" ht="17.6" spans="1:14">
      <c r="A58" s="1"/>
      <c r="B58" s="5"/>
      <c r="C58" s="5"/>
      <c r="D58" s="5"/>
      <c r="E58" s="5"/>
      <c r="F58" s="5"/>
      <c r="G58" s="5"/>
      <c r="H58" s="61"/>
      <c r="I58" s="61"/>
      <c r="J58" s="61"/>
      <c r="K58" s="5"/>
      <c r="L58" s="5"/>
    </row>
    <row r="59" s="3" customFormat="1" ht="17.6" spans="1:14">
      <c r="A59" s="1"/>
      <c r="B59" s="5"/>
      <c r="C59" s="38"/>
      <c r="D59" s="5"/>
      <c r="E59" s="5"/>
      <c r="F59" s="5"/>
      <c r="G59" s="61"/>
      <c r="H59" s="59"/>
      <c r="I59" s="59"/>
      <c r="J59" s="59"/>
      <c r="K59" s="5"/>
      <c r="L59" s="5"/>
    </row>
    <row r="60" s="3" customFormat="1" ht="17.6" spans="1:14">
      <c r="A60" s="1"/>
      <c r="B60" s="5"/>
      <c r="C60" s="5"/>
      <c r="D60" s="5"/>
      <c r="E60" s="5"/>
      <c r="F60" s="5"/>
      <c r="G60" s="59"/>
    </row>
    <row r="61" s="3" customFormat="1" ht="17.6" spans="1:14">
      <c r="A61" s="1"/>
      <c r="B61" s="5"/>
      <c r="C61" s="5"/>
      <c r="D61" s="5"/>
      <c r="E61" s="5"/>
      <c r="F61" s="5"/>
      <c r="G61" s="61"/>
      <c r="H61" s="61"/>
      <c r="I61" s="61"/>
      <c r="J61" s="61"/>
      <c r="K61" s="5"/>
      <c r="L61" s="5"/>
    </row>
    <row r="62" s="3" customFormat="1" ht="17.6" spans="1:14">
      <c r="A62" s="1"/>
      <c r="B62" s="5"/>
      <c r="C62" s="5"/>
      <c r="D62" s="5"/>
      <c r="E62" s="5"/>
      <c r="F62" s="5"/>
      <c r="G62" s="59"/>
      <c r="H62" s="59"/>
      <c r="I62" s="59"/>
      <c r="J62" s="59"/>
      <c r="K62" s="60"/>
      <c r="L62" s="60"/>
    </row>
    <row r="63" s="3" customFormat="1" ht="17.6" spans="1:14">
      <c r="A63" s="1"/>
      <c r="B63" s="5"/>
      <c r="C63" s="5"/>
      <c r="D63" s="5"/>
      <c r="E63" s="5"/>
      <c r="F63" s="5"/>
      <c r="G63" s="59"/>
      <c r="H63" s="59"/>
      <c r="I63" s="59"/>
      <c r="J63" s="59"/>
      <c r="K63" s="60"/>
      <c r="L63" s="60"/>
    </row>
    <row r="64" s="3" customFormat="1" ht="17.6" spans="1:14">
      <c r="A64" s="1"/>
      <c r="B64" s="5"/>
      <c r="C64" s="5"/>
      <c r="D64" s="5"/>
      <c r="E64" s="5"/>
      <c r="F64" s="5"/>
      <c r="G64" s="59"/>
      <c r="H64" s="59"/>
      <c r="I64" s="59"/>
      <c r="J64" s="59"/>
      <c r="K64" s="60"/>
      <c r="L64" s="60"/>
    </row>
    <row r="65" s="3" customFormat="1" ht="17.6" spans="1:12">
      <c r="A65" s="1"/>
      <c r="B65" s="5"/>
      <c r="C65" s="38"/>
      <c r="D65" s="38"/>
      <c r="E65" s="38"/>
      <c r="F65" s="38"/>
      <c r="G65" s="63"/>
      <c r="H65" s="63"/>
      <c r="I65" s="63"/>
      <c r="J65" s="63"/>
      <c r="K65" s="57"/>
      <c r="L65" s="57"/>
    </row>
    <row r="66" s="3" customFormat="1" ht="17.6" spans="1:12">
      <c r="A66" s="1"/>
      <c r="B66" s="5"/>
      <c r="C66" s="38"/>
      <c r="D66" s="38"/>
      <c r="E66" s="38"/>
      <c r="F66" s="38"/>
      <c r="G66" s="61"/>
      <c r="H66" s="61"/>
      <c r="I66" s="61"/>
      <c r="J66" s="61"/>
      <c r="K66" s="5"/>
      <c r="L66" s="5"/>
    </row>
    <row r="67" s="3" customFormat="1" ht="17.6" spans="1:12">
      <c r="A67" s="1"/>
      <c r="B67" s="5"/>
      <c r="C67" s="38"/>
      <c r="D67" s="5"/>
      <c r="E67" s="5"/>
      <c r="F67" s="5"/>
      <c r="G67" s="61"/>
      <c r="H67" s="61"/>
      <c r="I67" s="61"/>
      <c r="J67" s="61"/>
      <c r="K67" s="5"/>
      <c r="L67" s="5"/>
    </row>
    <row r="68" s="3" customFormat="1" ht="17.6" spans="1:12">
      <c r="A68" s="1"/>
      <c r="B68" s="5"/>
      <c r="C68" s="38"/>
      <c r="D68" s="5"/>
      <c r="E68" s="5"/>
      <c r="F68" s="5"/>
      <c r="G68" s="61"/>
      <c r="H68" s="5"/>
      <c r="I68" s="5"/>
      <c r="J68" s="5"/>
      <c r="K68" s="5"/>
      <c r="L68" s="5"/>
    </row>
    <row r="69" s="3" customFormat="1" ht="17.6" spans="1:12">
      <c r="A69" s="1"/>
      <c r="B69" s="5"/>
      <c r="C69" s="64"/>
      <c r="D69" s="5"/>
      <c r="E69" s="5"/>
      <c r="F69" s="5"/>
      <c r="G69" s="5"/>
    </row>
    <row r="70" s="3" customFormat="1" ht="17.6" spans="1:12">
      <c r="A70" s="1"/>
      <c r="B70" s="5"/>
      <c r="C70" s="62"/>
      <c r="D70" s="5"/>
      <c r="E70" s="5"/>
      <c r="F70" s="5"/>
      <c r="G70" s="61"/>
      <c r="H70" s="61"/>
      <c r="I70" s="61"/>
      <c r="J70" s="61"/>
      <c r="K70" s="5"/>
      <c r="L70" s="60"/>
    </row>
    <row r="71" s="3" customFormat="1" ht="17.6" spans="1:12">
      <c r="A71" s="1"/>
      <c r="B71" s="5"/>
      <c r="C71" s="62"/>
      <c r="D71" s="5"/>
      <c r="E71" s="5"/>
      <c r="F71" s="5"/>
      <c r="G71" s="61"/>
      <c r="H71" s="61"/>
      <c r="I71" s="61"/>
      <c r="J71" s="61"/>
      <c r="K71" s="60"/>
      <c r="L71" s="60"/>
    </row>
    <row r="72" s="3" customFormat="1" ht="17.6" spans="1:12">
      <c r="A72" s="1"/>
      <c r="B72" s="5"/>
      <c r="C72" s="62"/>
      <c r="D72" s="5"/>
      <c r="E72" s="5"/>
      <c r="F72" s="5"/>
      <c r="G72" s="61"/>
      <c r="H72" s="61"/>
      <c r="I72" s="61"/>
      <c r="J72" s="59"/>
      <c r="K72" s="60"/>
      <c r="L72" s="60"/>
    </row>
    <row r="73" s="3" customFormat="1" ht="17.6" spans="1:12">
      <c r="A73" s="1"/>
      <c r="B73" s="5"/>
      <c r="C73" s="5"/>
      <c r="D73" s="5"/>
      <c r="E73" s="5"/>
      <c r="F73" s="5"/>
      <c r="G73" s="59"/>
      <c r="H73" s="59"/>
      <c r="I73" s="59"/>
      <c r="J73" s="59"/>
      <c r="K73" s="60"/>
      <c r="L73" s="60"/>
    </row>
    <row r="74" s="3" customFormat="1" ht="17.6" spans="1:12">
      <c r="A74" s="1"/>
      <c r="B74" s="5"/>
      <c r="C74" s="5"/>
      <c r="D74" s="5"/>
      <c r="E74" s="5"/>
      <c r="F74" s="5"/>
      <c r="G74" s="61"/>
      <c r="H74" s="61"/>
      <c r="I74" s="61"/>
      <c r="J74" s="61"/>
      <c r="K74" s="5"/>
      <c r="L74" s="5"/>
    </row>
    <row r="75" s="3" customFormat="1" ht="17.6" spans="1:12">
      <c r="A75" s="1"/>
      <c r="B75" s="5"/>
      <c r="C75" s="38"/>
      <c r="D75" s="38"/>
      <c r="E75" s="38"/>
      <c r="F75" s="38"/>
      <c r="G75" s="63"/>
      <c r="H75" s="63"/>
      <c r="I75" s="63"/>
      <c r="J75" s="63"/>
      <c r="K75" s="57"/>
      <c r="L75" s="57"/>
    </row>
    <row r="76" s="3" customFormat="1" ht="17.6" spans="1:12">
      <c r="A76" s="1"/>
      <c r="B76" s="5"/>
      <c r="C76" s="38"/>
      <c r="D76" s="38"/>
      <c r="E76" s="38"/>
      <c r="F76" s="38"/>
      <c r="G76" s="5"/>
      <c r="H76" s="61"/>
      <c r="I76" s="61"/>
      <c r="J76" s="61"/>
      <c r="K76" s="5"/>
      <c r="L76" s="5"/>
    </row>
    <row r="77" s="3" customFormat="1" ht="17.6" spans="1:12">
      <c r="A77" s="1"/>
      <c r="B77" s="5"/>
      <c r="C77" s="38"/>
      <c r="D77" s="5"/>
      <c r="E77" s="5"/>
      <c r="F77" s="5"/>
      <c r="G77" s="61"/>
      <c r="H77" s="5"/>
      <c r="I77" s="5"/>
      <c r="J77" s="5"/>
      <c r="K77" s="5"/>
      <c r="L77" s="5"/>
    </row>
    <row r="78" s="3" customFormat="1" ht="17.6" spans="1:12">
      <c r="A78" s="1"/>
      <c r="B78" s="5"/>
      <c r="C78" s="38"/>
      <c r="D78" s="5"/>
      <c r="E78" s="5"/>
      <c r="F78" s="5"/>
      <c r="G78" s="5"/>
    </row>
    <row r="79" s="3" customFormat="1" ht="17.6" spans="1:12">
      <c r="A79" s="1"/>
      <c r="B79" s="5"/>
      <c r="C79" s="62"/>
      <c r="D79" s="5"/>
      <c r="E79" s="5"/>
      <c r="F79" s="5"/>
      <c r="G79" s="59"/>
      <c r="H79" s="59"/>
      <c r="I79" s="59"/>
      <c r="J79" s="59"/>
      <c r="K79" s="60"/>
      <c r="L79" s="60"/>
    </row>
    <row r="80" s="3" customFormat="1" ht="17.6" spans="1:12">
      <c r="A80" s="1"/>
      <c r="B80" s="5"/>
      <c r="C80" s="62"/>
      <c r="D80" s="5"/>
      <c r="E80" s="5"/>
      <c r="F80" s="5"/>
      <c r="G80" s="59"/>
      <c r="H80" s="59"/>
      <c r="I80" s="59"/>
      <c r="J80" s="61"/>
      <c r="K80" s="5"/>
      <c r="L80" s="5"/>
    </row>
    <row r="81" s="3" customFormat="1" ht="17.6" spans="1:12">
      <c r="A81" s="1"/>
      <c r="B81" s="5"/>
      <c r="C81" s="66"/>
      <c r="D81" s="5"/>
      <c r="E81" s="5"/>
      <c r="F81" s="5"/>
      <c r="G81" s="59"/>
      <c r="H81" s="59"/>
      <c r="I81" s="59"/>
      <c r="J81" s="61"/>
      <c r="K81" s="5"/>
      <c r="L81" s="5"/>
    </row>
    <row r="82" s="3" customFormat="1" ht="17.6" spans="1:12">
      <c r="A82" s="1"/>
      <c r="B82" s="5"/>
      <c r="C82" s="62"/>
      <c r="D82" s="5"/>
      <c r="E82" s="5"/>
      <c r="F82" s="5"/>
      <c r="G82" s="59"/>
      <c r="H82" s="59"/>
      <c r="I82" s="61"/>
      <c r="J82" s="59"/>
      <c r="K82" s="5"/>
      <c r="L82" s="5"/>
    </row>
    <row r="83" s="3" customFormat="1" ht="17.6" spans="1:12">
      <c r="A83" s="1"/>
      <c r="B83" s="5"/>
      <c r="C83" s="62"/>
      <c r="D83" s="5"/>
      <c r="E83" s="5"/>
      <c r="F83" s="5"/>
      <c r="G83" s="59"/>
      <c r="H83" s="59"/>
      <c r="I83" s="59"/>
      <c r="J83" s="59"/>
      <c r="K83" s="60"/>
      <c r="L83" s="60"/>
    </row>
    <row r="84" s="3" customFormat="1" ht="17.6" spans="1:12">
      <c r="A84" s="1"/>
      <c r="B84" s="5"/>
      <c r="C84" s="62"/>
      <c r="D84" s="5"/>
      <c r="E84" s="5"/>
      <c r="F84" s="5"/>
      <c r="G84" s="59"/>
      <c r="H84" s="59"/>
      <c r="I84" s="59"/>
      <c r="J84" s="59"/>
      <c r="K84" s="60"/>
      <c r="L84" s="60"/>
    </row>
    <row r="85" s="3" customFormat="1" ht="17.6" spans="1:12">
      <c r="A85" s="1"/>
      <c r="B85" s="5"/>
      <c r="C85" s="5"/>
      <c r="D85" s="5"/>
      <c r="E85" s="5"/>
      <c r="F85" s="5"/>
      <c r="G85" s="59"/>
      <c r="H85" s="59"/>
      <c r="I85" s="59"/>
      <c r="J85" s="59"/>
      <c r="K85" s="60"/>
      <c r="L85" s="60"/>
    </row>
    <row r="86" s="3" customFormat="1" ht="17.6" spans="1:12">
      <c r="A86" s="1"/>
      <c r="B86" s="5"/>
      <c r="C86" s="5"/>
      <c r="D86" s="5"/>
      <c r="E86" s="5"/>
      <c r="F86" s="5"/>
      <c r="G86" s="59"/>
      <c r="H86" s="59"/>
      <c r="I86" s="59"/>
      <c r="J86" s="59"/>
      <c r="K86" s="60"/>
      <c r="L86" s="60"/>
    </row>
    <row r="87" s="3" customFormat="1" ht="17.6" spans="1:12">
      <c r="A87" s="1"/>
      <c r="B87" s="5"/>
      <c r="C87" s="5"/>
      <c r="D87" s="5"/>
      <c r="E87" s="5"/>
      <c r="F87" s="5"/>
      <c r="G87" s="59"/>
      <c r="H87" s="59"/>
      <c r="I87" s="59"/>
      <c r="J87" s="61"/>
      <c r="K87" s="5"/>
      <c r="L87" s="5"/>
    </row>
    <row r="88" s="3" customFormat="1" ht="17.6" spans="1:12">
      <c r="A88" s="1"/>
      <c r="B88" s="5"/>
      <c r="C88" s="38"/>
      <c r="D88" s="38"/>
      <c r="E88" s="38"/>
      <c r="F88" s="38"/>
      <c r="G88" s="63"/>
      <c r="H88" s="63"/>
      <c r="I88" s="63"/>
      <c r="J88" s="63"/>
      <c r="K88" s="57"/>
      <c r="L88" s="57"/>
    </row>
    <row r="89" s="3" customFormat="1" ht="17.6" spans="1:12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="3" customFormat="1" ht="17.6" spans="1:12">
      <c r="A90" s="1"/>
      <c r="B90" s="5"/>
      <c r="C90" s="38"/>
      <c r="D90" s="38"/>
      <c r="E90" s="38"/>
      <c r="F90" s="38"/>
      <c r="G90" s="63"/>
      <c r="H90" s="63"/>
      <c r="I90" s="63"/>
      <c r="J90" s="63"/>
      <c r="K90" s="57"/>
      <c r="L90" s="57"/>
    </row>
    <row r="91" s="3" customFormat="1" ht="17.6" spans="1:12">
      <c r="A91" s="1"/>
      <c r="B91" s="5"/>
      <c r="C91" s="38"/>
      <c r="D91" s="38"/>
      <c r="E91" s="38"/>
      <c r="F91" s="38"/>
      <c r="G91" s="63"/>
      <c r="H91" s="63"/>
      <c r="I91" s="63"/>
      <c r="J91" s="63"/>
      <c r="K91" s="57"/>
      <c r="L91" s="57"/>
    </row>
    <row r="92" s="3" customFormat="1" ht="17.6" spans="1:12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="3" customFormat="1" ht="17.6" spans="1:12">
      <c r="A93" s="1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="3" customFormat="1" ht="17.6" spans="1:12">
      <c r="A94" s="1"/>
      <c r="B94" s="5"/>
      <c r="C94" s="58"/>
      <c r="D94" s="5"/>
      <c r="E94" s="5"/>
      <c r="F94" s="5"/>
      <c r="G94" s="5"/>
      <c r="H94" s="5"/>
      <c r="I94" s="5"/>
      <c r="J94" s="5"/>
      <c r="K94" s="5"/>
      <c r="L94" s="5"/>
    </row>
    <row r="95" s="3" customFormat="1" ht="17.6" spans="1:12">
      <c r="A95" s="1"/>
      <c r="B95" s="5"/>
      <c r="C95" s="38"/>
      <c r="D95" s="38"/>
      <c r="E95" s="38"/>
      <c r="F95" s="38"/>
      <c r="G95" s="38"/>
      <c r="H95" s="38"/>
      <c r="I95" s="38"/>
      <c r="J95" s="38"/>
      <c r="K95" s="38"/>
      <c r="L95" s="38"/>
    </row>
    <row r="96" s="3" customFormat="1" ht="17.6" spans="1:12">
      <c r="A96" s="1"/>
      <c r="B96" s="5"/>
      <c r="C96" s="38"/>
      <c r="D96" s="38"/>
      <c r="E96" s="38"/>
      <c r="F96" s="38"/>
      <c r="G96" s="63"/>
      <c r="H96" s="63"/>
      <c r="I96" s="63"/>
      <c r="J96" s="63"/>
      <c r="K96" s="57"/>
      <c r="L96" s="57"/>
    </row>
    <row r="97" s="3" customFormat="1" ht="17.6" spans="1:14">
      <c r="A97" s="1"/>
      <c r="B97" s="5"/>
      <c r="C97" s="5"/>
      <c r="D97" s="5"/>
      <c r="E97" s="5"/>
      <c r="F97" s="5"/>
      <c r="G97" s="59"/>
      <c r="H97" s="59"/>
      <c r="I97" s="59"/>
      <c r="J97" s="61"/>
      <c r="K97" s="5"/>
      <c r="L97" s="5"/>
    </row>
    <row r="98" s="3" customFormat="1" ht="17.6" spans="1:14">
      <c r="A98" s="1"/>
      <c r="B98" s="5"/>
      <c r="C98" s="5"/>
      <c r="D98" s="5"/>
      <c r="E98" s="5"/>
      <c r="F98" s="5"/>
      <c r="G98" s="59"/>
      <c r="H98" s="59"/>
      <c r="I98" s="61"/>
      <c r="J98" s="59"/>
      <c r="K98" s="60"/>
      <c r="L98" s="60"/>
    </row>
    <row r="99" s="3" customFormat="1" ht="17.6" spans="1:14">
      <c r="A99" s="1"/>
      <c r="B99" s="5"/>
      <c r="C99" s="5"/>
      <c r="D99" s="5"/>
      <c r="E99" s="5"/>
      <c r="F99" s="5"/>
      <c r="G99" s="61"/>
      <c r="H99" s="61"/>
      <c r="I99" s="61"/>
      <c r="J99" s="61"/>
      <c r="K99" s="5"/>
      <c r="L99" s="5"/>
    </row>
    <row r="100" s="3" customFormat="1" ht="17.6" spans="1:14">
      <c r="A100" s="1"/>
      <c r="B100" s="5"/>
      <c r="C100" s="5"/>
      <c r="D100" s="5"/>
      <c r="E100" s="5"/>
      <c r="F100" s="5"/>
      <c r="G100" s="61"/>
      <c r="H100" s="61"/>
      <c r="I100" s="59"/>
      <c r="J100" s="61"/>
      <c r="K100" s="5"/>
      <c r="L100" s="5"/>
    </row>
    <row r="101" s="3" customFormat="1" ht="17.6" spans="1:14">
      <c r="A101" s="1"/>
      <c r="B101" s="5"/>
      <c r="C101" s="5"/>
      <c r="D101" s="5"/>
      <c r="E101" s="5"/>
      <c r="F101" s="5"/>
      <c r="G101" s="59"/>
      <c r="H101" s="59"/>
      <c r="I101" s="61"/>
      <c r="J101" s="61"/>
      <c r="K101" s="5"/>
      <c r="L101" s="5"/>
    </row>
    <row r="102" s="3" customFormat="1" ht="17.6" spans="1:14">
      <c r="A102" s="1"/>
      <c r="B102" s="5"/>
      <c r="C102" s="5"/>
      <c r="D102" s="5"/>
      <c r="E102" s="5"/>
      <c r="F102" s="5"/>
      <c r="G102" s="61"/>
      <c r="H102" s="61"/>
      <c r="I102" s="61"/>
      <c r="J102" s="61"/>
      <c r="K102" s="5"/>
      <c r="L102" s="5"/>
    </row>
    <row r="103" s="3" customFormat="1" ht="17.6" spans="1:14">
      <c r="A103" s="1"/>
      <c r="B103" s="5"/>
      <c r="C103" s="5"/>
      <c r="D103" s="5"/>
      <c r="E103" s="5"/>
      <c r="F103" s="5"/>
      <c r="G103" s="61"/>
      <c r="H103" s="61"/>
      <c r="I103" s="61"/>
      <c r="J103" s="61"/>
      <c r="K103" s="5"/>
      <c r="L103" s="5"/>
    </row>
    <row r="104" s="3" customFormat="1" ht="17.6" spans="1:14">
      <c r="A104" s="1"/>
      <c r="B104" s="5"/>
      <c r="C104" s="5"/>
      <c r="D104" s="5"/>
      <c r="E104" s="5"/>
      <c r="F104" s="5"/>
      <c r="G104" s="59"/>
      <c r="H104" s="59"/>
      <c r="I104" s="59"/>
      <c r="J104" s="61"/>
      <c r="K104" s="5"/>
      <c r="L104" s="5"/>
    </row>
    <row r="105" s="3" customFormat="1" ht="17.6" spans="1:14">
      <c r="A105" s="1"/>
      <c r="B105" s="5"/>
      <c r="C105" s="5"/>
      <c r="D105" s="5"/>
      <c r="E105" s="5"/>
      <c r="F105" s="5"/>
      <c r="G105" s="61"/>
      <c r="H105" s="61"/>
      <c r="I105" s="59"/>
      <c r="J105" s="61"/>
      <c r="K105" s="5"/>
      <c r="L105" s="5"/>
    </row>
    <row r="106" s="3" customFormat="1" ht="17.6" spans="1:14">
      <c r="A106" s="1"/>
      <c r="B106" s="5"/>
      <c r="C106" s="5"/>
      <c r="D106" s="5"/>
      <c r="E106" s="5"/>
      <c r="F106" s="5"/>
      <c r="G106" s="61"/>
      <c r="H106" s="61"/>
      <c r="I106" s="59"/>
      <c r="J106" s="59"/>
      <c r="K106" s="60"/>
      <c r="L106" s="60"/>
    </row>
    <row r="107" s="3" customFormat="1" ht="17.6" spans="1:14">
      <c r="A107" s="1"/>
      <c r="B107" s="5"/>
      <c r="C107" s="5"/>
      <c r="D107" s="5"/>
      <c r="E107" s="5"/>
      <c r="F107" s="5"/>
      <c r="G107" s="61"/>
      <c r="H107" s="61"/>
      <c r="I107" s="59"/>
      <c r="J107" s="59"/>
      <c r="K107" s="5"/>
      <c r="L107" s="5"/>
    </row>
    <row r="108" s="3" customFormat="1" ht="17.6" spans="1:14">
      <c r="A108" s="1"/>
      <c r="B108" s="5"/>
      <c r="C108" s="5"/>
      <c r="D108" s="5"/>
      <c r="E108" s="5"/>
      <c r="F108" s="5"/>
      <c r="G108" s="61"/>
      <c r="H108" s="61"/>
      <c r="I108" s="59"/>
      <c r="J108" s="59"/>
      <c r="K108" s="60"/>
      <c r="L108" s="60"/>
    </row>
    <row r="109" s="3" customFormat="1" ht="17.6" spans="1:14">
      <c r="A109" s="1"/>
      <c r="B109" s="5"/>
      <c r="C109" s="5"/>
      <c r="D109" s="5"/>
      <c r="E109" s="5"/>
      <c r="F109" s="5"/>
      <c r="G109" s="61"/>
      <c r="H109" s="61"/>
      <c r="I109" s="59"/>
      <c r="J109" s="61"/>
      <c r="K109" s="5"/>
      <c r="L109" s="5"/>
    </row>
    <row r="110" s="3" customFormat="1" ht="17.6" spans="1:14">
      <c r="A110" s="1"/>
      <c r="B110" s="5"/>
      <c r="C110" s="5"/>
      <c r="D110" s="5"/>
      <c r="E110" s="5"/>
      <c r="F110" s="5"/>
      <c r="G110" s="61"/>
      <c r="H110" s="61"/>
      <c r="I110" s="59"/>
      <c r="J110" s="61"/>
      <c r="K110" s="5"/>
      <c r="L110" s="5"/>
    </row>
    <row r="111" s="4" customFormat="1" spans="1:14">
      <c r="A111" s="1"/>
      <c r="B111" s="38"/>
      <c r="C111" s="38"/>
      <c r="D111" s="38"/>
      <c r="E111" s="38"/>
      <c r="F111" s="38"/>
      <c r="G111" s="63"/>
      <c r="H111" s="63"/>
      <c r="I111" s="63"/>
      <c r="J111" s="63"/>
      <c r="K111" s="57"/>
      <c r="L111" s="57"/>
    </row>
    <row r="112" s="4" customFormat="1" spans="1:14">
      <c r="A112" s="1"/>
      <c r="B112" s="38"/>
      <c r="C112" s="38"/>
      <c r="D112" s="38"/>
      <c r="E112" s="38"/>
      <c r="F112" s="38"/>
      <c r="G112" s="63"/>
      <c r="H112" s="63"/>
      <c r="I112" s="63"/>
      <c r="J112" s="63"/>
      <c r="K112" s="57"/>
      <c r="L112" s="57"/>
      <c r="M112" s="67"/>
      <c r="N112" s="67"/>
    </row>
    <row r="113" s="4" customFormat="1" spans="1:14">
      <c r="A113" s="1"/>
      <c r="B113" s="5"/>
      <c r="C113" s="38"/>
      <c r="D113" s="5"/>
      <c r="E113" s="5"/>
      <c r="F113" s="5"/>
      <c r="G113" s="61"/>
      <c r="H113" s="61"/>
      <c r="I113" s="59"/>
      <c r="J113" s="61"/>
      <c r="K113" s="5"/>
      <c r="L113" s="5"/>
      <c r="M113" s="68"/>
      <c r="N113" s="68"/>
    </row>
    <row r="114" s="4" customFormat="1" spans="1:14">
      <c r="A114" s="1"/>
      <c r="B114" s="5"/>
      <c r="C114" s="5"/>
      <c r="D114" s="5"/>
      <c r="E114" s="5"/>
      <c r="F114" s="5"/>
      <c r="G114" s="59"/>
      <c r="H114" s="59"/>
      <c r="I114" s="59"/>
      <c r="J114" s="59"/>
      <c r="K114" s="60"/>
      <c r="L114" s="60"/>
      <c r="M114" s="69"/>
      <c r="N114" s="69"/>
    </row>
    <row r="115" s="4" customFormat="1" spans="1:14">
      <c r="A115" s="1"/>
      <c r="B115" s="5"/>
      <c r="C115" s="5"/>
      <c r="D115" s="5"/>
      <c r="E115" s="5"/>
      <c r="F115" s="5"/>
      <c r="G115" s="61"/>
      <c r="H115" s="61"/>
      <c r="I115" s="61"/>
      <c r="J115" s="61"/>
      <c r="K115" s="60"/>
      <c r="L115" s="5"/>
      <c r="M115" s="69"/>
      <c r="N115" s="69"/>
    </row>
    <row r="116" s="4" customFormat="1" spans="1:14">
      <c r="A116" s="1"/>
      <c r="B116" s="5"/>
      <c r="C116" s="5"/>
      <c r="D116" s="5"/>
      <c r="E116" s="5"/>
      <c r="F116" s="5"/>
      <c r="G116" s="59"/>
      <c r="H116" s="59"/>
      <c r="I116" s="59"/>
      <c r="J116" s="59"/>
      <c r="K116" s="5"/>
      <c r="L116" s="60"/>
      <c r="M116" s="69"/>
      <c r="N116" s="69"/>
    </row>
    <row r="117" s="4" customFormat="1" spans="1:14">
      <c r="A117" s="1"/>
      <c r="B117" s="5"/>
      <c r="C117" s="5"/>
      <c r="D117" s="5"/>
      <c r="E117" s="5"/>
      <c r="F117" s="5"/>
      <c r="G117" s="59"/>
      <c r="H117" s="59"/>
      <c r="I117" s="59"/>
      <c r="J117" s="61"/>
      <c r="K117" s="60"/>
      <c r="L117" s="60"/>
      <c r="M117" s="69"/>
      <c r="N117" s="69"/>
    </row>
    <row r="118" s="4" customFormat="1" spans="1:14">
      <c r="A118" s="1"/>
      <c r="B118" s="5"/>
      <c r="C118" s="5"/>
      <c r="D118" s="5"/>
      <c r="E118" s="5"/>
      <c r="F118" s="5"/>
      <c r="G118" s="61"/>
      <c r="H118" s="61"/>
      <c r="I118" s="61"/>
      <c r="J118" s="61"/>
      <c r="K118" s="60"/>
      <c r="L118" s="5"/>
      <c r="M118" s="69"/>
      <c r="N118" s="69"/>
    </row>
    <row r="119" s="4" customFormat="1" spans="1:14">
      <c r="A119" s="1"/>
      <c r="B119" s="38"/>
      <c r="C119" s="38"/>
      <c r="D119" s="38"/>
      <c r="E119" s="38"/>
      <c r="F119" s="38"/>
      <c r="G119" s="63"/>
      <c r="H119" s="63"/>
      <c r="I119" s="63"/>
      <c r="J119" s="63"/>
      <c r="K119" s="38"/>
      <c r="L119" s="57"/>
      <c r="M119" s="69"/>
      <c r="N119" s="69"/>
    </row>
    <row r="120" s="4" customFormat="1" spans="1:14">
      <c r="A120" s="1"/>
      <c r="B120" s="5"/>
      <c r="C120" s="5"/>
      <c r="D120" s="5"/>
      <c r="E120" s="5"/>
      <c r="F120" s="5"/>
      <c r="G120" s="70"/>
      <c r="H120" s="59"/>
      <c r="I120" s="59"/>
      <c r="J120" s="59"/>
      <c r="K120" s="60"/>
      <c r="L120" s="60"/>
      <c r="M120" s="69"/>
      <c r="N120" s="69"/>
    </row>
    <row r="121" s="4" customFormat="1" spans="1:14">
      <c r="A121" s="1"/>
      <c r="B121" s="5"/>
      <c r="C121" s="5"/>
      <c r="D121" s="5"/>
      <c r="E121" s="5"/>
      <c r="F121" s="5"/>
      <c r="G121" s="70"/>
      <c r="H121" s="59"/>
      <c r="I121" s="59"/>
      <c r="J121" s="59"/>
      <c r="K121" s="60"/>
      <c r="L121" s="60"/>
      <c r="M121" s="69"/>
      <c r="N121" s="69"/>
    </row>
    <row r="122" s="4" customFormat="1" spans="1:14">
      <c r="A122" s="1"/>
      <c r="B122" s="38"/>
      <c r="C122" s="38"/>
      <c r="D122" s="38"/>
      <c r="E122" s="38"/>
      <c r="F122" s="38"/>
      <c r="G122" s="71"/>
      <c r="H122" s="72"/>
      <c r="I122" s="72"/>
      <c r="J122" s="72"/>
      <c r="K122" s="73"/>
      <c r="L122" s="73"/>
      <c r="M122" s="69"/>
      <c r="N122" s="69"/>
    </row>
    <row r="123" s="4" customFormat="1" spans="1:14">
      <c r="A123" s="1"/>
      <c r="B123" s="5"/>
      <c r="C123" s="5"/>
      <c r="D123" s="5"/>
      <c r="E123" s="5"/>
      <c r="F123" s="5"/>
      <c r="G123" s="26"/>
      <c r="H123" s="5"/>
      <c r="I123" s="5"/>
      <c r="J123" s="5"/>
      <c r="K123" s="5"/>
      <c r="L123" s="5"/>
      <c r="M123" s="69"/>
      <c r="N123" s="69"/>
    </row>
    <row r="124" s="4" customFormat="1" spans="1:14">
      <c r="A124" s="1"/>
      <c r="B124" s="5"/>
      <c r="C124" s="5"/>
      <c r="D124" s="5"/>
      <c r="E124" s="5"/>
      <c r="F124" s="5"/>
      <c r="G124" s="70"/>
      <c r="H124" s="59"/>
      <c r="I124" s="59"/>
      <c r="J124" s="59"/>
      <c r="K124" s="60"/>
      <c r="L124" s="60"/>
      <c r="M124" s="69"/>
      <c r="N124" s="69"/>
    </row>
    <row r="125" s="4" customFormat="1" spans="1:14">
      <c r="A125" s="1"/>
      <c r="B125" s="5"/>
      <c r="C125" s="5"/>
      <c r="D125" s="5"/>
      <c r="E125" s="5"/>
      <c r="F125" s="5"/>
      <c r="G125" s="70"/>
      <c r="H125" s="59"/>
      <c r="I125" s="59"/>
      <c r="J125" s="61"/>
      <c r="K125" s="5"/>
      <c r="L125" s="5"/>
      <c r="M125" s="69"/>
      <c r="N125" s="69"/>
    </row>
    <row r="126" s="4" customFormat="1" spans="1:14">
      <c r="A126" s="1"/>
      <c r="B126" s="5"/>
      <c r="C126" s="5"/>
      <c r="D126" s="5"/>
      <c r="E126" s="5"/>
      <c r="F126" s="5"/>
      <c r="G126" s="70"/>
      <c r="H126" s="59"/>
      <c r="I126" s="59"/>
      <c r="J126" s="59"/>
      <c r="K126" s="60"/>
      <c r="L126" s="60"/>
      <c r="M126" s="69"/>
      <c r="N126" s="69"/>
    </row>
    <row r="127" s="4" customFormat="1" spans="1:14">
      <c r="A127" s="1"/>
      <c r="B127" s="5"/>
      <c r="C127" s="5"/>
      <c r="D127" s="5"/>
      <c r="E127" s="5"/>
      <c r="F127" s="5"/>
      <c r="G127" s="70"/>
      <c r="H127" s="59"/>
      <c r="I127" s="59"/>
      <c r="J127" s="59"/>
      <c r="K127" s="60"/>
      <c r="L127" s="60"/>
      <c r="M127" s="69"/>
      <c r="N127" s="69"/>
    </row>
    <row r="128" s="4" customFormat="1" spans="1:14">
      <c r="A128" s="1"/>
      <c r="B128" s="5"/>
      <c r="C128" s="5"/>
      <c r="D128" s="5"/>
      <c r="E128" s="5"/>
      <c r="F128" s="5"/>
      <c r="G128" s="70"/>
      <c r="H128" s="59"/>
      <c r="I128" s="59"/>
      <c r="J128" s="59"/>
      <c r="K128" s="5"/>
      <c r="L128" s="60"/>
      <c r="M128" s="69"/>
      <c r="N128" s="69"/>
    </row>
    <row r="129" s="4" customFormat="1" spans="1:14">
      <c r="A129" s="1"/>
      <c r="B129" s="5"/>
      <c r="C129" s="5"/>
      <c r="D129" s="5"/>
      <c r="E129" s="5"/>
      <c r="F129" s="5"/>
      <c r="G129" s="70"/>
      <c r="H129" s="59"/>
      <c r="I129" s="59"/>
      <c r="J129" s="59"/>
      <c r="K129" s="60"/>
      <c r="L129" s="60"/>
      <c r="M129" s="69"/>
      <c r="N129" s="69"/>
    </row>
    <row r="130" s="4" customFormat="1" spans="1:14">
      <c r="A130" s="1"/>
      <c r="B130" s="5"/>
      <c r="C130" s="5"/>
      <c r="D130" s="5"/>
      <c r="E130" s="5"/>
      <c r="F130" s="5"/>
      <c r="G130" s="74"/>
      <c r="H130" s="61"/>
      <c r="I130" s="61"/>
      <c r="J130" s="61"/>
      <c r="K130" s="5"/>
      <c r="L130" s="5"/>
      <c r="M130" s="69"/>
      <c r="N130" s="69"/>
    </row>
    <row r="131" s="4" customFormat="1" spans="1:14">
      <c r="A131" s="1"/>
      <c r="B131" s="5"/>
      <c r="C131" s="5"/>
      <c r="D131" s="5"/>
      <c r="E131" s="5"/>
      <c r="F131" s="5"/>
      <c r="G131" s="70"/>
      <c r="H131" s="59"/>
      <c r="I131" s="59"/>
      <c r="J131" s="59"/>
      <c r="K131" s="5"/>
      <c r="L131" s="5"/>
      <c r="M131" s="69"/>
      <c r="N131" s="69"/>
    </row>
    <row r="132" s="4" customFormat="1" spans="1:14">
      <c r="A132" s="1"/>
      <c r="B132" s="5"/>
      <c r="C132" s="5"/>
      <c r="D132" s="5"/>
      <c r="E132" s="5"/>
      <c r="F132" s="5"/>
      <c r="G132" s="70"/>
      <c r="H132" s="59"/>
      <c r="I132" s="59"/>
      <c r="J132" s="59"/>
      <c r="K132" s="60"/>
      <c r="L132" s="60"/>
      <c r="M132" s="69"/>
      <c r="N132" s="69"/>
    </row>
    <row r="133" s="4" customFormat="1" spans="1:14">
      <c r="A133" s="1"/>
      <c r="B133" s="5"/>
      <c r="C133" s="38"/>
      <c r="D133" s="5"/>
      <c r="E133" s="5"/>
      <c r="F133" s="5"/>
      <c r="G133" s="71"/>
      <c r="H133" s="72"/>
      <c r="I133" s="72"/>
      <c r="J133" s="72"/>
      <c r="K133" s="72"/>
      <c r="L133" s="72"/>
      <c r="M133" s="69"/>
      <c r="N133" s="69"/>
    </row>
    <row r="134" s="4" customFormat="1" spans="1:14">
      <c r="A134" s="1"/>
      <c r="B134" s="5"/>
      <c r="C134" s="5"/>
      <c r="D134" s="5"/>
      <c r="E134" s="5"/>
      <c r="F134" s="5"/>
      <c r="G134" s="70"/>
      <c r="H134" s="59"/>
      <c r="I134" s="59"/>
      <c r="J134" s="61"/>
      <c r="K134" s="5"/>
      <c r="L134" s="5"/>
      <c r="M134" s="69"/>
      <c r="N134" s="69"/>
    </row>
    <row r="135" s="4" customFormat="1" spans="1:14">
      <c r="A135" s="1"/>
      <c r="B135" s="5"/>
      <c r="C135" s="5"/>
      <c r="D135" s="5"/>
      <c r="E135" s="5"/>
      <c r="F135" s="5"/>
      <c r="G135" s="74"/>
      <c r="H135" s="61"/>
      <c r="I135" s="61"/>
      <c r="J135" s="61"/>
      <c r="K135" s="5"/>
      <c r="L135" s="60"/>
      <c r="M135" s="69"/>
      <c r="N135" s="69"/>
    </row>
    <row r="136" s="4" customFormat="1" spans="1:14">
      <c r="A136" s="1"/>
      <c r="B136" s="5"/>
      <c r="C136" s="5"/>
      <c r="D136" s="5"/>
      <c r="E136" s="5"/>
      <c r="F136" s="5"/>
      <c r="G136" s="70"/>
      <c r="H136" s="59"/>
      <c r="I136" s="59"/>
      <c r="J136" s="59"/>
      <c r="K136" s="60"/>
      <c r="L136" s="60"/>
      <c r="M136" s="69"/>
      <c r="N136" s="69"/>
    </row>
    <row r="137" s="4" customFormat="1" spans="1:14">
      <c r="A137" s="1"/>
      <c r="B137" s="5"/>
      <c r="C137" s="59"/>
      <c r="D137" s="5"/>
      <c r="E137" s="5"/>
      <c r="F137" s="5"/>
      <c r="G137" s="70"/>
      <c r="H137" s="59"/>
      <c r="I137" s="59"/>
      <c r="J137" s="59"/>
      <c r="K137" s="5"/>
      <c r="L137" s="5"/>
      <c r="M137" s="69"/>
      <c r="N137" s="69"/>
    </row>
    <row r="138" s="4" customFormat="1" spans="1:14">
      <c r="A138" s="1"/>
      <c r="B138" s="5"/>
      <c r="C138" s="5"/>
      <c r="D138" s="5"/>
      <c r="E138" s="5"/>
      <c r="F138" s="5"/>
      <c r="G138" s="70"/>
      <c r="H138" s="59"/>
      <c r="I138" s="59"/>
      <c r="J138" s="59"/>
      <c r="K138" s="60"/>
      <c r="L138" s="60"/>
      <c r="M138" s="69"/>
      <c r="N138" s="69"/>
    </row>
    <row r="139" s="4" customFormat="1" spans="1:14">
      <c r="A139" s="1"/>
      <c r="B139" s="5"/>
      <c r="C139" s="5"/>
      <c r="D139" s="5"/>
      <c r="E139" s="5"/>
      <c r="F139" s="5"/>
      <c r="G139" s="74"/>
      <c r="H139" s="61"/>
      <c r="I139" s="61"/>
      <c r="J139" s="61"/>
      <c r="K139" s="5"/>
      <c r="L139" s="5"/>
      <c r="M139" s="69"/>
      <c r="N139" s="69"/>
    </row>
    <row r="140" s="4" customFormat="1" spans="1:14">
      <c r="A140" s="1"/>
      <c r="B140" s="5"/>
      <c r="C140" s="5"/>
      <c r="D140" s="5"/>
      <c r="E140" s="5"/>
      <c r="F140" s="5"/>
      <c r="G140" s="74"/>
      <c r="H140" s="61"/>
      <c r="I140" s="61"/>
      <c r="J140" s="61"/>
      <c r="K140" s="5"/>
      <c r="L140" s="5"/>
      <c r="M140" s="69"/>
      <c r="N140" s="69"/>
    </row>
    <row r="141" s="4" customFormat="1" spans="1:14">
      <c r="A141" s="1"/>
      <c r="B141" s="5"/>
      <c r="C141" s="38"/>
      <c r="D141" s="5"/>
      <c r="E141" s="5"/>
      <c r="F141" s="5"/>
      <c r="G141" s="71"/>
      <c r="H141" s="72"/>
      <c r="I141" s="72"/>
      <c r="J141" s="72"/>
      <c r="K141" s="72"/>
      <c r="L141" s="72"/>
      <c r="M141" s="69"/>
      <c r="N141" s="69"/>
    </row>
    <row r="142" s="4" customFormat="1" spans="1:14">
      <c r="A142" s="1"/>
      <c r="B142" s="5"/>
      <c r="C142" s="5"/>
      <c r="D142" s="5"/>
      <c r="E142" s="5"/>
      <c r="F142" s="5"/>
      <c r="G142" s="74"/>
      <c r="H142" s="61"/>
      <c r="I142" s="61"/>
      <c r="J142" s="61"/>
      <c r="K142" s="60"/>
      <c r="L142" s="60"/>
      <c r="M142" s="69"/>
      <c r="N142" s="69"/>
    </row>
    <row r="143" s="4" customFormat="1" spans="1:14">
      <c r="A143" s="1"/>
      <c r="B143" s="5"/>
      <c r="C143" s="38"/>
      <c r="D143" s="5"/>
      <c r="E143" s="5"/>
      <c r="F143" s="5"/>
      <c r="G143" s="71"/>
      <c r="H143" s="63"/>
      <c r="I143" s="63"/>
      <c r="J143" s="63"/>
      <c r="K143" s="57"/>
      <c r="L143" s="38"/>
      <c r="M143" s="69"/>
      <c r="N143" s="69"/>
    </row>
    <row r="144" s="4" customFormat="1" spans="1:14">
      <c r="A144" s="1"/>
      <c r="B144" s="5"/>
      <c r="C144" s="38"/>
      <c r="D144" s="5"/>
      <c r="E144" s="5"/>
      <c r="F144" s="5"/>
      <c r="G144" s="75"/>
      <c r="H144" s="76"/>
      <c r="I144" s="76"/>
      <c r="J144" s="76"/>
      <c r="K144" s="38"/>
      <c r="L144" s="38"/>
      <c r="M144" s="69"/>
      <c r="N144" s="69"/>
    </row>
    <row r="145" s="4" customFormat="1" spans="1:14">
      <c r="A145" s="1"/>
      <c r="B145" s="5"/>
      <c r="C145" s="38"/>
      <c r="D145" s="5"/>
      <c r="E145" s="5"/>
      <c r="F145" s="5"/>
      <c r="G145" s="71"/>
      <c r="H145" s="63"/>
      <c r="I145" s="63"/>
      <c r="J145" s="63"/>
      <c r="K145" s="38"/>
      <c r="L145" s="57"/>
      <c r="M145" s="69"/>
      <c r="N145" s="69"/>
    </row>
    <row r="146" s="4" customFormat="1" spans="1:14">
      <c r="A146" s="1"/>
      <c r="B146" s="5"/>
      <c r="C146" s="5"/>
      <c r="D146" s="5"/>
      <c r="E146" s="5"/>
      <c r="F146" s="5"/>
      <c r="G146" s="26"/>
      <c r="H146" s="5"/>
      <c r="I146" s="5"/>
      <c r="J146" s="5"/>
      <c r="K146" s="5"/>
      <c r="L146" s="5"/>
      <c r="M146" s="69"/>
      <c r="N146" s="69"/>
    </row>
    <row r="147" s="4" customFormat="1" spans="1:14">
      <c r="A147" s="1"/>
      <c r="B147" s="5"/>
      <c r="C147" s="38"/>
      <c r="D147" s="5"/>
      <c r="E147" s="5"/>
      <c r="F147" s="5"/>
      <c r="G147" s="56"/>
      <c r="H147" s="77"/>
      <c r="I147" s="77"/>
      <c r="J147" s="77"/>
      <c r="K147" s="77"/>
      <c r="L147" s="77"/>
      <c r="M147" s="69"/>
      <c r="N147" s="69"/>
    </row>
    <row r="148" s="4" customFormat="1" ht="17.6" spans="1:14">
      <c r="A148" s="1"/>
      <c r="B148" s="5"/>
      <c r="C148" s="5"/>
      <c r="D148" s="5"/>
      <c r="E148" s="5"/>
      <c r="F148" s="5"/>
      <c r="G148" s="26"/>
      <c r="H148" s="56"/>
      <c r="I148" s="56"/>
      <c r="J148" s="56"/>
      <c r="K148" s="56"/>
      <c r="L148" s="78"/>
      <c r="M148" s="69"/>
      <c r="N148" s="69"/>
    </row>
    <row r="149" s="4" customFormat="1" ht="17.6" spans="1:14">
      <c r="A149" s="1"/>
      <c r="B149" s="5"/>
      <c r="C149" s="5"/>
      <c r="D149" s="5"/>
      <c r="E149" s="5"/>
      <c r="F149" s="5"/>
      <c r="G149" s="26"/>
      <c r="H149" s="5"/>
      <c r="I149" s="5"/>
      <c r="J149" s="5"/>
      <c r="K149" s="5"/>
      <c r="L149" s="78"/>
      <c r="M149" s="69"/>
      <c r="N149" s="69"/>
    </row>
    <row r="150" s="4" customFormat="1" ht="17.6" spans="1:14">
      <c r="A150" s="1"/>
      <c r="B150" s="5"/>
      <c r="C150" s="5"/>
      <c r="D150" s="5"/>
      <c r="E150" s="5"/>
      <c r="F150" s="5"/>
      <c r="G150" s="26"/>
      <c r="H150" s="5"/>
      <c r="I150" s="5"/>
      <c r="J150" s="5"/>
      <c r="K150" s="5"/>
      <c r="L150" s="78"/>
      <c r="M150" s="69"/>
      <c r="N150" s="69"/>
    </row>
    <row r="151" s="4" customFormat="1" ht="17.6" spans="1:14">
      <c r="A151" s="1"/>
      <c r="B151" s="5"/>
      <c r="C151" s="5"/>
      <c r="D151" s="5"/>
      <c r="E151" s="5"/>
      <c r="F151" s="5"/>
      <c r="G151" s="26"/>
      <c r="H151" s="5"/>
      <c r="I151" s="5"/>
      <c r="J151" s="5"/>
      <c r="K151" s="5"/>
      <c r="L151" s="78"/>
      <c r="M151" s="69"/>
      <c r="N151" s="69"/>
    </row>
    <row r="152" s="4" customFormat="1" ht="17.6" spans="1:14">
      <c r="A152" s="1"/>
      <c r="B152" s="5"/>
      <c r="C152" s="5"/>
      <c r="D152" s="5"/>
      <c r="E152" s="5"/>
      <c r="F152" s="5"/>
      <c r="G152" s="26"/>
      <c r="H152" s="5"/>
      <c r="I152" s="5"/>
      <c r="J152" s="5"/>
      <c r="K152" s="5"/>
      <c r="L152" s="78"/>
      <c r="M152" s="69"/>
      <c r="N152" s="69"/>
    </row>
    <row r="153" s="4" customFormat="1" ht="17.6" spans="1:14">
      <c r="A153" s="1"/>
      <c r="B153" s="5"/>
      <c r="C153" s="5"/>
      <c r="D153" s="5"/>
      <c r="E153" s="5"/>
      <c r="F153" s="5"/>
      <c r="G153" s="26"/>
      <c r="H153" s="5"/>
      <c r="I153" s="5"/>
      <c r="J153" s="5"/>
      <c r="K153" s="5"/>
      <c r="L153" s="79"/>
      <c r="M153" s="69"/>
      <c r="N153" s="69"/>
    </row>
    <row r="154" s="4" customFormat="1" ht="17.6" spans="1:14">
      <c r="A154" s="1"/>
      <c r="B154" s="5"/>
      <c r="C154" s="5"/>
      <c r="D154" s="5"/>
      <c r="E154" s="5"/>
      <c r="F154" s="5"/>
      <c r="G154" s="26"/>
      <c r="H154" s="5"/>
      <c r="I154" s="5"/>
      <c r="J154" s="5"/>
      <c r="K154" s="5"/>
      <c r="L154" s="78"/>
      <c r="M154" s="69"/>
      <c r="N154" s="69"/>
    </row>
    <row r="155" s="4" customFormat="1" ht="17.6" spans="1:14">
      <c r="A155" s="1"/>
      <c r="B155" s="5"/>
      <c r="C155" s="5"/>
      <c r="D155" s="5"/>
      <c r="E155" s="5"/>
      <c r="F155" s="5"/>
      <c r="G155" s="26"/>
      <c r="H155" s="5"/>
      <c r="I155" s="5"/>
      <c r="J155" s="5"/>
      <c r="K155" s="5"/>
      <c r="L155" s="78"/>
      <c r="M155" s="69"/>
      <c r="N155" s="69"/>
    </row>
    <row r="156" s="4" customFormat="1" ht="17.6" spans="1:14">
      <c r="A156" s="1"/>
      <c r="B156" s="5"/>
      <c r="C156" s="5"/>
      <c r="D156" s="5"/>
      <c r="E156" s="5"/>
      <c r="F156" s="5"/>
      <c r="G156" s="26"/>
      <c r="H156" s="5"/>
      <c r="I156" s="5"/>
      <c r="J156" s="5"/>
      <c r="K156" s="5"/>
      <c r="L156" s="78"/>
      <c r="M156" s="69"/>
      <c r="N156" s="69"/>
    </row>
    <row r="157" s="4" customFormat="1" ht="17.6" spans="1:14">
      <c r="A157" s="1"/>
      <c r="B157" s="5"/>
      <c r="C157" s="5"/>
      <c r="D157" s="5"/>
      <c r="E157" s="5"/>
      <c r="F157" s="5"/>
      <c r="G157" s="26"/>
      <c r="H157" s="5"/>
      <c r="I157" s="5"/>
      <c r="J157" s="5"/>
      <c r="K157" s="5"/>
      <c r="L157" s="78"/>
      <c r="M157" s="69"/>
      <c r="N157" s="69"/>
    </row>
    <row r="158" s="4" customFormat="1" ht="17.6" spans="1:14">
      <c r="A158" s="1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78"/>
      <c r="M158" s="69"/>
      <c r="N158" s="69"/>
    </row>
    <row r="159" s="4" customFormat="1" ht="17.6" spans="1:14">
      <c r="A159" s="1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78"/>
      <c r="M159" s="69"/>
      <c r="N159" s="69"/>
    </row>
    <row r="160" s="4" customFormat="1" ht="17.6" spans="1:14">
      <c r="A160" s="1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78"/>
      <c r="M160" s="69"/>
      <c r="N160" s="69"/>
    </row>
    <row r="161" s="4" customFormat="1" ht="17.6" spans="1:14">
      <c r="A161" s="1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78"/>
      <c r="M161" s="69"/>
      <c r="N161" s="69"/>
    </row>
    <row r="162" s="4" customFormat="1" ht="17.6" spans="1:14">
      <c r="A162" s="1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78"/>
      <c r="M162" s="69"/>
      <c r="N162" s="69"/>
    </row>
    <row r="163" s="4" customFormat="1" ht="17.6" spans="1:14">
      <c r="A163" s="1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78"/>
      <c r="M163" s="69"/>
      <c r="N163" s="69"/>
    </row>
    <row r="164" s="4" customFormat="1" ht="17.6" spans="1:14">
      <c r="A164" s="1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78"/>
      <c r="M164" s="69"/>
      <c r="N164" s="69"/>
    </row>
    <row r="165" s="4" customFormat="1" ht="17.6" spans="1:14">
      <c r="A165" s="1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78"/>
      <c r="M165" s="69"/>
      <c r="N165" s="69"/>
    </row>
    <row r="166" s="4" customFormat="1" ht="17.6" spans="1:14">
      <c r="A166" s="1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78"/>
      <c r="M166" s="69"/>
      <c r="N166" s="69"/>
    </row>
    <row r="167" s="4" customFormat="1" ht="17.6" spans="1:14">
      <c r="A167" s="1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78"/>
      <c r="M167" s="69"/>
      <c r="N167" s="69"/>
    </row>
    <row r="168" s="4" customFormat="1" ht="17.6" spans="1:14">
      <c r="A168" s="1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78"/>
      <c r="M168" s="69"/>
      <c r="N168" s="69"/>
    </row>
    <row r="169" s="4" customFormat="1" ht="17.6" spans="1:14">
      <c r="A169" s="1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78"/>
      <c r="M169" s="69"/>
      <c r="N169" s="69"/>
    </row>
    <row r="170" s="4" customFormat="1" ht="17.6" spans="1:14">
      <c r="A170" s="1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78"/>
      <c r="M170" s="69"/>
      <c r="N170" s="69"/>
    </row>
    <row r="171" s="4" customFormat="1" ht="17.6" spans="1:14">
      <c r="A171" s="1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78"/>
      <c r="M171" s="69"/>
      <c r="N171" s="69"/>
    </row>
    <row r="172" s="4" customFormat="1" ht="17.6" spans="1:14">
      <c r="A172" s="1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78"/>
      <c r="M172" s="69"/>
      <c r="N172" s="69"/>
    </row>
    <row r="173" s="4" customFormat="1" ht="17.6" spans="1:14">
      <c r="A173" s="1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78"/>
      <c r="M173" s="69"/>
      <c r="N173" s="69"/>
    </row>
    <row r="174" s="4" customFormat="1" ht="17.6" spans="1:14">
      <c r="A174" s="1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78"/>
      <c r="M174" s="69"/>
      <c r="N174" s="69"/>
    </row>
    <row r="175" s="4" customFormat="1" ht="17.6" spans="1:14">
      <c r="A175" s="1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78"/>
      <c r="M175" s="69"/>
      <c r="N175" s="69"/>
    </row>
    <row r="176" s="4" customFormat="1" ht="17.6" spans="1:14">
      <c r="A176" s="1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78"/>
      <c r="M176" s="69"/>
      <c r="N176" s="69"/>
    </row>
    <row r="177" s="4" customFormat="1" ht="17.6" spans="1:14">
      <c r="A177" s="1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78"/>
      <c r="M177" s="69"/>
      <c r="N177" s="69"/>
    </row>
    <row r="178" s="4" customFormat="1" ht="17.6" spans="1:14">
      <c r="A178" s="1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78"/>
      <c r="M178" s="69"/>
      <c r="N178" s="69"/>
    </row>
    <row r="179" s="4" customFormat="1" ht="17.6" spans="1:14">
      <c r="A179" s="1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78"/>
      <c r="M179" s="69"/>
      <c r="N179" s="69"/>
    </row>
    <row r="180" s="4" customFormat="1" ht="17.6" spans="1:14">
      <c r="A180" s="1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78"/>
      <c r="M180" s="69"/>
      <c r="N180" s="69"/>
    </row>
    <row r="181" s="4" customFormat="1" ht="17.6" spans="1:14">
      <c r="A181" s="1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78"/>
      <c r="M181" s="69"/>
      <c r="N181" s="69"/>
    </row>
    <row r="182" s="4" customFormat="1" ht="17.6" spans="1:14">
      <c r="A182" s="1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78"/>
      <c r="M182" s="69"/>
      <c r="N182" s="69"/>
    </row>
    <row r="183" s="4" customFormat="1" ht="17.6" spans="1:14">
      <c r="A183" s="1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78"/>
      <c r="M183" s="69"/>
      <c r="N183" s="69"/>
    </row>
    <row r="184" s="4" customFormat="1" ht="17.6" spans="1:14">
      <c r="A184" s="1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78"/>
      <c r="M184" s="69"/>
      <c r="N184" s="69"/>
    </row>
    <row r="185" s="4" customFormat="1" ht="17.6" spans="1:14">
      <c r="A185" s="1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78"/>
      <c r="M185" s="69"/>
      <c r="N185" s="69"/>
    </row>
    <row r="186" s="4" customFormat="1" ht="17.6" spans="1:14">
      <c r="A186" s="1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78"/>
      <c r="M186" s="69"/>
      <c r="N186" s="69"/>
    </row>
    <row r="187" s="4" customFormat="1" ht="17.6" spans="1:14">
      <c r="A187" s="1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78"/>
      <c r="M187" s="69"/>
      <c r="N187" s="69"/>
    </row>
    <row r="188" s="4" customFormat="1" ht="17.6" spans="1:14">
      <c r="A188" s="1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78"/>
      <c r="M188" s="69"/>
      <c r="N188" s="69"/>
    </row>
    <row r="189" s="4" customFormat="1" ht="17.6" spans="1:14">
      <c r="A189" s="1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78"/>
      <c r="M189" s="69"/>
      <c r="N189" s="69"/>
    </row>
    <row r="190" s="4" customFormat="1" ht="17.6" spans="1:14">
      <c r="A190" s="1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78"/>
      <c r="M190" s="69"/>
      <c r="N190" s="69"/>
    </row>
    <row r="191" s="4" customFormat="1" ht="17.6" spans="1:14">
      <c r="A191" s="1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78"/>
      <c r="M191" s="69"/>
      <c r="N191" s="69"/>
    </row>
    <row r="192" s="4" customFormat="1" ht="17.6" spans="1:14">
      <c r="A192" s="1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80"/>
      <c r="M192" s="69"/>
      <c r="N192" s="69"/>
    </row>
    <row r="193" s="4" customFormat="1" ht="17.6" spans="1:14">
      <c r="A193" s="1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80"/>
      <c r="M193" s="69"/>
      <c r="N193" s="69"/>
    </row>
    <row r="194" s="4" customFormat="1" ht="17.6" spans="1:14">
      <c r="A194" s="1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80"/>
      <c r="M194" s="69"/>
      <c r="N194" s="69"/>
    </row>
    <row r="195" s="4" customFormat="1" spans="1:14">
      <c r="A195" s="1"/>
      <c r="B195" s="5"/>
      <c r="C195" s="5"/>
      <c r="D195" s="5"/>
      <c r="E195" s="5"/>
      <c r="F195" s="5"/>
      <c r="G195" s="5"/>
      <c r="H195" s="5"/>
      <c r="I195" s="5"/>
      <c r="J195" s="5"/>
      <c r="K195" s="5"/>
      <c r="M195" s="69"/>
      <c r="N195" s="69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5"/>
  <sheetViews>
    <sheetView showGridLines="0" zoomScale="90" zoomScaleNormal="90" topLeftCell="A4" workbookViewId="0">
      <selection activeCell="E7" sqref="E7:H10"/>
    </sheetView>
  </sheetViews>
  <sheetFormatPr defaultColWidth="9.14285714285714" defaultRowHeight="16.8"/>
  <cols>
    <col min="1" max="1" width="1.23214285714286" style="1" customWidth="1"/>
    <col min="2" max="3" width="1.23214285714286" style="5" customWidth="1"/>
    <col min="4" max="4" width="40.6428571428571" style="5" customWidth="1"/>
    <col min="5" max="5" width="12.7857142857143" style="5"/>
    <col min="6" max="6" width="9.14285714285714" style="5"/>
    <col min="7" max="7" width="12.2767857142857" style="5" customWidth="1"/>
    <col min="8" max="11" width="12.6428571428571" style="5" customWidth="1"/>
    <col min="12" max="12" width="12.6428571428571" style="6" customWidth="1"/>
    <col min="13" max="16384" width="12.6428571428571" style="2" customWidth="1"/>
  </cols>
  <sheetData>
    <row r="1" s="1" customFormat="1" ht="36" spans="1:15">
      <c r="A1" s="7" t="s">
        <v>0</v>
      </c>
      <c r="B1" s="8"/>
      <c r="C1" s="8"/>
      <c r="D1" s="9"/>
      <c r="E1" s="9"/>
      <c r="F1" s="9"/>
      <c r="G1" s="10"/>
      <c r="H1" s="10"/>
      <c r="I1" s="10"/>
      <c r="J1" s="10"/>
      <c r="K1" s="10"/>
      <c r="L1" s="10"/>
      <c r="M1" s="11"/>
      <c r="N1" s="12"/>
      <c r="O1" s="12"/>
    </row>
    <row r="2" s="1" customFormat="1" ht="17.6" spans="1:15">
      <c r="A2" s="13" t="s">
        <v>356</v>
      </c>
      <c r="B2" s="14"/>
      <c r="C2" s="14"/>
      <c r="D2" s="15"/>
      <c r="E2" s="9"/>
      <c r="F2" s="9"/>
      <c r="G2" s="10"/>
      <c r="H2" s="10"/>
      <c r="I2" s="10"/>
      <c r="J2" s="10"/>
      <c r="K2" s="10"/>
      <c r="L2" s="16"/>
      <c r="M2" s="11"/>
      <c r="N2" s="12"/>
      <c r="O2" s="12"/>
    </row>
    <row r="3" s="1" customFormat="1" spans="1:15">
      <c r="G3" s="2"/>
      <c r="H3" s="2"/>
      <c r="I3" s="2"/>
      <c r="J3" s="2"/>
      <c r="K3" s="2"/>
      <c r="L3" s="2"/>
      <c r="M3" s="2"/>
    </row>
    <row r="4" s="1" customFormat="1" spans="1:15">
      <c r="A4" s="17" t="s">
        <v>356</v>
      </c>
      <c r="B4" s="18"/>
      <c r="C4" s="19"/>
      <c r="D4" s="20"/>
      <c r="E4" s="21"/>
      <c r="F4" s="21"/>
      <c r="G4" s="21"/>
      <c r="H4" s="22"/>
      <c r="I4" s="23"/>
      <c r="J4" s="23"/>
      <c r="K4" s="23"/>
      <c r="L4" s="23"/>
      <c r="M4" s="23"/>
      <c r="N4" s="23"/>
      <c r="O4" s="24"/>
    </row>
    <row r="5" s="1" customFormat="1" ht="17.6" spans="1:15">
      <c r="B5" s="5"/>
      <c r="C5" s="5"/>
      <c r="D5" s="25"/>
      <c r="E5" s="26"/>
      <c r="F5" s="26"/>
      <c r="G5" s="27"/>
      <c r="H5" s="28"/>
      <c r="I5" s="29"/>
      <c r="J5" s="29"/>
      <c r="K5" s="29"/>
      <c r="L5" s="29"/>
      <c r="M5" s="29"/>
      <c r="N5" s="29"/>
      <c r="O5" s="29"/>
    </row>
    <row r="6" s="1" customFormat="1" ht="34" spans="1:15">
      <c r="B6" s="5"/>
      <c r="C6" s="5"/>
      <c r="D6" s="30"/>
      <c r="E6" s="31" t="s">
        <v>346</v>
      </c>
      <c r="F6" s="31" t="s">
        <v>357</v>
      </c>
      <c r="G6" s="32" t="s">
        <v>358</v>
      </c>
      <c r="H6" s="32" t="s">
        <v>359</v>
      </c>
      <c r="I6" s="30"/>
      <c r="J6" s="33"/>
      <c r="K6" s="33"/>
      <c r="L6" s="33"/>
      <c r="M6" s="33"/>
      <c r="N6" s="33"/>
      <c r="O6" s="33"/>
    </row>
    <row r="7" s="1" customFormat="1" spans="1:15">
      <c r="B7" s="5"/>
      <c r="C7" s="5"/>
      <c r="D7" s="30" t="s">
        <v>360</v>
      </c>
      <c r="E7" s="34">
        <f>MAX(Comps!L26:L28)</f>
        <v>7269.34466088042</v>
      </c>
      <c r="F7" s="34">
        <v>8152.17</v>
      </c>
      <c r="G7" s="35">
        <v>4738.5</v>
      </c>
      <c r="H7" s="36">
        <f>H8</f>
        <v>5840</v>
      </c>
      <c r="I7" s="37"/>
      <c r="J7" s="29"/>
      <c r="K7" s="29"/>
      <c r="L7" s="29"/>
      <c r="M7" s="29"/>
      <c r="N7" s="29"/>
      <c r="O7" s="29"/>
    </row>
    <row r="8" s="1" customFormat="1" spans="1:15">
      <c r="B8" s="38"/>
      <c r="C8" s="5"/>
      <c r="D8" s="30" t="s">
        <v>360</v>
      </c>
      <c r="E8" s="34">
        <f>E7</f>
        <v>7269.34466088042</v>
      </c>
      <c r="F8" s="34">
        <f>F7</f>
        <v>8152.17</v>
      </c>
      <c r="G8" s="35">
        <f>G7</f>
        <v>4738.5</v>
      </c>
      <c r="H8" s="36">
        <v>5840</v>
      </c>
      <c r="I8" s="39" t="s">
        <v>361</v>
      </c>
      <c r="J8" s="29"/>
      <c r="K8" s="29"/>
      <c r="L8" s="29"/>
      <c r="M8" s="29"/>
      <c r="N8" s="29"/>
      <c r="O8" s="29"/>
    </row>
    <row r="9" s="1" customFormat="1" spans="1:15">
      <c r="B9" s="5"/>
      <c r="C9" s="5"/>
      <c r="D9" s="30" t="s">
        <v>362</v>
      </c>
      <c r="E9" s="34">
        <f>MIN(Comps!L26:L28)</f>
        <v>5572.73990471613</v>
      </c>
      <c r="F9" s="1">
        <v>5606.58</v>
      </c>
      <c r="G9" s="35">
        <v>5933.5</v>
      </c>
      <c r="H9" s="36">
        <v>6500</v>
      </c>
      <c r="I9" s="40" t="s">
        <v>363</v>
      </c>
      <c r="J9" s="29"/>
      <c r="K9" s="29"/>
      <c r="L9" s="29"/>
      <c r="M9" s="29"/>
      <c r="N9" s="29"/>
      <c r="O9" s="29"/>
    </row>
    <row r="10" s="1" customFormat="1" spans="1:15">
      <c r="B10" s="5"/>
      <c r="C10" s="5"/>
      <c r="D10" s="30" t="s">
        <v>362</v>
      </c>
      <c r="E10" s="34">
        <f>E9</f>
        <v>5572.73990471613</v>
      </c>
      <c r="F10" s="34">
        <f>F9</f>
        <v>5606.58</v>
      </c>
      <c r="G10" s="35">
        <f>G9</f>
        <v>5933.5</v>
      </c>
      <c r="H10" s="36">
        <v>6500</v>
      </c>
      <c r="I10" s="29"/>
      <c r="J10" s="29"/>
      <c r="K10" s="29"/>
      <c r="L10" s="29"/>
      <c r="M10" s="29"/>
      <c r="N10" s="29"/>
      <c r="O10" s="29"/>
    </row>
    <row r="11" s="1" customFormat="1" ht="17.6" spans="1:15">
      <c r="B11" s="5"/>
      <c r="C11" s="5"/>
      <c r="D11" s="25"/>
      <c r="E11" s="34"/>
      <c r="F11" s="34"/>
      <c r="G11" s="35"/>
      <c r="H11" s="41"/>
      <c r="I11" s="29"/>
      <c r="J11" s="29"/>
      <c r="K11" s="29"/>
      <c r="L11" s="29"/>
      <c r="M11" s="29"/>
      <c r="N11" s="29"/>
      <c r="O11" s="29"/>
    </row>
    <row r="12" s="1" customFormat="1" ht="17.6" spans="1:15">
      <c r="A12" s="17" t="s">
        <v>364</v>
      </c>
      <c r="B12" s="42"/>
      <c r="C12" s="42"/>
      <c r="D12" s="43"/>
      <c r="E12" s="44"/>
      <c r="F12" s="44"/>
      <c r="G12" s="45"/>
      <c r="H12" s="46"/>
      <c r="I12" s="47"/>
      <c r="J12" s="47"/>
      <c r="K12" s="47"/>
      <c r="L12" s="47"/>
      <c r="M12" s="47"/>
      <c r="N12" s="47"/>
      <c r="O12" s="47"/>
    </row>
    <row r="13" s="1" customFormat="1" ht="17.6" spans="1:15">
      <c r="B13" s="5"/>
      <c r="C13" s="5"/>
      <c r="D13" s="25"/>
      <c r="E13" s="34"/>
      <c r="F13" s="34"/>
      <c r="G13" s="35"/>
      <c r="H13" s="41"/>
      <c r="I13" s="29"/>
      <c r="J13" s="29"/>
      <c r="K13" s="29"/>
      <c r="L13" s="29"/>
      <c r="M13" s="29"/>
      <c r="N13" s="29"/>
      <c r="O13" s="29"/>
    </row>
    <row r="14" s="1" customFormat="1" ht="17.6" spans="1:15">
      <c r="B14" s="5"/>
      <c r="C14" s="5"/>
      <c r="D14" s="48"/>
      <c r="E14" s="34"/>
      <c r="F14" s="34"/>
      <c r="G14" s="35"/>
      <c r="H14" s="41"/>
      <c r="I14" s="29"/>
      <c r="J14" s="29"/>
      <c r="K14" s="29"/>
      <c r="L14" s="29"/>
      <c r="M14" s="29"/>
      <c r="N14" s="29"/>
      <c r="O14" s="29"/>
    </row>
    <row r="15" s="1" customFormat="1" ht="17.6" spans="1:15">
      <c r="B15" s="5"/>
      <c r="C15" s="5"/>
      <c r="D15" s="25"/>
      <c r="E15" s="34"/>
      <c r="F15" s="34"/>
      <c r="G15" s="35"/>
      <c r="H15" s="41"/>
      <c r="I15" s="29"/>
      <c r="J15" s="29"/>
      <c r="K15" s="29"/>
      <c r="L15" s="29"/>
      <c r="M15" s="29"/>
      <c r="N15" s="29"/>
      <c r="O15" s="29"/>
    </row>
    <row r="16" s="1" customFormat="1" ht="17.6" spans="1:15">
      <c r="B16" s="5"/>
      <c r="C16" s="38"/>
      <c r="D16" s="25"/>
      <c r="E16" s="26"/>
      <c r="F16" s="26"/>
      <c r="G16" s="27"/>
      <c r="H16" s="28"/>
      <c r="I16" s="29"/>
      <c r="J16" s="29"/>
      <c r="K16" s="29"/>
      <c r="L16" s="29"/>
      <c r="M16" s="29"/>
      <c r="N16" s="29"/>
      <c r="O16" s="29"/>
    </row>
    <row r="17" s="1" customFormat="1" spans="2:15">
      <c r="B17" s="5"/>
      <c r="D17" s="26"/>
      <c r="E17" s="26"/>
      <c r="F17" s="26"/>
      <c r="G17" s="27"/>
      <c r="H17" s="49"/>
      <c r="I17" s="50"/>
      <c r="J17" s="27"/>
      <c r="K17" s="50"/>
      <c r="L17" s="51"/>
      <c r="M17" s="27"/>
      <c r="N17" s="27"/>
      <c r="O17" s="27"/>
    </row>
    <row r="18" s="1" customFormat="1" spans="2:15">
      <c r="B18" s="5"/>
      <c r="C18" s="52"/>
      <c r="D18" s="26"/>
      <c r="E18" s="26"/>
      <c r="F18" s="26"/>
      <c r="G18" s="27"/>
      <c r="H18" s="49"/>
      <c r="I18" s="50"/>
      <c r="J18" s="50"/>
      <c r="K18" s="50"/>
      <c r="L18" s="53"/>
      <c r="M18" s="54"/>
      <c r="N18" s="27"/>
      <c r="O18" s="27"/>
    </row>
    <row r="19" s="1" customFormat="1" spans="2:15">
      <c r="B19" s="5"/>
      <c r="C19" s="5"/>
      <c r="D19" s="26"/>
      <c r="E19" s="26"/>
      <c r="F19" s="26"/>
      <c r="G19" s="27"/>
      <c r="H19" s="49"/>
      <c r="I19" s="50"/>
      <c r="J19" s="50"/>
      <c r="K19" s="50"/>
      <c r="L19" s="49"/>
      <c r="M19" s="27"/>
      <c r="N19" s="27"/>
      <c r="O19" s="27"/>
    </row>
    <row r="20" s="1" customFormat="1" spans="2:15">
      <c r="B20" s="5"/>
      <c r="C20" s="5"/>
      <c r="D20" s="26"/>
      <c r="E20" s="26"/>
      <c r="F20" s="26"/>
      <c r="G20" s="27"/>
      <c r="H20" s="50"/>
      <c r="I20" s="50"/>
      <c r="J20" s="50"/>
      <c r="K20" s="50"/>
      <c r="L20" s="50"/>
      <c r="M20" s="27"/>
      <c r="N20" s="27"/>
      <c r="O20" s="27"/>
    </row>
    <row r="21" s="1" customFormat="1" spans="2:15">
      <c r="B21" s="5"/>
      <c r="C21" s="5"/>
      <c r="D21" s="26"/>
      <c r="E21" s="26"/>
      <c r="F21" s="26"/>
      <c r="G21" s="27"/>
      <c r="H21" s="50"/>
      <c r="I21" s="50"/>
      <c r="J21" s="50"/>
      <c r="K21" s="50"/>
      <c r="L21" s="27"/>
      <c r="M21" s="27"/>
      <c r="N21" s="27"/>
      <c r="O21" s="27"/>
    </row>
    <row r="22" s="1" customFormat="1" spans="2:15">
      <c r="B22" s="5"/>
      <c r="C22" s="38"/>
      <c r="D22" s="55"/>
      <c r="E22" s="55"/>
      <c r="F22" s="55"/>
      <c r="G22" s="27"/>
      <c r="H22" s="56"/>
      <c r="I22" s="56"/>
      <c r="J22" s="56"/>
      <c r="K22" s="56"/>
      <c r="L22" s="27"/>
      <c r="M22" s="27"/>
      <c r="N22" s="27"/>
      <c r="O22" s="27"/>
    </row>
    <row r="23" s="1" customFormat="1" spans="2:15">
      <c r="B23" s="5"/>
      <c r="C23" s="5"/>
      <c r="D23" s="5"/>
      <c r="E23" s="5"/>
      <c r="F23" s="5"/>
      <c r="H23" s="5"/>
      <c r="I23" s="5"/>
      <c r="J23" s="5"/>
      <c r="K23" s="5"/>
    </row>
    <row r="24" s="1" customFormat="1" spans="2:15">
      <c r="B24" s="5"/>
      <c r="C24" s="38"/>
      <c r="D24" s="5"/>
      <c r="E24" s="5"/>
      <c r="F24" s="5"/>
      <c r="H24" s="57"/>
      <c r="I24" s="57"/>
      <c r="J24" s="57"/>
      <c r="K24" s="57"/>
    </row>
    <row r="25" s="1" customFormat="1" spans="2:15">
      <c r="B25" s="5"/>
      <c r="C25" s="38"/>
      <c r="D25" s="5"/>
      <c r="E25" s="5"/>
      <c r="F25" s="5"/>
      <c r="H25" s="57"/>
      <c r="I25" s="57"/>
      <c r="J25" s="57"/>
      <c r="K25" s="57"/>
    </row>
    <row r="26" spans="2:15">
      <c r="C26" s="58"/>
    </row>
    <row r="28" spans="2:15">
      <c r="C28" s="38"/>
    </row>
    <row r="30" spans="2:15">
      <c r="G30" s="59"/>
      <c r="H30" s="59"/>
      <c r="I30" s="59"/>
      <c r="J30" s="59"/>
      <c r="K30" s="60"/>
    </row>
    <row r="31" spans="2:15">
      <c r="G31" s="59"/>
      <c r="H31" s="59"/>
      <c r="I31" s="59"/>
      <c r="J31" s="59"/>
      <c r="K31" s="60"/>
    </row>
    <row r="32" spans="2:15">
      <c r="G32" s="59"/>
      <c r="H32" s="59"/>
      <c r="I32" s="59"/>
      <c r="J32" s="59"/>
      <c r="K32" s="60"/>
      <c r="L32" s="60"/>
    </row>
    <row r="33" spans="1:12">
      <c r="G33" s="59"/>
      <c r="H33" s="59"/>
      <c r="I33" s="59"/>
      <c r="J33" s="59"/>
      <c r="K33" s="60"/>
      <c r="L33" s="60"/>
    </row>
    <row r="34" spans="1:12">
      <c r="G34" s="59"/>
      <c r="H34" s="59"/>
      <c r="I34" s="59"/>
      <c r="J34" s="61"/>
      <c r="L34" s="5"/>
    </row>
    <row r="35" spans="1:12">
      <c r="G35" s="61"/>
      <c r="H35" s="61"/>
      <c r="I35" s="61"/>
      <c r="J35" s="61"/>
      <c r="L35" s="5"/>
    </row>
    <row r="36" spans="1:12">
      <c r="C36" s="58"/>
      <c r="G36" s="61"/>
      <c r="H36" s="61"/>
      <c r="I36" s="61"/>
      <c r="J36" s="61"/>
      <c r="L36" s="5"/>
    </row>
    <row r="37" spans="1:12">
      <c r="C37" s="62"/>
      <c r="G37" s="59"/>
      <c r="H37" s="59"/>
      <c r="I37" s="59"/>
      <c r="J37" s="59"/>
      <c r="L37" s="5"/>
    </row>
    <row r="38" spans="1:12">
      <c r="C38" s="62"/>
      <c r="G38" s="61"/>
      <c r="H38" s="61"/>
      <c r="I38" s="61"/>
      <c r="J38" s="61"/>
      <c r="K38" s="60"/>
      <c r="L38" s="60"/>
    </row>
    <row r="39" spans="1:12">
      <c r="C39" s="62"/>
      <c r="G39" s="59"/>
      <c r="H39" s="59"/>
      <c r="I39" s="59"/>
      <c r="J39" s="59"/>
      <c r="K39" s="60"/>
      <c r="L39" s="60"/>
    </row>
    <row r="40" spans="1:12">
      <c r="G40" s="59"/>
      <c r="H40" s="59"/>
      <c r="I40" s="59"/>
      <c r="J40" s="59"/>
      <c r="K40" s="60"/>
      <c r="L40" s="60"/>
    </row>
    <row r="41" spans="1:12">
      <c r="G41" s="61"/>
      <c r="H41" s="61"/>
      <c r="I41" s="61"/>
      <c r="J41" s="61"/>
      <c r="L41" s="5"/>
    </row>
    <row r="42" spans="1:12">
      <c r="G42" s="61"/>
      <c r="H42" s="61"/>
      <c r="I42" s="61"/>
      <c r="J42" s="61"/>
      <c r="L42" s="60"/>
    </row>
    <row r="43" spans="1:12">
      <c r="C43" s="38"/>
      <c r="D43" s="38"/>
      <c r="E43" s="38"/>
      <c r="F43" s="38"/>
      <c r="G43" s="63"/>
      <c r="H43" s="63"/>
      <c r="I43" s="63"/>
      <c r="J43" s="63"/>
      <c r="K43" s="57"/>
      <c r="L43" s="57"/>
    </row>
    <row r="44" spans="1:12">
      <c r="G44" s="61"/>
      <c r="L44" s="5"/>
    </row>
    <row r="45" spans="1:12">
      <c r="C45" s="58"/>
    </row>
    <row r="46" spans="1:12">
      <c r="G46" s="59"/>
      <c r="H46" s="59"/>
      <c r="I46" s="59"/>
      <c r="J46" s="59"/>
      <c r="K46" s="60"/>
      <c r="L46" s="60"/>
    </row>
    <row r="47" spans="1:12">
      <c r="C47" s="64"/>
      <c r="G47" s="61"/>
      <c r="H47" s="61"/>
      <c r="I47" s="61"/>
      <c r="J47" s="61"/>
      <c r="L47" s="60"/>
    </row>
    <row r="48" s="2" customFormat="1" spans="1:12">
      <c r="A48" s="1"/>
      <c r="B48" s="5"/>
      <c r="C48" s="62"/>
      <c r="D48" s="5"/>
      <c r="E48" s="5"/>
      <c r="F48" s="5"/>
      <c r="G48" s="59"/>
      <c r="H48" s="59"/>
      <c r="I48" s="59"/>
      <c r="J48" s="59"/>
      <c r="K48" s="60"/>
      <c r="L48" s="60"/>
    </row>
    <row r="49" s="3" customFormat="1" ht="17.6" spans="1:14">
      <c r="A49" s="1"/>
      <c r="B49" s="5"/>
      <c r="C49" s="62"/>
      <c r="D49" s="5"/>
      <c r="E49" s="5"/>
      <c r="F49" s="5"/>
      <c r="G49" s="59"/>
      <c r="H49" s="59"/>
      <c r="I49" s="59"/>
      <c r="J49" s="59"/>
      <c r="K49" s="60"/>
      <c r="L49" s="60"/>
      <c r="N49" s="65"/>
    </row>
    <row r="50" s="3" customFormat="1" ht="17.6" spans="1:14">
      <c r="A50" s="1"/>
      <c r="B50" s="5"/>
      <c r="C50" s="62"/>
      <c r="D50" s="5"/>
      <c r="E50" s="5"/>
      <c r="F50" s="5"/>
      <c r="G50" s="59"/>
      <c r="H50" s="59"/>
      <c r="I50" s="59"/>
      <c r="J50" s="59"/>
      <c r="K50" s="60"/>
      <c r="L50" s="60"/>
    </row>
    <row r="51" s="3" customFormat="1" ht="17.6" spans="1:14">
      <c r="A51" s="1"/>
      <c r="B51" s="5"/>
      <c r="C51" s="62"/>
      <c r="D51" s="5"/>
      <c r="E51" s="5"/>
      <c r="F51" s="5"/>
      <c r="G51" s="59"/>
      <c r="H51" s="59"/>
      <c r="I51" s="59"/>
      <c r="J51" s="59"/>
      <c r="K51" s="60"/>
      <c r="L51" s="60"/>
    </row>
    <row r="52" s="3" customFormat="1" ht="17.6" spans="1:14">
      <c r="A52" s="1"/>
      <c r="B52" s="5"/>
      <c r="C52" s="62"/>
      <c r="D52" s="5"/>
      <c r="E52" s="5"/>
      <c r="F52" s="5"/>
      <c r="G52" s="61"/>
      <c r="H52" s="61"/>
      <c r="I52" s="61"/>
      <c r="J52" s="61"/>
      <c r="K52" s="5"/>
      <c r="L52" s="5"/>
    </row>
    <row r="53" s="3" customFormat="1" ht="17.6" spans="1:14">
      <c r="A53" s="1"/>
      <c r="B53" s="5"/>
      <c r="C53" s="62"/>
      <c r="D53" s="5"/>
      <c r="E53" s="5"/>
      <c r="F53" s="5"/>
      <c r="G53" s="59"/>
      <c r="H53" s="59"/>
      <c r="I53" s="61"/>
      <c r="J53" s="59"/>
      <c r="K53" s="60"/>
      <c r="L53" s="60"/>
    </row>
    <row r="54" s="3" customFormat="1" ht="17.6" spans="1:14">
      <c r="A54" s="1"/>
      <c r="B54" s="5"/>
      <c r="C54" s="5"/>
      <c r="D54" s="5"/>
      <c r="E54" s="5"/>
      <c r="F54" s="5"/>
      <c r="G54" s="59"/>
      <c r="H54" s="59"/>
      <c r="I54" s="59"/>
      <c r="J54" s="59"/>
      <c r="K54" s="60"/>
      <c r="L54" s="60"/>
    </row>
    <row r="55" s="3" customFormat="1" ht="17.6" spans="1:14">
      <c r="A55" s="1"/>
      <c r="B55" s="5"/>
      <c r="C55" s="5"/>
      <c r="D55" s="5"/>
      <c r="E55" s="5"/>
      <c r="F55" s="5"/>
      <c r="G55" s="63"/>
      <c r="H55" s="63"/>
      <c r="I55" s="63"/>
      <c r="J55" s="63"/>
      <c r="K55" s="57"/>
      <c r="L55" s="57"/>
    </row>
    <row r="56" s="3" customFormat="1" ht="17.6" spans="1:14">
      <c r="A56" s="1"/>
      <c r="B56" s="5"/>
      <c r="C56" s="5"/>
      <c r="D56" s="5"/>
      <c r="E56" s="5"/>
      <c r="F56" s="5"/>
      <c r="G56" s="61"/>
      <c r="H56" s="61"/>
      <c r="I56" s="61"/>
      <c r="J56" s="59"/>
      <c r="K56" s="5"/>
      <c r="L56" s="60"/>
    </row>
    <row r="57" s="3" customFormat="1" ht="17.6" spans="1:14">
      <c r="A57" s="1"/>
      <c r="B57" s="5"/>
      <c r="C57" s="38"/>
      <c r="D57" s="38"/>
      <c r="E57" s="38"/>
      <c r="F57" s="38"/>
      <c r="G57" s="63"/>
      <c r="H57" s="63"/>
      <c r="I57" s="63"/>
      <c r="J57" s="63"/>
      <c r="K57" s="57"/>
      <c r="L57" s="57"/>
    </row>
    <row r="58" s="3" customFormat="1" ht="17.6" spans="1:14">
      <c r="A58" s="1"/>
      <c r="B58" s="5"/>
      <c r="C58" s="5"/>
      <c r="D58" s="5"/>
      <c r="E58" s="5"/>
      <c r="F58" s="5"/>
      <c r="G58" s="5"/>
      <c r="H58" s="61"/>
      <c r="I58" s="61"/>
      <c r="J58" s="61"/>
      <c r="K58" s="5"/>
      <c r="L58" s="5"/>
    </row>
    <row r="59" s="3" customFormat="1" ht="17.6" spans="1:14">
      <c r="A59" s="1"/>
      <c r="B59" s="5"/>
      <c r="C59" s="38"/>
      <c r="D59" s="5"/>
      <c r="E59" s="5"/>
      <c r="F59" s="5"/>
      <c r="G59" s="61"/>
      <c r="H59" s="59"/>
      <c r="I59" s="59"/>
      <c r="J59" s="59"/>
      <c r="K59" s="5"/>
      <c r="L59" s="5"/>
    </row>
    <row r="60" s="3" customFormat="1" ht="17.6" spans="1:14">
      <c r="A60" s="1"/>
      <c r="B60" s="5"/>
      <c r="C60" s="5"/>
      <c r="D60" s="5"/>
      <c r="E60" s="5"/>
      <c r="F60" s="5"/>
      <c r="G60" s="59"/>
    </row>
    <row r="61" s="3" customFormat="1" ht="17.6" spans="1:14">
      <c r="A61" s="1"/>
      <c r="B61" s="5"/>
      <c r="C61" s="5"/>
      <c r="D61" s="5"/>
      <c r="E61" s="5"/>
      <c r="F61" s="5"/>
      <c r="G61" s="61"/>
      <c r="H61" s="61"/>
      <c r="I61" s="61"/>
      <c r="J61" s="61"/>
      <c r="K61" s="5"/>
      <c r="L61" s="5"/>
    </row>
    <row r="62" s="3" customFormat="1" ht="17.6" spans="1:14">
      <c r="A62" s="1"/>
      <c r="B62" s="5"/>
      <c r="C62" s="5"/>
      <c r="D62" s="5"/>
      <c r="E62" s="5"/>
      <c r="F62" s="5"/>
      <c r="G62" s="59"/>
      <c r="H62" s="59"/>
      <c r="I62" s="59"/>
      <c r="J62" s="59"/>
      <c r="K62" s="60"/>
      <c r="L62" s="60"/>
    </row>
    <row r="63" s="3" customFormat="1" ht="17.6" spans="1:14">
      <c r="A63" s="1"/>
      <c r="B63" s="5"/>
      <c r="C63" s="5"/>
      <c r="D63" s="5"/>
      <c r="E63" s="5"/>
      <c r="F63" s="5"/>
      <c r="G63" s="59"/>
      <c r="H63" s="59"/>
      <c r="I63" s="59"/>
      <c r="J63" s="59"/>
      <c r="K63" s="60"/>
      <c r="L63" s="60"/>
    </row>
    <row r="64" s="3" customFormat="1" ht="17.6" spans="1:14">
      <c r="A64" s="1"/>
      <c r="B64" s="5"/>
      <c r="C64" s="5"/>
      <c r="D64" s="5"/>
      <c r="E64" s="5"/>
      <c r="F64" s="5"/>
      <c r="G64" s="59"/>
      <c r="H64" s="59"/>
      <c r="I64" s="59"/>
      <c r="J64" s="59"/>
      <c r="K64" s="60"/>
      <c r="L64" s="60"/>
    </row>
    <row r="65" s="3" customFormat="1" ht="17.6" spans="1:12">
      <c r="A65" s="1"/>
      <c r="B65" s="5"/>
      <c r="C65" s="38"/>
      <c r="D65" s="38"/>
      <c r="E65" s="38"/>
      <c r="F65" s="38"/>
      <c r="G65" s="63"/>
      <c r="H65" s="63"/>
      <c r="I65" s="63"/>
      <c r="J65" s="63"/>
      <c r="K65" s="57"/>
      <c r="L65" s="57"/>
    </row>
    <row r="66" s="3" customFormat="1" ht="17.6" spans="1:12">
      <c r="A66" s="1"/>
      <c r="B66" s="5"/>
      <c r="C66" s="38"/>
      <c r="D66" s="38"/>
      <c r="E66" s="38"/>
      <c r="F66" s="38"/>
      <c r="G66" s="61"/>
      <c r="H66" s="61"/>
      <c r="I66" s="61"/>
      <c r="J66" s="61"/>
      <c r="K66" s="5"/>
      <c r="L66" s="5"/>
    </row>
    <row r="67" s="3" customFormat="1" ht="17.6" spans="1:12">
      <c r="A67" s="1"/>
      <c r="B67" s="5"/>
      <c r="C67" s="38"/>
      <c r="D67" s="5"/>
      <c r="E67" s="5"/>
      <c r="F67" s="5"/>
      <c r="G67" s="61"/>
      <c r="H67" s="61"/>
      <c r="I67" s="61"/>
      <c r="J67" s="61"/>
      <c r="K67" s="5"/>
      <c r="L67" s="5"/>
    </row>
    <row r="68" s="3" customFormat="1" ht="17.6" spans="1:12">
      <c r="A68" s="1"/>
      <c r="B68" s="5"/>
      <c r="C68" s="38"/>
      <c r="D68" s="5"/>
      <c r="E68" s="5"/>
      <c r="F68" s="5"/>
      <c r="G68" s="61"/>
      <c r="H68" s="5"/>
      <c r="I68" s="5"/>
      <c r="J68" s="5"/>
      <c r="K68" s="5"/>
      <c r="L68" s="5"/>
    </row>
    <row r="69" s="3" customFormat="1" ht="17.6" spans="1:12">
      <c r="A69" s="1"/>
      <c r="B69" s="5"/>
      <c r="C69" s="64"/>
      <c r="D69" s="5"/>
      <c r="E69" s="5"/>
      <c r="F69" s="5"/>
      <c r="G69" s="5"/>
    </row>
    <row r="70" s="3" customFormat="1" ht="17.6" spans="1:12">
      <c r="A70" s="1"/>
      <c r="B70" s="5"/>
      <c r="C70" s="62"/>
      <c r="D70" s="5"/>
      <c r="E70" s="5"/>
      <c r="F70" s="5"/>
      <c r="G70" s="61"/>
      <c r="H70" s="61"/>
      <c r="I70" s="61"/>
      <c r="J70" s="61"/>
      <c r="K70" s="5"/>
      <c r="L70" s="60"/>
    </row>
    <row r="71" s="3" customFormat="1" ht="17.6" spans="1:12">
      <c r="A71" s="1"/>
      <c r="B71" s="5"/>
      <c r="C71" s="62"/>
      <c r="D71" s="5"/>
      <c r="E71" s="5"/>
      <c r="F71" s="5"/>
      <c r="G71" s="61"/>
      <c r="H71" s="61"/>
      <c r="I71" s="61"/>
      <c r="J71" s="61"/>
      <c r="K71" s="60"/>
      <c r="L71" s="60"/>
    </row>
    <row r="72" s="3" customFormat="1" ht="17.6" spans="1:12">
      <c r="A72" s="1"/>
      <c r="B72" s="5"/>
      <c r="C72" s="62"/>
      <c r="D72" s="5"/>
      <c r="E72" s="5"/>
      <c r="F72" s="5"/>
      <c r="G72" s="61"/>
      <c r="H72" s="61"/>
      <c r="I72" s="61"/>
      <c r="J72" s="59"/>
      <c r="K72" s="60"/>
      <c r="L72" s="60"/>
    </row>
    <row r="73" s="3" customFormat="1" ht="17.6" spans="1:12">
      <c r="A73" s="1"/>
      <c r="B73" s="5"/>
      <c r="C73" s="5"/>
      <c r="D73" s="5"/>
      <c r="E73" s="5"/>
      <c r="F73" s="5"/>
      <c r="G73" s="59"/>
      <c r="H73" s="59"/>
      <c r="I73" s="59"/>
      <c r="J73" s="59"/>
      <c r="K73" s="60"/>
      <c r="L73" s="60"/>
    </row>
    <row r="74" s="3" customFormat="1" ht="17.6" spans="1:12">
      <c r="A74" s="1"/>
      <c r="B74" s="5"/>
      <c r="C74" s="5"/>
      <c r="D74" s="5"/>
      <c r="E74" s="5"/>
      <c r="F74" s="5"/>
      <c r="G74" s="61"/>
      <c r="H74" s="61"/>
      <c r="I74" s="61"/>
      <c r="J74" s="61"/>
      <c r="K74" s="5"/>
      <c r="L74" s="5"/>
    </row>
    <row r="75" s="3" customFormat="1" ht="17.6" spans="1:12">
      <c r="A75" s="1"/>
      <c r="B75" s="5"/>
      <c r="C75" s="38"/>
      <c r="D75" s="38"/>
      <c r="E75" s="38"/>
      <c r="F75" s="38"/>
      <c r="G75" s="63"/>
      <c r="H75" s="63"/>
      <c r="I75" s="63"/>
      <c r="J75" s="63"/>
      <c r="K75" s="57"/>
      <c r="L75" s="57"/>
    </row>
    <row r="76" s="3" customFormat="1" ht="17.6" spans="1:12">
      <c r="A76" s="1"/>
      <c r="B76" s="5"/>
      <c r="C76" s="38"/>
      <c r="D76" s="38"/>
      <c r="E76" s="38"/>
      <c r="F76" s="38"/>
      <c r="G76" s="5"/>
      <c r="H76" s="61"/>
      <c r="I76" s="61"/>
      <c r="J76" s="61"/>
      <c r="K76" s="5"/>
      <c r="L76" s="5"/>
    </row>
    <row r="77" s="3" customFormat="1" ht="17.6" spans="1:12">
      <c r="A77" s="1"/>
      <c r="B77" s="5"/>
      <c r="C77" s="38"/>
      <c r="D77" s="5"/>
      <c r="E77" s="5"/>
      <c r="F77" s="5"/>
      <c r="G77" s="61"/>
      <c r="H77" s="5"/>
      <c r="I77" s="5"/>
      <c r="J77" s="5"/>
      <c r="K77" s="5"/>
      <c r="L77" s="5"/>
    </row>
    <row r="78" s="3" customFormat="1" ht="17.6" spans="1:12">
      <c r="A78" s="1"/>
      <c r="B78" s="5"/>
      <c r="C78" s="38"/>
      <c r="D78" s="5"/>
      <c r="E78" s="5"/>
      <c r="F78" s="5"/>
      <c r="G78" s="5"/>
    </row>
    <row r="79" s="3" customFormat="1" ht="17.6" spans="1:12">
      <c r="A79" s="1"/>
      <c r="B79" s="5"/>
      <c r="C79" s="62"/>
      <c r="D79" s="5"/>
      <c r="E79" s="5"/>
      <c r="F79" s="5"/>
      <c r="G79" s="59"/>
      <c r="H79" s="59"/>
      <c r="I79" s="59"/>
      <c r="J79" s="59"/>
      <c r="K79" s="60"/>
      <c r="L79" s="60"/>
    </row>
    <row r="80" s="3" customFormat="1" ht="17.6" spans="1:12">
      <c r="A80" s="1"/>
      <c r="B80" s="5"/>
      <c r="C80" s="62"/>
      <c r="D80" s="5"/>
      <c r="E80" s="5"/>
      <c r="F80" s="5"/>
      <c r="G80" s="59"/>
      <c r="H80" s="59"/>
      <c r="I80" s="59"/>
      <c r="J80" s="61"/>
      <c r="K80" s="5"/>
      <c r="L80" s="5"/>
    </row>
    <row r="81" s="3" customFormat="1" ht="17.6" spans="1:12">
      <c r="A81" s="1"/>
      <c r="B81" s="5"/>
      <c r="C81" s="66"/>
      <c r="D81" s="5"/>
      <c r="E81" s="5"/>
      <c r="F81" s="5"/>
      <c r="G81" s="59"/>
      <c r="H81" s="59"/>
      <c r="I81" s="59"/>
      <c r="J81" s="61"/>
      <c r="K81" s="5"/>
      <c r="L81" s="5"/>
    </row>
    <row r="82" s="3" customFormat="1" ht="17.6" spans="1:12">
      <c r="A82" s="1"/>
      <c r="B82" s="5"/>
      <c r="C82" s="62"/>
      <c r="D82" s="5"/>
      <c r="E82" s="5"/>
      <c r="F82" s="5"/>
      <c r="G82" s="59"/>
      <c r="H82" s="59"/>
      <c r="I82" s="61"/>
      <c r="J82" s="59"/>
      <c r="K82" s="5"/>
      <c r="L82" s="5"/>
    </row>
    <row r="83" s="3" customFormat="1" ht="17.6" spans="1:12">
      <c r="A83" s="1"/>
      <c r="B83" s="5"/>
      <c r="C83" s="62"/>
      <c r="D83" s="5"/>
      <c r="E83" s="5"/>
      <c r="F83" s="5"/>
      <c r="G83" s="59"/>
      <c r="H83" s="59"/>
      <c r="I83" s="59"/>
      <c r="J83" s="59"/>
      <c r="K83" s="60"/>
      <c r="L83" s="60"/>
    </row>
    <row r="84" s="3" customFormat="1" ht="17.6" spans="1:12">
      <c r="A84" s="1"/>
      <c r="B84" s="5"/>
      <c r="C84" s="62"/>
      <c r="D84" s="5"/>
      <c r="E84" s="5"/>
      <c r="F84" s="5"/>
      <c r="G84" s="59"/>
      <c r="H84" s="59"/>
      <c r="I84" s="59"/>
      <c r="J84" s="59"/>
      <c r="K84" s="60"/>
      <c r="L84" s="60"/>
    </row>
    <row r="85" s="3" customFormat="1" ht="17.6" spans="1:12">
      <c r="A85" s="1"/>
      <c r="B85" s="5"/>
      <c r="C85" s="5"/>
      <c r="D85" s="5"/>
      <c r="E85" s="5"/>
      <c r="F85" s="5"/>
      <c r="G85" s="59"/>
      <c r="H85" s="59"/>
      <c r="I85" s="59"/>
      <c r="J85" s="59"/>
      <c r="K85" s="60"/>
      <c r="L85" s="60"/>
    </row>
    <row r="86" s="3" customFormat="1" ht="17.6" spans="1:12">
      <c r="A86" s="1"/>
      <c r="B86" s="5"/>
      <c r="C86" s="5"/>
      <c r="D86" s="5"/>
      <c r="E86" s="5"/>
      <c r="F86" s="5"/>
      <c r="G86" s="59"/>
      <c r="H86" s="59"/>
      <c r="I86" s="59"/>
      <c r="J86" s="59"/>
      <c r="K86" s="60"/>
      <c r="L86" s="60"/>
    </row>
    <row r="87" s="3" customFormat="1" ht="17.6" spans="1:12">
      <c r="A87" s="1"/>
      <c r="B87" s="5"/>
      <c r="C87" s="5"/>
      <c r="D87" s="5"/>
      <c r="E87" s="5"/>
      <c r="F87" s="5"/>
      <c r="G87" s="59"/>
      <c r="H87" s="59"/>
      <c r="I87" s="59"/>
      <c r="J87" s="61"/>
      <c r="K87" s="5"/>
      <c r="L87" s="5"/>
    </row>
    <row r="88" s="3" customFormat="1" ht="17.6" spans="1:12">
      <c r="A88" s="1"/>
      <c r="B88" s="5"/>
      <c r="C88" s="38"/>
      <c r="D88" s="38"/>
      <c r="E88" s="38"/>
      <c r="F88" s="38"/>
      <c r="G88" s="63"/>
      <c r="H88" s="63"/>
      <c r="I88" s="63"/>
      <c r="J88" s="63"/>
      <c r="K88" s="57"/>
      <c r="L88" s="57"/>
    </row>
    <row r="89" s="3" customFormat="1" ht="17.6" spans="1:12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="3" customFormat="1" ht="17.6" spans="1:12">
      <c r="A90" s="1"/>
      <c r="B90" s="5"/>
      <c r="C90" s="38"/>
      <c r="D90" s="38"/>
      <c r="E90" s="38"/>
      <c r="F90" s="38"/>
      <c r="G90" s="63"/>
      <c r="H90" s="63"/>
      <c r="I90" s="63"/>
      <c r="J90" s="63"/>
      <c r="K90" s="57"/>
      <c r="L90" s="57"/>
    </row>
    <row r="91" s="3" customFormat="1" ht="17.6" spans="1:12">
      <c r="A91" s="1"/>
      <c r="B91" s="5"/>
      <c r="C91" s="38"/>
      <c r="D91" s="38"/>
      <c r="E91" s="38"/>
      <c r="F91" s="38"/>
      <c r="G91" s="63"/>
      <c r="H91" s="63"/>
      <c r="I91" s="63"/>
      <c r="J91" s="63"/>
      <c r="K91" s="57"/>
      <c r="L91" s="57"/>
    </row>
    <row r="92" s="3" customFormat="1" ht="17.6" spans="1:12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="3" customFormat="1" ht="17.6" spans="1:12">
      <c r="A93" s="1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="3" customFormat="1" ht="17.6" spans="1:12">
      <c r="A94" s="1"/>
      <c r="B94" s="5"/>
      <c r="C94" s="58"/>
      <c r="D94" s="5"/>
      <c r="E94" s="5"/>
      <c r="F94" s="5"/>
      <c r="G94" s="5"/>
      <c r="H94" s="5"/>
      <c r="I94" s="5"/>
      <c r="J94" s="5"/>
      <c r="K94" s="5"/>
      <c r="L94" s="5"/>
    </row>
    <row r="95" s="3" customFormat="1" ht="17.6" spans="1:12">
      <c r="A95" s="1"/>
      <c r="B95" s="5"/>
      <c r="C95" s="38"/>
      <c r="D95" s="38"/>
      <c r="E95" s="38"/>
      <c r="F95" s="38"/>
      <c r="G95" s="38"/>
      <c r="H95" s="38"/>
      <c r="I95" s="38"/>
      <c r="J95" s="38"/>
      <c r="K95" s="38"/>
      <c r="L95" s="38"/>
    </row>
    <row r="96" s="3" customFormat="1" ht="17.6" spans="1:12">
      <c r="A96" s="1"/>
      <c r="B96" s="5"/>
      <c r="C96" s="38"/>
      <c r="D96" s="38"/>
      <c r="E96" s="38"/>
      <c r="F96" s="38"/>
      <c r="G96" s="63"/>
      <c r="H96" s="63"/>
      <c r="I96" s="63"/>
      <c r="J96" s="63"/>
      <c r="K96" s="57"/>
      <c r="L96" s="57"/>
    </row>
    <row r="97" s="3" customFormat="1" ht="17.6" spans="1:14">
      <c r="A97" s="1"/>
      <c r="B97" s="5"/>
      <c r="C97" s="5"/>
      <c r="D97" s="5"/>
      <c r="E97" s="5"/>
      <c r="F97" s="5"/>
      <c r="G97" s="59"/>
      <c r="H97" s="59"/>
      <c r="I97" s="59"/>
      <c r="J97" s="61"/>
      <c r="K97" s="5"/>
      <c r="L97" s="5"/>
    </row>
    <row r="98" s="3" customFormat="1" ht="17.6" spans="1:14">
      <c r="A98" s="1"/>
      <c r="B98" s="5"/>
      <c r="C98" s="5"/>
      <c r="D98" s="5"/>
      <c r="E98" s="5"/>
      <c r="F98" s="5"/>
      <c r="G98" s="59"/>
      <c r="H98" s="59"/>
      <c r="I98" s="61"/>
      <c r="J98" s="59"/>
      <c r="K98" s="60"/>
      <c r="L98" s="60"/>
    </row>
    <row r="99" s="3" customFormat="1" ht="17.6" spans="1:14">
      <c r="A99" s="1"/>
      <c r="B99" s="5"/>
      <c r="C99" s="5"/>
      <c r="D99" s="5"/>
      <c r="E99" s="5"/>
      <c r="F99" s="5"/>
      <c r="G99" s="61"/>
      <c r="H99" s="61"/>
      <c r="I99" s="61"/>
      <c r="J99" s="61"/>
      <c r="K99" s="5"/>
      <c r="L99" s="5"/>
    </row>
    <row r="100" s="3" customFormat="1" ht="17.6" spans="1:14">
      <c r="A100" s="1"/>
      <c r="B100" s="5"/>
      <c r="C100" s="5"/>
      <c r="D100" s="5"/>
      <c r="E100" s="5"/>
      <c r="F100" s="5"/>
      <c r="G100" s="61"/>
      <c r="H100" s="61"/>
      <c r="I100" s="59"/>
      <c r="J100" s="61"/>
      <c r="K100" s="5"/>
      <c r="L100" s="5"/>
    </row>
    <row r="101" s="3" customFormat="1" ht="17.6" spans="1:14">
      <c r="A101" s="1"/>
      <c r="B101" s="5"/>
      <c r="C101" s="5"/>
      <c r="D101" s="5"/>
      <c r="E101" s="5"/>
      <c r="F101" s="5"/>
      <c r="G101" s="59"/>
      <c r="H101" s="59"/>
      <c r="I101" s="61"/>
      <c r="J101" s="61"/>
      <c r="K101" s="5"/>
      <c r="L101" s="5"/>
    </row>
    <row r="102" s="3" customFormat="1" ht="17.6" spans="1:14">
      <c r="A102" s="1"/>
      <c r="B102" s="5"/>
      <c r="C102" s="5"/>
      <c r="D102" s="5"/>
      <c r="E102" s="5"/>
      <c r="F102" s="5"/>
      <c r="G102" s="61"/>
      <c r="H102" s="61"/>
      <c r="I102" s="61"/>
      <c r="J102" s="61"/>
      <c r="K102" s="5"/>
      <c r="L102" s="5"/>
    </row>
    <row r="103" s="3" customFormat="1" ht="17.6" spans="1:14">
      <c r="A103" s="1"/>
      <c r="B103" s="5"/>
      <c r="C103" s="5"/>
      <c r="D103" s="5"/>
      <c r="E103" s="5"/>
      <c r="F103" s="5"/>
      <c r="G103" s="61"/>
      <c r="H103" s="61"/>
      <c r="I103" s="61"/>
      <c r="J103" s="61"/>
      <c r="K103" s="5"/>
      <c r="L103" s="5"/>
    </row>
    <row r="104" s="3" customFormat="1" ht="17.6" spans="1:14">
      <c r="A104" s="1"/>
      <c r="B104" s="5"/>
      <c r="C104" s="5"/>
      <c r="D104" s="5"/>
      <c r="E104" s="5"/>
      <c r="F104" s="5"/>
      <c r="G104" s="59"/>
      <c r="H104" s="59"/>
      <c r="I104" s="59"/>
      <c r="J104" s="61"/>
      <c r="K104" s="5"/>
      <c r="L104" s="5"/>
    </row>
    <row r="105" s="3" customFormat="1" ht="17.6" spans="1:14">
      <c r="A105" s="1"/>
      <c r="B105" s="5"/>
      <c r="C105" s="5"/>
      <c r="D105" s="5"/>
      <c r="E105" s="5"/>
      <c r="F105" s="5"/>
      <c r="G105" s="61"/>
      <c r="H105" s="61"/>
      <c r="I105" s="59"/>
      <c r="J105" s="61"/>
      <c r="K105" s="5"/>
      <c r="L105" s="5"/>
    </row>
    <row r="106" s="3" customFormat="1" ht="17.6" spans="1:14">
      <c r="A106" s="1"/>
      <c r="B106" s="5"/>
      <c r="C106" s="5"/>
      <c r="D106" s="5"/>
      <c r="E106" s="5"/>
      <c r="F106" s="5"/>
      <c r="G106" s="61"/>
      <c r="H106" s="61"/>
      <c r="I106" s="59"/>
      <c r="J106" s="59"/>
      <c r="K106" s="60"/>
      <c r="L106" s="60"/>
    </row>
    <row r="107" s="3" customFormat="1" ht="17.6" spans="1:14">
      <c r="A107" s="1"/>
      <c r="B107" s="5"/>
      <c r="C107" s="5"/>
      <c r="D107" s="5"/>
      <c r="E107" s="5"/>
      <c r="F107" s="5"/>
      <c r="G107" s="61"/>
      <c r="H107" s="61"/>
      <c r="I107" s="59"/>
      <c r="J107" s="59"/>
      <c r="K107" s="5"/>
      <c r="L107" s="5"/>
    </row>
    <row r="108" s="3" customFormat="1" ht="17.6" spans="1:14">
      <c r="A108" s="1"/>
      <c r="B108" s="5"/>
      <c r="C108" s="5"/>
      <c r="D108" s="5"/>
      <c r="E108" s="5"/>
      <c r="F108" s="5"/>
      <c r="G108" s="61"/>
      <c r="H108" s="61"/>
      <c r="I108" s="59"/>
      <c r="J108" s="59"/>
      <c r="K108" s="60"/>
      <c r="L108" s="60"/>
    </row>
    <row r="109" s="3" customFormat="1" ht="17.6" spans="1:14">
      <c r="A109" s="1"/>
      <c r="B109" s="5"/>
      <c r="C109" s="5"/>
      <c r="D109" s="5"/>
      <c r="E109" s="5"/>
      <c r="F109" s="5"/>
      <c r="G109" s="61"/>
      <c r="H109" s="61"/>
      <c r="I109" s="59"/>
      <c r="J109" s="61"/>
      <c r="K109" s="5"/>
      <c r="L109" s="5"/>
    </row>
    <row r="110" s="3" customFormat="1" ht="17.6" spans="1:14">
      <c r="A110" s="1"/>
      <c r="B110" s="5"/>
      <c r="C110" s="5"/>
      <c r="D110" s="5"/>
      <c r="E110" s="5"/>
      <c r="F110" s="5"/>
      <c r="G110" s="61"/>
      <c r="H110" s="61"/>
      <c r="I110" s="59"/>
      <c r="J110" s="61"/>
      <c r="K110" s="5"/>
      <c r="L110" s="5"/>
    </row>
    <row r="111" s="4" customFormat="1" spans="1:14">
      <c r="A111" s="1"/>
      <c r="B111" s="38"/>
      <c r="C111" s="38"/>
      <c r="D111" s="38"/>
      <c r="E111" s="38"/>
      <c r="F111" s="38"/>
      <c r="G111" s="63"/>
      <c r="H111" s="63"/>
      <c r="I111" s="63"/>
      <c r="J111" s="63"/>
      <c r="K111" s="57"/>
      <c r="L111" s="57"/>
    </row>
    <row r="112" s="4" customFormat="1" spans="1:14">
      <c r="A112" s="1"/>
      <c r="B112" s="38"/>
      <c r="C112" s="38"/>
      <c r="D112" s="38"/>
      <c r="E112" s="38"/>
      <c r="F112" s="38"/>
      <c r="G112" s="63"/>
      <c r="H112" s="63"/>
      <c r="I112" s="63"/>
      <c r="J112" s="63"/>
      <c r="K112" s="57"/>
      <c r="L112" s="57"/>
      <c r="M112" s="67"/>
      <c r="N112" s="67"/>
    </row>
    <row r="113" s="4" customFormat="1" spans="1:14">
      <c r="A113" s="1"/>
      <c r="B113" s="5"/>
      <c r="C113" s="38"/>
      <c r="D113" s="5"/>
      <c r="E113" s="5"/>
      <c r="F113" s="5"/>
      <c r="G113" s="61"/>
      <c r="H113" s="61"/>
      <c r="I113" s="59"/>
      <c r="J113" s="61"/>
      <c r="K113" s="5"/>
      <c r="L113" s="5"/>
      <c r="M113" s="68"/>
      <c r="N113" s="68"/>
    </row>
    <row r="114" s="4" customFormat="1" spans="1:14">
      <c r="A114" s="1"/>
      <c r="B114" s="5"/>
      <c r="C114" s="5"/>
      <c r="D114" s="5"/>
      <c r="E114" s="5"/>
      <c r="F114" s="5"/>
      <c r="G114" s="59"/>
      <c r="H114" s="59"/>
      <c r="I114" s="59"/>
      <c r="J114" s="59"/>
      <c r="K114" s="60"/>
      <c r="L114" s="60"/>
      <c r="M114" s="69"/>
      <c r="N114" s="69"/>
    </row>
    <row r="115" s="4" customFormat="1" spans="1:14">
      <c r="A115" s="1"/>
      <c r="B115" s="5"/>
      <c r="C115" s="5"/>
      <c r="D115" s="5"/>
      <c r="E115" s="5"/>
      <c r="F115" s="5"/>
      <c r="G115" s="61"/>
      <c r="H115" s="61"/>
      <c r="I115" s="61"/>
      <c r="J115" s="61"/>
      <c r="K115" s="60"/>
      <c r="L115" s="5"/>
      <c r="M115" s="69"/>
      <c r="N115" s="69"/>
    </row>
    <row r="116" s="4" customFormat="1" spans="1:14">
      <c r="A116" s="1"/>
      <c r="B116" s="5"/>
      <c r="C116" s="5"/>
      <c r="D116" s="5"/>
      <c r="E116" s="5"/>
      <c r="F116" s="5"/>
      <c r="G116" s="59"/>
      <c r="H116" s="59"/>
      <c r="I116" s="59"/>
      <c r="J116" s="59"/>
      <c r="K116" s="5"/>
      <c r="L116" s="60"/>
      <c r="M116" s="69"/>
      <c r="N116" s="69"/>
    </row>
    <row r="117" s="4" customFormat="1" spans="1:14">
      <c r="A117" s="1"/>
      <c r="B117" s="5"/>
      <c r="C117" s="5"/>
      <c r="D117" s="5"/>
      <c r="E117" s="5"/>
      <c r="F117" s="5"/>
      <c r="G117" s="59"/>
      <c r="H117" s="59"/>
      <c r="I117" s="59"/>
      <c r="J117" s="61"/>
      <c r="K117" s="60"/>
      <c r="L117" s="60"/>
      <c r="M117" s="69"/>
      <c r="N117" s="69"/>
    </row>
    <row r="118" s="4" customFormat="1" spans="1:14">
      <c r="A118" s="1"/>
      <c r="B118" s="5"/>
      <c r="C118" s="5"/>
      <c r="D118" s="5"/>
      <c r="E118" s="5"/>
      <c r="F118" s="5"/>
      <c r="G118" s="61"/>
      <c r="H118" s="61"/>
      <c r="I118" s="61"/>
      <c r="J118" s="61"/>
      <c r="K118" s="60"/>
      <c r="L118" s="5"/>
      <c r="M118" s="69"/>
      <c r="N118" s="69"/>
    </row>
    <row r="119" s="4" customFormat="1" spans="1:14">
      <c r="A119" s="1"/>
      <c r="B119" s="38"/>
      <c r="C119" s="38"/>
      <c r="D119" s="38"/>
      <c r="E119" s="38"/>
      <c r="F119" s="38"/>
      <c r="G119" s="63"/>
      <c r="H119" s="63"/>
      <c r="I119" s="63"/>
      <c r="J119" s="63"/>
      <c r="K119" s="38"/>
      <c r="L119" s="57"/>
      <c r="M119" s="69"/>
      <c r="N119" s="69"/>
    </row>
    <row r="120" s="4" customFormat="1" spans="1:14">
      <c r="A120" s="1"/>
      <c r="B120" s="5"/>
      <c r="C120" s="5"/>
      <c r="D120" s="5"/>
      <c r="E120" s="5"/>
      <c r="F120" s="5"/>
      <c r="G120" s="70"/>
      <c r="H120" s="59"/>
      <c r="I120" s="59"/>
      <c r="J120" s="59"/>
      <c r="K120" s="60"/>
      <c r="L120" s="60"/>
      <c r="M120" s="69"/>
      <c r="N120" s="69"/>
    </row>
    <row r="121" s="4" customFormat="1" spans="1:14">
      <c r="A121" s="1"/>
      <c r="B121" s="5"/>
      <c r="C121" s="5"/>
      <c r="D121" s="5"/>
      <c r="E121" s="5"/>
      <c r="F121" s="5"/>
      <c r="G121" s="70"/>
      <c r="H121" s="59"/>
      <c r="I121" s="59"/>
      <c r="J121" s="59"/>
      <c r="K121" s="60"/>
      <c r="L121" s="60"/>
      <c r="M121" s="69"/>
      <c r="N121" s="69"/>
    </row>
    <row r="122" s="4" customFormat="1" spans="1:14">
      <c r="A122" s="1"/>
      <c r="B122" s="38"/>
      <c r="C122" s="38"/>
      <c r="D122" s="38"/>
      <c r="E122" s="38"/>
      <c r="F122" s="38"/>
      <c r="G122" s="71"/>
      <c r="H122" s="72"/>
      <c r="I122" s="72"/>
      <c r="J122" s="72"/>
      <c r="K122" s="73"/>
      <c r="L122" s="73"/>
      <c r="M122" s="69"/>
      <c r="N122" s="69"/>
    </row>
    <row r="123" s="4" customFormat="1" spans="1:14">
      <c r="A123" s="1"/>
      <c r="B123" s="5"/>
      <c r="C123" s="5"/>
      <c r="D123" s="5"/>
      <c r="E123" s="5"/>
      <c r="F123" s="5"/>
      <c r="G123" s="26"/>
      <c r="H123" s="5"/>
      <c r="I123" s="5"/>
      <c r="J123" s="5"/>
      <c r="K123" s="5"/>
      <c r="L123" s="5"/>
      <c r="M123" s="69"/>
      <c r="N123" s="69"/>
    </row>
    <row r="124" s="4" customFormat="1" spans="1:14">
      <c r="A124" s="1"/>
      <c r="B124" s="5"/>
      <c r="C124" s="5"/>
      <c r="D124" s="5"/>
      <c r="E124" s="5"/>
      <c r="F124" s="5"/>
      <c r="G124" s="70"/>
      <c r="H124" s="59"/>
      <c r="I124" s="59"/>
      <c r="J124" s="59"/>
      <c r="K124" s="60"/>
      <c r="L124" s="60"/>
      <c r="M124" s="69"/>
      <c r="N124" s="69"/>
    </row>
    <row r="125" s="4" customFormat="1" spans="1:14">
      <c r="A125" s="1"/>
      <c r="B125" s="5"/>
      <c r="C125" s="5"/>
      <c r="D125" s="5"/>
      <c r="E125" s="5"/>
      <c r="F125" s="5"/>
      <c r="G125" s="70"/>
      <c r="H125" s="59"/>
      <c r="I125" s="59"/>
      <c r="J125" s="61"/>
      <c r="K125" s="5"/>
      <c r="L125" s="5"/>
      <c r="M125" s="69"/>
      <c r="N125" s="69"/>
    </row>
    <row r="126" s="4" customFormat="1" spans="1:14">
      <c r="A126" s="1"/>
      <c r="B126" s="5"/>
      <c r="C126" s="5"/>
      <c r="D126" s="5"/>
      <c r="E126" s="5"/>
      <c r="F126" s="5"/>
      <c r="G126" s="70"/>
      <c r="H126" s="59"/>
      <c r="I126" s="59"/>
      <c r="J126" s="59"/>
      <c r="K126" s="60"/>
      <c r="L126" s="60"/>
      <c r="M126" s="69"/>
      <c r="N126" s="69"/>
    </row>
    <row r="127" s="4" customFormat="1" spans="1:14">
      <c r="A127" s="1"/>
      <c r="B127" s="5"/>
      <c r="C127" s="5"/>
      <c r="D127" s="5"/>
      <c r="E127" s="5"/>
      <c r="F127" s="5"/>
      <c r="G127" s="70"/>
      <c r="H127" s="59"/>
      <c r="I127" s="59"/>
      <c r="J127" s="59"/>
      <c r="K127" s="60"/>
      <c r="L127" s="60"/>
      <c r="M127" s="69"/>
      <c r="N127" s="69"/>
    </row>
    <row r="128" s="4" customFormat="1" spans="1:14">
      <c r="A128" s="1"/>
      <c r="B128" s="5"/>
      <c r="C128" s="5"/>
      <c r="D128" s="5"/>
      <c r="E128" s="5"/>
      <c r="F128" s="5"/>
      <c r="G128" s="70"/>
      <c r="H128" s="59"/>
      <c r="I128" s="59"/>
      <c r="J128" s="59"/>
      <c r="K128" s="5"/>
      <c r="L128" s="60"/>
      <c r="M128" s="69"/>
      <c r="N128" s="69"/>
    </row>
    <row r="129" s="4" customFormat="1" spans="1:14">
      <c r="A129" s="1"/>
      <c r="B129" s="5"/>
      <c r="C129" s="5"/>
      <c r="D129" s="5"/>
      <c r="E129" s="5"/>
      <c r="F129" s="5"/>
      <c r="G129" s="70"/>
      <c r="H129" s="59"/>
      <c r="I129" s="59"/>
      <c r="J129" s="59"/>
      <c r="K129" s="60"/>
      <c r="L129" s="60"/>
      <c r="M129" s="69"/>
      <c r="N129" s="69"/>
    </row>
    <row r="130" s="4" customFormat="1" spans="1:14">
      <c r="A130" s="1"/>
      <c r="B130" s="5"/>
      <c r="C130" s="5"/>
      <c r="D130" s="5"/>
      <c r="E130" s="5"/>
      <c r="F130" s="5"/>
      <c r="G130" s="74"/>
      <c r="H130" s="61"/>
      <c r="I130" s="61"/>
      <c r="J130" s="61"/>
      <c r="K130" s="5"/>
      <c r="L130" s="5"/>
      <c r="M130" s="69"/>
      <c r="N130" s="69"/>
    </row>
    <row r="131" s="4" customFormat="1" spans="1:14">
      <c r="A131" s="1"/>
      <c r="B131" s="5"/>
      <c r="C131" s="5"/>
      <c r="D131" s="5"/>
      <c r="E131" s="5"/>
      <c r="F131" s="5"/>
      <c r="G131" s="70"/>
      <c r="H131" s="59"/>
      <c r="I131" s="59"/>
      <c r="J131" s="59"/>
      <c r="K131" s="5"/>
      <c r="L131" s="5"/>
      <c r="M131" s="69"/>
      <c r="N131" s="69"/>
    </row>
    <row r="132" s="4" customFormat="1" spans="1:14">
      <c r="A132" s="1"/>
      <c r="B132" s="5"/>
      <c r="C132" s="5"/>
      <c r="D132" s="5"/>
      <c r="E132" s="5"/>
      <c r="F132" s="5"/>
      <c r="G132" s="70"/>
      <c r="H132" s="59"/>
      <c r="I132" s="59"/>
      <c r="J132" s="59"/>
      <c r="K132" s="60"/>
      <c r="L132" s="60"/>
      <c r="M132" s="69"/>
      <c r="N132" s="69"/>
    </row>
    <row r="133" s="4" customFormat="1" spans="1:14">
      <c r="A133" s="1"/>
      <c r="B133" s="5"/>
      <c r="C133" s="38"/>
      <c r="D133" s="5"/>
      <c r="E133" s="5"/>
      <c r="F133" s="5"/>
      <c r="G133" s="71"/>
      <c r="H133" s="72"/>
      <c r="I133" s="72"/>
      <c r="J133" s="72"/>
      <c r="K133" s="72"/>
      <c r="L133" s="72"/>
      <c r="M133" s="69"/>
      <c r="N133" s="69"/>
    </row>
    <row r="134" s="4" customFormat="1" spans="1:14">
      <c r="A134" s="1"/>
      <c r="B134" s="5"/>
      <c r="C134" s="5"/>
      <c r="D134" s="5"/>
      <c r="E134" s="5"/>
      <c r="F134" s="5"/>
      <c r="G134" s="70"/>
      <c r="H134" s="59"/>
      <c r="I134" s="59"/>
      <c r="J134" s="61"/>
      <c r="K134" s="5"/>
      <c r="L134" s="5"/>
      <c r="M134" s="69"/>
      <c r="N134" s="69"/>
    </row>
    <row r="135" s="4" customFormat="1" spans="1:14">
      <c r="A135" s="1"/>
      <c r="B135" s="5"/>
      <c r="C135" s="5"/>
      <c r="D135" s="5"/>
      <c r="E135" s="5"/>
      <c r="F135" s="5"/>
      <c r="G135" s="74"/>
      <c r="H135" s="61"/>
      <c r="I135" s="61"/>
      <c r="J135" s="61"/>
      <c r="K135" s="5"/>
      <c r="L135" s="60"/>
      <c r="M135" s="69"/>
      <c r="N135" s="69"/>
    </row>
    <row r="136" s="4" customFormat="1" spans="1:14">
      <c r="A136" s="1"/>
      <c r="B136" s="5"/>
      <c r="C136" s="5"/>
      <c r="D136" s="5"/>
      <c r="E136" s="5"/>
      <c r="F136" s="5"/>
      <c r="G136" s="70"/>
      <c r="H136" s="59"/>
      <c r="I136" s="59"/>
      <c r="J136" s="59"/>
      <c r="K136" s="60"/>
      <c r="L136" s="60"/>
      <c r="M136" s="69"/>
      <c r="N136" s="69"/>
    </row>
    <row r="137" s="4" customFormat="1" spans="1:14">
      <c r="A137" s="1"/>
      <c r="B137" s="5"/>
      <c r="C137" s="59"/>
      <c r="D137" s="5"/>
      <c r="E137" s="5"/>
      <c r="F137" s="5"/>
      <c r="G137" s="70"/>
      <c r="H137" s="59"/>
      <c r="I137" s="59"/>
      <c r="J137" s="59"/>
      <c r="K137" s="5"/>
      <c r="L137" s="5"/>
      <c r="M137" s="69"/>
      <c r="N137" s="69"/>
    </row>
    <row r="138" s="4" customFormat="1" spans="1:14">
      <c r="A138" s="1"/>
      <c r="B138" s="5"/>
      <c r="C138" s="5"/>
      <c r="D138" s="5"/>
      <c r="E138" s="5"/>
      <c r="F138" s="5"/>
      <c r="G138" s="70"/>
      <c r="H138" s="59"/>
      <c r="I138" s="59"/>
      <c r="J138" s="59"/>
      <c r="K138" s="60"/>
      <c r="L138" s="60"/>
      <c r="M138" s="69"/>
      <c r="N138" s="69"/>
    </row>
    <row r="139" s="4" customFormat="1" spans="1:14">
      <c r="A139" s="1"/>
      <c r="B139" s="5"/>
      <c r="C139" s="5"/>
      <c r="D139" s="5"/>
      <c r="E139" s="5"/>
      <c r="F139" s="5"/>
      <c r="G139" s="74"/>
      <c r="H139" s="61"/>
      <c r="I139" s="61"/>
      <c r="J139" s="61"/>
      <c r="K139" s="5"/>
      <c r="L139" s="5"/>
      <c r="M139" s="69"/>
      <c r="N139" s="69"/>
    </row>
    <row r="140" s="4" customFormat="1" spans="1:14">
      <c r="A140" s="1"/>
      <c r="B140" s="5"/>
      <c r="C140" s="5"/>
      <c r="D140" s="5"/>
      <c r="E140" s="5"/>
      <c r="F140" s="5"/>
      <c r="G140" s="74"/>
      <c r="H140" s="61"/>
      <c r="I140" s="61"/>
      <c r="J140" s="61"/>
      <c r="K140" s="5"/>
      <c r="L140" s="5"/>
      <c r="M140" s="69"/>
      <c r="N140" s="69"/>
    </row>
    <row r="141" s="4" customFormat="1" spans="1:14">
      <c r="A141" s="1"/>
      <c r="B141" s="5"/>
      <c r="C141" s="38"/>
      <c r="D141" s="5"/>
      <c r="E141" s="5"/>
      <c r="F141" s="5"/>
      <c r="G141" s="71"/>
      <c r="H141" s="72"/>
      <c r="I141" s="72"/>
      <c r="J141" s="72"/>
      <c r="K141" s="72"/>
      <c r="L141" s="72"/>
      <c r="M141" s="69"/>
      <c r="N141" s="69"/>
    </row>
    <row r="142" s="4" customFormat="1" spans="1:14">
      <c r="A142" s="1"/>
      <c r="B142" s="5"/>
      <c r="C142" s="5"/>
      <c r="D142" s="5"/>
      <c r="E142" s="5"/>
      <c r="F142" s="5"/>
      <c r="G142" s="74"/>
      <c r="H142" s="61"/>
      <c r="I142" s="61"/>
      <c r="J142" s="61"/>
      <c r="K142" s="60"/>
      <c r="L142" s="60"/>
      <c r="M142" s="69"/>
      <c r="N142" s="69"/>
    </row>
    <row r="143" s="4" customFormat="1" spans="1:14">
      <c r="A143" s="1"/>
      <c r="B143" s="5"/>
      <c r="C143" s="38"/>
      <c r="D143" s="5"/>
      <c r="E143" s="5"/>
      <c r="F143" s="5"/>
      <c r="G143" s="71"/>
      <c r="H143" s="63"/>
      <c r="I143" s="63"/>
      <c r="J143" s="63"/>
      <c r="K143" s="57"/>
      <c r="L143" s="38"/>
      <c r="M143" s="69"/>
      <c r="N143" s="69"/>
    </row>
    <row r="144" s="4" customFormat="1" spans="1:14">
      <c r="A144" s="1"/>
      <c r="B144" s="5"/>
      <c r="C144" s="38"/>
      <c r="D144" s="5"/>
      <c r="E144" s="5"/>
      <c r="F144" s="5"/>
      <c r="G144" s="75"/>
      <c r="H144" s="76"/>
      <c r="I144" s="76"/>
      <c r="J144" s="76"/>
      <c r="K144" s="38"/>
      <c r="L144" s="38"/>
      <c r="M144" s="69"/>
      <c r="N144" s="69"/>
    </row>
    <row r="145" s="4" customFormat="1" spans="1:14">
      <c r="A145" s="1"/>
      <c r="B145" s="5"/>
      <c r="C145" s="38"/>
      <c r="D145" s="5"/>
      <c r="E145" s="5"/>
      <c r="F145" s="5"/>
      <c r="G145" s="71"/>
      <c r="H145" s="63"/>
      <c r="I145" s="63"/>
      <c r="J145" s="63"/>
      <c r="K145" s="38"/>
      <c r="L145" s="57"/>
      <c r="M145" s="69"/>
      <c r="N145" s="69"/>
    </row>
    <row r="146" s="4" customFormat="1" spans="1:14">
      <c r="A146" s="1"/>
      <c r="B146" s="5"/>
      <c r="C146" s="5"/>
      <c r="D146" s="5"/>
      <c r="E146" s="5"/>
      <c r="F146" s="5"/>
      <c r="G146" s="26"/>
      <c r="H146" s="5"/>
      <c r="I146" s="5"/>
      <c r="J146" s="5"/>
      <c r="K146" s="5"/>
      <c r="L146" s="5"/>
      <c r="M146" s="69"/>
      <c r="N146" s="69"/>
    </row>
    <row r="147" s="4" customFormat="1" spans="1:14">
      <c r="A147" s="1"/>
      <c r="B147" s="5"/>
      <c r="C147" s="38"/>
      <c r="D147" s="5"/>
      <c r="E147" s="5"/>
      <c r="F147" s="5"/>
      <c r="G147" s="56"/>
      <c r="H147" s="77"/>
      <c r="I147" s="77"/>
      <c r="J147" s="77"/>
      <c r="K147" s="77"/>
      <c r="L147" s="77"/>
      <c r="M147" s="69"/>
      <c r="N147" s="69"/>
    </row>
    <row r="148" s="4" customFormat="1" ht="17.6" spans="1:14">
      <c r="A148" s="1"/>
      <c r="B148" s="5"/>
      <c r="C148" s="5"/>
      <c r="D148" s="5"/>
      <c r="E148" s="5"/>
      <c r="F148" s="5"/>
      <c r="G148" s="26"/>
      <c r="H148" s="56"/>
      <c r="I148" s="56"/>
      <c r="J148" s="56"/>
      <c r="K148" s="56"/>
      <c r="L148" s="78"/>
      <c r="M148" s="69"/>
      <c r="N148" s="69"/>
    </row>
    <row r="149" s="4" customFormat="1" ht="17.6" spans="1:14">
      <c r="A149" s="1"/>
      <c r="B149" s="5"/>
      <c r="C149" s="5"/>
      <c r="D149" s="5"/>
      <c r="E149" s="5"/>
      <c r="F149" s="5"/>
      <c r="G149" s="26"/>
      <c r="H149" s="5"/>
      <c r="I149" s="5"/>
      <c r="J149" s="5"/>
      <c r="K149" s="5"/>
      <c r="L149" s="78"/>
      <c r="M149" s="69"/>
      <c r="N149" s="69"/>
    </row>
    <row r="150" s="4" customFormat="1" ht="17.6" spans="1:14">
      <c r="A150" s="1"/>
      <c r="B150" s="5"/>
      <c r="C150" s="5"/>
      <c r="D150" s="5"/>
      <c r="E150" s="5"/>
      <c r="F150" s="5"/>
      <c r="G150" s="26"/>
      <c r="H150" s="5"/>
      <c r="I150" s="5"/>
      <c r="J150" s="5"/>
      <c r="K150" s="5"/>
      <c r="L150" s="78"/>
      <c r="M150" s="69"/>
      <c r="N150" s="69"/>
    </row>
    <row r="151" s="4" customFormat="1" ht="17.6" spans="1:14">
      <c r="A151" s="1"/>
      <c r="B151" s="5"/>
      <c r="C151" s="5"/>
      <c r="D151" s="5"/>
      <c r="E151" s="5"/>
      <c r="F151" s="5"/>
      <c r="G151" s="26"/>
      <c r="H151" s="5"/>
      <c r="I151" s="5"/>
      <c r="J151" s="5"/>
      <c r="K151" s="5"/>
      <c r="L151" s="78"/>
      <c r="M151" s="69"/>
      <c r="N151" s="69"/>
    </row>
    <row r="152" s="4" customFormat="1" ht="17.6" spans="1:14">
      <c r="A152" s="1"/>
      <c r="B152" s="5"/>
      <c r="C152" s="5"/>
      <c r="D152" s="5"/>
      <c r="E152" s="5"/>
      <c r="F152" s="5"/>
      <c r="G152" s="26"/>
      <c r="H152" s="5"/>
      <c r="I152" s="5"/>
      <c r="J152" s="5"/>
      <c r="K152" s="5"/>
      <c r="L152" s="78"/>
      <c r="M152" s="69"/>
      <c r="N152" s="69"/>
    </row>
    <row r="153" s="4" customFormat="1" ht="17.6" spans="1:14">
      <c r="A153" s="1"/>
      <c r="B153" s="5"/>
      <c r="C153" s="5"/>
      <c r="D153" s="5"/>
      <c r="E153" s="5"/>
      <c r="F153" s="5"/>
      <c r="G153" s="26"/>
      <c r="H153" s="5"/>
      <c r="I153" s="5"/>
      <c r="J153" s="5"/>
      <c r="K153" s="5"/>
      <c r="L153" s="79"/>
      <c r="M153" s="69"/>
      <c r="N153" s="69"/>
    </row>
    <row r="154" s="4" customFormat="1" ht="17.6" spans="1:14">
      <c r="A154" s="1"/>
      <c r="B154" s="5"/>
      <c r="C154" s="5"/>
      <c r="D154" s="5"/>
      <c r="E154" s="5"/>
      <c r="F154" s="5"/>
      <c r="G154" s="26"/>
      <c r="H154" s="5"/>
      <c r="I154" s="5"/>
      <c r="J154" s="5"/>
      <c r="K154" s="5"/>
      <c r="L154" s="78"/>
      <c r="M154" s="69"/>
      <c r="N154" s="69"/>
    </row>
    <row r="155" s="4" customFormat="1" ht="17.6" spans="1:14">
      <c r="A155" s="1"/>
      <c r="B155" s="5"/>
      <c r="C155" s="5"/>
      <c r="D155" s="5"/>
      <c r="E155" s="5"/>
      <c r="F155" s="5"/>
      <c r="G155" s="26"/>
      <c r="H155" s="5"/>
      <c r="I155" s="5"/>
      <c r="J155" s="5"/>
      <c r="K155" s="5"/>
      <c r="L155" s="78"/>
      <c r="M155" s="69"/>
      <c r="N155" s="69"/>
    </row>
    <row r="156" s="4" customFormat="1" ht="17.6" spans="1:14">
      <c r="A156" s="1"/>
      <c r="B156" s="5"/>
      <c r="C156" s="5"/>
      <c r="D156" s="5"/>
      <c r="E156" s="5"/>
      <c r="F156" s="5"/>
      <c r="G156" s="26"/>
      <c r="H156" s="5"/>
      <c r="I156" s="5"/>
      <c r="J156" s="5"/>
      <c r="K156" s="5"/>
      <c r="L156" s="78"/>
      <c r="M156" s="69"/>
      <c r="N156" s="69"/>
    </row>
    <row r="157" s="4" customFormat="1" ht="17.6" spans="1:14">
      <c r="A157" s="1"/>
      <c r="B157" s="5"/>
      <c r="C157" s="5"/>
      <c r="D157" s="5"/>
      <c r="E157" s="5"/>
      <c r="F157" s="5"/>
      <c r="G157" s="26"/>
      <c r="H157" s="5"/>
      <c r="I157" s="5"/>
      <c r="J157" s="5"/>
      <c r="K157" s="5"/>
      <c r="L157" s="78"/>
      <c r="M157" s="69"/>
      <c r="N157" s="69"/>
    </row>
    <row r="158" s="4" customFormat="1" ht="17.6" spans="1:14">
      <c r="A158" s="1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78"/>
      <c r="M158" s="69"/>
      <c r="N158" s="69"/>
    </row>
    <row r="159" s="4" customFormat="1" ht="17.6" spans="1:14">
      <c r="A159" s="1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78"/>
      <c r="M159" s="69"/>
      <c r="N159" s="69"/>
    </row>
    <row r="160" s="4" customFormat="1" ht="17.6" spans="1:14">
      <c r="A160" s="1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78"/>
      <c r="M160" s="69"/>
      <c r="N160" s="69"/>
    </row>
    <row r="161" s="4" customFormat="1" ht="17.6" spans="1:14">
      <c r="A161" s="1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78"/>
      <c r="M161" s="69"/>
      <c r="N161" s="69"/>
    </row>
    <row r="162" s="4" customFormat="1" ht="17.6" spans="1:14">
      <c r="A162" s="1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78"/>
      <c r="M162" s="69"/>
      <c r="N162" s="69"/>
    </row>
    <row r="163" s="4" customFormat="1" ht="17.6" spans="1:14">
      <c r="A163" s="1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78"/>
      <c r="M163" s="69"/>
      <c r="N163" s="69"/>
    </row>
    <row r="164" s="4" customFormat="1" ht="17.6" spans="1:14">
      <c r="A164" s="1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78"/>
      <c r="M164" s="69"/>
      <c r="N164" s="69"/>
    </row>
    <row r="165" s="4" customFormat="1" ht="17.6" spans="1:14">
      <c r="A165" s="1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78"/>
      <c r="M165" s="69"/>
      <c r="N165" s="69"/>
    </row>
    <row r="166" s="4" customFormat="1" ht="17.6" spans="1:14">
      <c r="A166" s="1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78"/>
      <c r="M166" s="69"/>
      <c r="N166" s="69"/>
    </row>
    <row r="167" s="4" customFormat="1" ht="17.6" spans="1:14">
      <c r="A167" s="1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78"/>
      <c r="M167" s="69"/>
      <c r="N167" s="69"/>
    </row>
    <row r="168" s="4" customFormat="1" ht="17.6" spans="1:14">
      <c r="A168" s="1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78"/>
      <c r="M168" s="69"/>
      <c r="N168" s="69"/>
    </row>
    <row r="169" s="4" customFormat="1" ht="17.6" spans="1:14">
      <c r="A169" s="1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78"/>
      <c r="M169" s="69"/>
      <c r="N169" s="69"/>
    </row>
    <row r="170" s="4" customFormat="1" ht="17.6" spans="1:14">
      <c r="A170" s="1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78"/>
      <c r="M170" s="69"/>
      <c r="N170" s="69"/>
    </row>
    <row r="171" s="4" customFormat="1" ht="17.6" spans="1:14">
      <c r="A171" s="1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78"/>
      <c r="M171" s="69"/>
      <c r="N171" s="69"/>
    </row>
    <row r="172" s="4" customFormat="1" ht="17.6" spans="1:14">
      <c r="A172" s="1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78"/>
      <c r="M172" s="69"/>
      <c r="N172" s="69"/>
    </row>
    <row r="173" s="4" customFormat="1" ht="17.6" spans="1:14">
      <c r="A173" s="1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78"/>
      <c r="M173" s="69"/>
      <c r="N173" s="69"/>
    </row>
    <row r="174" s="4" customFormat="1" ht="17.6" spans="1:14">
      <c r="A174" s="1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78"/>
      <c r="M174" s="69"/>
      <c r="N174" s="69"/>
    </row>
    <row r="175" s="4" customFormat="1" ht="17.6" spans="1:14">
      <c r="A175" s="1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78"/>
      <c r="M175" s="69"/>
      <c r="N175" s="69"/>
    </row>
    <row r="176" s="4" customFormat="1" ht="17.6" spans="1:14">
      <c r="A176" s="1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78"/>
      <c r="M176" s="69"/>
      <c r="N176" s="69"/>
    </row>
    <row r="177" s="4" customFormat="1" ht="17.6" spans="1:14">
      <c r="A177" s="1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78"/>
      <c r="M177" s="69"/>
      <c r="N177" s="69"/>
    </row>
    <row r="178" s="4" customFormat="1" ht="17.6" spans="1:14">
      <c r="A178" s="1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78"/>
      <c r="M178" s="69"/>
      <c r="N178" s="69"/>
    </row>
    <row r="179" s="4" customFormat="1" ht="17.6" spans="1:14">
      <c r="A179" s="1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78"/>
      <c r="M179" s="69"/>
      <c r="N179" s="69"/>
    </row>
    <row r="180" s="4" customFormat="1" ht="17.6" spans="1:14">
      <c r="A180" s="1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78"/>
      <c r="M180" s="69"/>
      <c r="N180" s="69"/>
    </row>
    <row r="181" s="4" customFormat="1" ht="17.6" spans="1:14">
      <c r="A181" s="1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78"/>
      <c r="M181" s="69"/>
      <c r="N181" s="69"/>
    </row>
    <row r="182" s="4" customFormat="1" ht="17.6" spans="1:14">
      <c r="A182" s="1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78"/>
      <c r="M182" s="69"/>
      <c r="N182" s="69"/>
    </row>
    <row r="183" s="4" customFormat="1" ht="17.6" spans="1:14">
      <c r="A183" s="1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78"/>
      <c r="M183" s="69"/>
      <c r="N183" s="69"/>
    </row>
    <row r="184" s="4" customFormat="1" ht="17.6" spans="1:14">
      <c r="A184" s="1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78"/>
      <c r="M184" s="69"/>
      <c r="N184" s="69"/>
    </row>
    <row r="185" s="4" customFormat="1" ht="17.6" spans="1:14">
      <c r="A185" s="1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78"/>
      <c r="M185" s="69"/>
      <c r="N185" s="69"/>
    </row>
    <row r="186" s="4" customFormat="1" ht="17.6" spans="1:14">
      <c r="A186" s="1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78"/>
      <c r="M186" s="69"/>
      <c r="N186" s="69"/>
    </row>
    <row r="187" s="4" customFormat="1" ht="17.6" spans="1:14">
      <c r="A187" s="1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78"/>
      <c r="M187" s="69"/>
      <c r="N187" s="69"/>
    </row>
    <row r="188" s="4" customFormat="1" ht="17.6" spans="1:14">
      <c r="A188" s="1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78"/>
      <c r="M188" s="69"/>
      <c r="N188" s="69"/>
    </row>
    <row r="189" s="4" customFormat="1" ht="17.6" spans="1:14">
      <c r="A189" s="1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78"/>
      <c r="M189" s="69"/>
      <c r="N189" s="69"/>
    </row>
    <row r="190" s="4" customFormat="1" ht="17.6" spans="1:14">
      <c r="A190" s="1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78"/>
      <c r="M190" s="69"/>
      <c r="N190" s="69"/>
    </row>
    <row r="191" s="4" customFormat="1" ht="17.6" spans="1:14">
      <c r="A191" s="1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78"/>
      <c r="M191" s="69"/>
      <c r="N191" s="69"/>
    </row>
    <row r="192" s="4" customFormat="1" ht="17.6" spans="1:14">
      <c r="A192" s="1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80"/>
      <c r="M192" s="69"/>
      <c r="N192" s="69"/>
    </row>
    <row r="193" s="4" customFormat="1" ht="17.6" spans="1:14">
      <c r="A193" s="1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80"/>
      <c r="M193" s="69"/>
      <c r="N193" s="69"/>
    </row>
    <row r="194" s="4" customFormat="1" ht="17.6" spans="1:14">
      <c r="A194" s="1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80"/>
      <c r="M194" s="69"/>
      <c r="N194" s="69"/>
    </row>
    <row r="195" s="4" customFormat="1" spans="1:14">
      <c r="A195" s="1"/>
      <c r="B195" s="5"/>
      <c r="C195" s="5"/>
      <c r="D195" s="5"/>
      <c r="E195" s="5"/>
      <c r="F195" s="5"/>
      <c r="G195" s="5"/>
      <c r="H195" s="5"/>
      <c r="I195" s="5"/>
      <c r="J195" s="5"/>
      <c r="K195" s="5"/>
      <c r="M195" s="69"/>
      <c r="N195" s="69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Historical Data</vt:lpstr>
      <vt:lpstr>Model</vt:lpstr>
      <vt:lpstr>Lease Liab</vt:lpstr>
      <vt:lpstr>Scenarios</vt:lpstr>
      <vt:lpstr>WACC</vt:lpstr>
      <vt:lpstr>Market_Data</vt:lpstr>
      <vt:lpstr>Comps</vt:lpstr>
      <vt:lpstr>Comps_Data</vt:lpstr>
      <vt:lpstr>Foot_Ball Field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swyamsanchit</dc:creator>
  <cp:lastModifiedBy>Swyam Sanchit</cp:lastModifiedBy>
  <dcterms:created xsi:type="dcterms:W3CDTF">2026-07-27T19:09:00Z</dcterms:created>
  <dcterms:modified xsi:type="dcterms:W3CDTF">2026-10-01T02:50:02Z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069731D29B8AE1D3B407696A6FEE4C37_43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1</vt:i4>
  </property>
</Properties>
</file>