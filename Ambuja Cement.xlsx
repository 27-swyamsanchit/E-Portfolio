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660" tabRatio="500" activeTab="1"/>
  </bookViews>
  <sheets>
    <sheet name="Historical_Data" sheetId="1" r:id="rId1"/>
    <sheet name="Model" sheetId="2" r:id="rId2"/>
    <sheet name="Scenario" sheetId="3" r:id="rId3"/>
    <sheet name="Repayment" sheetId="4" state="hidden" r:id="rId4"/>
    <sheet name="WACC" sheetId="5" r:id="rId5"/>
    <sheet name="Market_Data" sheetId="6" r:id="rId6"/>
    <sheet name="Comp" sheetId="7" r:id="rId7"/>
    <sheet name="Comp_Data" sheetId="8" r:id="rId8"/>
    <sheet name="Foot_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H96" authorId="0">
      <text>
        <r>
          <rPr>
            <sz val="10"/>
            <rFont val="Arial"/>
            <charset val="134"/>
          </rPr>
          <t>Anchored directly to Historical_Data!H53 (reported 'Cash and cash equivalents'), same figure as row 44, instead of deriving via Net Change + Opening. The as-reported 'Net increase/decrease in cash' does not independently tie Opening to Closing for every historical year (e.g. FY corresponding to column K is short by ~Rs.1,738 Cr, column L by ~Rs.51 Cr, per Historical_Data rows 176/178/179) - a source-data reconciling item, not a formula error. Anchoring to the reported balance keeps the Balance Sheet and Cash Flow Statement cash figures tied out exactly for all historical years.</t>
        </r>
      </text>
    </comment>
  </commentList>
</comments>
</file>

<file path=xl/sharedStrings.xml><?xml version="1.0" encoding="utf-8"?>
<sst xmlns="http://schemas.openxmlformats.org/spreadsheetml/2006/main" count="463" uniqueCount="391">
  <si>
    <t>AMBUJA CEMENT</t>
  </si>
  <si>
    <t>Historical Financial Data</t>
  </si>
  <si>
    <t>(Rs. In Crore)</t>
  </si>
  <si>
    <t>Income</t>
  </si>
  <si>
    <t>Revenue from operations</t>
  </si>
  <si>
    <t>Government grants / duty credits</t>
  </si>
  <si>
    <t>Other income</t>
  </si>
  <si>
    <t>Total Income</t>
  </si>
  <si>
    <t>Expenses</t>
  </si>
  <si>
    <t>Cost of materials consumed</t>
  </si>
  <si>
    <t>Purchase of stock-in-trade</t>
  </si>
  <si>
    <t>Changes in inventories</t>
  </si>
  <si>
    <t>Employee benefits expense</t>
  </si>
  <si>
    <t>Finance costs</t>
  </si>
  <si>
    <t>Depreciation and amortisation</t>
  </si>
  <si>
    <t>Power and fuel</t>
  </si>
  <si>
    <t>Freight and forwarding expense</t>
  </si>
  <si>
    <t>Other expenses</t>
  </si>
  <si>
    <t>Captive consumption of cement (credit)</t>
  </si>
  <si>
    <t>Total Expenses</t>
  </si>
  <si>
    <t>Profit before share of JV/associates, exceptional items &amp; tax</t>
  </si>
  <si>
    <t>Share of profit of JV and associates</t>
  </si>
  <si>
    <t>Profit before exceptional items and tax</t>
  </si>
  <si>
    <t>Exceptional items (expense / (income))</t>
  </si>
  <si>
    <t>Profit before tax</t>
  </si>
  <si>
    <t>Total tax expense / (credit)</t>
  </si>
  <si>
    <t>Profit after tax (PAT)</t>
  </si>
  <si>
    <t>Balance Sheet</t>
  </si>
  <si>
    <t>ASSETS</t>
  </si>
  <si>
    <t>Non-current assets</t>
  </si>
  <si>
    <t>Property, plant and equipment</t>
  </si>
  <si>
    <t>Right-of-use assets</t>
  </si>
  <si>
    <t>Capital work-in-progress</t>
  </si>
  <si>
    <t>Goodwill</t>
  </si>
  <si>
    <t>Other intangible assets</t>
  </si>
  <si>
    <t>Other intangible assets under development</t>
  </si>
  <si>
    <t>Investments in associates and joint ventures</t>
  </si>
  <si>
    <t>Financial assets</t>
  </si>
  <si>
    <t>Investments</t>
  </si>
  <si>
    <t>Loans</t>
  </si>
  <si>
    <t>Other financial assets</t>
  </si>
  <si>
    <t>Non-current tax assets (net)</t>
  </si>
  <si>
    <t>Deferred tax assets (net)</t>
  </si>
  <si>
    <t>Other non-current assets</t>
  </si>
  <si>
    <t>Current assets</t>
  </si>
  <si>
    <t>Inventories</t>
  </si>
  <si>
    <t>Cash and cash equivalents</t>
  </si>
  <si>
    <t>Bank balances other than cash &amp; cash equivalents</t>
  </si>
  <si>
    <t>Trade receivables</t>
  </si>
  <si>
    <t>Current tax assets (net)</t>
  </si>
  <si>
    <t>Other current assets</t>
  </si>
  <si>
    <t>Non-current assets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</si>
  <si>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</si>
  <si>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</si>
  <si>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</si>
  <si>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</si>
  <si>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</si>
  <si>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</si>
  <si>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Money received against share warrants</t>
  </si>
  <si>
    <t>Equity attributable to owners of the Company</t>
  </si>
  <si>
    <t>Non-controlling interest</t>
  </si>
  <si>
    <t>Total Equity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</si>
  <si>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</si>
  <si>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</si>
  <si>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</si>
  <si>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</si>
  <si>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</si>
  <si>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</si>
  <si>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</si>
  <si>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</si>
  <si>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</si>
  <si>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</si>
  <si>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Trade payables — dues to micro &amp; small enterprises</t>
  </si>
  <si>
    <t>Trade payables — dues to others</t>
  </si>
  <si>
    <t>Lease liabilities (current)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</si>
  <si>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</si>
  <si>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</si>
  <si>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</si>
  <si>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</si>
  <si>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</si>
  <si>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 Statement</t>
  </si>
  <si>
    <t>A) Cash flows from Operating activities</t>
  </si>
  <si>
    <t>Adjustments to reconcile profit before tax to net cash flows</t>
  </si>
  <si>
    <t>Depreciation and amortisation expense (net)</t>
  </si>
  <si>
    <t>(Profit)/Loss on sale or write-off of PP&amp;E and other intangible assets (net)</t>
  </si>
  <si>
    <t>Exceptional items (net)</t>
  </si>
  <si>
    <t>Provision for restructuring cost</t>
  </si>
  <si>
    <t>Impairment of goodwill in subsidiary company</t>
  </si>
  <si>
    <t>Expected credit loss on non-current financial assets</t>
  </si>
  <si>
    <t>Loss on buy-back of shares in joint venture</t>
  </si>
  <si>
    <t>Gain on finance lease of asset (net)</t>
  </si>
  <si>
    <t>Gain on sale of current financial assets measured at FVTPL</t>
  </si>
  <si>
    <t>Net gain on fair valuation of financial assets measured at FVTPL</t>
  </si>
  <si>
    <t>Gain on sale of investment in subsidiary company</t>
  </si>
  <si>
    <t>Unwinding of discounting charge on interest-free sales tax loan / discounting income</t>
  </si>
  <si>
    <t>Interest income</t>
  </si>
  <si>
    <t>Provision/(reversal) for slow and non-moving stores and spares (net)</t>
  </si>
  <si>
    <t>Impairment loss/(reversal) / Expected credit loss on trade receivable (net)</t>
  </si>
  <si>
    <t>Unrealised exchange (gain)/loss (net)</t>
  </si>
  <si>
    <t>Fair value movement in derivative instruments (net)</t>
  </si>
  <si>
    <t>Interest on income tax written back</t>
  </si>
  <si>
    <t>Provisions no longer required, written back</t>
  </si>
  <si>
    <t>Compensation expense under Employees Stock Option Scheme</t>
  </si>
  <si>
    <t>Inventories written off</t>
  </si>
  <si>
    <t>Provisions/(reversal) for doubtful advances (net)</t>
  </si>
  <si>
    <t>Share of profit in associates and joint ventures (unrealised)</t>
  </si>
  <si>
    <t>Other non-cash items</t>
  </si>
  <si>
    <t>Operating profit before working capital changes</t>
  </si>
  <si>
    <t>Changes in Working Capital</t>
  </si>
  <si>
    <t>(Increase)/Decrease in Inventories</t>
  </si>
  <si>
    <t>(Increase)/Decrease in Trade Receivables</t>
  </si>
  <si>
    <t>(Increase)/Decrease in Other financial assets</t>
  </si>
  <si>
    <t>(Increase)/Decrease in Other assets / loans &amp; advances</t>
  </si>
  <si>
    <t>Increase/(Decrease) in Trade Payables</t>
  </si>
  <si>
    <t>Increase/(Decrease) in Provisions</t>
  </si>
  <si>
    <t>Increase/(Decrease) in Other financial liabilities</t>
  </si>
  <si>
    <t>Increase/(Decrease) in Other liabilities</t>
  </si>
  <si>
    <t>Net Working Capital Changes</t>
  </si>
  <si>
    <t>Cash generated from operations</t>
  </si>
  <si>
    <t>Direct / Income taxes paid (net of refunds)</t>
  </si>
  <si>
    <t>Net cash flow from Operating activities (A)</t>
  </si>
  <si>
    <t>B) Cash flows from Investing activities</t>
  </si>
  <si>
    <t>Purchase of Property, Plant &amp; Equipment, intangibles etc. (incl. CWIP &amp; capital advances)</t>
  </si>
  <si>
    <t>Proceeds from sale of PP&amp;E and other intangible assets</t>
  </si>
  <si>
    <t>Inter-corporate deposits (ICDs) given</t>
  </si>
  <si>
    <t>Inter-corporate deposits (ICDs) received back/repaid</t>
  </si>
  <si>
    <t>Investment in / redemption of bank &amp; margin money deposits (net)</t>
  </si>
  <si>
    <t>Investment in / proceeds from government securities (net)</t>
  </si>
  <si>
    <t>Purchase of non-current investment / equity shares / optionally convertible debentures (net)</t>
  </si>
  <si>
    <t>Investment in / redemption of certificate of deposits (net)</t>
  </si>
  <si>
    <t>Payment towards acquisition of equity shares of Subsidiary Companies</t>
  </si>
  <si>
    <t>Payment towards acquisition of Business unit</t>
  </si>
  <si>
    <t>Proceeds from sale of investment in / equity shares of Subsidiary Company</t>
  </si>
  <si>
    <t>Proceeds from adjustment of purchase consideration / indemnity claims</t>
  </si>
  <si>
    <t>Proceeds from buy-back of shares of joint venture</t>
  </si>
  <si>
    <t>Gain on sale of current financial assets measured at FVTPL (investing proceeds)</t>
  </si>
  <si>
    <t>Net proceeds from sale of mutual funds / units of mutual funds</t>
  </si>
  <si>
    <t>Dividend received from joint venture and associates</t>
  </si>
  <si>
    <t>Interest received</t>
  </si>
  <si>
    <t>Net cash used in Investing activities (B)</t>
  </si>
  <si>
    <t>C) Cash flows from Financing activities</t>
  </si>
  <si>
    <t>Proceeds from non-current/current borrowings (incl. interest-free government loan)</t>
  </si>
  <si>
    <t>Repayment of borrowings (non-current, current maturities, incl. acquired subsidiaries &amp; govt loan)</t>
  </si>
  <si>
    <t>Interest / Finance costs paid</t>
  </si>
  <si>
    <t>Repayment of lease liability (principal portion)</t>
  </si>
  <si>
    <t>Interest portion of lease repayment</t>
  </si>
  <si>
    <t>Net movement in earmarked balances with banks</t>
  </si>
  <si>
    <t>Money received against share warrants (Adani Group preferential issue)</t>
  </si>
  <si>
    <t>Dividend paid to equity shareholders</t>
  </si>
  <si>
    <t>Dividend paid to non-controlling interests</t>
  </si>
  <si>
    <t>Net cash generated from/(used in) Financing activities (C)</t>
  </si>
  <si>
    <t>Net increase/(decrease) in cash and cash equivalents (A+B+C)</t>
  </si>
  <si>
    <t>Cash and cash equivalents at the beginning of the period</t>
  </si>
  <si>
    <t>Cash and cash equivalents at the end of the period</t>
  </si>
  <si>
    <t>Historical Period</t>
  </si>
  <si>
    <t>Forecasted Period</t>
  </si>
  <si>
    <t>Financial Statement Analysis &amp; Valuation</t>
  </si>
  <si>
    <t>Ratios &amp; Assumptions</t>
  </si>
  <si>
    <t>LIVE SCENARIO</t>
  </si>
  <si>
    <t>Bull Case</t>
  </si>
  <si>
    <t>Revenue Growth %</t>
  </si>
  <si>
    <t>COGS as % of Revenue</t>
  </si>
  <si>
    <t>Operating Expense</t>
  </si>
  <si>
    <t>Interest as % of Debt</t>
  </si>
  <si>
    <t>Taxes as % PBT</t>
  </si>
  <si>
    <t>Other Income as % of Revenue</t>
  </si>
  <si>
    <t>Depreciation &amp; Amortization as % of PPE</t>
  </si>
  <si>
    <t>Dividend Payout Ratio</t>
  </si>
  <si>
    <t>Day Payable Outstanding</t>
  </si>
  <si>
    <t>Day Inventory Outstanding</t>
  </si>
  <si>
    <t>Day Receivable Outstanding</t>
  </si>
  <si>
    <t>Capital Assest Turnover Ratio</t>
  </si>
  <si>
    <t>INCOME STATEMNET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</si>
  <si>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</si>
  <si>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</si>
  <si>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</si>
  <si>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</si>
  <si>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</si>
  <si>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</si>
  <si>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</si>
  <si>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</si>
  <si>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</si>
  <si>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</si>
  <si>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Taxes</t>
  </si>
  <si>
    <t>Profit After Tax</t>
  </si>
  <si>
    <t>BALANCE  SHEET</t>
  </si>
  <si>
    <t>Property, Plant and equipment</t>
  </si>
  <si>
    <t>Intangible Assets</t>
  </si>
  <si>
    <t>Financial Asset</t>
  </si>
  <si>
    <t>Other Intangible Assets</t>
  </si>
  <si>
    <t>Current Assets</t>
  </si>
  <si>
    <t>Other Current Assets</t>
  </si>
  <si>
    <t>Current Liabilities</t>
  </si>
  <si>
    <t>Trade Payable</t>
  </si>
  <si>
    <t>Other Current Liability</t>
  </si>
  <si>
    <t>Non-current Liabilities</t>
  </si>
  <si>
    <t>Debt</t>
  </si>
  <si>
    <t>Other Non-Current Liability</t>
  </si>
  <si>
    <t>TOTAL LIBILITY</t>
  </si>
  <si>
    <t>Other Equity</t>
  </si>
  <si>
    <t>Shareholder's Funds</t>
  </si>
  <si>
    <t>Non-Controlling Interest</t>
  </si>
  <si>
    <t>TOTAL EQUITY &amp; LIABILITIES</t>
  </si>
  <si>
    <t>CHECK</t>
  </si>
  <si>
    <t>CASHFLOW STATEMENT</t>
  </si>
  <si>
    <t>Cash Flow From Operations</t>
  </si>
  <si>
    <t>Profit after Tax</t>
  </si>
  <si>
    <t>Add: Depreciation &amp; Amortization</t>
  </si>
  <si>
    <t>Add/Less: Other Adjustment</t>
  </si>
  <si>
    <t>Add/Less: Working Capital Adjustment</t>
  </si>
  <si>
    <t>Operating Cash Flow</t>
  </si>
  <si>
    <t>Cash Flow From Investing Activities</t>
  </si>
  <si>
    <t>Investment in PP&amp;E</t>
  </si>
  <si>
    <t>Purchase/Sale of Investment</t>
  </si>
  <si>
    <t>Sale Procceds From Sale Of PPE's</t>
  </si>
  <si>
    <t>Dividend Income</t>
  </si>
  <si>
    <t>Interest Income</t>
  </si>
  <si>
    <t>Cash Flow from Investing Activities</t>
  </si>
  <si>
    <t>Cash Flow From Financing Activities</t>
  </si>
  <si>
    <t>Issuance/Repayment of Debt</t>
  </si>
  <si>
    <t>Proceeds from issue of share capital</t>
  </si>
  <si>
    <t>Dividend Paid</t>
  </si>
  <si>
    <t>Interest Paid</t>
  </si>
  <si>
    <t>Net Decrease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</si>
  <si>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</si>
  <si>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</si>
  <si>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</si>
  <si>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</si>
  <si>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</si>
  <si>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Inventory</t>
  </si>
  <si>
    <t>Accounts Payable</t>
  </si>
  <si>
    <t>Other's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</si>
  <si>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</si>
  <si>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</si>
  <si>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</si>
  <si>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</si>
  <si>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</si>
  <si>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</si>
  <si>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</si>
  <si>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</si>
  <si>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</si>
  <si>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</si>
  <si>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</si>
  <si>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</si>
  <si>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</si>
  <si>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</si>
  <si>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</si>
  <si>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</si>
  <si>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</si>
  <si>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</si>
  <si>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</si>
  <si>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</si>
  <si>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</si>
  <si>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</si>
  <si>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</si>
  <si>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</si>
  <si>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</si>
  <si>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</si>
  <si>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</si>
  <si>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</si>
  <si>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</si>
  <si>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</si>
  <si>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</si>
  <si>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</si>
  <si>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</si>
  <si>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</si>
  <si>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</si>
  <si>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</si>
  <si>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</si>
  <si>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</si>
  <si>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</si>
  <si>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</si>
  <si>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</si>
  <si>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</si>
  <si>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</si>
  <si>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</si>
  <si>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</si>
  <si>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</si>
  <si>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</si>
  <si>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Revenue Scenarios</t>
  </si>
  <si>
    <t>Growth %</t>
  </si>
  <si>
    <t>Base Case</t>
  </si>
  <si>
    <t>Bear Case</t>
  </si>
  <si>
    <t>Annual growth tapering</t>
  </si>
  <si>
    <t>TERM DEBT (Amortizing — has a defined repayment schedule)</t>
  </si>
  <si>
    <t>FY2027</t>
  </si>
  <si>
    <t>FY2028</t>
  </si>
  <si>
    <t>FY2029</t>
  </si>
  <si>
    <t>FY2030</t>
  </si>
  <si>
    <t>Interest-free State Government Loans — Parent level (Ambuja Cements / ACC)
(Single-installment loans; secured by bank guarantee backed by pledged fixed deposits)</t>
  </si>
  <si>
    <t>LEASE LIABILITIES (Ind AS 116 — not financial debt, but contractual cash outflow)</t>
  </si>
  <si>
    <t>Lease Liabilities — Current portion (undiscounted, due FY2027)</t>
  </si>
  <si>
    <t>Lease Liabilities — Non-current portion (undiscounted future total, 1-5yr + &gt;5yr combined)</t>
  </si>
  <si>
    <t>Weighted-Average Cost of Capital (WACC)</t>
  </si>
  <si>
    <t>All Amounts Denominated in Rs. Crore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</si>
  <si>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</si>
  <si>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</si>
  <si>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</si>
  <si>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</si>
  <si>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</si>
  <si>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</si>
  <si>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</si>
  <si>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</si>
  <si>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</si>
  <si>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</si>
  <si>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UltraTech Cement Limited</t>
  </si>
  <si>
    <t>Grasim Industries Limited</t>
  </si>
  <si>
    <t>Shree Cement Limited</t>
  </si>
  <si>
    <t>JK Cement Limited</t>
  </si>
  <si>
    <t>Dalmia Bharat Limited</t>
  </si>
  <si>
    <t>ACC Limited</t>
  </si>
  <si>
    <t>The Ramco Cements Limited</t>
  </si>
  <si>
    <t>Birla Corporation Limited</t>
  </si>
  <si>
    <t>JK Lakshmi Cement Limited</t>
  </si>
  <si>
    <t>Median</t>
  </si>
  <si>
    <t>Ambuja Cement</t>
  </si>
  <si>
    <t>WACC Calculation</t>
  </si>
  <si>
    <t>Target Capital Structure</t>
  </si>
  <si>
    <t>Proportion of Debt</t>
  </si>
  <si>
    <t>Proportion of Equity</t>
  </si>
  <si>
    <t>Current Capital Structure</t>
  </si>
  <si>
    <t>Market Cap (EV proxy)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</si>
  <si>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</si>
  <si>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</si>
  <si>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</si>
  <si>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</si>
  <si>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</si>
  <si>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</si>
  <si>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</si>
  <si>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</si>
  <si>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</si>
  <si>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</si>
  <si>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</si>
  <si>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Index</t>
  </si>
  <si>
    <t>Index Closing Price</t>
  </si>
  <si>
    <t>Period (yrs)</t>
  </si>
  <si>
    <t>Returns</t>
  </si>
  <si>
    <t>Comp Valuation</t>
  </si>
  <si>
    <t>Market Data</t>
  </si>
  <si>
    <t>Financial Data</t>
  </si>
  <si>
    <t>Valuation</t>
  </si>
  <si>
    <t>Price</t>
  </si>
  <si>
    <t>Shares</t>
  </si>
  <si>
    <t>Market Cap</t>
  </si>
  <si>
    <t>Cash</t>
  </si>
  <si>
    <t>EV</t>
  </si>
  <si>
    <t>Sales</t>
  </si>
  <si>
    <t>Earnings</t>
  </si>
  <si>
    <t>EV/Sales</t>
  </si>
  <si>
    <t>P/E</t>
  </si>
  <si>
    <t>Ticker</t>
  </si>
  <si>
    <t>(₹/share)</t>
  </si>
  <si>
    <t>&amp; Equivalents</t>
  </si>
  <si>
    <t>x</t>
  </si>
  <si>
    <t>Metric</t>
  </si>
  <si>
    <t>Comps</t>
  </si>
  <si>
    <t>Net Debt</t>
  </si>
  <si>
    <t>Share Price</t>
  </si>
  <si>
    <t>Comp Data</t>
  </si>
  <si>
    <t>Company</t>
  </si>
  <si>
    <t>Net Income</t>
  </si>
  <si>
    <t>AMBUJACEM</t>
  </si>
  <si>
    <t>UltraTech Cement</t>
  </si>
  <si>
    <t>ULTRACEMCO</t>
  </si>
  <si>
    <t>Grasim Industries</t>
  </si>
  <si>
    <t>GRASIM</t>
  </si>
  <si>
    <t>Shree Cement</t>
  </si>
  <si>
    <t>SHREECEM</t>
  </si>
  <si>
    <t>JK Cement</t>
  </si>
  <si>
    <t>JKCEMENT</t>
  </si>
  <si>
    <t>Dalmia Bharat</t>
  </si>
  <si>
    <t>DALBHARAT</t>
  </si>
  <si>
    <t>ACC Ltd</t>
  </si>
  <si>
    <t>ACC</t>
  </si>
  <si>
    <t>The Ramco Cements</t>
  </si>
  <si>
    <t>RAMCOCEM</t>
  </si>
  <si>
    <t>Birla Corporation</t>
  </si>
  <si>
    <t>BIRLACORPN</t>
  </si>
  <si>
    <t>JK Lakshmi Cement</t>
  </si>
  <si>
    <t>JKLAKSHMI</t>
  </si>
  <si>
    <t>Source: www.screener.in (accessed Aug 2026)</t>
  </si>
  <si>
    <t>Ambuja Cements Limited</t>
  </si>
  <si>
    <t>Football Field Chart</t>
  </si>
  <si>
    <t>DCF</t>
  </si>
  <si>
    <t>52-week high/low</t>
  </si>
  <si>
    <t>Market Consensus</t>
  </si>
  <si>
    <t>High</t>
  </si>
  <si>
    <t>(Prabhudas Lilladher)</t>
  </si>
  <si>
    <t>Low</t>
  </si>
  <si>
    <t>(Motilal Oswal)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</si>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</sst>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\(#,##0.00\);\-"/>
    <numFmt numFmtId="177" formatCode="0.00_);[Red]\(0.00\)"/>
    <numFmt numFmtId="178" formatCode="0.0%"/>
    <numFmt numFmtId="179" formatCode="0.0\x"/>
    <numFmt numFmtId="180" formatCode="#,##0.0"/>
    <numFmt numFmtId="181" formatCode="0\F"/>
    <numFmt numFmtId="182" formatCode="0\A"/>
    <numFmt numFmtId="183" formatCode=";;;"/>
    <numFmt numFmtId="184" formatCode="0.00_);\(0.00\)"/>
    <numFmt numFmtId="185" formatCode="\-"/>
    <numFmt numFmtId="186" formatCode="dd\-mmm\-yy"/>
    <numFmt numFmtId="187" formatCode="m/d/yyyy;@"/>
  </numFmts>
  <fonts count="88">
    <font>
      <sz val="11"/>
      <color theme="1"/>
      <name val="Calibri"/>
      <charset val="134"/>
    </font>
    <font>
      <sz val="24"/>
      <color theme="0"/>
      <name val="Times New Roman"/>
      <charset val="1"/>
    </font>
    <font>
      <sz val="11"/>
      <color theme="0"/>
      <name val="Calibri"/>
      <charset val="134"/>
    </font>
    <font>
      <b/>
      <sz val="11"/>
      <color theme="0"/>
      <name val="Times New Roman"/>
      <charset val="1"/>
    </font>
    <font>
      <b/>
      <sz val="11"/>
      <color theme="0"/>
      <name val="Times New Roman Regular"/>
      <charset val="134"/>
    </font>
    <font>
      <sz val="11"/>
      <name val="Calibri"/>
      <charset val="134"/>
    </font>
    <font>
      <b/>
      <sz val="11"/>
      <name val="Times New Roman Regular"/>
      <charset val="134"/>
    </font>
    <font>
      <sz val="11"/>
      <name val="Times New Roman Regular"/>
      <charset val="134"/>
    </font>
    <font>
      <sz val="11"/>
      <color theme="0"/>
      <name val="Times New Roman Regular"/>
      <charset val="134"/>
    </font>
    <font>
      <sz val="11"/>
      <color theme="1"/>
      <name val="Times New Roman Regular"/>
      <charset val="134"/>
    </font>
    <font>
      <sz val="11"/>
      <name val="Times New Roman Regular"/>
      <charset val="1"/>
    </font>
    <font>
      <b/>
      <i/>
      <u/>
      <sz val="6"/>
      <name val="Times New Roman Regular"/>
      <charset val="1"/>
    </font>
    <font>
      <sz val="11"/>
      <color rgb="FF0070C0"/>
      <name val="Times New Roman Regular"/>
      <charset val="1"/>
    </font>
    <font>
      <sz val="11"/>
      <color rgb="FF0070C0"/>
      <name val="Times New Roman Regular"/>
      <charset val="134"/>
    </font>
    <font>
      <b/>
      <i/>
      <u/>
      <sz val="6"/>
      <name val="Arial"/>
      <charset val="134"/>
    </font>
    <font>
      <b/>
      <sz val="10"/>
      <name val="Times New Roman Regular"/>
      <charset val="1"/>
    </font>
    <font>
      <b/>
      <i/>
      <u/>
      <sz val="6"/>
      <name val="Times New Roman Regular"/>
      <charset val="134"/>
    </font>
    <font>
      <b/>
      <sz val="12"/>
      <color theme="0"/>
      <name val="Times New Roman Regular"/>
      <charset val="134"/>
    </font>
    <font>
      <b/>
      <sz val="11"/>
      <color theme="1"/>
      <name val="Times New Roman Regular"/>
      <charset val="134"/>
    </font>
    <font>
      <b/>
      <sz val="10"/>
      <color rgb="FF00B0F0"/>
      <name val="Times New Roman Regular"/>
      <charset val="1"/>
    </font>
    <font>
      <sz val="11"/>
      <name val="Times New Roman"/>
      <charset val="1"/>
    </font>
    <font>
      <sz val="11"/>
      <color rgb="FF0070C0"/>
      <name val="Times New Roman"/>
      <charset val="1"/>
    </font>
    <font>
      <b/>
      <sz val="11"/>
      <name val="Times New Roman"/>
      <charset val="1"/>
    </font>
    <font>
      <sz val="24"/>
      <color theme="0"/>
      <name val="Times New Roman Regular"/>
      <charset val="134"/>
    </font>
    <font>
      <sz val="11"/>
      <color rgb="FF00B0F0"/>
      <name val="Times New Roman Regular"/>
      <charset val="134"/>
    </font>
    <font>
      <b/>
      <i/>
      <u/>
      <sz val="6"/>
      <color theme="1"/>
      <name val="Times New Roman Regular"/>
      <charset val="134"/>
    </font>
    <font>
      <sz val="12"/>
      <color theme="0"/>
      <name val="Times New Roman Regular"/>
      <charset val="134"/>
    </font>
    <font>
      <sz val="11"/>
      <color rgb="FF00B050"/>
      <name val="Times New Roman Regular"/>
      <charset val="134"/>
    </font>
    <font>
      <sz val="12"/>
      <color theme="1"/>
      <name val="Times New Roman Regular"/>
      <charset val="1"/>
    </font>
    <font>
      <b/>
      <sz val="11"/>
      <color theme="1"/>
      <name val="Times New Roman Regular"/>
      <charset val="1"/>
    </font>
    <font>
      <sz val="11"/>
      <color theme="1"/>
      <name val="Times New Roman Regular"/>
      <charset val="1"/>
    </font>
    <font>
      <sz val="11"/>
      <color rgb="FF00B050"/>
      <name val="Calibri"/>
      <charset val="134"/>
    </font>
    <font>
      <b/>
      <sz val="12"/>
      <color theme="0"/>
      <name val="Times New Roman Bold"/>
      <charset val="1"/>
    </font>
    <font>
      <b/>
      <sz val="11"/>
      <color theme="0"/>
      <name val="Times New Roman Bold"/>
      <charset val="134"/>
    </font>
    <font>
      <sz val="11"/>
      <color theme="1"/>
      <name val="Times New Roman Bold"/>
      <charset val="134"/>
    </font>
    <font>
      <b/>
      <sz val="10"/>
      <color theme="0"/>
      <name val="Times New Roman"/>
      <charset val="1"/>
    </font>
    <font>
      <sz val="11"/>
      <color theme="0"/>
      <name val="Times New Roman"/>
      <charset val="1"/>
    </font>
    <font>
      <b/>
      <sz val="11"/>
      <name val="Times New Roman Regular"/>
      <charset val="1"/>
    </font>
    <font>
      <sz val="11"/>
      <color rgb="FF00B050"/>
      <name val="Times New Roman"/>
      <charset val="1"/>
    </font>
    <font>
      <sz val="11"/>
      <color rgb="FF00B0F0"/>
      <name val="Times New Roman"/>
      <charset val="1"/>
    </font>
    <font>
      <b/>
      <sz val="11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rgb="FF00B050"/>
      <name val="Times New Roman Regular"/>
      <charset val="1"/>
    </font>
    <font>
      <sz val="11"/>
      <color rgb="FF00B0F0"/>
      <name val="Times New Roman Regular"/>
      <charset val="1"/>
    </font>
    <font>
      <sz val="10"/>
      <color rgb="FFFFFFFF"/>
      <name val="Times New Roman Regular"/>
      <charset val="1"/>
    </font>
    <font>
      <sz val="12"/>
      <color theme="1"/>
      <name val="Times New Roman Regular"/>
      <charset val="134"/>
    </font>
    <font>
      <sz val="12"/>
      <color theme="1"/>
      <name val="Calibri"/>
      <charset val="134"/>
    </font>
    <font>
      <sz val="12"/>
      <name val="Times New Roman Regular"/>
      <charset val="1"/>
    </font>
    <font>
      <sz val="10"/>
      <name val="Times New Roman Regular"/>
      <charset val="1"/>
    </font>
    <font>
      <b/>
      <sz val="11"/>
      <color rgb="FFFFFFFF"/>
      <name val="Times New Roman Regular"/>
      <charset val="1"/>
    </font>
    <font>
      <sz val="12"/>
      <name val="Times New Roman Regular"/>
      <charset val="134"/>
    </font>
    <font>
      <sz val="16"/>
      <color theme="0"/>
      <name val="Times New Roman Regular"/>
      <charset val="134"/>
    </font>
    <font>
      <sz val="14"/>
      <color theme="0"/>
      <name val="Times New Roman Regular"/>
      <charset val="134"/>
    </font>
    <font>
      <b/>
      <i/>
      <sz val="11"/>
      <color theme="1"/>
      <name val="Times New Roman Regular"/>
      <charset val="134"/>
    </font>
    <font>
      <sz val="11"/>
      <color theme="1"/>
      <name val="Book Antiqua"/>
      <charset val="134"/>
    </font>
    <font>
      <b/>
      <sz val="11"/>
      <color theme="1"/>
      <name val="Calibri"/>
      <charset val="134"/>
    </font>
    <font>
      <b/>
      <sz val="12"/>
      <name val="Times New Roman Regular"/>
      <charset val="1"/>
    </font>
    <font>
      <sz val="12"/>
      <color rgb="FF00B0F0"/>
      <name val="Times New Roman Regular"/>
      <charset val="1"/>
    </font>
    <font>
      <b/>
      <i/>
      <sz val="12"/>
      <name val="Times New Roman Regular"/>
      <charset val="1"/>
    </font>
    <font>
      <i/>
      <sz val="12"/>
      <name val="Times New Roman Regular"/>
      <charset val="1"/>
    </font>
    <font>
      <b/>
      <sz val="12"/>
      <color theme="1"/>
      <name val="Times New Roman Regular"/>
      <charset val="134"/>
    </font>
    <font>
      <b/>
      <sz val="12"/>
      <color theme="0"/>
      <name val="Times New Roman"/>
      <charset val="1"/>
    </font>
    <font>
      <sz val="12"/>
      <color theme="0"/>
      <name val="Calibri"/>
      <charset val="134"/>
    </font>
    <font>
      <i/>
      <sz val="11"/>
      <color theme="0"/>
      <name val="Times New Roman Regular"/>
      <charset val="134"/>
    </font>
    <font>
      <b/>
      <u/>
      <sz val="11"/>
      <color theme="1"/>
      <name val="Times New Roman Regular"/>
      <charset val="134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rgb="FF843F0B"/>
      </patternFill>
    </fill>
    <fill>
      <patternFill patternType="solid">
        <fgColor theme="5" tint="0.4"/>
        <bgColor rgb="FFFF99CC"/>
      </patternFill>
    </fill>
    <fill>
      <patternFill patternType="solid">
        <fgColor theme="5" tint="-0.25"/>
        <bgColor rgb="FFC00000"/>
      </patternFill>
    </fill>
    <fill>
      <patternFill patternType="solid">
        <fgColor theme="5" tint="-0.25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7" fillId="0" borderId="0" applyBorder="0" applyAlignment="0" applyProtection="0"/>
    <xf numFmtId="44" fontId="67" fillId="0" borderId="0" applyBorder="0" applyAlignment="0" applyProtection="0"/>
    <xf numFmtId="9" fontId="67" fillId="0" borderId="0" applyBorder="0" applyAlignment="0" applyProtection="0"/>
    <xf numFmtId="41" fontId="67" fillId="0" borderId="0" applyBorder="0" applyAlignment="0" applyProtection="0"/>
    <xf numFmtId="42" fontId="67" fillId="0" borderId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6" borderId="10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11" applyNumberFormat="0" applyFill="0" applyAlignment="0" applyProtection="0">
      <alignment vertical="center"/>
    </xf>
    <xf numFmtId="0" fontId="75" fillId="0" borderId="11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7" borderId="13" applyNumberFormat="0" applyAlignment="0" applyProtection="0">
      <alignment vertical="center"/>
    </xf>
    <xf numFmtId="0" fontId="78" fillId="8" borderId="14" applyNumberFormat="0" applyAlignment="0" applyProtection="0">
      <alignment vertical="center"/>
    </xf>
    <xf numFmtId="0" fontId="79" fillId="8" borderId="13" applyNumberFormat="0" applyAlignment="0" applyProtection="0">
      <alignment vertical="center"/>
    </xf>
    <xf numFmtId="0" fontId="80" fillId="9" borderId="15" applyNumberFormat="0" applyAlignment="0" applyProtection="0">
      <alignment vertical="center"/>
    </xf>
    <xf numFmtId="0" fontId="81" fillId="0" borderId="16" applyNumberFormat="0" applyFill="0" applyAlignment="0" applyProtection="0">
      <alignment vertical="center"/>
    </xf>
    <xf numFmtId="0" fontId="82" fillId="0" borderId="17" applyNumberFormat="0" applyFill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7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7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7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10" fillId="0" borderId="0" xfId="0" applyNumberFormat="1" applyFont="1" applyAlignment="1"/>
    <xf numFmtId="0" fontId="9" fillId="0" borderId="0" xfId="0" applyFont="1" applyAlignment="1">
      <alignment horizontal="center"/>
    </xf>
    <xf numFmtId="177" fontId="7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/>
    </xf>
    <xf numFmtId="177" fontId="10" fillId="0" borderId="1" xfId="0" applyNumberFormat="1" applyFont="1" applyBorder="1" applyAlignment="1">
      <alignment horizontal="center"/>
    </xf>
    <xf numFmtId="176" fontId="11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5" fillId="0" borderId="0" xfId="0" applyFont="1" applyAlignment="1"/>
    <xf numFmtId="3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4" fillId="2" borderId="0" xfId="0" applyFont="1" applyFill="1" applyAlignment="1"/>
    <xf numFmtId="0" fontId="17" fillId="2" borderId="0" xfId="0" applyFont="1" applyFill="1" applyAlignment="1">
      <alignment horizontal="left" vertical="center" wrapText="1"/>
    </xf>
    <xf numFmtId="177" fontId="18" fillId="2" borderId="0" xfId="0" applyNumberFormat="1" applyFont="1" applyFill="1" applyAlignment="1"/>
    <xf numFmtId="177" fontId="18" fillId="2" borderId="0" xfId="0" applyNumberFormat="1" applyFont="1" applyFill="1" applyAlignment="1">
      <alignment vertical="center"/>
    </xf>
    <xf numFmtId="177" fontId="19" fillId="2" borderId="0" xfId="0" applyNumberFormat="1" applyFont="1" applyFill="1" applyAlignment="1"/>
    <xf numFmtId="3" fontId="19" fillId="2" borderId="0" xfId="0" applyNumberFormat="1" applyFont="1" applyFill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176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/>
    <xf numFmtId="3" fontId="20" fillId="0" borderId="0" xfId="0" applyNumberFormat="1" applyFont="1" applyAlignment="1"/>
    <xf numFmtId="4" fontId="20" fillId="0" borderId="0" xfId="0" applyNumberFormat="1" applyFont="1" applyAlignment="1"/>
    <xf numFmtId="178" fontId="20" fillId="0" borderId="0" xfId="0" applyNumberFormat="1" applyFont="1" applyAlignment="1"/>
    <xf numFmtId="0" fontId="22" fillId="0" borderId="0" xfId="0" applyFont="1" applyAlignment="1"/>
    <xf numFmtId="0" fontId="2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/>
    <xf numFmtId="0" fontId="24" fillId="0" borderId="0" xfId="0" applyFont="1" applyAlignment="1">
      <alignment vertical="center"/>
    </xf>
    <xf numFmtId="3" fontId="24" fillId="0" borderId="0" xfId="0" applyNumberFormat="1" applyFont="1" applyAlignment="1">
      <alignment vertical="center"/>
    </xf>
    <xf numFmtId="0" fontId="9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79" fontId="9" fillId="0" borderId="0" xfId="0" applyNumberFormat="1" applyFont="1" applyAlignment="1">
      <alignment vertical="center"/>
    </xf>
    <xf numFmtId="0" fontId="28" fillId="3" borderId="0" xfId="0" applyFont="1" applyFill="1" applyAlignment="1"/>
    <xf numFmtId="0" fontId="18" fillId="3" borderId="0" xfId="0" applyFont="1" applyFill="1" applyAlignment="1">
      <alignment vertical="center"/>
    </xf>
    <xf numFmtId="176" fontId="2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179" fontId="9" fillId="3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/>
    </xf>
    <xf numFmtId="0" fontId="31" fillId="0" borderId="0" xfId="0" applyFont="1" applyAlignment="1">
      <alignment vertical="center"/>
    </xf>
    <xf numFmtId="0" fontId="32" fillId="2" borderId="0" xfId="0" applyFont="1" applyFill="1" applyAlignment="1">
      <alignment indent="1"/>
    </xf>
    <xf numFmtId="179" fontId="32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180" fontId="32" fillId="2" borderId="0" xfId="0" applyNumberFormat="1" applyFont="1" applyFill="1" applyAlignment="1">
      <alignment horizontal="center"/>
    </xf>
    <xf numFmtId="176" fontId="32" fillId="2" borderId="0" xfId="0" applyNumberFormat="1" applyFont="1" applyFill="1" applyAlignment="1">
      <alignment horizontal="center"/>
    </xf>
    <xf numFmtId="0" fontId="10" fillId="0" borderId="0" xfId="0" applyFont="1" applyAlignment="1">
      <alignment indent="1"/>
    </xf>
    <xf numFmtId="177" fontId="9" fillId="0" borderId="0" xfId="0" applyNumberFormat="1" applyFont="1" applyAlignment="1">
      <alignment vertical="center"/>
    </xf>
    <xf numFmtId="0" fontId="10" fillId="0" borderId="0" xfId="0" applyFont="1" applyAlignment="1"/>
    <xf numFmtId="0" fontId="34" fillId="0" borderId="0" xfId="0" applyFont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58" fontId="13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3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3" borderId="3" xfId="0" applyNumberFormat="1" applyFont="1" applyFill="1" applyBorder="1" applyAlignment="1">
      <alignment horizontal="center" vertical="center"/>
    </xf>
    <xf numFmtId="0" fontId="35" fillId="2" borderId="0" xfId="0" applyFont="1" applyFill="1" applyAlignment="1"/>
    <xf numFmtId="0" fontId="36" fillId="2" borderId="0" xfId="0" applyFont="1" applyFill="1" applyAlignment="1"/>
    <xf numFmtId="0" fontId="7" fillId="0" borderId="0" xfId="0" applyFont="1" applyAlignment="1"/>
    <xf numFmtId="0" fontId="37" fillId="0" borderId="0" xfId="0" applyFont="1" applyAlignment="1">
      <alignment horizontal="center"/>
    </xf>
    <xf numFmtId="0" fontId="37" fillId="0" borderId="0" xfId="0" applyFont="1" applyAlignment="1"/>
    <xf numFmtId="0" fontId="0" fillId="0" borderId="1" xfId="0" applyBorder="1" applyAlignment="1"/>
    <xf numFmtId="0" fontId="20" fillId="0" borderId="1" xfId="0" applyFont="1" applyBorder="1" applyAlignment="1"/>
    <xf numFmtId="4" fontId="38" fillId="0" borderId="1" xfId="0" applyNumberFormat="1" applyFont="1" applyBorder="1" applyAlignment="1">
      <alignment horizontal="center"/>
    </xf>
    <xf numFmtId="10" fontId="20" fillId="0" borderId="1" xfId="0" applyNumberFormat="1" applyFont="1" applyBorder="1" applyAlignment="1">
      <alignment horizontal="center"/>
    </xf>
    <xf numFmtId="178" fontId="20" fillId="0" borderId="1" xfId="0" applyNumberFormat="1" applyFont="1" applyBorder="1" applyAlignment="1">
      <alignment horizontal="center"/>
    </xf>
    <xf numFmtId="2" fontId="39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4" fontId="38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178" fontId="20" fillId="0" borderId="0" xfId="0" applyNumberFormat="1" applyFont="1" applyAlignment="1">
      <alignment horizontal="center"/>
    </xf>
    <xf numFmtId="2" fontId="3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2" fillId="3" borderId="4" xfId="0" applyFont="1" applyFill="1" applyBorder="1" applyAlignment="1"/>
    <xf numFmtId="0" fontId="0" fillId="3" borderId="4" xfId="0" applyFill="1" applyBorder="1" applyAlignment="1"/>
    <xf numFmtId="10" fontId="20" fillId="3" borderId="4" xfId="0" applyNumberFormat="1" applyFont="1" applyFill="1" applyBorder="1" applyAlignment="1">
      <alignment horizontal="center"/>
    </xf>
    <xf numFmtId="2" fontId="20" fillId="3" borderId="4" xfId="0" applyNumberFormat="1" applyFont="1" applyFill="1" applyBorder="1" applyAlignment="1">
      <alignment horizontal="center"/>
    </xf>
    <xf numFmtId="0" fontId="22" fillId="3" borderId="0" xfId="0" applyFont="1" applyFill="1" applyAlignment="1"/>
    <xf numFmtId="0" fontId="0" fillId="3" borderId="0" xfId="0" applyFill="1" applyAlignment="1"/>
    <xf numFmtId="10" fontId="20" fillId="3" borderId="0" xfId="0" applyNumberFormat="1" applyFont="1" applyFill="1" applyAlignment="1">
      <alignment horizontal="center"/>
    </xf>
    <xf numFmtId="2" fontId="20" fillId="3" borderId="0" xfId="0" applyNumberFormat="1" applyFont="1" applyFill="1" applyAlignment="1">
      <alignment horizontal="center"/>
    </xf>
    <xf numFmtId="0" fontId="9" fillId="0" borderId="0" xfId="0" applyFont="1" applyAlignment="1"/>
    <xf numFmtId="0" fontId="40" fillId="2" borderId="0" xfId="0" applyFont="1" applyFill="1" applyAlignment="1"/>
    <xf numFmtId="4" fontId="41" fillId="2" borderId="0" xfId="0" applyNumberFormat="1" applyFont="1" applyFill="1" applyAlignment="1"/>
    <xf numFmtId="0" fontId="9" fillId="0" borderId="1" xfId="0" applyFont="1" applyBorder="1" applyAlignment="1"/>
    <xf numFmtId="0" fontId="10" fillId="0" borderId="1" xfId="0" applyFont="1" applyBorder="1" applyAlignment="1"/>
    <xf numFmtId="10" fontId="10" fillId="0" borderId="1" xfId="0" applyNumberFormat="1" applyFont="1" applyBorder="1" applyAlignment="1"/>
    <xf numFmtId="10" fontId="10" fillId="0" borderId="0" xfId="0" applyNumberFormat="1" applyFont="1" applyAlignment="1"/>
    <xf numFmtId="4" fontId="10" fillId="0" borderId="0" xfId="0" applyNumberFormat="1" applyFont="1" applyAlignment="1"/>
    <xf numFmtId="10" fontId="42" fillId="0" borderId="0" xfId="0" applyNumberFormat="1" applyFont="1" applyAlignment="1"/>
    <xf numFmtId="10" fontId="43" fillId="0" borderId="0" xfId="0" applyNumberFormat="1" applyFont="1" applyAlignment="1"/>
    <xf numFmtId="0" fontId="9" fillId="0" borderId="5" xfId="0" applyFont="1" applyBorder="1" applyAlignment="1"/>
    <xf numFmtId="0" fontId="10" fillId="0" borderId="5" xfId="0" applyFont="1" applyBorder="1" applyAlignment="1"/>
    <xf numFmtId="2" fontId="10" fillId="0" borderId="5" xfId="0" applyNumberFormat="1" applyFont="1" applyBorder="1" applyAlignment="1"/>
    <xf numFmtId="0" fontId="7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10" fontId="37" fillId="0" borderId="1" xfId="0" applyNumberFormat="1" applyFont="1" applyBorder="1" applyAlignment="1">
      <alignment horizontal="right"/>
    </xf>
    <xf numFmtId="0" fontId="40" fillId="2" borderId="0" xfId="0" applyFont="1" applyFill="1" applyAlignment="1">
      <alignment vertical="center"/>
    </xf>
    <xf numFmtId="0" fontId="44" fillId="2" borderId="0" xfId="0" applyFont="1" applyFill="1" applyAlignment="1">
      <alignment horizontal="center" vertical="center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48" fillId="0" borderId="0" xfId="0" applyNumberFormat="1" applyFont="1" applyAlignment="1">
      <alignment horizontal="center" vertical="center"/>
    </xf>
    <xf numFmtId="176" fontId="48" fillId="0" borderId="0" xfId="0" applyNumberFormat="1" applyFont="1" applyAlignment="1"/>
    <xf numFmtId="0" fontId="49" fillId="2" borderId="0" xfId="0" applyFont="1" applyFill="1" applyAlignment="1">
      <alignment vertical="center"/>
    </xf>
    <xf numFmtId="0" fontId="47" fillId="0" borderId="0" xfId="0" applyFont="1" applyAlignment="1"/>
    <xf numFmtId="0" fontId="50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18" fillId="0" borderId="5" xfId="0" applyFont="1" applyBorder="1" applyAlignment="1">
      <alignment horizontal="center"/>
    </xf>
    <xf numFmtId="181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10" fontId="10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6" fontId="0" fillId="0" borderId="0" xfId="0" applyNumberFormat="1" applyAlignment="1">
      <alignment vertical="center"/>
    </xf>
    <xf numFmtId="10" fontId="10" fillId="0" borderId="3" xfId="0" applyNumberFormat="1" applyFont="1" applyBorder="1" applyAlignment="1">
      <alignment horizontal="center" vertical="center"/>
    </xf>
    <xf numFmtId="10" fontId="43" fillId="0" borderId="3" xfId="0" applyNumberFormat="1" applyFont="1" applyBorder="1" applyAlignment="1">
      <alignment horizontal="center" vertical="center"/>
    </xf>
    <xf numFmtId="176" fontId="30" fillId="0" borderId="0" xfId="0" applyNumberFormat="1" applyFont="1" applyAlignment="1"/>
    <xf numFmtId="0" fontId="51" fillId="2" borderId="0" xfId="0" applyFont="1" applyFill="1" applyBorder="1" applyAlignment="1">
      <alignment horizontal="center" vertical="center"/>
    </xf>
    <xf numFmtId="182" fontId="26" fillId="2" borderId="0" xfId="0" applyNumberFormat="1" applyFont="1" applyFill="1" applyAlignment="1">
      <alignment vertical="center"/>
    </xf>
    <xf numFmtId="181" fontId="52" fillId="2" borderId="0" xfId="0" applyNumberFormat="1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83" fontId="0" fillId="0" borderId="0" xfId="0" applyNumberFormat="1" applyAlignment="1">
      <alignment vertical="center"/>
    </xf>
    <xf numFmtId="9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1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18" fillId="0" borderId="1" xfId="0" applyNumberFormat="1" applyFont="1" applyBorder="1" applyAlignment="1">
      <alignment vertical="center"/>
    </xf>
    <xf numFmtId="177" fontId="0" fillId="0" borderId="0" xfId="0" applyNumberFormat="1" applyAlignment="1"/>
    <xf numFmtId="184" fontId="7" fillId="0" borderId="0" xfId="0" applyNumberFormat="1" applyFont="1" applyAlignment="1">
      <alignment vertical="center"/>
    </xf>
    <xf numFmtId="177" fontId="18" fillId="0" borderId="1" xfId="0" applyNumberFormat="1" applyFont="1" applyBorder="1" applyAlignment="1">
      <alignment vertical="center"/>
    </xf>
    <xf numFmtId="177" fontId="9" fillId="0" borderId="5" xfId="0" applyNumberFormat="1" applyFont="1" applyBorder="1" applyAlignment="1">
      <alignment vertical="center"/>
    </xf>
    <xf numFmtId="177" fontId="18" fillId="0" borderId="0" xfId="0" applyNumberFormat="1" applyFont="1" applyAlignment="1">
      <alignment vertical="center"/>
    </xf>
    <xf numFmtId="0" fontId="53" fillId="0" borderId="0" xfId="0" applyFont="1" applyAlignment="1">
      <alignment horizontal="right" vertical="center"/>
    </xf>
    <xf numFmtId="184" fontId="9" fillId="0" borderId="0" xfId="0" applyNumberFormat="1" applyFont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18" fillId="0" borderId="1" xfId="0" applyNumberFormat="1" applyFont="1" applyBorder="1" applyAlignment="1"/>
    <xf numFmtId="176" fontId="8" fillId="2" borderId="0" xfId="0" applyNumberFormat="1" applyFont="1" applyFill="1" applyAlignment="1">
      <alignment vertical="center"/>
    </xf>
    <xf numFmtId="176" fontId="54" fillId="0" borderId="0" xfId="0" applyNumberFormat="1" applyFont="1" applyAlignment="1"/>
    <xf numFmtId="176" fontId="9" fillId="0" borderId="0" xfId="0" applyNumberFormat="1" applyFont="1" applyAlignment="1"/>
    <xf numFmtId="176" fontId="18" fillId="0" borderId="0" xfId="0" applyNumberFormat="1" applyFont="1" applyAlignment="1"/>
    <xf numFmtId="185" fontId="55" fillId="0" borderId="1" xfId="0" applyNumberFormat="1" applyFont="1" applyBorder="1" applyAlignment="1">
      <alignment vertical="center"/>
    </xf>
    <xf numFmtId="176" fontId="4" fillId="2" borderId="0" xfId="0" applyNumberFormat="1" applyFont="1" applyFill="1" applyAlignment="1">
      <alignment vertical="center"/>
    </xf>
    <xf numFmtId="0" fontId="45" fillId="0" borderId="0" xfId="0" applyFont="1" applyAlignment="1"/>
    <xf numFmtId="0" fontId="45" fillId="0" borderId="0" xfId="0" applyFont="1" applyAlignment="1">
      <alignment vertical="center"/>
    </xf>
    <xf numFmtId="0" fontId="56" fillId="0" borderId="0" xfId="0" applyFont="1" applyAlignment="1"/>
    <xf numFmtId="0" fontId="45" fillId="0" borderId="1" xfId="0" applyFont="1" applyBorder="1" applyAlignment="1"/>
    <xf numFmtId="0" fontId="47" fillId="0" borderId="1" xfId="0" applyFont="1" applyBorder="1" applyAlignment="1"/>
    <xf numFmtId="186" fontId="57" fillId="0" borderId="1" xfId="0" applyNumberFormat="1" applyFont="1" applyBorder="1" applyAlignment="1"/>
    <xf numFmtId="186" fontId="57" fillId="0" borderId="0" xfId="0" applyNumberFormat="1" applyFont="1" applyAlignment="1"/>
    <xf numFmtId="178" fontId="47" fillId="0" borderId="0" xfId="0" applyNumberFormat="1" applyFont="1" applyAlignment="1"/>
    <xf numFmtId="179" fontId="47" fillId="0" borderId="0" xfId="0" applyNumberFormat="1" applyFont="1" applyAlignment="1"/>
    <xf numFmtId="178" fontId="57" fillId="0" borderId="0" xfId="0" applyNumberFormat="1" applyFont="1" applyAlignment="1"/>
    <xf numFmtId="180" fontId="47" fillId="0" borderId="0" xfId="0" applyNumberFormat="1" applyFont="1" applyAlignment="1"/>
    <xf numFmtId="184" fontId="45" fillId="0" borderId="0" xfId="0" applyNumberFormat="1" applyFont="1" applyAlignment="1"/>
    <xf numFmtId="184" fontId="45" fillId="0" borderId="0" xfId="0" applyNumberFormat="1" applyFont="1" applyAlignment="1">
      <alignment vertical="center"/>
    </xf>
    <xf numFmtId="184" fontId="46" fillId="0" borderId="0" xfId="0" applyNumberFormat="1" applyFont="1" applyAlignment="1"/>
    <xf numFmtId="184" fontId="0" fillId="0" borderId="0" xfId="0" applyNumberFormat="1">
      <alignment vertical="center"/>
    </xf>
    <xf numFmtId="184" fontId="56" fillId="0" borderId="0" xfId="0" applyNumberFormat="1" applyFont="1" applyAlignment="1"/>
    <xf numFmtId="184" fontId="58" fillId="0" borderId="0" xfId="0" applyNumberFormat="1" applyFont="1" applyAlignment="1">
      <alignment horizontal="center"/>
    </xf>
    <xf numFmtId="184" fontId="59" fillId="0" borderId="1" xfId="0" applyNumberFormat="1" applyFont="1" applyBorder="1" applyAlignment="1"/>
    <xf numFmtId="184" fontId="45" fillId="0" borderId="1" xfId="0" applyNumberFormat="1" applyFont="1" applyBorder="1" applyAlignment="1"/>
    <xf numFmtId="184" fontId="45" fillId="0" borderId="1" xfId="0" applyNumberFormat="1" applyFont="1" applyBorder="1" applyAlignment="1">
      <alignment vertical="center"/>
    </xf>
    <xf numFmtId="187" fontId="59" fillId="0" borderId="1" xfId="0" applyNumberFormat="1" applyFont="1" applyBorder="1" applyAlignment="1">
      <alignment horizontal="center"/>
    </xf>
    <xf numFmtId="184" fontId="47" fillId="0" borderId="1" xfId="0" applyNumberFormat="1" applyFont="1" applyBorder="1" applyAlignment="1"/>
    <xf numFmtId="184" fontId="59" fillId="0" borderId="0" xfId="0" applyNumberFormat="1" applyFont="1" applyAlignment="1"/>
    <xf numFmtId="184" fontId="47" fillId="0" borderId="0" xfId="0" applyNumberFormat="1" applyFont="1" applyAlignment="1"/>
    <xf numFmtId="184" fontId="56" fillId="0" borderId="1" xfId="0" applyNumberFormat="1" applyFont="1" applyBorder="1" applyAlignment="1"/>
    <xf numFmtId="184" fontId="60" fillId="0" borderId="0" xfId="0" applyNumberFormat="1" applyFont="1" applyAlignment="1"/>
    <xf numFmtId="184" fontId="60" fillId="0" borderId="0" xfId="0" applyNumberFormat="1" applyFont="1" applyAlignment="1">
      <alignment vertical="center"/>
    </xf>
    <xf numFmtId="184" fontId="9" fillId="0" borderId="0" xfId="0" applyNumberFormat="1" applyFont="1" applyAlignment="1"/>
    <xf numFmtId="184" fontId="37" fillId="0" borderId="0" xfId="0" applyNumberFormat="1" applyFont="1" applyAlignment="1"/>
    <xf numFmtId="184" fontId="10" fillId="0" borderId="1" xfId="0" applyNumberFormat="1" applyFont="1" applyBorder="1" applyAlignment="1"/>
    <xf numFmtId="184" fontId="9" fillId="0" borderId="1" xfId="0" applyNumberFormat="1" applyFont="1" applyBorder="1" applyAlignment="1"/>
    <xf numFmtId="184" fontId="43" fillId="0" borderId="1" xfId="0" applyNumberFormat="1" applyFont="1" applyBorder="1" applyAlignment="1"/>
    <xf numFmtId="184" fontId="10" fillId="0" borderId="0" xfId="0" applyNumberFormat="1" applyFont="1" applyAlignment="1"/>
    <xf numFmtId="184" fontId="37" fillId="0" borderId="1" xfId="0" applyNumberFormat="1" applyFont="1" applyBorder="1" applyAlignment="1"/>
    <xf numFmtId="4" fontId="40" fillId="2" borderId="0" xfId="0" applyNumberFormat="1" applyFont="1" applyFill="1" applyAlignment="1"/>
    <xf numFmtId="0" fontId="61" fillId="2" borderId="0" xfId="0" applyFont="1" applyFill="1" applyAlignment="1"/>
    <xf numFmtId="0" fontId="62" fillId="2" borderId="0" xfId="0" applyFont="1" applyFill="1" applyAlignment="1"/>
    <xf numFmtId="0" fontId="62" fillId="2" borderId="0" xfId="0" applyFont="1" applyFill="1" applyAlignment="1">
      <alignment vertical="center"/>
    </xf>
    <xf numFmtId="0" fontId="0" fillId="2" borderId="0" xfId="0" applyFill="1" applyAlignment="1"/>
    <xf numFmtId="0" fontId="40" fillId="2" borderId="0" xfId="0" applyFont="1" applyFill="1" applyBorder="1" applyAlignment="1">
      <alignment horizontal="center"/>
    </xf>
    <xf numFmtId="0" fontId="56" fillId="0" borderId="0" xfId="0" applyFont="1" applyBorder="1" applyAlignment="1">
      <alignment horizontal="right" vertical="center" textRotation="90"/>
    </xf>
    <xf numFmtId="0" fontId="37" fillId="0" borderId="0" xfId="0" applyFont="1" applyBorder="1" applyAlignment="1">
      <alignment horizontal="center"/>
    </xf>
    <xf numFmtId="183" fontId="37" fillId="0" borderId="0" xfId="0" applyNumberFormat="1" applyFont="1" applyAlignment="1"/>
    <xf numFmtId="179" fontId="10" fillId="0" borderId="0" xfId="0" applyNumberFormat="1" applyFont="1" applyAlignment="1"/>
    <xf numFmtId="178" fontId="10" fillId="0" borderId="0" xfId="0" applyNumberFormat="1" applyFont="1" applyAlignment="1"/>
    <xf numFmtId="4" fontId="10" fillId="0" borderId="7" xfId="0" applyNumberFormat="1" applyFont="1" applyBorder="1" applyAlignment="1"/>
    <xf numFmtId="4" fontId="10" fillId="0" borderId="1" xfId="0" applyNumberFormat="1" applyFont="1" applyBorder="1" applyAlignment="1"/>
    <xf numFmtId="4" fontId="10" fillId="0" borderId="8" xfId="0" applyNumberFormat="1" applyFont="1" applyBorder="1" applyAlignment="1"/>
    <xf numFmtId="0" fontId="18" fillId="0" borderId="0" xfId="0" applyFont="1" applyAlignment="1"/>
    <xf numFmtId="0" fontId="63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4" fontId="37" fillId="0" borderId="0" xfId="0" applyNumberFormat="1" applyFont="1" applyAlignment="1"/>
    <xf numFmtId="176" fontId="37" fillId="0" borderId="0" xfId="0" applyNumberFormat="1" applyFont="1" applyAlignment="1"/>
    <xf numFmtId="0" fontId="64" fillId="0" borderId="0" xfId="0" applyFont="1" applyAlignment="1">
      <alignment vertical="center"/>
    </xf>
    <xf numFmtId="0" fontId="10" fillId="0" borderId="0" xfId="0" applyFont="1" applyAlignment="1">
      <alignment horizontal="left" indent="2"/>
    </xf>
    <xf numFmtId="0" fontId="29" fillId="0" borderId="0" xfId="0" applyFont="1" applyAlignment="1"/>
    <xf numFmtId="0" fontId="30" fillId="0" borderId="0" xfId="0" applyFont="1" applyAlignment="1"/>
    <xf numFmtId="176" fontId="37" fillId="0" borderId="9" xfId="0" applyNumberFormat="1" applyFont="1" applyBorder="1" applyAlignment="1"/>
    <xf numFmtId="0" fontId="65" fillId="0" borderId="0" xfId="0" applyFont="1" applyAlignment="1"/>
    <xf numFmtId="0" fontId="66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5B482"/>
      <rgbColor rgb="004874CB"/>
      <rgbColor rgb="0033CCCC"/>
      <rgbColor rgb="0099CC00"/>
      <rgbColor rgb="00FFCC00"/>
      <rgbColor rgb="00FF9900"/>
      <rgbColor rgb="00C65F10"/>
      <rgbColor rgb="00595959"/>
      <rgbColor rgb="00969696"/>
      <rgbColor rgb="00003366"/>
      <rgbColor rgb="0000B050"/>
      <rgbColor rgb="00003300"/>
      <rgbColor rgb="00333300"/>
      <rgbColor rgb="00843F0B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404040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404040"/>
                </a:solidFill>
                <a:latin typeface="Calibri" panose="020F07020304040A0204"/>
              </a:rPr>
              <a:t>Football Field Chart</a:t>
            </a:r>
            <a:endParaRPr lang="en-US" sz="1400" b="1" strike="noStrike" spc="-1">
              <a:solidFill>
                <a:srgbClr val="404040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'Foot_Ball Field'!$D$7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Field'!$E$7:$H$7</c:f>
              <c:numCache>
                <c:formatCode>0.00_);[Red]\(0.00\)</c:formatCode>
                <c:ptCount val="4"/>
                <c:pt idx="0">
                  <c:v>679.014095990915</c:v>
                </c:pt>
                <c:pt idx="1">
                  <c:v>396.593387366898</c:v>
                </c:pt>
                <c:pt idx="2">
                  <c:v>605.5</c:v>
                </c:pt>
                <c:pt idx="3">
                  <c:v>718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'Foot_Ball Field'!$D$8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Field'!$E$8:$H$8</c:f>
              <c:numCache>
                <c:formatCode>0.00_);[Red]\(0.00\)</c:formatCode>
                <c:ptCount val="4"/>
                <c:pt idx="0">
                  <c:v>679.014095990915</c:v>
                </c:pt>
                <c:pt idx="1">
                  <c:v>396.593387366898</c:v>
                </c:pt>
                <c:pt idx="2">
                  <c:v>605.5</c:v>
                </c:pt>
                <c:pt idx="3">
                  <c:v>718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'Foot_Ball Field'!$D$9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Field'!$E$9:$H$9</c:f>
              <c:numCache>
                <c:formatCode>0.00_);[Red]\(0.00\)</c:formatCode>
                <c:ptCount val="4"/>
                <c:pt idx="0">
                  <c:v>357.620179877751</c:v>
                </c:pt>
                <c:pt idx="1">
                  <c:v>216.339564686345</c:v>
                </c:pt>
                <c:pt idx="2">
                  <c:v>394.6</c:v>
                </c:pt>
                <c:pt idx="3">
                  <c:v>530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'Foot_Ball Field'!$D$10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Field'!$E$10:$H$10</c:f>
              <c:numCache>
                <c:formatCode>0.00_);[Red]\(0.00\)</c:formatCode>
                <c:ptCount val="4"/>
                <c:pt idx="0">
                  <c:v>357.620179877751</c:v>
                </c:pt>
                <c:pt idx="1">
                  <c:v>216.339564686345</c:v>
                </c:pt>
                <c:pt idx="2">
                  <c:v>394.6</c:v>
                </c:pt>
                <c:pt idx="3">
                  <c:v>530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19080" cap="flat" cmpd="sng" algn="ctr">
                <a:solidFill>
                  <a:srgbClr val="4874CB"/>
                </a:solidFill>
                <a:prstDash val="solid"/>
                <a:round/>
              </a:ln>
            </c:spPr>
          </c:upBars>
          <c:downBars>
            <c:spPr>
              <a:solidFill>
                <a:srgbClr val="000000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15019699"/>
        <c:axId val="54958229"/>
      </c:stockChart>
      <c:catAx>
        <c:axId val="150196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54958229"/>
        <c:crosses val="autoZero"/>
        <c:auto val="1"/>
        <c:lblAlgn val="ctr"/>
        <c:lblOffset val="100"/>
        <c:noMultiLvlLbl val="0"/>
      </c:catAx>
      <c:valAx>
        <c:axId val="54958229"/>
        <c:scaling>
          <c:orientation val="minMax"/>
        </c:scaling>
        <c:delete val="0"/>
        <c:axPos val="l"/>
        <c:numFmt formatCode="0.00_);[Red]\(0.00\)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150196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7020304040A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e08275-b4dd-4adc-94b9-c98a6ff0c3b9}"/>
      </c:ext>
    </c:extLst>
  </c:chart>
  <c:spPr>
    <a:solidFill>
      <a:srgbClr val="F5B482"/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32400</xdr:colOff>
      <xdr:row>12</xdr:row>
      <xdr:rowOff>156240</xdr:rowOff>
    </xdr:from>
    <xdr:to>
      <xdr:col>5</xdr:col>
      <xdr:colOff>874440</xdr:colOff>
      <xdr:row>23</xdr:row>
      <xdr:rowOff>133560</xdr:rowOff>
    </xdr:to>
    <xdr:graphicFrame>
      <xdr:nvGraphicFramePr>
        <xdr:cNvPr id="2" name="Chart 1"/>
        <xdr:cNvGraphicFramePr/>
      </xdr:nvGraphicFramePr>
      <xdr:xfrm>
        <a:off x="208915" y="2908935"/>
        <a:ext cx="4816475" cy="218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9"/>
  <sheetViews>
    <sheetView showGridLines="0" zoomScale="93" zoomScaleNormal="93" workbookViewId="0">
      <selection activeCell="H5" sqref="H5"/>
    </sheetView>
  </sheetViews>
  <sheetFormatPr defaultColWidth="9.15178571428571" defaultRowHeight="16.8"/>
  <cols>
    <col min="1" max="3" width="1.24107142857143" style="15" customWidth="1"/>
    <col min="4" max="4" width="40.6428571428571" style="15" customWidth="1"/>
    <col min="5" max="6" width="9.14285714285714" style="15"/>
    <col min="7" max="7" width="2.64285714285714" style="15" customWidth="1"/>
    <col min="8" max="18" width="12.6428571428571" style="15" customWidth="1"/>
    <col min="19" max="16384" width="9.14285714285714" style="15"/>
  </cols>
  <sheetData>
    <row r="1" ht="33.75" customHeight="1" spans="1:1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ht="16.5" customHeight="1" spans="1:13">
      <c r="A2" s="61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239" t="s">
        <v>2</v>
      </c>
    </row>
    <row r="4" ht="16.5" customHeight="1" spans="1:13">
      <c r="C4" s="102" t="s">
        <v>3</v>
      </c>
      <c r="E4" s="240"/>
      <c r="F4" s="240"/>
      <c r="G4" s="240"/>
      <c r="H4" s="102">
        <v>2022</v>
      </c>
      <c r="I4" s="102">
        <v>2023</v>
      </c>
      <c r="J4" s="102">
        <f>I4+1</f>
        <v>2024</v>
      </c>
      <c r="K4" s="102">
        <f>J4+1</f>
        <v>2025</v>
      </c>
      <c r="L4" s="102">
        <f>K4+1</f>
        <v>2026</v>
      </c>
      <c r="M4" s="240"/>
    </row>
    <row r="5" ht="16.5" customHeight="1" spans="1:13">
      <c r="C5" s="240"/>
      <c r="D5" s="87" t="s">
        <v>4</v>
      </c>
      <c r="E5" s="240"/>
      <c r="F5" s="240"/>
      <c r="G5" s="240"/>
      <c r="H5" s="22">
        <v>28965.46</v>
      </c>
      <c r="I5" s="22">
        <v>38937.03</v>
      </c>
      <c r="J5" s="22">
        <v>33159.64</v>
      </c>
      <c r="K5" s="22">
        <v>33697.7</v>
      </c>
      <c r="L5" s="22">
        <v>40446.04</v>
      </c>
      <c r="M5" s="240"/>
    </row>
    <row r="6" ht="16.5" customHeight="1" spans="1:13">
      <c r="C6" s="240"/>
      <c r="D6" s="87" t="s">
        <v>5</v>
      </c>
      <c r="E6" s="240"/>
      <c r="F6" s="240"/>
      <c r="G6" s="240"/>
      <c r="H6" s="22">
        <v>0</v>
      </c>
      <c r="I6" s="22">
        <v>0</v>
      </c>
      <c r="J6" s="22">
        <v>0</v>
      </c>
      <c r="K6" s="22">
        <v>1347.06</v>
      </c>
      <c r="L6" s="22">
        <v>209.64</v>
      </c>
      <c r="M6" s="240"/>
    </row>
    <row r="7" ht="16.5" customHeight="1" spans="1:13">
      <c r="C7" s="240"/>
      <c r="D7" s="87" t="s">
        <v>6</v>
      </c>
      <c r="E7" s="240"/>
      <c r="F7" s="240"/>
      <c r="G7" s="240"/>
      <c r="H7" s="22">
        <v>352.44</v>
      </c>
      <c r="I7" s="22">
        <v>737.71</v>
      </c>
      <c r="J7" s="22">
        <v>1166.4</v>
      </c>
      <c r="K7" s="22">
        <v>2654.25</v>
      </c>
      <c r="L7" s="22">
        <v>834.34</v>
      </c>
      <c r="M7" s="240"/>
    </row>
    <row r="8" ht="16.5" customHeight="1" spans="1:13">
      <c r="C8" s="240"/>
      <c r="D8" s="102" t="s">
        <v>7</v>
      </c>
      <c r="E8" s="240"/>
      <c r="F8" s="240"/>
      <c r="G8" s="240"/>
      <c r="H8" s="241">
        <f>H5+H6+H7</f>
        <v>29317.9</v>
      </c>
      <c r="I8" s="241">
        <f>I5+I6+I7</f>
        <v>39674.74</v>
      </c>
      <c r="J8" s="241">
        <f>J5+J6+J7</f>
        <v>34326.04</v>
      </c>
      <c r="K8" s="241">
        <f>K5+K6+K7</f>
        <v>37699.01</v>
      </c>
      <c r="L8" s="241">
        <f>L5+L6+L7</f>
        <v>41490.02</v>
      </c>
      <c r="M8" s="240"/>
    </row>
    <row r="9" ht="16.5" customHeight="1" spans="1:13">
      <c r="C9" s="240"/>
      <c r="D9" s="102"/>
      <c r="E9" s="240"/>
      <c r="F9" s="240"/>
      <c r="G9" s="240"/>
      <c r="H9" s="241"/>
      <c r="I9" s="241"/>
      <c r="J9" s="241"/>
      <c r="K9" s="241"/>
      <c r="L9" s="241"/>
      <c r="M9" s="240"/>
    </row>
    <row r="10" ht="16.5" customHeight="1" spans="1:13">
      <c r="C10" s="102" t="s">
        <v>8</v>
      </c>
      <c r="E10" s="240"/>
      <c r="F10" s="240"/>
      <c r="G10" s="240"/>
      <c r="H10" s="242"/>
      <c r="I10" s="242"/>
      <c r="J10" s="242"/>
      <c r="K10" s="242"/>
      <c r="L10" s="242"/>
      <c r="M10" s="240"/>
    </row>
    <row r="11" ht="16.5" customHeight="1" spans="1:13">
      <c r="C11" s="240"/>
      <c r="D11" s="87" t="s">
        <v>9</v>
      </c>
      <c r="E11" s="240"/>
      <c r="F11" s="240"/>
      <c r="G11" s="240"/>
      <c r="H11" s="22">
        <v>3183.41</v>
      </c>
      <c r="I11" s="22">
        <v>4749.65</v>
      </c>
      <c r="J11" s="22">
        <v>4321.96</v>
      </c>
      <c r="K11" s="22">
        <v>5708.07</v>
      </c>
      <c r="L11" s="22">
        <v>6511.54</v>
      </c>
      <c r="M11" s="240"/>
    </row>
    <row r="12" ht="16.5" customHeight="1" spans="1:13">
      <c r="C12" s="240"/>
      <c r="D12" s="87" t="s">
        <v>10</v>
      </c>
      <c r="E12" s="240"/>
      <c r="F12" s="240"/>
      <c r="G12" s="240"/>
      <c r="H12" s="22">
        <v>309.21</v>
      </c>
      <c r="I12" s="22">
        <v>481.12</v>
      </c>
      <c r="J12" s="22">
        <v>576.83</v>
      </c>
      <c r="K12" s="22">
        <v>763.66</v>
      </c>
      <c r="L12" s="22">
        <v>609.25</v>
      </c>
      <c r="M12" s="240"/>
    </row>
    <row r="13" ht="16.5" customHeight="1" spans="1:13">
      <c r="C13" s="240"/>
      <c r="D13" s="87" t="s">
        <v>11</v>
      </c>
      <c r="E13" s="240"/>
      <c r="F13" s="240"/>
      <c r="G13" s="240"/>
      <c r="H13" s="22">
        <v>-530.34</v>
      </c>
      <c r="I13" s="22">
        <v>-119.86</v>
      </c>
      <c r="J13" s="22">
        <v>23.99</v>
      </c>
      <c r="K13" s="22">
        <v>55.69</v>
      </c>
      <c r="L13" s="22">
        <v>-378.29</v>
      </c>
      <c r="M13" s="240"/>
    </row>
    <row r="14" ht="16.5" customHeight="1" spans="1:13">
      <c r="C14" s="240"/>
      <c r="D14" s="87" t="s">
        <v>12</v>
      </c>
      <c r="E14" s="240"/>
      <c r="F14" s="240"/>
      <c r="G14" s="240"/>
      <c r="H14" s="22">
        <v>1529.15</v>
      </c>
      <c r="I14" s="22">
        <v>1856.53</v>
      </c>
      <c r="J14" s="22">
        <v>1352.79</v>
      </c>
      <c r="K14" s="22">
        <v>1403.41</v>
      </c>
      <c r="L14" s="22">
        <v>1602.65</v>
      </c>
      <c r="M14" s="240"/>
    </row>
    <row r="15" ht="16.5" customHeight="1" spans="1:13">
      <c r="C15" s="240"/>
      <c r="D15" s="87" t="s">
        <v>13</v>
      </c>
      <c r="E15" s="240"/>
      <c r="F15" s="240"/>
      <c r="G15" s="240"/>
      <c r="H15" s="22">
        <v>145.66</v>
      </c>
      <c r="I15" s="22">
        <v>194.9</v>
      </c>
      <c r="J15" s="22">
        <v>276.38</v>
      </c>
      <c r="K15" s="22">
        <v>215.94</v>
      </c>
      <c r="L15" s="22">
        <v>223.61</v>
      </c>
      <c r="M15" s="240"/>
    </row>
    <row r="16" ht="16.5" customHeight="1" spans="1:13">
      <c r="C16" s="240"/>
      <c r="D16" s="87" t="s">
        <v>14</v>
      </c>
      <c r="E16" s="240"/>
      <c r="F16" s="240"/>
      <c r="G16" s="240"/>
      <c r="H16" s="22">
        <v>1152.49</v>
      </c>
      <c r="I16" s="22">
        <v>1644.67</v>
      </c>
      <c r="J16" s="22">
        <v>1623.38</v>
      </c>
      <c r="K16" s="22">
        <v>2478.34</v>
      </c>
      <c r="L16" s="22">
        <v>3570.41</v>
      </c>
      <c r="M16" s="240"/>
    </row>
    <row r="17" ht="16.5" customHeight="1" spans="2:13">
      <c r="C17" s="240"/>
      <c r="D17" s="87" t="s">
        <v>15</v>
      </c>
      <c r="E17" s="240"/>
      <c r="F17" s="240"/>
      <c r="G17" s="240"/>
      <c r="H17" s="22">
        <v>6787.52</v>
      </c>
      <c r="I17" s="22">
        <v>11761.9</v>
      </c>
      <c r="J17" s="22">
        <v>8109.31</v>
      </c>
      <c r="K17" s="22">
        <v>8347.84</v>
      </c>
      <c r="L17" s="22">
        <v>10023.78</v>
      </c>
      <c r="M17" s="240"/>
    </row>
    <row r="18" ht="16.5" customHeight="1" spans="2:13">
      <c r="C18" s="240"/>
      <c r="D18" s="87" t="s">
        <v>16</v>
      </c>
      <c r="E18" s="240"/>
      <c r="F18" s="240"/>
      <c r="G18" s="240"/>
      <c r="H18" s="22">
        <v>7132.9</v>
      </c>
      <c r="I18" s="22">
        <v>9523.72</v>
      </c>
      <c r="J18" s="22">
        <v>8000.64</v>
      </c>
      <c r="K18" s="22">
        <v>8301.19</v>
      </c>
      <c r="L18" s="22">
        <v>9497.28</v>
      </c>
      <c r="M18" s="240"/>
    </row>
    <row r="19" ht="16.5" customHeight="1" spans="2:13">
      <c r="C19" s="240"/>
      <c r="D19" s="87" t="s">
        <v>17</v>
      </c>
      <c r="E19" s="240"/>
      <c r="F19" s="240"/>
      <c r="G19" s="240"/>
      <c r="H19" s="22">
        <v>4387.84</v>
      </c>
      <c r="I19" s="22">
        <v>5608.5</v>
      </c>
      <c r="J19" s="22">
        <v>4388.97</v>
      </c>
      <c r="K19" s="22">
        <v>4515.13</v>
      </c>
      <c r="L19" s="22">
        <v>6263.32</v>
      </c>
      <c r="M19" s="240"/>
    </row>
    <row r="20" ht="16.5" customHeight="1" spans="2:13">
      <c r="C20" s="240"/>
      <c r="D20" s="87" t="s">
        <v>18</v>
      </c>
      <c r="E20" s="240"/>
      <c r="F20" s="240"/>
      <c r="G20" s="240"/>
      <c r="H20" s="22">
        <v>-44.63</v>
      </c>
      <c r="I20" s="22">
        <v>-46.9</v>
      </c>
      <c r="J20" s="22">
        <v>-14.36</v>
      </c>
      <c r="K20" s="22">
        <v>-20.88</v>
      </c>
      <c r="L20" s="22">
        <v>-12.79</v>
      </c>
      <c r="M20" s="240"/>
    </row>
    <row r="21" ht="16.5" customHeight="1" spans="2:13">
      <c r="C21" s="240"/>
      <c r="D21" s="102" t="s">
        <v>19</v>
      </c>
      <c r="E21" s="240"/>
      <c r="F21" s="240"/>
      <c r="G21" s="240"/>
      <c r="H21" s="241">
        <f>SUM(H11:H20)</f>
        <v>24053.21</v>
      </c>
      <c r="I21" s="241">
        <f>SUM(I11:I20)</f>
        <v>35654.23</v>
      </c>
      <c r="J21" s="241">
        <f>SUM(J11:J20)</f>
        <v>28659.89</v>
      </c>
      <c r="K21" s="241">
        <f>SUM(K11:K20)</f>
        <v>31768.39</v>
      </c>
      <c r="L21" s="241">
        <f>SUM(L11:L20)</f>
        <v>37910.76</v>
      </c>
      <c r="M21" s="240"/>
    </row>
    <row r="22" ht="16.5" customHeight="1" spans="2:13">
      <c r="C22" s="240"/>
      <c r="D22" s="102"/>
      <c r="E22" s="240"/>
      <c r="F22" s="240"/>
      <c r="G22" s="240"/>
      <c r="H22" s="241"/>
      <c r="I22" s="241"/>
      <c r="J22" s="241"/>
      <c r="K22" s="241"/>
      <c r="L22" s="241"/>
      <c r="M22" s="240"/>
    </row>
    <row r="23" ht="16.5" customHeight="1" spans="2:13">
      <c r="C23" s="240"/>
      <c r="D23" s="102" t="s">
        <v>20</v>
      </c>
      <c r="E23" s="240"/>
      <c r="F23" s="240"/>
      <c r="G23" s="240"/>
      <c r="H23" s="241">
        <f>H8-H21</f>
        <v>5264.69</v>
      </c>
      <c r="I23" s="241">
        <f>I8-I21</f>
        <v>4020.51</v>
      </c>
      <c r="J23" s="241">
        <f>J8-J21</f>
        <v>5666.15</v>
      </c>
      <c r="K23" s="241">
        <f>K8-K21</f>
        <v>5930.62</v>
      </c>
      <c r="L23" s="241">
        <f>L8-L21</f>
        <v>3579.25999999999</v>
      </c>
      <c r="M23" s="240"/>
    </row>
    <row r="24" ht="16.5" customHeight="1" spans="2:13">
      <c r="C24" s="240"/>
      <c r="D24" s="87" t="s">
        <v>21</v>
      </c>
      <c r="E24" s="240"/>
      <c r="F24" s="240"/>
      <c r="G24" s="240"/>
      <c r="H24" s="22">
        <v>20.23</v>
      </c>
      <c r="I24" s="22">
        <v>28.02</v>
      </c>
      <c r="J24" s="22">
        <v>22.9</v>
      </c>
      <c r="K24" s="22">
        <v>13.22</v>
      </c>
      <c r="L24" s="22">
        <v>20.05</v>
      </c>
      <c r="M24" s="240"/>
    </row>
    <row r="25" ht="16.5" customHeight="1" spans="2:13">
      <c r="C25" s="240"/>
      <c r="D25" s="102" t="s">
        <v>22</v>
      </c>
      <c r="E25" s="240"/>
      <c r="F25" s="240"/>
      <c r="G25" s="240"/>
      <c r="H25" s="241">
        <f>H23+H24</f>
        <v>5284.92</v>
      </c>
      <c r="I25" s="241">
        <f>I23+I24</f>
        <v>4048.53</v>
      </c>
      <c r="J25" s="241">
        <f>J23+J24</f>
        <v>5689.05</v>
      </c>
      <c r="K25" s="241">
        <f>K23+K24</f>
        <v>5943.84</v>
      </c>
      <c r="L25" s="241">
        <f>L23+L24</f>
        <v>3599.30999999999</v>
      </c>
      <c r="M25" s="240"/>
    </row>
    <row r="26" ht="16.5" customHeight="1" spans="2:13">
      <c r="C26" s="240"/>
      <c r="D26" s="87" t="s">
        <v>23</v>
      </c>
      <c r="E26" s="240"/>
      <c r="F26" s="240"/>
      <c r="G26" s="240"/>
      <c r="H26" s="22">
        <v>120.45</v>
      </c>
      <c r="I26" s="22">
        <v>319.04</v>
      </c>
      <c r="J26" s="22">
        <v>-211.57</v>
      </c>
      <c r="K26" s="22">
        <v>21.47</v>
      </c>
      <c r="L26" s="22">
        <v>300.54</v>
      </c>
      <c r="M26" s="240"/>
    </row>
    <row r="27" ht="16.5" customHeight="1" spans="2:13">
      <c r="C27" s="240"/>
      <c r="D27" s="102" t="s">
        <v>24</v>
      </c>
      <c r="E27" s="240"/>
      <c r="F27" s="240"/>
      <c r="G27" s="240"/>
      <c r="H27" s="241">
        <f>H25-H26</f>
        <v>5164.47</v>
      </c>
      <c r="I27" s="241">
        <f>I25-I26</f>
        <v>3729.49</v>
      </c>
      <c r="J27" s="241">
        <f>J25-J26</f>
        <v>5900.62</v>
      </c>
      <c r="K27" s="241">
        <f>K25-K26</f>
        <v>5922.37</v>
      </c>
      <c r="L27" s="241">
        <f>L25-L26</f>
        <v>3298.76999999999</v>
      </c>
      <c r="M27" s="240"/>
    </row>
    <row r="28" ht="16.5" customHeight="1" spans="2:13">
      <c r="C28" s="240"/>
      <c r="D28" s="87" t="s">
        <v>25</v>
      </c>
      <c r="E28" s="240"/>
      <c r="F28" s="240"/>
      <c r="G28" s="240"/>
      <c r="H28" s="22">
        <v>1453.43</v>
      </c>
      <c r="I28" s="22">
        <v>705.11</v>
      </c>
      <c r="J28" s="22">
        <v>1162.61</v>
      </c>
      <c r="K28" s="22">
        <v>763.96</v>
      </c>
      <c r="L28" s="22">
        <v>-2338.31</v>
      </c>
      <c r="M28" s="240"/>
    </row>
    <row r="29" ht="16.5" customHeight="1" spans="2:13">
      <c r="C29" s="240"/>
      <c r="D29" s="102" t="s">
        <v>26</v>
      </c>
      <c r="E29" s="240"/>
      <c r="F29" s="240"/>
      <c r="G29" s="240"/>
      <c r="H29" s="241">
        <f>H27-H28</f>
        <v>3711.04</v>
      </c>
      <c r="I29" s="241">
        <f>I27-I28</f>
        <v>3024.38</v>
      </c>
      <c r="J29" s="241">
        <f>J27-J28</f>
        <v>4738.01</v>
      </c>
      <c r="K29" s="241">
        <f>K27-K28</f>
        <v>5158.41</v>
      </c>
      <c r="L29" s="241">
        <f>L27-L28</f>
        <v>5637.07999999999</v>
      </c>
      <c r="M29" s="240"/>
    </row>
    <row r="30" ht="16.5" customHeight="1" spans="2:13"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</row>
    <row r="31" ht="16.5" customHeight="1" spans="2:13">
      <c r="B31" s="243" t="s">
        <v>27</v>
      </c>
    </row>
    <row r="32" ht="16.5" customHeight="1" spans="2:13">
      <c r="H32" s="242"/>
      <c r="I32" s="242"/>
      <c r="J32" s="242"/>
      <c r="K32" s="242"/>
    </row>
    <row r="33" ht="16.5" customHeight="1" spans="3:12">
      <c r="C33" s="102" t="s">
        <v>28</v>
      </c>
      <c r="H33" s="242"/>
      <c r="I33" s="242"/>
      <c r="J33" s="242"/>
      <c r="K33" s="242"/>
    </row>
    <row r="34" ht="16.5" customHeight="1" spans="3:12">
      <c r="D34" s="102" t="s">
        <v>29</v>
      </c>
      <c r="H34" s="242"/>
      <c r="I34" s="242"/>
      <c r="J34" s="242"/>
      <c r="K34" s="242"/>
      <c r="L34" s="242"/>
    </row>
    <row r="35" ht="16.5" customHeight="1" spans="3:12">
      <c r="D35" s="87" t="s">
        <v>30</v>
      </c>
      <c r="H35" s="22">
        <v>13661.89</v>
      </c>
      <c r="I35" s="22">
        <v>14729.35</v>
      </c>
      <c r="J35" s="22">
        <v>19956.67</v>
      </c>
      <c r="K35" s="22">
        <v>24656.29</v>
      </c>
      <c r="L35" s="22">
        <v>33801.18</v>
      </c>
    </row>
    <row r="36" ht="16.5" customHeight="1" spans="3:12">
      <c r="D36" s="87" t="s">
        <v>31</v>
      </c>
      <c r="H36" s="22">
        <v>497.87</v>
      </c>
      <c r="I36" s="22">
        <v>588.15</v>
      </c>
      <c r="J36" s="22">
        <v>758.34</v>
      </c>
      <c r="K36" s="22">
        <v>1464.76</v>
      </c>
      <c r="L36" s="22">
        <v>1483</v>
      </c>
    </row>
    <row r="37" ht="16.5" customHeight="1" spans="3:12">
      <c r="D37" s="87" t="s">
        <v>32</v>
      </c>
      <c r="H37" s="22">
        <v>2196.38</v>
      </c>
      <c r="I37" s="22">
        <v>2525.87</v>
      </c>
      <c r="J37" s="22">
        <v>2658.45</v>
      </c>
      <c r="K37" s="22">
        <v>9820.4</v>
      </c>
      <c r="L37" s="22">
        <v>9084.7</v>
      </c>
    </row>
    <row r="38" ht="16.5" customHeight="1" spans="3:12">
      <c r="D38" s="87" t="s">
        <v>33</v>
      </c>
      <c r="H38" s="22">
        <v>7869.69</v>
      </c>
      <c r="I38" s="22">
        <v>7869.69</v>
      </c>
      <c r="J38" s="22">
        <v>8219.27</v>
      </c>
      <c r="K38" s="22">
        <v>10856.07</v>
      </c>
      <c r="L38" s="22">
        <v>13545.52</v>
      </c>
    </row>
    <row r="39" ht="16.5" customHeight="1" spans="3:12">
      <c r="D39" s="87" t="s">
        <v>34</v>
      </c>
      <c r="H39" s="22">
        <v>224.11</v>
      </c>
      <c r="I39" s="22">
        <v>364.3</v>
      </c>
      <c r="J39" s="22">
        <v>3454.19</v>
      </c>
      <c r="K39" s="22">
        <v>5600.63</v>
      </c>
      <c r="L39" s="22">
        <v>9433.12</v>
      </c>
    </row>
    <row r="40" ht="16.5" customHeight="1" spans="3:12">
      <c r="D40" s="87" t="s">
        <v>35</v>
      </c>
      <c r="H40" s="22">
        <v>0</v>
      </c>
      <c r="I40" s="22">
        <v>0</v>
      </c>
      <c r="J40" s="22">
        <v>0</v>
      </c>
      <c r="K40" s="22">
        <v>65.31</v>
      </c>
      <c r="L40" s="22">
        <v>36.24</v>
      </c>
    </row>
    <row r="41" ht="16.5" customHeight="1" spans="3:12">
      <c r="D41" s="87" t="s">
        <v>36</v>
      </c>
      <c r="H41" s="22">
        <v>170.51</v>
      </c>
      <c r="I41" s="22">
        <v>186.05</v>
      </c>
      <c r="J41" s="22">
        <v>62.26</v>
      </c>
      <c r="K41" s="22">
        <v>60.39</v>
      </c>
      <c r="L41" s="22">
        <v>73.56</v>
      </c>
    </row>
    <row r="42" ht="16.5" customHeight="1" spans="3:12">
      <c r="C42" s="94" t="s">
        <v>37</v>
      </c>
      <c r="D42" s="87"/>
      <c r="H42" s="22"/>
      <c r="I42" s="22"/>
      <c r="J42" s="22"/>
      <c r="K42" s="22"/>
      <c r="L42" s="22"/>
    </row>
    <row r="43" ht="16.5" customHeight="1" spans="3:12">
      <c r="D43" s="244" t="s">
        <v>38</v>
      </c>
      <c r="H43" s="22">
        <v>27.6</v>
      </c>
      <c r="I43" s="22">
        <v>27.6</v>
      </c>
      <c r="J43" s="22">
        <v>27.6</v>
      </c>
      <c r="K43" s="22">
        <v>28.96</v>
      </c>
      <c r="L43" s="22">
        <v>39.61</v>
      </c>
    </row>
    <row r="44" ht="16.5" customHeight="1" spans="3:12">
      <c r="D44" s="244" t="s">
        <v>39</v>
      </c>
      <c r="H44" s="22">
        <v>11.56</v>
      </c>
      <c r="I44" s="22">
        <v>9.89</v>
      </c>
      <c r="J44" s="22">
        <v>11.58</v>
      </c>
      <c r="K44" s="22">
        <v>4.95</v>
      </c>
      <c r="L44" s="22">
        <v>5.04</v>
      </c>
    </row>
    <row r="45" ht="16.5" customHeight="1" spans="3:12">
      <c r="D45" s="244" t="s">
        <v>40</v>
      </c>
      <c r="H45" s="22">
        <v>1255.12</v>
      </c>
      <c r="I45" s="22">
        <v>3133.72</v>
      </c>
      <c r="J45" s="22">
        <v>1167.39</v>
      </c>
      <c r="K45" s="22">
        <v>3721.7</v>
      </c>
      <c r="L45" s="22">
        <v>3769.07</v>
      </c>
    </row>
    <row r="46" ht="16.5" customHeight="1" spans="3:12">
      <c r="D46" s="87" t="s">
        <v>41</v>
      </c>
      <c r="H46" s="22">
        <v>1125.86</v>
      </c>
      <c r="I46" s="22">
        <v>1128.08</v>
      </c>
      <c r="J46" s="22">
        <v>1250.36</v>
      </c>
      <c r="K46" s="22">
        <v>1748.48</v>
      </c>
      <c r="L46" s="22">
        <v>1534.83</v>
      </c>
    </row>
    <row r="47" ht="16.5" customHeight="1" spans="3:12">
      <c r="D47" s="87" t="s">
        <v>42</v>
      </c>
      <c r="H47" s="22">
        <v>2.91</v>
      </c>
      <c r="I47" s="22">
        <v>0</v>
      </c>
      <c r="J47" s="22">
        <v>36.94</v>
      </c>
      <c r="K47" s="22">
        <v>4.37</v>
      </c>
      <c r="L47" s="22">
        <v>32.66</v>
      </c>
    </row>
    <row r="48" ht="16.5" customHeight="1" spans="3:12">
      <c r="D48" s="87" t="s">
        <v>43</v>
      </c>
      <c r="H48" s="22">
        <v>1141.36</v>
      </c>
      <c r="I48" s="22">
        <v>1909.39</v>
      </c>
      <c r="J48" s="22">
        <v>2842.6</v>
      </c>
      <c r="K48" s="22">
        <v>3195.95</v>
      </c>
      <c r="L48" s="22">
        <v>3052.14</v>
      </c>
    </row>
    <row r="49" ht="16.5" customHeight="1" spans="3:12">
      <c r="D49" s="87"/>
      <c r="H49" s="22"/>
      <c r="I49" s="22"/>
      <c r="J49" s="22"/>
      <c r="K49" s="22"/>
      <c r="L49" s="22"/>
    </row>
    <row r="50" ht="16.5" customHeight="1" spans="3:12">
      <c r="C50" s="102" t="s">
        <v>44</v>
      </c>
      <c r="H50" s="22"/>
      <c r="I50" s="22"/>
      <c r="J50" s="22"/>
      <c r="K50" s="22"/>
      <c r="L50" s="22"/>
    </row>
    <row r="51" ht="16.5" customHeight="1" spans="3:12">
      <c r="D51" s="87" t="s">
        <v>45</v>
      </c>
      <c r="H51" s="22">
        <v>2738.04</v>
      </c>
      <c r="I51" s="22">
        <v>3272.79</v>
      </c>
      <c r="J51" s="22">
        <v>3608.55</v>
      </c>
      <c r="K51" s="22">
        <v>4248.01</v>
      </c>
      <c r="L51" s="22">
        <v>4552.33</v>
      </c>
    </row>
    <row r="52" ht="16.5" customHeight="1" spans="3:12">
      <c r="C52" s="94" t="s">
        <v>37</v>
      </c>
    </row>
    <row r="53" ht="16.5" customHeight="1" spans="3:12">
      <c r="D53" s="244" t="s">
        <v>46</v>
      </c>
      <c r="H53" s="22">
        <v>11358.49</v>
      </c>
      <c r="I53" s="22">
        <v>543.87</v>
      </c>
      <c r="J53" s="22">
        <v>3007.1</v>
      </c>
      <c r="K53" s="22">
        <v>5043.32</v>
      </c>
      <c r="L53" s="22">
        <v>891.59</v>
      </c>
    </row>
    <row r="54" ht="16.5" customHeight="1" spans="3:12">
      <c r="D54" s="244" t="s">
        <v>47</v>
      </c>
      <c r="H54" s="22">
        <v>335.8</v>
      </c>
      <c r="I54" s="22">
        <v>2417.17</v>
      </c>
      <c r="J54" s="22">
        <v>8061.77</v>
      </c>
      <c r="K54" s="22">
        <v>1128.84</v>
      </c>
      <c r="L54" s="22">
        <v>67.01</v>
      </c>
    </row>
    <row r="55" ht="16.5" customHeight="1" spans="3:12">
      <c r="D55" s="244" t="s">
        <v>48</v>
      </c>
      <c r="H55" s="22">
        <v>645.83</v>
      </c>
      <c r="I55" s="22">
        <v>1154.36</v>
      </c>
      <c r="J55" s="22">
        <v>1213.14</v>
      </c>
      <c r="K55" s="22">
        <v>1590.3</v>
      </c>
      <c r="L55" s="22">
        <v>1868.47</v>
      </c>
    </row>
    <row r="56" ht="16.5" customHeight="1" spans="3:12">
      <c r="D56" s="244" t="s">
        <v>39</v>
      </c>
      <c r="H56" s="22">
        <v>9.91</v>
      </c>
      <c r="I56" s="22">
        <v>8.61</v>
      </c>
      <c r="J56" s="22">
        <v>6.24</v>
      </c>
      <c r="K56" s="22">
        <v>7.7</v>
      </c>
      <c r="L56" s="22">
        <v>10.02</v>
      </c>
    </row>
    <row r="57" ht="16.5" customHeight="1" spans="3:12">
      <c r="D57" s="244" t="s">
        <v>38</v>
      </c>
      <c r="H57" s="22">
        <v>0</v>
      </c>
      <c r="I57" s="22">
        <v>0</v>
      </c>
      <c r="J57" s="22">
        <v>758.69</v>
      </c>
      <c r="K57" s="22">
        <v>1822.16</v>
      </c>
      <c r="L57" s="22">
        <v>0</v>
      </c>
    </row>
    <row r="58" ht="16.5" customHeight="1" spans="3:12">
      <c r="D58" s="244" t="s">
        <v>40</v>
      </c>
      <c r="H58" s="22">
        <v>474.25</v>
      </c>
      <c r="I58" s="22">
        <v>7901.58</v>
      </c>
      <c r="J58" s="22">
        <v>5715</v>
      </c>
      <c r="K58" s="22">
        <v>1888.24</v>
      </c>
      <c r="L58" s="22">
        <v>1794.45</v>
      </c>
    </row>
    <row r="59" ht="16.5" customHeight="1" spans="3:12">
      <c r="D59" s="244" t="s">
        <v>49</v>
      </c>
      <c r="H59" s="22">
        <v>0</v>
      </c>
      <c r="I59" s="22">
        <v>0</v>
      </c>
      <c r="J59" s="22">
        <v>0</v>
      </c>
      <c r="K59" s="22">
        <v>16.18</v>
      </c>
      <c r="L59" s="22">
        <v>0</v>
      </c>
    </row>
    <row r="60" ht="16.5" customHeight="1" spans="3:12">
      <c r="D60" s="87" t="s">
        <v>50</v>
      </c>
      <c r="H60" s="22">
        <v>1434.66</v>
      </c>
      <c r="I60" s="22">
        <v>3948.86</v>
      </c>
      <c r="J60" s="22">
        <v>2459.74</v>
      </c>
      <c r="K60" s="22">
        <v>3965.63</v>
      </c>
      <c r="L60" s="22">
        <v>4532.06</v>
      </c>
    </row>
    <row r="61" ht="16.5" customHeight="1" spans="3:12">
      <c r="D61" s="87" t="s">
        <v>51</v>
      </c>
      <c r="H61" s="22">
        <v>25.44</v>
      </c>
      <c r="I61" s="22">
        <v>2.13</v>
      </c>
      <c r="J61" s="22">
        <v>21.93</v>
      </c>
      <c r="K61" s="22">
        <v>6.77</v>
      </c>
      <c r="L61" s="22">
        <v>0</v>
      </c>
    </row>
    <row r="62" ht="16.5" customHeight="1" spans="3:12">
      <c r="D62" s="102" t="s">
        <v>52</v>
      </c>
      <c r="H62" s="94">
        <f>SUM(H51:H61)</f>
        <v>17022.42</v>
      </c>
      <c r="I62" s="94">
        <f>SUM(I51:I61)</f>
        <v>19249.37</v>
      </c>
      <c r="J62" s="94">
        <f>SUM(J51:J61)</f>
        <v>24852.16</v>
      </c>
      <c r="K62" s="94">
        <f>SUM(K51:K61)</f>
        <v>19717.15</v>
      </c>
      <c r="L62" s="94">
        <f>SUM(L51:L61)</f>
        <v>13715.93</v>
      </c>
    </row>
    <row r="63" ht="16.5" customHeight="1" spans="3:12">
      <c r="D63" s="102" t="s">
        <v>53</v>
      </c>
      <c r="H63" s="245">
        <f>SUM(H35:H61)</f>
        <v>45207.28</v>
      </c>
      <c r="I63" s="245">
        <f>SUM(I35:I61)</f>
        <v>51721.46</v>
      </c>
      <c r="J63" s="245">
        <f>SUM(J35:J61)</f>
        <v>65297.81</v>
      </c>
      <c r="K63" s="245">
        <f>SUM(K35:K61)</f>
        <v>80945.41</v>
      </c>
      <c r="L63" s="245">
        <f>SUM(L35:L61)</f>
        <v>89606.6</v>
      </c>
    </row>
    <row r="64" ht="16.5" customHeight="1" spans="3:12">
      <c r="D64" s="246"/>
      <c r="I64" s="246"/>
      <c r="J64" s="246"/>
      <c r="K64" s="246"/>
      <c r="L64" s="246"/>
    </row>
    <row r="65" ht="16.5" customHeight="1" spans="3:12">
      <c r="C65" s="102" t="s">
        <v>54</v>
      </c>
      <c r="H65" s="242"/>
      <c r="I65" s="242"/>
      <c r="J65" s="242"/>
      <c r="K65" s="242"/>
      <c r="L65" s="242"/>
    </row>
    <row r="66" ht="16.5" customHeight="1" spans="3:12">
      <c r="C66" s="102"/>
      <c r="H66" s="242"/>
      <c r="I66" s="242"/>
      <c r="J66" s="242"/>
      <c r="K66" s="242"/>
      <c r="L66" s="242"/>
    </row>
    <row r="67" ht="16.5" customHeight="1" spans="3:12">
      <c r="D67" s="102" t="s">
        <v>55</v>
      </c>
      <c r="H67" s="242"/>
      <c r="I67" s="242"/>
      <c r="J67" s="242"/>
      <c r="K67" s="242"/>
      <c r="L67" s="242"/>
    </row>
    <row r="68" ht="16.5" customHeight="1" spans="3:12">
      <c r="D68" s="87" t="s">
        <v>56</v>
      </c>
      <c r="H68" s="22">
        <v>397.13</v>
      </c>
      <c r="I68" s="22">
        <v>397.13</v>
      </c>
      <c r="J68" s="22">
        <v>439.54</v>
      </c>
      <c r="K68" s="22">
        <v>492.62</v>
      </c>
      <c r="L68" s="22">
        <v>494.36</v>
      </c>
    </row>
    <row r="69" ht="16.5" customHeight="1" spans="3:12">
      <c r="D69" s="87" t="s">
        <v>57</v>
      </c>
      <c r="H69" s="22">
        <v>24956.61</v>
      </c>
      <c r="I69" s="22">
        <v>26301.04</v>
      </c>
      <c r="J69" s="22">
        <v>38235.87</v>
      </c>
      <c r="K69" s="22">
        <v>52950.63</v>
      </c>
      <c r="L69" s="22">
        <v>58852.96</v>
      </c>
    </row>
    <row r="70" ht="16.5" customHeight="1" spans="3:12">
      <c r="D70" s="87" t="s">
        <v>58</v>
      </c>
      <c r="H70" s="22">
        <v>0</v>
      </c>
      <c r="I70" s="22">
        <v>5000.03</v>
      </c>
      <c r="J70" s="22">
        <v>2779.65</v>
      </c>
      <c r="K70" s="22">
        <v>0</v>
      </c>
      <c r="L70" s="22">
        <v>0</v>
      </c>
    </row>
    <row r="71" ht="16.5" customHeight="1" spans="3:12">
      <c r="D71" s="102" t="s">
        <v>59</v>
      </c>
      <c r="H71" s="241">
        <f>SUM(H68:H70)</f>
        <v>25353.74</v>
      </c>
      <c r="I71" s="241">
        <f>SUM(I68:I70)</f>
        <v>31698.2</v>
      </c>
      <c r="J71" s="241">
        <f>SUM(J68:J70)</f>
        <v>41455.06</v>
      </c>
      <c r="K71" s="241">
        <f>SUM(K68:K70)</f>
        <v>53443.25</v>
      </c>
      <c r="L71" s="241">
        <f>SUM(L68:L70)</f>
        <v>59347.32</v>
      </c>
    </row>
    <row r="72" ht="16.5" customHeight="1" spans="3:12">
      <c r="D72" s="87" t="s">
        <v>60</v>
      </c>
      <c r="H72" s="22">
        <v>7145.03</v>
      </c>
      <c r="I72" s="22">
        <v>7058.35</v>
      </c>
      <c r="J72" s="22">
        <v>9390.84</v>
      </c>
      <c r="K72" s="22">
        <v>10368.17</v>
      </c>
      <c r="L72" s="22">
        <v>12498.92</v>
      </c>
    </row>
    <row r="73" ht="16.5" customHeight="1" spans="3:12">
      <c r="D73" s="102" t="s">
        <v>61</v>
      </c>
      <c r="H73" s="241">
        <v>32498.77</v>
      </c>
      <c r="I73" s="241">
        <v>38756.55</v>
      </c>
      <c r="J73" s="241">
        <v>50845.9</v>
      </c>
      <c r="K73" s="241">
        <v>63811.42</v>
      </c>
      <c r="L73" s="241">
        <v>71846.24</v>
      </c>
    </row>
    <row r="74" ht="16.5" customHeight="1" spans="3:12">
      <c r="D74" s="102"/>
      <c r="H74" s="241"/>
      <c r="I74" s="241"/>
      <c r="J74" s="241"/>
      <c r="K74" s="241"/>
      <c r="L74" s="241"/>
    </row>
    <row r="75" ht="16.5" customHeight="1" spans="3:12">
      <c r="C75" s="102" t="s">
        <v>62</v>
      </c>
      <c r="H75" s="242"/>
      <c r="I75" s="242"/>
      <c r="J75" s="242"/>
      <c r="K75" s="242"/>
      <c r="L75" s="242"/>
    </row>
    <row r="76" ht="16.5" customHeight="1" spans="3:12">
      <c r="C76" s="94" t="s">
        <v>63</v>
      </c>
      <c r="H76" s="242"/>
      <c r="I76" s="242"/>
      <c r="J76" s="242"/>
      <c r="K76" s="242"/>
      <c r="L76" s="242"/>
    </row>
    <row r="77" ht="16.5" customHeight="1" spans="3:12">
      <c r="D77" s="244" t="s">
        <v>64</v>
      </c>
      <c r="H77" s="22">
        <v>43.5</v>
      </c>
      <c r="I77" s="22">
        <v>34.22</v>
      </c>
      <c r="J77" s="22">
        <v>18.91</v>
      </c>
      <c r="K77" s="22">
        <v>14.39</v>
      </c>
      <c r="L77" s="22">
        <v>44.79</v>
      </c>
    </row>
    <row r="78" ht="16.5" customHeight="1" spans="3:12">
      <c r="D78" s="244" t="s">
        <v>65</v>
      </c>
      <c r="H78" s="22">
        <v>362.52</v>
      </c>
      <c r="I78" s="22">
        <v>414.5</v>
      </c>
      <c r="J78" s="22">
        <v>499.05</v>
      </c>
      <c r="K78" s="22">
        <v>457.54</v>
      </c>
      <c r="L78" s="22">
        <v>621.63</v>
      </c>
    </row>
    <row r="79" ht="16.5" customHeight="1" spans="3:12">
      <c r="D79" s="244" t="s">
        <v>66</v>
      </c>
      <c r="H79" s="22">
        <v>0.13</v>
      </c>
      <c r="I79" s="22">
        <v>0</v>
      </c>
      <c r="J79" s="22">
        <v>0</v>
      </c>
      <c r="K79" s="22">
        <v>0</v>
      </c>
      <c r="L79" s="22">
        <v>142.38</v>
      </c>
    </row>
    <row r="80" ht="16.5" customHeight="1" spans="3:12">
      <c r="D80" s="87" t="s">
        <v>67</v>
      </c>
      <c r="H80" s="22">
        <v>281.54</v>
      </c>
      <c r="I80" s="22">
        <v>264.88</v>
      </c>
      <c r="J80" s="22">
        <v>255.97</v>
      </c>
      <c r="K80" s="22">
        <v>254.08</v>
      </c>
      <c r="L80" s="22">
        <v>236.45</v>
      </c>
    </row>
    <row r="81" ht="16.5" customHeight="1" spans="3:12">
      <c r="D81" s="87" t="s">
        <v>68</v>
      </c>
      <c r="H81" s="22">
        <v>756.19</v>
      </c>
      <c r="I81" s="22">
        <v>700.37</v>
      </c>
      <c r="J81" s="22">
        <v>1549.1</v>
      </c>
      <c r="K81" s="22">
        <v>2407.57</v>
      </c>
      <c r="L81" s="22">
        <v>3466.33</v>
      </c>
    </row>
    <row r="82" ht="16.5" customHeight="1" spans="3:12">
      <c r="D82" s="87" t="s">
        <v>69</v>
      </c>
      <c r="H82" s="22">
        <v>36.74</v>
      </c>
      <c r="I82" s="22">
        <v>37.27</v>
      </c>
      <c r="J82" s="22">
        <v>0</v>
      </c>
      <c r="K82" s="22">
        <v>155.15</v>
      </c>
      <c r="L82" s="22">
        <v>152.54</v>
      </c>
    </row>
    <row r="83" ht="16.5" customHeight="1" spans="3:12">
      <c r="D83" s="102" t="s">
        <v>70</v>
      </c>
      <c r="H83" s="241">
        <v>1480.62</v>
      </c>
      <c r="I83" s="241">
        <v>1451.24</v>
      </c>
      <c r="J83" s="241">
        <v>2323.03</v>
      </c>
      <c r="K83" s="241">
        <v>3288.73</v>
      </c>
      <c r="L83" s="241">
        <v>4664.12</v>
      </c>
    </row>
    <row r="84" ht="16.5" customHeight="1" spans="3:12">
      <c r="D84" s="102"/>
      <c r="H84" s="241"/>
      <c r="I84" s="241"/>
      <c r="J84" s="241"/>
      <c r="K84" s="241"/>
      <c r="L84" s="241"/>
    </row>
    <row r="85" ht="16.5" customHeight="1" spans="3:12">
      <c r="C85" s="102" t="s">
        <v>71</v>
      </c>
      <c r="H85" s="242"/>
      <c r="I85" s="242"/>
      <c r="J85" s="242"/>
      <c r="K85" s="242"/>
      <c r="L85" s="242"/>
    </row>
    <row r="86" ht="16.5" customHeight="1" spans="3:12">
      <c r="D86" s="87" t="s">
        <v>64</v>
      </c>
      <c r="H86" s="22"/>
      <c r="I86" s="22">
        <v>13.49</v>
      </c>
      <c r="J86" s="22">
        <v>17.87</v>
      </c>
      <c r="K86" s="22">
        <v>12.43</v>
      </c>
      <c r="L86" s="22">
        <v>7.99</v>
      </c>
    </row>
    <row r="87" ht="16.5" customHeight="1" spans="3:12">
      <c r="C87" s="94" t="s">
        <v>63</v>
      </c>
      <c r="D87" s="87"/>
      <c r="H87" s="22"/>
      <c r="I87" s="22"/>
      <c r="J87" s="22"/>
      <c r="K87" s="22"/>
      <c r="L87" s="22"/>
    </row>
    <row r="88" ht="16.5" customHeight="1" spans="3:12">
      <c r="D88" s="244" t="s">
        <v>72</v>
      </c>
      <c r="H88" s="22">
        <v>34.95</v>
      </c>
      <c r="I88" s="22">
        <v>51.22</v>
      </c>
      <c r="J88" s="22">
        <v>717.42</v>
      </c>
      <c r="K88" s="22">
        <v>472.59</v>
      </c>
      <c r="L88" s="22">
        <v>771.19</v>
      </c>
    </row>
    <row r="89" ht="16.5" customHeight="1" spans="3:12">
      <c r="D89" s="244" t="s">
        <v>73</v>
      </c>
      <c r="H89" s="22">
        <v>2877.87</v>
      </c>
      <c r="I89" s="22">
        <v>2722.69</v>
      </c>
      <c r="J89" s="22">
        <v>2391.33</v>
      </c>
      <c r="K89" s="22">
        <v>2286.87</v>
      </c>
      <c r="L89" s="22">
        <v>3413.84</v>
      </c>
    </row>
    <row r="90" ht="16.5" customHeight="1" spans="3:12">
      <c r="D90" s="244" t="s">
        <v>74</v>
      </c>
      <c r="H90" s="22">
        <v>67.11</v>
      </c>
      <c r="I90" s="22">
        <v>60.52</v>
      </c>
      <c r="J90" s="22">
        <v>163.18</v>
      </c>
      <c r="K90" s="22">
        <v>304.14</v>
      </c>
      <c r="L90" s="22">
        <v>191.52</v>
      </c>
    </row>
    <row r="91" ht="16.5" customHeight="1" spans="3:12">
      <c r="D91" s="244" t="s">
        <v>66</v>
      </c>
      <c r="H91" s="22">
        <v>2008.86</v>
      </c>
      <c r="I91" s="22">
        <v>2121.13</v>
      </c>
      <c r="J91" s="22">
        <v>2389.52</v>
      </c>
      <c r="K91" s="22">
        <v>4935.99</v>
      </c>
      <c r="L91" s="22">
        <v>5394.5</v>
      </c>
    </row>
    <row r="92" ht="16.5" customHeight="1" spans="3:12">
      <c r="D92" s="16" t="s">
        <v>75</v>
      </c>
      <c r="H92" s="22">
        <v>4305.87</v>
      </c>
      <c r="I92" s="22">
        <v>4732.7</v>
      </c>
      <c r="J92" s="22">
        <v>3751.65</v>
      </c>
      <c r="K92" s="22">
        <v>3057.19</v>
      </c>
      <c r="L92" s="22">
        <v>2495.17</v>
      </c>
    </row>
    <row r="93" ht="16.5" customHeight="1" spans="3:12">
      <c r="D93" s="87" t="s">
        <v>67</v>
      </c>
      <c r="H93" s="22">
        <v>24.64</v>
      </c>
      <c r="I93" s="22">
        <v>14.64</v>
      </c>
      <c r="J93" s="22">
        <v>42.97</v>
      </c>
      <c r="K93" s="22">
        <v>55.09</v>
      </c>
      <c r="L93" s="22">
        <v>259.04</v>
      </c>
    </row>
    <row r="94" ht="16.5" customHeight="1" spans="3:12">
      <c r="D94" s="87" t="s">
        <v>76</v>
      </c>
      <c r="H94" s="22">
        <v>1908.59</v>
      </c>
      <c r="I94" s="22">
        <v>1797.28</v>
      </c>
      <c r="J94" s="22">
        <v>2654.94</v>
      </c>
      <c r="K94" s="22">
        <v>2720.96</v>
      </c>
      <c r="L94" s="22">
        <v>562.99</v>
      </c>
    </row>
    <row r="95" ht="16.5" customHeight="1" spans="3:12">
      <c r="D95" s="102" t="s">
        <v>77</v>
      </c>
      <c r="H95" s="241">
        <v>11227.89</v>
      </c>
      <c r="I95" s="241">
        <v>11513.67</v>
      </c>
      <c r="J95" s="241">
        <v>12128.88</v>
      </c>
      <c r="K95" s="241">
        <v>13845.26</v>
      </c>
      <c r="L95" s="241">
        <v>13096.24</v>
      </c>
    </row>
    <row r="96" ht="16.5" customHeight="1" spans="3:12">
      <c r="D96" s="102" t="s">
        <v>78</v>
      </c>
      <c r="H96" s="241">
        <f>H83+H95</f>
        <v>12708.51</v>
      </c>
      <c r="I96" s="241">
        <f>I83+I95</f>
        <v>12964.91</v>
      </c>
      <c r="J96" s="241">
        <f>J83+J95</f>
        <v>14451.91</v>
      </c>
      <c r="K96" s="241">
        <f>K83+K95</f>
        <v>17133.99</v>
      </c>
      <c r="L96" s="241">
        <f>L83+L95</f>
        <v>17760.36</v>
      </c>
    </row>
    <row r="97" ht="16.5" customHeight="1" spans="2:12">
      <c r="D97" s="102" t="s">
        <v>79</v>
      </c>
      <c r="H97" s="241">
        <f>SUM(H77:H82,H86:H94)+H73</f>
        <v>45207.28</v>
      </c>
      <c r="I97" s="241">
        <f>I73+I96</f>
        <v>51721.46</v>
      </c>
      <c r="J97" s="241">
        <f>J73+J96</f>
        <v>65297.81</v>
      </c>
      <c r="K97" s="241">
        <f>K73+K96</f>
        <v>80945.41</v>
      </c>
      <c r="L97" s="241">
        <f>L73+L96</f>
        <v>89606.6</v>
      </c>
    </row>
    <row r="99" ht="16.5" customHeight="1" spans="2:12">
      <c r="B99" s="243" t="s">
        <v>80</v>
      </c>
    </row>
    <row r="100" ht="16.5" customHeight="1" spans="2:12">
      <c r="B100" s="243"/>
    </row>
    <row r="101" ht="16.5" customHeight="1" spans="2:12">
      <c r="C101" s="102" t="s">
        <v>81</v>
      </c>
      <c r="H101" s="102"/>
      <c r="I101" s="102"/>
      <c r="J101" s="102"/>
      <c r="K101" s="102"/>
      <c r="L101" s="102"/>
    </row>
    <row r="102" ht="16.5" customHeight="1" spans="2:12">
      <c r="D102" s="89" t="s">
        <v>24</v>
      </c>
      <c r="H102" s="22">
        <v>5164.47</v>
      </c>
      <c r="I102" s="22">
        <v>3729.49</v>
      </c>
      <c r="J102" s="22">
        <v>5900.62</v>
      </c>
      <c r="K102" s="22">
        <v>5922.37</v>
      </c>
      <c r="L102" s="22">
        <v>3298.77</v>
      </c>
    </row>
    <row r="103" ht="16.5" customHeight="1" spans="2:12">
      <c r="D103" s="102" t="s">
        <v>82</v>
      </c>
      <c r="H103" s="102"/>
      <c r="I103" s="102"/>
      <c r="J103" s="102"/>
      <c r="K103" s="102"/>
      <c r="L103" s="102"/>
    </row>
    <row r="104" ht="16.5" customHeight="1" spans="2:12">
      <c r="D104" s="87" t="s">
        <v>83</v>
      </c>
      <c r="H104" s="22">
        <v>1152.49</v>
      </c>
      <c r="I104" s="22">
        <v>1644.67</v>
      </c>
      <c r="J104" s="22">
        <v>1623.38</v>
      </c>
      <c r="K104" s="22">
        <v>2478.34</v>
      </c>
      <c r="L104" s="22">
        <v>3570.41</v>
      </c>
    </row>
    <row r="105" ht="16.5" customHeight="1" spans="2:12">
      <c r="D105" s="87" t="s">
        <v>84</v>
      </c>
      <c r="H105" s="22">
        <v>25.27</v>
      </c>
      <c r="I105" s="22">
        <v>-96.09</v>
      </c>
      <c r="J105" s="22">
        <v>-115.81</v>
      </c>
      <c r="K105" s="22">
        <v>-35.79</v>
      </c>
      <c r="L105" s="22">
        <v>37.94</v>
      </c>
    </row>
    <row r="106" ht="16.5" customHeight="1" spans="2:12">
      <c r="D106" s="87" t="s">
        <v>85</v>
      </c>
      <c r="H106" s="22">
        <v>113.11</v>
      </c>
      <c r="I106" s="22">
        <v>0</v>
      </c>
      <c r="J106" s="22">
        <v>-211.57</v>
      </c>
      <c r="K106" s="22">
        <v>21.47</v>
      </c>
      <c r="L106" s="22">
        <v>300.54</v>
      </c>
    </row>
    <row r="107" ht="16.5" customHeight="1" spans="2:12">
      <c r="D107" s="87" t="s">
        <v>86</v>
      </c>
      <c r="H107" s="22">
        <v>0</v>
      </c>
      <c r="I107" s="22">
        <v>147.13</v>
      </c>
      <c r="J107" s="22">
        <v>0</v>
      </c>
      <c r="K107" s="22">
        <v>0</v>
      </c>
      <c r="L107" s="22">
        <v>0</v>
      </c>
    </row>
    <row r="108" ht="16.5" customHeight="1" spans="2:12">
      <c r="D108" s="87" t="s">
        <v>87</v>
      </c>
      <c r="H108" s="22">
        <v>6.42</v>
      </c>
      <c r="I108" s="22">
        <v>0</v>
      </c>
      <c r="J108" s="22">
        <v>0</v>
      </c>
      <c r="K108" s="22">
        <v>0</v>
      </c>
      <c r="L108" s="22">
        <v>0</v>
      </c>
    </row>
    <row r="109" ht="16.5" customHeight="1" spans="2:12">
      <c r="D109" s="87" t="s">
        <v>88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</row>
    <row r="110" ht="16.5" customHeight="1" spans="2:12">
      <c r="D110" s="87" t="s">
        <v>89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</row>
    <row r="111" ht="16.5" customHeight="1" spans="2:12">
      <c r="D111" s="87" t="s">
        <v>90</v>
      </c>
      <c r="H111" s="22">
        <v>0</v>
      </c>
      <c r="I111" s="22">
        <v>0</v>
      </c>
      <c r="J111" s="22">
        <v>0</v>
      </c>
      <c r="K111" s="22">
        <v>0</v>
      </c>
      <c r="L111" s="22">
        <v>-122.94</v>
      </c>
    </row>
    <row r="112" ht="16.5" customHeight="1" spans="2:12">
      <c r="D112" s="87" t="s">
        <v>91</v>
      </c>
      <c r="H112" s="22">
        <v>-17.8</v>
      </c>
      <c r="I112" s="22">
        <v>-52.25</v>
      </c>
      <c r="J112" s="22">
        <v>-46.31</v>
      </c>
      <c r="K112" s="22">
        <v>-116.72</v>
      </c>
      <c r="L112" s="22">
        <v>-67.2</v>
      </c>
    </row>
    <row r="113" ht="16.5" customHeight="1" spans="4:12">
      <c r="D113" s="87" t="s">
        <v>92</v>
      </c>
      <c r="H113" s="22">
        <v>-0.37</v>
      </c>
      <c r="I113" s="22">
        <v>-0.21</v>
      </c>
      <c r="J113" s="22">
        <v>-16.76</v>
      </c>
      <c r="K113" s="22">
        <v>-27.19</v>
      </c>
      <c r="L113" s="22">
        <v>-2.6</v>
      </c>
    </row>
    <row r="114" ht="16.5" customHeight="1" spans="4:12">
      <c r="D114" s="87" t="s">
        <v>93</v>
      </c>
      <c r="H114" s="22">
        <v>0</v>
      </c>
      <c r="I114" s="22">
        <v>-16.52</v>
      </c>
      <c r="J114" s="22">
        <v>0</v>
      </c>
      <c r="K114" s="22">
        <v>0</v>
      </c>
      <c r="L114" s="22">
        <v>0</v>
      </c>
    </row>
    <row r="115" ht="16.5" customHeight="1" spans="4:12">
      <c r="D115" s="87" t="s">
        <v>94</v>
      </c>
      <c r="H115" s="22">
        <v>3.34</v>
      </c>
      <c r="I115" s="22">
        <v>0</v>
      </c>
      <c r="J115" s="22">
        <v>0</v>
      </c>
      <c r="K115" s="22">
        <v>0</v>
      </c>
      <c r="L115" s="22">
        <v>0</v>
      </c>
    </row>
    <row r="116" ht="16.5" customHeight="1" spans="4:12">
      <c r="D116" s="87" t="s">
        <v>13</v>
      </c>
      <c r="H116" s="22">
        <v>142.32</v>
      </c>
      <c r="I116" s="22">
        <v>190.54</v>
      </c>
      <c r="J116" s="22">
        <v>276.38</v>
      </c>
      <c r="K116" s="22">
        <v>215.94</v>
      </c>
      <c r="L116" s="22">
        <v>223.61</v>
      </c>
    </row>
    <row r="117" ht="16.5" customHeight="1" spans="4:12">
      <c r="D117" s="87" t="s">
        <v>95</v>
      </c>
      <c r="H117" s="22">
        <v>-302.3</v>
      </c>
      <c r="I117" s="22">
        <v>-538.26</v>
      </c>
      <c r="J117" s="22">
        <v>-936.9</v>
      </c>
      <c r="K117" s="22">
        <v>-2433.91</v>
      </c>
      <c r="L117" s="22">
        <v>-536.75</v>
      </c>
    </row>
    <row r="118" ht="16.5" customHeight="1" spans="4:12">
      <c r="D118" s="87" t="s">
        <v>96</v>
      </c>
      <c r="H118" s="22">
        <v>29.85</v>
      </c>
      <c r="I118" s="22">
        <v>-2.57</v>
      </c>
      <c r="J118" s="22">
        <v>-6.05</v>
      </c>
      <c r="K118" s="22">
        <v>17.56</v>
      </c>
      <c r="L118" s="22">
        <v>36.26</v>
      </c>
    </row>
    <row r="119" ht="16.5" customHeight="1" spans="4:12">
      <c r="D119" s="87" t="s">
        <v>97</v>
      </c>
      <c r="H119" s="22">
        <v>-8.79</v>
      </c>
      <c r="I119" s="22">
        <v>7.22</v>
      </c>
      <c r="J119" s="22">
        <v>18.8</v>
      </c>
      <c r="K119" s="22">
        <v>9.37</v>
      </c>
      <c r="L119" s="22">
        <v>20.16</v>
      </c>
    </row>
    <row r="120" ht="16.5" customHeight="1" spans="4:12">
      <c r="D120" s="87" t="s">
        <v>98</v>
      </c>
      <c r="H120" s="22">
        <v>3.36</v>
      </c>
      <c r="I120" s="22">
        <v>37.44</v>
      </c>
      <c r="J120" s="22">
        <v>2.47</v>
      </c>
      <c r="K120" s="22">
        <v>6.16</v>
      </c>
      <c r="L120" s="22">
        <v>283.78</v>
      </c>
    </row>
    <row r="121" ht="16.5" customHeight="1" spans="4:12">
      <c r="D121" s="87" t="s">
        <v>99</v>
      </c>
      <c r="H121" s="22">
        <v>5.92</v>
      </c>
      <c r="I121" s="22">
        <v>-7.31</v>
      </c>
      <c r="J121" s="22">
        <v>5.46</v>
      </c>
      <c r="K121" s="22">
        <v>0.47</v>
      </c>
      <c r="L121" s="22">
        <v>-91.1</v>
      </c>
    </row>
    <row r="122" ht="16.5" customHeight="1" spans="4:12">
      <c r="D122" s="87" t="s">
        <v>100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</row>
    <row r="123" ht="16.5" customHeight="1" spans="4:12">
      <c r="D123" s="87" t="s">
        <v>101</v>
      </c>
      <c r="H123" s="22">
        <v>-18.53</v>
      </c>
      <c r="I123" s="22">
        <v>-46.84</v>
      </c>
      <c r="J123" s="22">
        <v>-110.01</v>
      </c>
      <c r="K123" s="22">
        <v>0</v>
      </c>
      <c r="L123" s="22">
        <v>0</v>
      </c>
    </row>
    <row r="124" ht="16.5" customHeight="1" spans="4:12">
      <c r="D124" s="87" t="s">
        <v>102</v>
      </c>
      <c r="H124" s="22">
        <v>8.01</v>
      </c>
      <c r="I124" s="22">
        <v>2.94</v>
      </c>
      <c r="J124" s="22">
        <v>0</v>
      </c>
      <c r="K124" s="22">
        <v>0</v>
      </c>
      <c r="L124" s="22">
        <v>0</v>
      </c>
    </row>
    <row r="125" ht="16.5" customHeight="1" spans="4:12">
      <c r="D125" s="87" t="s">
        <v>103</v>
      </c>
      <c r="H125" s="22">
        <v>2.4</v>
      </c>
      <c r="I125" s="22">
        <v>0</v>
      </c>
      <c r="J125" s="22">
        <v>0</v>
      </c>
      <c r="K125" s="22">
        <v>0</v>
      </c>
      <c r="L125" s="22">
        <v>0</v>
      </c>
    </row>
    <row r="126" ht="16.5" customHeight="1" spans="4:12">
      <c r="D126" s="87" t="s">
        <v>104</v>
      </c>
      <c r="H126" s="22">
        <v>-0.13</v>
      </c>
      <c r="I126" s="22">
        <v>0</v>
      </c>
      <c r="J126" s="22">
        <v>0</v>
      </c>
      <c r="K126" s="22">
        <v>0</v>
      </c>
      <c r="L126" s="22">
        <v>0</v>
      </c>
    </row>
    <row r="127" ht="16.5" customHeight="1" spans="4:12">
      <c r="D127" s="87" t="s">
        <v>105</v>
      </c>
      <c r="H127" s="22">
        <v>-20.23</v>
      </c>
      <c r="I127" s="22">
        <v>-28.02</v>
      </c>
      <c r="J127" s="22">
        <v>-22.9</v>
      </c>
      <c r="K127" s="22">
        <v>-13.22</v>
      </c>
      <c r="L127" s="22">
        <v>-20.05</v>
      </c>
    </row>
    <row r="128" ht="16.5" customHeight="1" spans="4:12">
      <c r="D128" s="87" t="s">
        <v>106</v>
      </c>
      <c r="H128" s="22">
        <v>-0.63</v>
      </c>
      <c r="I128" s="22">
        <v>-25.04</v>
      </c>
      <c r="J128" s="22">
        <v>6.49</v>
      </c>
      <c r="K128" s="22">
        <v>-26.1</v>
      </c>
      <c r="L128" s="22">
        <v>-3.89</v>
      </c>
    </row>
    <row r="129" ht="16.5" customHeight="1" spans="3:12">
      <c r="D129" s="102" t="s">
        <v>107</v>
      </c>
      <c r="H129" s="247">
        <f>SUM(H102,H104:H128)</f>
        <v>6288.18</v>
      </c>
      <c r="I129" s="247">
        <f>SUM(I102,I104:I128)</f>
        <v>4946.32</v>
      </c>
      <c r="J129" s="247">
        <f>SUM(J102,J104:J128)</f>
        <v>6367.29</v>
      </c>
      <c r="K129" s="247">
        <f>SUM(K102,K104:K128)</f>
        <v>6018.75</v>
      </c>
      <c r="L129" s="247">
        <f>SUM(L102,L104:L128)</f>
        <v>6926.94</v>
      </c>
    </row>
    <row r="130" ht="16.5" customHeight="1" spans="3:12">
      <c r="D130" s="102" t="s">
        <v>108</v>
      </c>
      <c r="H130" s="102"/>
      <c r="I130" s="102"/>
      <c r="J130" s="102"/>
      <c r="K130" s="102"/>
      <c r="L130" s="102"/>
    </row>
    <row r="131" ht="16.5" customHeight="1" spans="3:12">
      <c r="D131" s="244" t="s">
        <v>109</v>
      </c>
      <c r="H131" s="22">
        <v>-1121.71</v>
      </c>
      <c r="I131" s="22">
        <v>-466.99</v>
      </c>
      <c r="J131" s="22">
        <v>-228.29</v>
      </c>
      <c r="K131" s="22">
        <v>-512.89</v>
      </c>
      <c r="L131" s="22">
        <v>-9.26</v>
      </c>
    </row>
    <row r="132" ht="16.5" customHeight="1" spans="3:12">
      <c r="D132" s="244" t="s">
        <v>110</v>
      </c>
      <c r="H132" s="22">
        <v>-268.03</v>
      </c>
      <c r="I132" s="22">
        <v>-547.07</v>
      </c>
      <c r="J132" s="22">
        <v>24.35</v>
      </c>
      <c r="K132" s="22">
        <v>-382.32</v>
      </c>
      <c r="L132" s="22">
        <v>-21.37</v>
      </c>
    </row>
    <row r="133" ht="16.5" customHeight="1" spans="3:12">
      <c r="D133" s="244" t="s">
        <v>111</v>
      </c>
      <c r="H133" s="22">
        <v>0</v>
      </c>
      <c r="I133" s="22">
        <v>0</v>
      </c>
      <c r="J133" s="22">
        <v>0</v>
      </c>
      <c r="K133" s="22">
        <v>-305.02</v>
      </c>
      <c r="L133" s="22">
        <v>90.24</v>
      </c>
    </row>
    <row r="134" ht="16.5" customHeight="1" spans="3:12">
      <c r="D134" s="244" t="s">
        <v>112</v>
      </c>
      <c r="H134" s="22">
        <v>0</v>
      </c>
      <c r="I134" s="22">
        <v>-2720.44</v>
      </c>
      <c r="J134" s="22">
        <v>975.24</v>
      </c>
      <c r="K134" s="22">
        <v>-995.13</v>
      </c>
      <c r="L134" s="22">
        <v>-1335.43</v>
      </c>
    </row>
    <row r="135" ht="16.5" customHeight="1" spans="3:12">
      <c r="D135" s="244" t="s">
        <v>113</v>
      </c>
      <c r="H135" s="22">
        <v>1058.33</v>
      </c>
      <c r="I135" s="22">
        <v>-27.76</v>
      </c>
      <c r="J135" s="22">
        <v>102.98</v>
      </c>
      <c r="K135" s="22">
        <v>-576.29</v>
      </c>
      <c r="L135" s="22">
        <v>665</v>
      </c>
    </row>
    <row r="136" ht="16.5" customHeight="1" spans="3:12">
      <c r="D136" s="244" t="s">
        <v>114</v>
      </c>
      <c r="H136" s="22">
        <v>0</v>
      </c>
      <c r="I136" s="22">
        <v>-1.76</v>
      </c>
      <c r="J136" s="22">
        <v>45.83</v>
      </c>
      <c r="K136" s="22">
        <v>-70.04</v>
      </c>
      <c r="L136" s="22">
        <v>-28.88</v>
      </c>
    </row>
    <row r="137" ht="16.5" customHeight="1" spans="3:12">
      <c r="D137" s="244" t="s">
        <v>115</v>
      </c>
      <c r="H137" s="22">
        <v>0</v>
      </c>
      <c r="I137" s="22">
        <v>0</v>
      </c>
      <c r="J137" s="22">
        <v>0</v>
      </c>
      <c r="K137" s="22">
        <v>-506.44</v>
      </c>
      <c r="L137" s="22">
        <v>-301.37</v>
      </c>
    </row>
    <row r="138" ht="16.5" customHeight="1" spans="3:12">
      <c r="D138" s="244" t="s">
        <v>116</v>
      </c>
      <c r="H138" s="22">
        <v>0</v>
      </c>
      <c r="I138" s="22">
        <v>291.11</v>
      </c>
      <c r="J138" s="22">
        <v>-726.02</v>
      </c>
      <c r="K138" s="22">
        <v>-53.09</v>
      </c>
      <c r="L138" s="22">
        <v>-906.55</v>
      </c>
    </row>
    <row r="139" ht="16.5" customHeight="1" spans="3:12">
      <c r="D139" s="102" t="s">
        <v>117</v>
      </c>
      <c r="H139" s="242">
        <f>SUM(H131:H138)</f>
        <v>-331.41</v>
      </c>
      <c r="I139" s="242">
        <f>SUM(I131:I138)</f>
        <v>-3472.91</v>
      </c>
      <c r="J139" s="242">
        <f>SUM(J131:J138)</f>
        <v>194.09</v>
      </c>
      <c r="K139" s="242">
        <f>SUM(K131:K138)</f>
        <v>-3401.22</v>
      </c>
      <c r="L139" s="242">
        <f>SUM(L131:L138)</f>
        <v>-1847.62</v>
      </c>
    </row>
    <row r="140" ht="16.5" customHeight="1" spans="3:12">
      <c r="D140" s="102" t="s">
        <v>118</v>
      </c>
      <c r="H140" s="242">
        <f>H129+H139</f>
        <v>5956.77</v>
      </c>
      <c r="I140" s="242">
        <f>I129+I139</f>
        <v>1473.41</v>
      </c>
      <c r="J140" s="242">
        <f>J129+J139</f>
        <v>6561.38</v>
      </c>
      <c r="K140" s="242">
        <f>K129+K139</f>
        <v>2617.53</v>
      </c>
      <c r="L140" s="242">
        <f>L129+L139</f>
        <v>5079.32</v>
      </c>
    </row>
    <row r="141" ht="16.5" customHeight="1" spans="3:12">
      <c r="D141" s="89" t="s">
        <v>119</v>
      </c>
      <c r="H141" s="22">
        <v>-647.61</v>
      </c>
      <c r="I141" s="22">
        <v>-738.49</v>
      </c>
      <c r="J141" s="22">
        <v>-915.56</v>
      </c>
      <c r="K141" s="22">
        <v>-380.18</v>
      </c>
      <c r="L141" s="22">
        <v>282.21</v>
      </c>
    </row>
    <row r="142" ht="16.5" customHeight="1" spans="3:12">
      <c r="D142" s="102" t="s">
        <v>120</v>
      </c>
      <c r="H142" s="247">
        <f>H140+H141</f>
        <v>5309.16</v>
      </c>
      <c r="I142" s="247">
        <f>I140+I141</f>
        <v>734.919999999998</v>
      </c>
      <c r="J142" s="247">
        <f>J140+J141</f>
        <v>5645.82</v>
      </c>
      <c r="K142" s="247">
        <f>K140+K141</f>
        <v>2237.35</v>
      </c>
      <c r="L142" s="247">
        <f>L140+L141</f>
        <v>5361.53</v>
      </c>
    </row>
    <row r="143" ht="16.5" customHeight="1" spans="3:12">
      <c r="D143" s="246"/>
      <c r="H143" s="246"/>
      <c r="I143" s="246"/>
      <c r="J143" s="246"/>
      <c r="K143" s="246"/>
      <c r="L143" s="246"/>
    </row>
    <row r="144" ht="16.5" customHeight="1" spans="3:12">
      <c r="C144" s="102" t="s">
        <v>121</v>
      </c>
      <c r="H144" s="102"/>
      <c r="I144" s="102"/>
      <c r="J144" s="102"/>
      <c r="K144" s="102"/>
      <c r="L144" s="102"/>
    </row>
    <row r="145" ht="16.5" customHeight="1" spans="4:12">
      <c r="D145" s="87" t="s">
        <v>122</v>
      </c>
      <c r="H145" s="22">
        <v>-2334.1</v>
      </c>
      <c r="I145" s="22">
        <v>-4231.78</v>
      </c>
      <c r="J145" s="22">
        <v>-4482.46</v>
      </c>
      <c r="K145" s="22">
        <v>-8687.05</v>
      </c>
      <c r="L145" s="22">
        <v>-6344.33</v>
      </c>
    </row>
    <row r="146" ht="16.5" customHeight="1" spans="4:12">
      <c r="D146" s="87" t="s">
        <v>123</v>
      </c>
      <c r="H146" s="22">
        <v>37.76</v>
      </c>
      <c r="I146" s="22">
        <v>165.85</v>
      </c>
      <c r="J146" s="22">
        <v>521.32</v>
      </c>
      <c r="K146" s="22">
        <v>95.56</v>
      </c>
      <c r="L146" s="22">
        <v>388.62</v>
      </c>
    </row>
    <row r="147" ht="16.5" customHeight="1" spans="4:12">
      <c r="D147" s="87" t="s">
        <v>124</v>
      </c>
      <c r="H147" s="22">
        <v>-0.02</v>
      </c>
      <c r="I147" s="22">
        <v>-0.05</v>
      </c>
      <c r="J147" s="22">
        <v>-2340.61</v>
      </c>
      <c r="K147" s="22">
        <v>0</v>
      </c>
      <c r="L147" s="22">
        <v>0</v>
      </c>
    </row>
    <row r="148" ht="16.5" customHeight="1" spans="4:12">
      <c r="D148" s="87" t="s">
        <v>125</v>
      </c>
      <c r="H148" s="22">
        <v>0</v>
      </c>
      <c r="I148" s="22">
        <v>0</v>
      </c>
      <c r="J148" s="22">
        <v>255</v>
      </c>
      <c r="K148" s="22">
        <v>5.17</v>
      </c>
      <c r="L148" s="22">
        <v>0</v>
      </c>
    </row>
    <row r="149" ht="16.5" customHeight="1" spans="4:12">
      <c r="D149" s="87" t="s">
        <v>126</v>
      </c>
      <c r="H149" s="22">
        <v>3.79</v>
      </c>
      <c r="I149" s="22">
        <v>-10914.28</v>
      </c>
      <c r="J149" s="22">
        <v>-927.24</v>
      </c>
      <c r="K149" s="22">
        <v>9142.18</v>
      </c>
      <c r="L149" s="22">
        <v>2376.66</v>
      </c>
    </row>
    <row r="150" ht="16.5" customHeight="1" spans="4:12">
      <c r="D150" s="87" t="s">
        <v>127</v>
      </c>
      <c r="H150" s="22">
        <v>0</v>
      </c>
      <c r="I150" s="22">
        <v>0</v>
      </c>
      <c r="J150" s="22">
        <v>-751.33</v>
      </c>
      <c r="K150" s="22">
        <v>-1041.57</v>
      </c>
      <c r="L150" s="22">
        <v>1824.63</v>
      </c>
    </row>
    <row r="151" ht="16.5" customHeight="1" spans="4:12">
      <c r="D151" s="87" t="s">
        <v>128</v>
      </c>
      <c r="H151" s="22">
        <v>-14.9</v>
      </c>
      <c r="I151" s="22">
        <v>0</v>
      </c>
      <c r="J151" s="22">
        <v>0</v>
      </c>
      <c r="K151" s="22">
        <v>-3910</v>
      </c>
      <c r="L151" s="22">
        <v>0</v>
      </c>
    </row>
    <row r="152" ht="16.5" customHeight="1" spans="4:12">
      <c r="D152" s="87" t="s">
        <v>129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</row>
    <row r="153" ht="16.5" customHeight="1" spans="4:12">
      <c r="D153" s="87" t="s">
        <v>130</v>
      </c>
      <c r="H153" s="22">
        <v>0</v>
      </c>
      <c r="I153" s="22">
        <v>0</v>
      </c>
      <c r="J153" s="22">
        <v>-2354.27</v>
      </c>
      <c r="K153" s="22">
        <v>-3897.55</v>
      </c>
      <c r="L153" s="22">
        <v>-6620.88</v>
      </c>
    </row>
    <row r="154" ht="16.5" customHeight="1" spans="4:12">
      <c r="D154" s="87" t="s">
        <v>131</v>
      </c>
      <c r="H154" s="22">
        <v>0</v>
      </c>
      <c r="I154" s="22">
        <v>0</v>
      </c>
      <c r="J154" s="22">
        <v>0</v>
      </c>
      <c r="K154" s="22">
        <v>-413.75</v>
      </c>
      <c r="L154" s="22">
        <v>0</v>
      </c>
    </row>
    <row r="155" ht="16.5" customHeight="1" spans="4:12">
      <c r="D155" s="87" t="s">
        <v>132</v>
      </c>
      <c r="H155" s="22">
        <v>0</v>
      </c>
      <c r="I155" s="22">
        <v>0</v>
      </c>
      <c r="J155" s="22">
        <v>46.05</v>
      </c>
      <c r="K155" s="22">
        <v>61</v>
      </c>
      <c r="L155" s="22">
        <v>0</v>
      </c>
    </row>
    <row r="156" ht="16.5" customHeight="1" spans="4:12">
      <c r="D156" s="87" t="s">
        <v>133</v>
      </c>
      <c r="H156" s="22">
        <v>0</v>
      </c>
      <c r="I156" s="22">
        <v>0</v>
      </c>
      <c r="J156" s="22">
        <v>0</v>
      </c>
      <c r="K156" s="22">
        <v>1.56</v>
      </c>
      <c r="L156" s="22">
        <v>40</v>
      </c>
    </row>
    <row r="157" ht="16.5" customHeight="1" spans="4:12">
      <c r="D157" s="87" t="s">
        <v>134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</row>
    <row r="158" ht="16.5" customHeight="1" spans="4:12">
      <c r="D158" s="87" t="s">
        <v>135</v>
      </c>
      <c r="H158" s="22">
        <v>8.26</v>
      </c>
      <c r="I158" s="22">
        <v>52.25</v>
      </c>
      <c r="J158" s="22">
        <v>0</v>
      </c>
      <c r="K158" s="22">
        <v>0</v>
      </c>
      <c r="L158" s="22">
        <v>0</v>
      </c>
    </row>
    <row r="159" ht="16.5" customHeight="1" spans="4:12">
      <c r="D159" s="87" t="s">
        <v>136</v>
      </c>
      <c r="H159" s="22">
        <v>9.54</v>
      </c>
      <c r="I159" s="22">
        <v>0</v>
      </c>
      <c r="J159" s="22">
        <v>53.47</v>
      </c>
      <c r="K159" s="22">
        <v>116.72</v>
      </c>
      <c r="L159" s="22">
        <v>67.2</v>
      </c>
    </row>
    <row r="160" ht="16.5" customHeight="1" spans="4:12">
      <c r="D160" s="87" t="s">
        <v>137</v>
      </c>
      <c r="H160" s="22">
        <v>4.31</v>
      </c>
      <c r="I160" s="22">
        <v>12.39</v>
      </c>
      <c r="J160" s="22">
        <v>26.04</v>
      </c>
      <c r="K160" s="22">
        <v>15.07</v>
      </c>
      <c r="L160" s="22">
        <v>6.89</v>
      </c>
    </row>
    <row r="161" ht="16.5" customHeight="1" spans="3:12">
      <c r="D161" s="87" t="s">
        <v>138</v>
      </c>
      <c r="H161" s="22">
        <v>278.31</v>
      </c>
      <c r="I161" s="22">
        <v>434.87</v>
      </c>
      <c r="J161" s="22">
        <v>1003.6</v>
      </c>
      <c r="K161" s="22">
        <v>981.56</v>
      </c>
      <c r="L161" s="22">
        <v>326.02</v>
      </c>
    </row>
    <row r="162" ht="16.5" customHeight="1" spans="3:12">
      <c r="D162" s="102" t="s">
        <v>139</v>
      </c>
      <c r="H162" s="247">
        <f>SUM(H145:H161)</f>
        <v>-2007.05</v>
      </c>
      <c r="I162" s="247">
        <f>SUM(I145:I161)</f>
        <v>-14480.75</v>
      </c>
      <c r="J162" s="247">
        <f>SUM(J145:J161)</f>
        <v>-8950.43</v>
      </c>
      <c r="K162" s="247">
        <f>SUM(K145:K161)</f>
        <v>-7531.1</v>
      </c>
      <c r="L162" s="247">
        <f>SUM(L145:L161)</f>
        <v>-7935.19</v>
      </c>
    </row>
    <row r="163" ht="16.5" customHeight="1" spans="3:12">
      <c r="D163" s="246"/>
      <c r="H163" s="246"/>
      <c r="I163" s="246"/>
      <c r="J163" s="246"/>
      <c r="K163" s="246"/>
      <c r="L163" s="246"/>
    </row>
    <row r="164" ht="16.5" customHeight="1" spans="3:12">
      <c r="C164" s="102" t="s">
        <v>140</v>
      </c>
      <c r="H164" s="102"/>
      <c r="I164" s="102"/>
      <c r="J164" s="102"/>
      <c r="K164" s="102"/>
      <c r="L164" s="102"/>
    </row>
    <row r="165" ht="16.5" customHeight="1" spans="3:12">
      <c r="D165" s="87" t="s">
        <v>141</v>
      </c>
      <c r="H165" s="22">
        <v>0</v>
      </c>
      <c r="I165" s="22">
        <v>0</v>
      </c>
      <c r="J165" s="22">
        <v>0</v>
      </c>
      <c r="K165" s="22">
        <v>9.72</v>
      </c>
      <c r="L165" s="22">
        <v>8.39</v>
      </c>
    </row>
    <row r="166" ht="16.5" customHeight="1" spans="3:12">
      <c r="D166" s="87" t="s">
        <v>142</v>
      </c>
      <c r="H166" s="22">
        <v>0</v>
      </c>
      <c r="I166" s="22">
        <v>-3.58</v>
      </c>
      <c r="J166" s="22">
        <v>-24.05</v>
      </c>
      <c r="K166" s="22">
        <v>-1180.83</v>
      </c>
      <c r="L166" s="22">
        <v>-657.42</v>
      </c>
    </row>
    <row r="167" ht="16.5" customHeight="1" spans="3:12">
      <c r="D167" s="87" t="s">
        <v>143</v>
      </c>
      <c r="H167" s="22">
        <v>-107.21</v>
      </c>
      <c r="I167" s="22">
        <v>-127.5</v>
      </c>
      <c r="J167" s="22">
        <v>-234.08</v>
      </c>
      <c r="K167" s="22">
        <v>-175.79</v>
      </c>
      <c r="L167" s="22">
        <v>-152.31</v>
      </c>
    </row>
    <row r="168" ht="16.5" customHeight="1" spans="3:12">
      <c r="D168" s="87" t="s">
        <v>144</v>
      </c>
      <c r="H168" s="22">
        <v>-54.08</v>
      </c>
      <c r="I168" s="22">
        <v>0</v>
      </c>
      <c r="J168" s="22">
        <v>-129.25</v>
      </c>
      <c r="K168" s="22">
        <v>-837.17</v>
      </c>
      <c r="L168" s="22">
        <v>-263.1</v>
      </c>
    </row>
    <row r="169" ht="16.5" customHeight="1" spans="3:12">
      <c r="D169" s="87" t="s">
        <v>145</v>
      </c>
      <c r="H169" s="22">
        <v>-24.59</v>
      </c>
      <c r="I169" s="22">
        <v>-142.91</v>
      </c>
      <c r="J169" s="22">
        <v>0</v>
      </c>
      <c r="K169" s="22">
        <v>0</v>
      </c>
      <c r="L169" s="22">
        <v>0</v>
      </c>
    </row>
    <row r="170" ht="16.5" customHeight="1" spans="3:12">
      <c r="D170" s="87" t="s">
        <v>146</v>
      </c>
      <c r="H170" s="22">
        <v>3.54</v>
      </c>
      <c r="I170" s="22">
        <v>0.45</v>
      </c>
      <c r="J170" s="22">
        <v>0</v>
      </c>
      <c r="K170" s="22">
        <v>0</v>
      </c>
      <c r="L170" s="22">
        <v>0</v>
      </c>
    </row>
    <row r="171" ht="16.5" customHeight="1" spans="3:12">
      <c r="D171" s="87" t="s">
        <v>147</v>
      </c>
      <c r="H171" s="22">
        <v>0</v>
      </c>
      <c r="I171" s="22">
        <v>5000.03</v>
      </c>
      <c r="J171" s="22">
        <v>6660.96</v>
      </c>
      <c r="K171" s="22">
        <v>8339.09</v>
      </c>
      <c r="L171" s="22">
        <v>0</v>
      </c>
    </row>
    <row r="172" ht="16.5" customHeight="1" spans="3:12">
      <c r="D172" s="87" t="s">
        <v>148</v>
      </c>
      <c r="H172" s="22">
        <v>-202.1</v>
      </c>
      <c r="I172" s="22">
        <v>-1251.42</v>
      </c>
      <c r="J172" s="22">
        <v>-496.41</v>
      </c>
      <c r="K172" s="22">
        <v>-492.63</v>
      </c>
      <c r="L172" s="22">
        <v>-491.8</v>
      </c>
    </row>
    <row r="173" ht="16.5" customHeight="1" spans="3:12">
      <c r="D173" s="87" t="s">
        <v>149</v>
      </c>
      <c r="H173" s="22">
        <v>-131.32</v>
      </c>
      <c r="I173" s="22">
        <v>-544.06</v>
      </c>
      <c r="J173" s="22">
        <v>-88.4</v>
      </c>
      <c r="K173" s="22">
        <v>-70.35</v>
      </c>
      <c r="L173" s="22">
        <v>-73.16</v>
      </c>
    </row>
    <row r="174" ht="16.5" customHeight="1" spans="3:12">
      <c r="D174" s="102" t="s">
        <v>150</v>
      </c>
      <c r="H174" s="242">
        <f>SUM(H165:H173)</f>
        <v>-515.76</v>
      </c>
      <c r="I174" s="242">
        <f>SUM(I165:I173)</f>
        <v>2931.01</v>
      </c>
      <c r="J174" s="242">
        <f>SUM(J165:J173)</f>
        <v>5688.77</v>
      </c>
      <c r="K174" s="242">
        <f>SUM(K165:K173)</f>
        <v>5592.04</v>
      </c>
      <c r="L174" s="242">
        <f>SUM(L165:L173)</f>
        <v>-1629.4</v>
      </c>
    </row>
    <row r="175" ht="16.5" customHeight="1" spans="3:12">
      <c r="D175" s="246"/>
      <c r="H175" s="246"/>
      <c r="I175" s="246"/>
      <c r="J175" s="246"/>
      <c r="K175" s="246"/>
      <c r="L175" s="246"/>
    </row>
    <row r="176" ht="16.5" customHeight="1" spans="3:12">
      <c r="C176" s="102" t="s">
        <v>151</v>
      </c>
      <c r="H176" s="247">
        <f>H142+H162+H174</f>
        <v>2786.35</v>
      </c>
      <c r="I176" s="247">
        <f>I142+I162+I174</f>
        <v>-10814.82</v>
      </c>
      <c r="J176" s="247">
        <f>J142+J162+J174</f>
        <v>2384.16</v>
      </c>
      <c r="K176" s="247">
        <f>K142+K162+K174</f>
        <v>298.289999999998</v>
      </c>
      <c r="L176" s="247">
        <f>L142+L162+L174</f>
        <v>-4203.06</v>
      </c>
    </row>
    <row r="177" ht="16.5" customHeight="1" spans="4:12">
      <c r="H177" s="246"/>
      <c r="I177" s="246"/>
      <c r="J177" s="246"/>
      <c r="K177" s="246"/>
      <c r="L177" s="246"/>
    </row>
    <row r="178" ht="16.5" customHeight="1" spans="4:12">
      <c r="D178" s="248" t="s">
        <v>152</v>
      </c>
      <c r="H178" s="22">
        <v>8571.56</v>
      </c>
      <c r="I178" s="22">
        <v>11358.49</v>
      </c>
      <c r="J178" s="22">
        <v>543.87</v>
      </c>
      <c r="K178" s="22">
        <v>3007.1</v>
      </c>
      <c r="L178" s="22">
        <v>5043.32</v>
      </c>
    </row>
    <row r="179" ht="16.5" customHeight="1" spans="4:12">
      <c r="D179" s="249" t="s">
        <v>153</v>
      </c>
      <c r="H179" s="247">
        <v>11358.49</v>
      </c>
      <c r="I179" s="247">
        <v>543.87</v>
      </c>
      <c r="J179" s="247">
        <v>3007.1</v>
      </c>
      <c r="K179" s="247">
        <v>5043.32</v>
      </c>
      <c r="L179" s="247">
        <v>891.59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0"/>
  <sheetViews>
    <sheetView showGridLines="0" tabSelected="1" zoomScale="79" zoomScaleNormal="79" workbookViewId="0">
      <pane xSplit="7" ySplit="2" topLeftCell="H3" activePane="bottomRight" state="frozen"/>
      <selection/>
      <selection pane="topRight"/>
      <selection pane="bottomLeft"/>
      <selection pane="bottomRight" activeCell="H3" sqref="H3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11.8482142857143" style="1" customWidth="1"/>
    <col min="6" max="6" width="11.0714285714286" style="1" customWidth="1"/>
    <col min="7" max="7" width="2.64285714285714" style="1" customWidth="1"/>
    <col min="8" max="17" width="12.6428571428571" style="1" customWidth="1"/>
  </cols>
  <sheetData>
    <row r="1" ht="33.75" customHeight="1" spans="1:17">
      <c r="A1" s="58" t="s">
        <v>0</v>
      </c>
      <c r="B1" s="59"/>
      <c r="C1" s="59"/>
      <c r="D1" s="59"/>
      <c r="E1" s="59"/>
      <c r="F1" s="59"/>
      <c r="G1" s="59"/>
      <c r="H1" s="161" t="s">
        <v>154</v>
      </c>
      <c r="I1" s="161"/>
      <c r="J1" s="161"/>
      <c r="K1" s="161"/>
      <c r="L1" s="161"/>
      <c r="M1" s="161" t="s">
        <v>155</v>
      </c>
      <c r="N1" s="161"/>
      <c r="O1" s="161"/>
      <c r="P1" s="161"/>
      <c r="Q1" s="161"/>
    </row>
    <row r="2" ht="20.25" customHeight="1" spans="1:17">
      <c r="A2" s="61" t="s">
        <v>156</v>
      </c>
      <c r="B2" s="59"/>
      <c r="C2" s="59"/>
      <c r="D2" s="59"/>
      <c r="E2" s="59"/>
      <c r="F2" s="59"/>
      <c r="G2" s="59"/>
      <c r="H2" s="162">
        <v>2022</v>
      </c>
      <c r="I2" s="162">
        <f t="shared" ref="I2:Q2" si="0">H2+1</f>
        <v>2023</v>
      </c>
      <c r="J2" s="162">
        <f t="shared" si="0"/>
        <v>2024</v>
      </c>
      <c r="K2" s="162">
        <f t="shared" si="0"/>
        <v>2025</v>
      </c>
      <c r="L2" s="162">
        <f t="shared" si="0"/>
        <v>2026</v>
      </c>
      <c r="M2" s="163">
        <f t="shared" si="0"/>
        <v>2027</v>
      </c>
      <c r="N2" s="163">
        <f t="shared" si="0"/>
        <v>2028</v>
      </c>
      <c r="O2" s="163">
        <f t="shared" si="0"/>
        <v>2029</v>
      </c>
      <c r="P2" s="163">
        <f t="shared" si="0"/>
        <v>2030</v>
      </c>
      <c r="Q2" s="163">
        <f t="shared" si="0"/>
        <v>2031</v>
      </c>
    </row>
    <row r="3" ht="16.5" customHeight="1" outlineLevel="1"/>
    <row r="4" ht="16.5" customHeight="1" outlineLevel="1" spans="1:17">
      <c r="A4" s="164" t="s">
        <v>157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ht="16.5" customHeight="1" outlineLevel="1"/>
    <row r="6" ht="16.5" customHeight="1" outlineLevel="1" spans="1:17">
      <c r="A6" s="15"/>
      <c r="B6" s="15"/>
      <c r="C6" s="94" t="s">
        <v>158</v>
      </c>
      <c r="D6" s="15"/>
      <c r="E6" s="166" t="s">
        <v>159</v>
      </c>
      <c r="G6" s="167">
        <f>IF(E6=Scenario!D5,1,IF(E6=Scenario!D6,2,3))</f>
        <v>1</v>
      </c>
    </row>
    <row r="7" ht="16.5" customHeight="1" outlineLevel="1" spans="1:17">
      <c r="A7" s="15"/>
      <c r="B7" s="15"/>
      <c r="C7" s="156"/>
      <c r="D7" s="156" t="s">
        <v>160</v>
      </c>
      <c r="E7" s="15"/>
      <c r="H7" s="15"/>
      <c r="I7" s="168">
        <f>I22/H22-1</f>
        <v>0.344257263651259</v>
      </c>
      <c r="J7" s="168">
        <f>J22/I22-1</f>
        <v>-0.148377778171576</v>
      </c>
      <c r="K7" s="168">
        <f>K22/J22-1</f>
        <v>0.0162263522764421</v>
      </c>
      <c r="L7" s="168">
        <f>L22/K22-1</f>
        <v>0.200261145419421</v>
      </c>
      <c r="M7" s="169">
        <f t="array" ref="M7:Q7">CHOOSE(G6,Scenario!H5:L5,Scenario!H6:L6,Scenario!H7:L7)</f>
        <v>0.344257263651259</v>
      </c>
      <c r="N7" s="169">
        <v>0.309831537286133</v>
      </c>
      <c r="O7" s="169">
        <v>0.27884838355752</v>
      </c>
      <c r="P7" s="169">
        <v>0.250963545201768</v>
      </c>
      <c r="Q7" s="169">
        <v>0.225867190681591</v>
      </c>
    </row>
    <row r="8" ht="16.5" customHeight="1" outlineLevel="1" spans="1:17">
      <c r="A8" s="15"/>
      <c r="B8" s="15"/>
      <c r="C8" s="15"/>
      <c r="D8" s="15" t="s">
        <v>161</v>
      </c>
      <c r="E8" s="15"/>
      <c r="H8" s="168">
        <f>H23/-H22</f>
        <v>0.10226939257999</v>
      </c>
      <c r="I8" s="168">
        <f>I23/-I22</f>
        <v>0.131260910244053</v>
      </c>
      <c r="J8" s="168">
        <f>J23/-J22</f>
        <v>0.148456979629453</v>
      </c>
      <c r="K8" s="168">
        <f>K23/-K22</f>
        <v>0.193705208367337</v>
      </c>
      <c r="L8" s="168">
        <f>L23/-L22</f>
        <v>0.166703588287012</v>
      </c>
      <c r="M8" s="168">
        <f t="shared" ref="M8:M18" si="1">AVERAGE(H8:L8)</f>
        <v>0.148479215821569</v>
      </c>
      <c r="N8" s="168">
        <f t="shared" ref="N8:N18" si="2">M8</f>
        <v>0.148479215821569</v>
      </c>
      <c r="O8" s="168">
        <f t="shared" ref="O8:O18" si="3">N8</f>
        <v>0.148479215821569</v>
      </c>
      <c r="P8" s="168">
        <f t="shared" ref="P8:P18" si="4">O8</f>
        <v>0.148479215821569</v>
      </c>
      <c r="Q8" s="168">
        <f t="shared" ref="Q8:Q18" si="5">P8</f>
        <v>0.148479215821569</v>
      </c>
    </row>
    <row r="9" ht="16.5" customHeight="1" outlineLevel="1" spans="1:17">
      <c r="A9" s="15"/>
      <c r="B9" s="15"/>
      <c r="C9" s="15"/>
      <c r="D9" s="15" t="s">
        <v>162</v>
      </c>
      <c r="E9" s="15"/>
      <c r="H9" s="168">
        <f>H25/-H22</f>
        <v>0.683323517044093</v>
      </c>
      <c r="I9" s="168">
        <f>I25/-I22</f>
        <v>0.737183858142236</v>
      </c>
      <c r="J9" s="168">
        <f>J25/-J22</f>
        <v>0.658552083195113</v>
      </c>
      <c r="K9" s="168">
        <f>K25/-K22</f>
        <v>0.66908691097612</v>
      </c>
      <c r="L9" s="168">
        <f>L25/-L22</f>
        <v>0.676808903912472</v>
      </c>
      <c r="M9" s="168">
        <f t="shared" si="1"/>
        <v>0.684991054654007</v>
      </c>
      <c r="N9" s="168">
        <f t="shared" si="2"/>
        <v>0.684991054654007</v>
      </c>
      <c r="O9" s="168">
        <f t="shared" si="3"/>
        <v>0.684991054654007</v>
      </c>
      <c r="P9" s="168">
        <f t="shared" si="4"/>
        <v>0.684991054654007</v>
      </c>
      <c r="Q9" s="168">
        <f t="shared" si="5"/>
        <v>0.684991054654007</v>
      </c>
    </row>
    <row r="10" ht="16.5" customHeight="1" outlineLevel="1" spans="1:17">
      <c r="A10" s="15"/>
      <c r="B10" s="15"/>
      <c r="C10" s="15"/>
      <c r="D10" s="15" t="s">
        <v>163</v>
      </c>
      <c r="E10" s="15"/>
      <c r="H10" s="168">
        <f>H29/-H57</f>
        <v>0.307864646080358</v>
      </c>
      <c r="I10" s="168">
        <f>I29/-I57</f>
        <v>0.372850228607503</v>
      </c>
      <c r="J10" s="168">
        <f>J29/-J57</f>
        <v>0.395387762692951</v>
      </c>
      <c r="K10" s="168">
        <f>K29/-K57</f>
        <v>0.273861762840837</v>
      </c>
      <c r="L10" s="168">
        <f>L29/-L57</f>
        <v>0.258231034841153</v>
      </c>
      <c r="M10" s="168">
        <f t="shared" si="1"/>
        <v>0.321639087012561</v>
      </c>
      <c r="N10" s="168">
        <f t="shared" si="2"/>
        <v>0.321639087012561</v>
      </c>
      <c r="O10" s="168">
        <f t="shared" si="3"/>
        <v>0.321639087012561</v>
      </c>
      <c r="P10" s="168">
        <f t="shared" si="4"/>
        <v>0.321639087012561</v>
      </c>
      <c r="Q10" s="168">
        <f t="shared" si="5"/>
        <v>0.321639087012561</v>
      </c>
    </row>
    <row r="11" ht="16.5" customHeight="1" outlineLevel="1" spans="1:17">
      <c r="A11" s="15"/>
      <c r="B11" s="15"/>
      <c r="C11" s="15"/>
      <c r="D11" s="15" t="s">
        <v>164</v>
      </c>
      <c r="E11" s="15"/>
      <c r="H11" s="168">
        <f>H32/-H31</f>
        <v>0.276071335634197</v>
      </c>
      <c r="I11" s="168">
        <f>I32/-I31</f>
        <v>0.17537824803321</v>
      </c>
      <c r="J11" s="168">
        <f>J32/-J31</f>
        <v>0.205185178648642</v>
      </c>
      <c r="K11" s="168">
        <f>K32/-K31</f>
        <v>0.128816211458498</v>
      </c>
      <c r="L11" s="168">
        <f>L32/-L31</f>
        <v>-0.653294256354666</v>
      </c>
      <c r="M11" s="168">
        <f t="shared" si="1"/>
        <v>0.0264313434839762</v>
      </c>
      <c r="N11" s="168">
        <f t="shared" si="2"/>
        <v>0.0264313434839762</v>
      </c>
      <c r="O11" s="168">
        <f t="shared" si="3"/>
        <v>0.0264313434839762</v>
      </c>
      <c r="P11" s="168">
        <f t="shared" si="4"/>
        <v>0.0264313434839762</v>
      </c>
      <c r="Q11" s="168">
        <f t="shared" si="5"/>
        <v>0.0264313434839762</v>
      </c>
    </row>
    <row r="12" ht="16.5" customHeight="1" outlineLevel="1" spans="1:17">
      <c r="A12" s="15"/>
      <c r="B12" s="15"/>
      <c r="C12" s="15"/>
      <c r="D12" s="15" t="s">
        <v>165</v>
      </c>
      <c r="E12" s="15"/>
      <c r="H12" s="168">
        <f>H30/H22</f>
        <v>0.0121675954740577</v>
      </c>
      <c r="I12" s="168">
        <f>I30/I22</f>
        <v>0.0189462319031523</v>
      </c>
      <c r="J12" s="168">
        <f>J30/J22</f>
        <v>0.0351752914084713</v>
      </c>
      <c r="K12" s="168">
        <f>K30/K22</f>
        <v>0.118741338429626</v>
      </c>
      <c r="L12" s="168">
        <f>L30/L22</f>
        <v>0.0258116740229699</v>
      </c>
      <c r="M12" s="168">
        <f t="shared" si="1"/>
        <v>0.0421684262476554</v>
      </c>
      <c r="N12" s="168">
        <f t="shared" si="2"/>
        <v>0.0421684262476554</v>
      </c>
      <c r="O12" s="168">
        <f t="shared" si="3"/>
        <v>0.0421684262476554</v>
      </c>
      <c r="P12" s="168">
        <f t="shared" si="4"/>
        <v>0.0421684262476554</v>
      </c>
      <c r="Q12" s="168">
        <f t="shared" si="5"/>
        <v>0.0421684262476554</v>
      </c>
    </row>
    <row r="13" ht="16.5" customHeight="1" outlineLevel="1" spans="1:17">
      <c r="A13" s="15"/>
      <c r="B13" s="15"/>
      <c r="C13" s="15"/>
      <c r="D13" s="15" t="s">
        <v>166</v>
      </c>
      <c r="E13" s="15"/>
      <c r="H13" s="168">
        <f>H27/-H38</f>
        <v>0.0726743837757839</v>
      </c>
      <c r="I13" s="168">
        <f>I27/-I38</f>
        <v>0.0953143454560417</v>
      </c>
      <c r="J13" s="168">
        <f>J27/-J38</f>
        <v>0.0717829487528698</v>
      </c>
      <c r="K13" s="168">
        <f>K27/-K38</f>
        <v>0.071884510955083</v>
      </c>
      <c r="L13" s="168">
        <f>L27/-L38</f>
        <v>0.0832537422573583</v>
      </c>
      <c r="M13" s="168">
        <f t="shared" si="1"/>
        <v>0.0789819862394273</v>
      </c>
      <c r="N13" s="168">
        <f t="shared" si="2"/>
        <v>0.0789819862394273</v>
      </c>
      <c r="O13" s="168">
        <f t="shared" si="3"/>
        <v>0.0789819862394273</v>
      </c>
      <c r="P13" s="168">
        <f t="shared" si="4"/>
        <v>0.0789819862394273</v>
      </c>
      <c r="Q13" s="168">
        <f t="shared" si="5"/>
        <v>0.0789819862394273</v>
      </c>
    </row>
    <row r="14" ht="16.5" customHeight="1" outlineLevel="1" spans="1:17">
      <c r="A14" s="15"/>
      <c r="B14" s="15"/>
      <c r="C14" s="15"/>
      <c r="D14" s="15" t="s">
        <v>167</v>
      </c>
      <c r="E14" s="15"/>
      <c r="H14" s="168">
        <f>H90/-H33</f>
        <v>0.087482879677587</v>
      </c>
      <c r="I14" s="168">
        <f>I90/-I33</f>
        <v>0.541557579779212</v>
      </c>
      <c r="J14" s="168">
        <f>J90/-J33</f>
        <v>0.129855624686358</v>
      </c>
      <c r="K14" s="168">
        <f>K90/-K33</f>
        <v>0.108964011566467</v>
      </c>
      <c r="L14" s="168">
        <f>L90/-L33</f>
        <v>0.0954716209525194</v>
      </c>
      <c r="M14" s="168">
        <f t="shared" si="1"/>
        <v>0.192666343332429</v>
      </c>
      <c r="N14" s="168">
        <f t="shared" si="2"/>
        <v>0.192666343332429</v>
      </c>
      <c r="O14" s="168">
        <f t="shared" si="3"/>
        <v>0.192666343332429</v>
      </c>
      <c r="P14" s="168">
        <f t="shared" si="4"/>
        <v>0.192666343332429</v>
      </c>
      <c r="Q14" s="168">
        <f t="shared" si="5"/>
        <v>0.192666343332429</v>
      </c>
    </row>
    <row r="15" ht="16.5" customHeight="1" outlineLevel="1" spans="1:17">
      <c r="A15" s="15"/>
      <c r="B15" s="15"/>
      <c r="C15" s="15"/>
      <c r="D15" s="15" t="s">
        <v>168</v>
      </c>
      <c r="E15" s="15"/>
      <c r="H15" s="88">
        <f>H53/H22*365</f>
        <v>36.7050721790712</v>
      </c>
      <c r="I15" s="88">
        <f>I53/I22*365</f>
        <v>26.0029373067232</v>
      </c>
      <c r="J15" s="88">
        <f>J53/J22*365</f>
        <v>34.2191214983034</v>
      </c>
      <c r="K15" s="88">
        <f>K53/K22*365</f>
        <v>29.8893663365749</v>
      </c>
      <c r="L15" s="88">
        <f>L53/L22*365</f>
        <v>37.76725607748</v>
      </c>
      <c r="M15" s="88">
        <f t="shared" si="1"/>
        <v>32.9167506796305</v>
      </c>
      <c r="N15" s="88">
        <f t="shared" si="2"/>
        <v>32.9167506796305</v>
      </c>
      <c r="O15" s="88">
        <f t="shared" si="3"/>
        <v>32.9167506796305</v>
      </c>
      <c r="P15" s="88">
        <f t="shared" si="4"/>
        <v>32.9167506796305</v>
      </c>
      <c r="Q15" s="88">
        <f t="shared" si="5"/>
        <v>32.9167506796305</v>
      </c>
    </row>
    <row r="16" ht="16.5" customHeight="1" outlineLevel="1" spans="1:17">
      <c r="A16" s="15"/>
      <c r="B16" s="15"/>
      <c r="C16" s="15"/>
      <c r="D16" s="15" t="s">
        <v>169</v>
      </c>
      <c r="E16" s="15"/>
      <c r="H16" s="88">
        <f>H47/-H23*365</f>
        <v>337.370066300282</v>
      </c>
      <c r="I16" s="88">
        <f>I47/-I23*365</f>
        <v>233.729091296853</v>
      </c>
      <c r="J16" s="88">
        <f>J47/-J23*365</f>
        <v>267.55628933245</v>
      </c>
      <c r="K16" s="88">
        <f>K47/-K23*365</f>
        <v>237.540046450205</v>
      </c>
      <c r="L16" s="88">
        <f>L47/-L23*365</f>
        <v>246.436848350019</v>
      </c>
      <c r="M16" s="88">
        <f t="shared" si="1"/>
        <v>264.526468345962</v>
      </c>
      <c r="N16" s="88">
        <f t="shared" si="2"/>
        <v>264.526468345962</v>
      </c>
      <c r="O16" s="88">
        <f t="shared" si="3"/>
        <v>264.526468345962</v>
      </c>
      <c r="P16" s="88">
        <f t="shared" si="4"/>
        <v>264.526468345962</v>
      </c>
      <c r="Q16" s="88">
        <f t="shared" si="5"/>
        <v>264.526468345962</v>
      </c>
    </row>
    <row r="17" ht="16.5" customHeight="1" outlineLevel="1" spans="1:18">
      <c r="A17" s="15"/>
      <c r="B17" s="15"/>
      <c r="C17" s="15"/>
      <c r="D17" s="15" t="s">
        <v>170</v>
      </c>
      <c r="E17" s="15"/>
      <c r="H17" s="88">
        <f>H46/H22*365</f>
        <v>8.13824292795626</v>
      </c>
      <c r="I17" s="88">
        <f>I46/I22*365</f>
        <v>10.8210975516109</v>
      </c>
      <c r="J17" s="88">
        <f>J46/J22*365</f>
        <v>13.3534652366552</v>
      </c>
      <c r="K17" s="88">
        <f>K46/K22*365</f>
        <v>17.2254931345463</v>
      </c>
      <c r="L17" s="88">
        <f>L46/L22*365</f>
        <v>16.8617632282419</v>
      </c>
      <c r="M17" s="88">
        <f t="shared" si="1"/>
        <v>13.2800124158021</v>
      </c>
      <c r="N17" s="88">
        <f t="shared" si="2"/>
        <v>13.2800124158021</v>
      </c>
      <c r="O17" s="88">
        <f t="shared" si="3"/>
        <v>13.2800124158021</v>
      </c>
      <c r="P17" s="88">
        <f t="shared" si="4"/>
        <v>13.2800124158021</v>
      </c>
      <c r="Q17" s="88">
        <f t="shared" si="5"/>
        <v>13.2800124158021</v>
      </c>
    </row>
    <row r="18" ht="16.5" customHeight="1" outlineLevel="1" spans="1:18">
      <c r="A18" s="15"/>
      <c r="B18" s="15"/>
      <c r="C18" s="15"/>
      <c r="D18" s="15" t="s">
        <v>171</v>
      </c>
      <c r="E18" s="15"/>
      <c r="H18" s="74">
        <f>H22/(H38+H39)</f>
        <v>1.80106800112919</v>
      </c>
      <c r="I18" s="74">
        <f>I22/(I38+I39)</f>
        <v>2.20988029185812</v>
      </c>
      <c r="J18" s="74">
        <f>J22/(J38+J39)</f>
        <v>1.2719799641801</v>
      </c>
      <c r="K18" s="74">
        <f>K22/(K38+K39)</f>
        <v>0.839449233894241</v>
      </c>
      <c r="L18" s="74">
        <f>L22/(L38+L39)</f>
        <v>0.772530887070711</v>
      </c>
      <c r="M18" s="74">
        <f t="shared" si="1"/>
        <v>1.37898167562647</v>
      </c>
      <c r="N18" s="74">
        <f t="shared" si="2"/>
        <v>1.37898167562647</v>
      </c>
      <c r="O18" s="74">
        <f t="shared" si="3"/>
        <v>1.37898167562647</v>
      </c>
      <c r="P18" s="74">
        <f t="shared" si="4"/>
        <v>1.37898167562647</v>
      </c>
      <c r="Q18" s="74">
        <f t="shared" si="5"/>
        <v>1.37898167562647</v>
      </c>
    </row>
    <row r="19" ht="16.5" customHeight="1" spans="1:18">
      <c r="A19" s="15"/>
      <c r="B19" s="15"/>
      <c r="C19" s="15"/>
      <c r="D19" s="15"/>
      <c r="E19" s="15"/>
      <c r="F19" s="15"/>
    </row>
    <row r="20" ht="16.5" customHeight="1" spans="1:18">
      <c r="A20" s="8" t="s">
        <v>172</v>
      </c>
      <c r="B20" s="59"/>
      <c r="C20" s="59"/>
      <c r="D20" s="59"/>
      <c r="E20" s="59"/>
      <c r="F20" s="59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ht="16.5" customHeight="1" outlineLevel="1" spans="1:18">
      <c r="A21" s="15"/>
      <c r="B21" s="15"/>
      <c r="C21" s="15"/>
      <c r="D21" s="15"/>
      <c r="E21" s="15"/>
      <c r="F21" s="15"/>
      <c r="H21" s="170"/>
      <c r="I21" s="170"/>
      <c r="J21" s="170"/>
      <c r="K21" s="170"/>
      <c r="L21" s="170"/>
      <c r="M21" s="170"/>
      <c r="N21" s="157"/>
      <c r="O21" s="157"/>
      <c r="P21" s="157"/>
      <c r="Q21" s="157"/>
    </row>
    <row r="22" ht="16.5" customHeight="1" outlineLevel="1" spans="1:18">
      <c r="A22" s="15"/>
      <c r="B22" s="15"/>
      <c r="C22" s="15"/>
      <c r="D22" s="94" t="s">
        <v>173</v>
      </c>
      <c r="E22" s="15"/>
      <c r="F22" s="15"/>
      <c r="H22" s="171">
        <f>Historical_Data!H5</f>
        <v>28965.46</v>
      </c>
      <c r="I22" s="171">
        <f>Historical_Data!I5</f>
        <v>38937.03</v>
      </c>
      <c r="J22" s="171">
        <f>Historical_Data!J5</f>
        <v>33159.64</v>
      </c>
      <c r="K22" s="171">
        <f>Historical_Data!K5</f>
        <v>33697.7</v>
      </c>
      <c r="L22" s="171">
        <f>Historical_Data!L5</f>
        <v>40446.04</v>
      </c>
      <c r="M22" s="171">
        <f>L22*(1+M7)</f>
        <v>54369.8830559294</v>
      </c>
      <c r="N22" s="171">
        <f>M22*(1+N7)</f>
        <v>71215.3875052152</v>
      </c>
      <c r="O22" s="171">
        <f>N22*(1+O7)</f>
        <v>91073.6831954669</v>
      </c>
      <c r="P22" s="171">
        <f>O22*(1+P7)</f>
        <v>113929.857604784</v>
      </c>
      <c r="Q22" s="171">
        <f>P22*(1+Q7)</f>
        <v>139662.87447673</v>
      </c>
    </row>
    <row r="23" ht="16.5" customHeight="1" outlineLevel="1" spans="1:18">
      <c r="A23" s="15"/>
      <c r="B23" s="15"/>
      <c r="C23" s="15"/>
      <c r="D23" s="15" t="s">
        <v>174</v>
      </c>
      <c r="E23" s="15"/>
      <c r="F23" s="15"/>
      <c r="H23" s="170">
        <f>-SUM(Historical_Data!H11:H13)</f>
        <v>-2962.28</v>
      </c>
      <c r="I23" s="170">
        <f>-SUM(Historical_Data!I11:I13)</f>
        <v>-5110.91</v>
      </c>
      <c r="J23" s="170">
        <f>-SUM(Historical_Data!J11:J13)</f>
        <v>-4922.78</v>
      </c>
      <c r="K23" s="170">
        <f>-SUM(Historical_Data!K11:K13)</f>
        <v>-6527.42</v>
      </c>
      <c r="L23" s="170">
        <f>-SUM(Historical_Data!L11:L13)</f>
        <v>-6742.5</v>
      </c>
      <c r="M23" s="170">
        <f>-M22*M8</f>
        <v>-8072.79760045481</v>
      </c>
      <c r="N23" s="170">
        <f>-N22*N8</f>
        <v>-10574.0048912035</v>
      </c>
      <c r="O23" s="170">
        <f>-O22*O8</f>
        <v>-13522.5490628449</v>
      </c>
      <c r="P23" s="170">
        <f>-P22*P8</f>
        <v>-16916.2159158213</v>
      </c>
      <c r="Q23" s="170">
        <f>-Q22*Q8</f>
        <v>-20737.0340816911</v>
      </c>
    </row>
    <row r="24" ht="16.5" customHeight="1" outlineLevel="1" spans="1:18">
      <c r="A24" s="15"/>
      <c r="B24" s="15"/>
      <c r="C24" s="15"/>
      <c r="D24" s="172" t="s">
        <v>175</v>
      </c>
      <c r="E24" s="156"/>
      <c r="F24" s="156"/>
      <c r="G24" s="173"/>
      <c r="H24" s="174">
        <f t="shared" ref="H24:Q24" si="6">SUM(H22:H23)</f>
        <v>26003.18</v>
      </c>
      <c r="I24" s="174">
        <f t="shared" si="6"/>
        <v>33826.12</v>
      </c>
      <c r="J24" s="174">
        <f t="shared" si="6"/>
        <v>28236.86</v>
      </c>
      <c r="K24" s="174">
        <f t="shared" si="6"/>
        <v>27170.28</v>
      </c>
      <c r="L24" s="174">
        <f t="shared" si="6"/>
        <v>33703.54</v>
      </c>
      <c r="M24" s="174">
        <f t="shared" si="6"/>
        <v>46297.0854554746</v>
      </c>
      <c r="N24" s="174">
        <f t="shared" si="6"/>
        <v>60641.3826140117</v>
      </c>
      <c r="O24" s="174">
        <f t="shared" si="6"/>
        <v>77551.134132622</v>
      </c>
      <c r="P24" s="174">
        <f t="shared" si="6"/>
        <v>97013.6416889627</v>
      </c>
      <c r="Q24" s="174">
        <f t="shared" si="6"/>
        <v>118925.840395039</v>
      </c>
    </row>
    <row r="25" ht="16.5" customHeight="1" outlineLevel="1" spans="1:18">
      <c r="A25" s="15"/>
      <c r="B25" s="15"/>
      <c r="C25" s="15"/>
      <c r="D25" s="15" t="s">
        <v>176</v>
      </c>
      <c r="E25" s="15"/>
      <c r="F25" s="15"/>
      <c r="H25" s="170">
        <f>-SUM(Historical_Data!H17:H20,Historical_Data!H14)</f>
        <v>-19792.78</v>
      </c>
      <c r="I25" s="170">
        <f>-SUM(Historical_Data!I17:I20,Historical_Data!I14)</f>
        <v>-28703.75</v>
      </c>
      <c r="J25" s="170">
        <f>-SUM(Historical_Data!J17:J20,Historical_Data!J14)</f>
        <v>-21837.35</v>
      </c>
      <c r="K25" s="170">
        <f>-SUM(Historical_Data!K17:K20,Historical_Data!K14)</f>
        <v>-22546.69</v>
      </c>
      <c r="L25" s="170">
        <f>-SUM(Historical_Data!L17:L20,Historical_Data!L14)</f>
        <v>-27374.24</v>
      </c>
      <c r="M25" s="170">
        <f>-M22*M9</f>
        <v>-37242.8835358961</v>
      </c>
      <c r="N25" s="170">
        <f>-N22*N9</f>
        <v>-48781.9033947911</v>
      </c>
      <c r="O25" s="170">
        <f>-O22*O9</f>
        <v>-62384.6583032878</v>
      </c>
      <c r="P25" s="170">
        <f>-P22*P9</f>
        <v>-78040.9333172818</v>
      </c>
      <c r="Q25" s="170">
        <f>-Q22*Q9</f>
        <v>-95667.8196838255</v>
      </c>
    </row>
    <row r="26" ht="16.5" customHeight="1" outlineLevel="1" spans="1:18">
      <c r="A26" s="15"/>
      <c r="B26" s="15"/>
      <c r="C26" s="15"/>
      <c r="D26" s="172" t="s">
        <v>177</v>
      </c>
      <c r="E26" s="156"/>
      <c r="F26" s="156"/>
      <c r="G26" s="173"/>
      <c r="H26" s="174">
        <f t="shared" ref="H26:Q26" si="7">SUM(H24:H25)</f>
        <v>6210.4</v>
      </c>
      <c r="I26" s="174">
        <f t="shared" si="7"/>
        <v>5122.37</v>
      </c>
      <c r="J26" s="174">
        <f t="shared" si="7"/>
        <v>6399.51</v>
      </c>
      <c r="K26" s="174">
        <f t="shared" si="7"/>
        <v>4623.59</v>
      </c>
      <c r="L26" s="174">
        <f t="shared" si="7"/>
        <v>6329.3</v>
      </c>
      <c r="M26" s="174">
        <f t="shared" si="7"/>
        <v>9054.2019195785</v>
      </c>
      <c r="N26" s="174">
        <f t="shared" si="7"/>
        <v>11859.4792192205</v>
      </c>
      <c r="O26" s="174">
        <f t="shared" si="7"/>
        <v>15166.4758293342</v>
      </c>
      <c r="P26" s="174">
        <f t="shared" si="7"/>
        <v>18972.7083716808</v>
      </c>
      <c r="Q26" s="174">
        <f t="shared" si="7"/>
        <v>23258.0207112135</v>
      </c>
    </row>
    <row r="27" ht="16.5" customHeight="1" outlineLevel="1" spans="1:18">
      <c r="A27" s="15"/>
      <c r="B27" s="15"/>
      <c r="C27" s="15"/>
      <c r="D27" s="15" t="s">
        <v>178</v>
      </c>
      <c r="E27" s="15"/>
      <c r="F27" s="15"/>
      <c r="H27" s="170">
        <f>-Historical_Data!H16</f>
        <v>-1152.49</v>
      </c>
      <c r="I27" s="170">
        <f>-Historical_Data!I16</f>
        <v>-1644.67</v>
      </c>
      <c r="J27" s="170">
        <f>-Historical_Data!J16</f>
        <v>-1623.38</v>
      </c>
      <c r="K27" s="170">
        <f>-Historical_Data!K16</f>
        <v>-2478.34</v>
      </c>
      <c r="L27" s="170">
        <f>-Historical_Data!L16</f>
        <v>-3570.41</v>
      </c>
      <c r="M27" s="170">
        <f>M110</f>
        <v>-4135.12084524192</v>
      </c>
      <c r="N27" s="170">
        <f>N110</f>
        <v>-4606.01708505256</v>
      </c>
      <c r="O27" s="170">
        <f>O110</f>
        <v>-5207.06087861635</v>
      </c>
      <c r="P27" s="170">
        <f>P110</f>
        <v>-5933.19242923502</v>
      </c>
      <c r="Q27" s="170">
        <f>Q110</f>
        <v>-6773.6779339425</v>
      </c>
    </row>
    <row r="28" ht="16.5" customHeight="1" outlineLevel="1" spans="1:18">
      <c r="A28" s="15"/>
      <c r="B28" s="15"/>
      <c r="C28" s="15"/>
      <c r="D28" s="172" t="s">
        <v>179</v>
      </c>
      <c r="E28" s="156"/>
      <c r="F28" s="156"/>
      <c r="G28" s="173"/>
      <c r="H28" s="174">
        <f t="shared" ref="H28:Q28" si="8">SUM(H26:H27)</f>
        <v>5057.91</v>
      </c>
      <c r="I28" s="174">
        <f t="shared" si="8"/>
        <v>3477.7</v>
      </c>
      <c r="J28" s="174">
        <f t="shared" si="8"/>
        <v>4776.13</v>
      </c>
      <c r="K28" s="174">
        <f t="shared" si="8"/>
        <v>2145.25</v>
      </c>
      <c r="L28" s="174">
        <f t="shared" si="8"/>
        <v>2758.89</v>
      </c>
      <c r="M28" s="174">
        <f t="shared" si="8"/>
        <v>4919.08107433658</v>
      </c>
      <c r="N28" s="174">
        <f t="shared" si="8"/>
        <v>7253.46213416799</v>
      </c>
      <c r="O28" s="174">
        <f t="shared" si="8"/>
        <v>9959.41495071785</v>
      </c>
      <c r="P28" s="174">
        <f t="shared" si="8"/>
        <v>13039.5159424458</v>
      </c>
      <c r="Q28" s="174">
        <f t="shared" si="8"/>
        <v>16484.342777271</v>
      </c>
    </row>
    <row r="29" ht="16.5" customHeight="1" outlineLevel="1" spans="1:18">
      <c r="A29" s="15"/>
      <c r="B29" s="15"/>
      <c r="C29" s="15"/>
      <c r="D29" s="15" t="s">
        <v>180</v>
      </c>
      <c r="E29" s="15"/>
      <c r="F29" s="15"/>
      <c r="G29" s="6"/>
      <c r="H29" s="170">
        <f>-Historical_Data!H15</f>
        <v>-145.66</v>
      </c>
      <c r="I29" s="170">
        <f>-Historical_Data!I15</f>
        <v>-194.9</v>
      </c>
      <c r="J29" s="170">
        <f>-Historical_Data!J15</f>
        <v>-276.38</v>
      </c>
      <c r="K29" s="170">
        <f>-Historical_Data!K15</f>
        <v>-215.94</v>
      </c>
      <c r="L29" s="170">
        <f>-Historical_Data!L15</f>
        <v>-223.61</v>
      </c>
      <c r="M29" s="170">
        <f>M117</f>
        <v>-278.516934616787</v>
      </c>
      <c r="N29" s="170">
        <f>N117</f>
        <v>-173.544389886215</v>
      </c>
      <c r="O29" s="170">
        <f>O117</f>
        <v>-68.5718451556429</v>
      </c>
      <c r="P29" s="170">
        <f>P117</f>
        <v>0</v>
      </c>
      <c r="Q29" s="170">
        <f>Q117</f>
        <v>0</v>
      </c>
      <c r="R29" s="170"/>
    </row>
    <row r="30" ht="16.5" customHeight="1" outlineLevel="1" spans="1:18">
      <c r="A30" s="15"/>
      <c r="B30" s="15"/>
      <c r="C30" s="15"/>
      <c r="D30" s="15" t="s">
        <v>181</v>
      </c>
      <c r="E30" s="15"/>
      <c r="F30" s="15"/>
      <c r="H30" s="170">
        <f>SUM(Historical_Data!H6:H7)</f>
        <v>352.44</v>
      </c>
      <c r="I30" s="170">
        <f>SUM(Historical_Data!I6:I7)</f>
        <v>737.71</v>
      </c>
      <c r="J30" s="170">
        <f>SUM(Historical_Data!J6:J7)</f>
        <v>1166.4</v>
      </c>
      <c r="K30" s="170">
        <f>SUM(Historical_Data!K6:K7)</f>
        <v>4001.31</v>
      </c>
      <c r="L30" s="170">
        <f>SUM(Historical_Data!L6:L7)</f>
        <v>1043.98</v>
      </c>
      <c r="M30" s="170">
        <f>M22*M12</f>
        <v>2292.69240373761</v>
      </c>
      <c r="N30" s="170">
        <f>N22*N12</f>
        <v>3003.04081571187</v>
      </c>
      <c r="O30" s="170">
        <f>O22*O12</f>
        <v>3840.43389293038</v>
      </c>
      <c r="P30" s="170">
        <f>P22*P12</f>
        <v>4804.24279781322</v>
      </c>
      <c r="Q30" s="170">
        <f>Q22*Q12</f>
        <v>5889.36362190755</v>
      </c>
    </row>
    <row r="31" ht="16.5" customHeight="1" outlineLevel="1" spans="1:18">
      <c r="A31" s="15"/>
      <c r="B31" s="15"/>
      <c r="C31" s="15"/>
      <c r="D31" s="172" t="s">
        <v>182</v>
      </c>
      <c r="E31" s="156"/>
      <c r="F31" s="156"/>
      <c r="G31" s="173"/>
      <c r="H31" s="174">
        <f t="shared" ref="H31:Q31" si="9">SUM(H28:H30)</f>
        <v>5264.69</v>
      </c>
      <c r="I31" s="174">
        <f t="shared" si="9"/>
        <v>4020.51</v>
      </c>
      <c r="J31" s="174">
        <f t="shared" si="9"/>
        <v>5666.15</v>
      </c>
      <c r="K31" s="174">
        <f t="shared" si="9"/>
        <v>5930.62</v>
      </c>
      <c r="L31" s="174">
        <f t="shared" si="9"/>
        <v>3579.26</v>
      </c>
      <c r="M31" s="174">
        <f t="shared" si="9"/>
        <v>6933.2565434574</v>
      </c>
      <c r="N31" s="174">
        <f t="shared" si="9"/>
        <v>10082.9585599936</v>
      </c>
      <c r="O31" s="174">
        <f t="shared" si="9"/>
        <v>13731.2769984926</v>
      </c>
      <c r="P31" s="174">
        <f t="shared" si="9"/>
        <v>17843.758740259</v>
      </c>
      <c r="Q31" s="174">
        <f t="shared" si="9"/>
        <v>22373.7063991785</v>
      </c>
    </row>
    <row r="32" ht="16.5" customHeight="1" outlineLevel="1" spans="1:18">
      <c r="A32" s="15"/>
      <c r="B32" s="15"/>
      <c r="C32" s="15"/>
      <c r="D32" s="15" t="s">
        <v>183</v>
      </c>
      <c r="E32" s="15"/>
      <c r="F32" s="15"/>
      <c r="H32" s="170">
        <f>-SUM(Historical_Data!H28)</f>
        <v>-1453.43</v>
      </c>
      <c r="I32" s="170">
        <f>-SUM(Historical_Data!I28)</f>
        <v>-705.11</v>
      </c>
      <c r="J32" s="170">
        <f>-SUM(Historical_Data!J28)</f>
        <v>-1162.61</v>
      </c>
      <c r="K32" s="170">
        <f>-SUM(Historical_Data!K28)</f>
        <v>-763.96</v>
      </c>
      <c r="L32" s="170">
        <f>-SUM(Historical_Data!L28)</f>
        <v>2338.31</v>
      </c>
      <c r="M32" s="170">
        <f>-M31*M11</f>
        <v>-183.255285162648</v>
      </c>
      <c r="N32" s="170">
        <f>-N31*N11</f>
        <v>-266.50614103389</v>
      </c>
      <c r="O32" s="170">
        <f>-O31*O11</f>
        <v>-362.936098820779</v>
      </c>
      <c r="P32" s="170">
        <f>-P31*P11</f>
        <v>-471.634516308989</v>
      </c>
      <c r="Q32" s="170">
        <f>-Q31*Q11</f>
        <v>-591.367118846325</v>
      </c>
    </row>
    <row r="33" ht="16.5" customHeight="1" outlineLevel="1" spans="1:17">
      <c r="A33" s="15"/>
      <c r="B33" s="15"/>
      <c r="C33" s="15"/>
      <c r="D33" s="172" t="s">
        <v>184</v>
      </c>
      <c r="E33" s="156"/>
      <c r="F33" s="156"/>
      <c r="G33" s="173"/>
      <c r="H33" s="174">
        <f t="shared" ref="H33:Q33" si="10">SUM(H31:H32)</f>
        <v>3811.26</v>
      </c>
      <c r="I33" s="174">
        <f t="shared" si="10"/>
        <v>3315.4</v>
      </c>
      <c r="J33" s="174">
        <f t="shared" si="10"/>
        <v>4503.54</v>
      </c>
      <c r="K33" s="174">
        <f t="shared" si="10"/>
        <v>5166.66</v>
      </c>
      <c r="L33" s="174">
        <f t="shared" si="10"/>
        <v>5917.57</v>
      </c>
      <c r="M33" s="174">
        <f t="shared" si="10"/>
        <v>6750.00125829476</v>
      </c>
      <c r="N33" s="174">
        <f t="shared" si="10"/>
        <v>9816.45241895976</v>
      </c>
      <c r="O33" s="174">
        <f t="shared" si="10"/>
        <v>13368.3408996718</v>
      </c>
      <c r="P33" s="174">
        <f t="shared" si="10"/>
        <v>17372.12422395</v>
      </c>
      <c r="Q33" s="174">
        <f t="shared" si="10"/>
        <v>21782.3392803322</v>
      </c>
    </row>
    <row r="34" ht="16.5" customHeight="1" spans="1:17">
      <c r="A34" s="15"/>
      <c r="B34" s="15"/>
      <c r="C34" s="15"/>
      <c r="D34" s="15"/>
      <c r="E34" s="15"/>
      <c r="F34" s="15"/>
      <c r="H34" s="157"/>
      <c r="I34" s="157"/>
      <c r="J34" s="157"/>
      <c r="K34" s="157"/>
      <c r="L34" s="157"/>
      <c r="M34" s="157"/>
      <c r="N34" s="157"/>
      <c r="O34" s="157"/>
      <c r="P34" s="157"/>
      <c r="Q34" s="157"/>
    </row>
    <row r="35" ht="16.5" customHeight="1" spans="1:17">
      <c r="A35" s="8" t="s">
        <v>185</v>
      </c>
      <c r="B35" s="59"/>
      <c r="C35" s="59"/>
      <c r="D35" s="59"/>
      <c r="E35" s="59"/>
      <c r="F35" s="59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</row>
    <row r="36" ht="16.5" customHeight="1" outlineLevel="1" spans="1:17">
      <c r="A36" s="15"/>
      <c r="B36" s="15"/>
      <c r="C36" s="15"/>
      <c r="D36" s="15"/>
      <c r="E36" s="15"/>
      <c r="F36" s="15"/>
      <c r="H36" s="15"/>
    </row>
    <row r="37" ht="16.5" customHeight="1" outlineLevel="1" spans="1:17">
      <c r="C37" s="102" t="s">
        <v>29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ht="16.5" customHeight="1" outlineLevel="1" spans="1:17">
      <c r="D38" s="15" t="s">
        <v>186</v>
      </c>
      <c r="E38" s="15"/>
      <c r="F38" s="15"/>
      <c r="G38" s="15"/>
      <c r="H38" s="15">
        <f>SUM(Historical_Data!H35,Historical_Data!H37)</f>
        <v>15858.27</v>
      </c>
      <c r="I38" s="15">
        <f>SUM(Historical_Data!I35,Historical_Data!I37)</f>
        <v>17255.22</v>
      </c>
      <c r="J38" s="15">
        <f>SUM(Historical_Data!J35,Historical_Data!J37)</f>
        <v>22615.12</v>
      </c>
      <c r="K38" s="15">
        <f>SUM(Historical_Data!K35,Historical_Data!K37)</f>
        <v>34476.69</v>
      </c>
      <c r="L38" s="15">
        <f>SUM(Historical_Data!L35,Historical_Data!L37)</f>
        <v>42885.88</v>
      </c>
      <c r="M38" s="88">
        <f>M111-M39</f>
        <v>48847.9513814813</v>
      </c>
      <c r="N38" s="88">
        <f>N111-N39</f>
        <v>56457.8358903588</v>
      </c>
      <c r="O38" s="88">
        <f>O111-O39</f>
        <v>65651.4708594448</v>
      </c>
      <c r="P38" s="88">
        <f>P111-P39</f>
        <v>76292.9543764536</v>
      </c>
      <c r="Q38" s="88">
        <f>Q111-Q39</f>
        <v>88180.1602865661</v>
      </c>
    </row>
    <row r="39" ht="16.5" customHeight="1" outlineLevel="1" spans="1:17">
      <c r="D39" s="15" t="s">
        <v>187</v>
      </c>
      <c r="E39" s="15"/>
      <c r="F39" s="15"/>
      <c r="G39" s="15"/>
      <c r="H39" s="15">
        <f>SUM(Historical_Data!H39:H40)</f>
        <v>224.11</v>
      </c>
      <c r="I39" s="15">
        <f>SUM(Historical_Data!I39:I40)</f>
        <v>364.3</v>
      </c>
      <c r="J39" s="15">
        <f>SUM(Historical_Data!J39:J40)</f>
        <v>3454.19</v>
      </c>
      <c r="K39" s="15">
        <f>SUM(Historical_Data!K39:K40)</f>
        <v>5665.94</v>
      </c>
      <c r="L39" s="15">
        <f>SUM(Historical_Data!L39:L40)</f>
        <v>9469.36</v>
      </c>
      <c r="M39" s="88">
        <f>L39</f>
        <v>9469.36</v>
      </c>
      <c r="N39" s="88">
        <f>M39</f>
        <v>9469.36</v>
      </c>
      <c r="O39" s="88">
        <f>N39</f>
        <v>9469.36</v>
      </c>
      <c r="P39" s="88">
        <f>O39</f>
        <v>9469.36</v>
      </c>
      <c r="Q39" s="88">
        <f>P39</f>
        <v>9469.36</v>
      </c>
    </row>
    <row r="40" ht="16.5" customHeight="1" outlineLevel="1" spans="1:17">
      <c r="D40" s="15" t="s">
        <v>33</v>
      </c>
      <c r="E40" s="15"/>
      <c r="F40" s="15"/>
      <c r="G40" s="15"/>
      <c r="H40" s="170">
        <f>Historical_Data!H38</f>
        <v>7869.69</v>
      </c>
      <c r="I40" s="170">
        <f>Historical_Data!I38</f>
        <v>7869.69</v>
      </c>
      <c r="J40" s="170">
        <f>Historical_Data!J38</f>
        <v>8219.27</v>
      </c>
      <c r="K40" s="170">
        <f>Historical_Data!K38</f>
        <v>10856.07</v>
      </c>
      <c r="L40" s="170">
        <f>Historical_Data!L38</f>
        <v>13545.52</v>
      </c>
      <c r="M40" s="88">
        <f>L40</f>
        <v>13545.52</v>
      </c>
      <c r="N40" s="88">
        <f>M40</f>
        <v>13545.52</v>
      </c>
      <c r="O40" s="88">
        <f>N40</f>
        <v>13545.52</v>
      </c>
      <c r="P40" s="88">
        <f>O40</f>
        <v>13545.52</v>
      </c>
      <c r="Q40" s="88">
        <f>P40</f>
        <v>13545.52</v>
      </c>
    </row>
    <row r="41" ht="16.5" customHeight="1" outlineLevel="1" spans="1:17">
      <c r="D41" s="15" t="s">
        <v>188</v>
      </c>
      <c r="E41" s="15"/>
      <c r="F41" s="15"/>
      <c r="G41" s="15"/>
      <c r="H41" s="15">
        <f>SUM(Historical_Data!H43:H45)</f>
        <v>1294.28</v>
      </c>
      <c r="I41" s="15">
        <f>SUM(Historical_Data!I43:I45)</f>
        <v>3171.21</v>
      </c>
      <c r="J41" s="15">
        <f>SUM(Historical_Data!J43:J45)</f>
        <v>1206.57</v>
      </c>
      <c r="K41" s="15">
        <f>SUM(Historical_Data!K43:K45)</f>
        <v>3755.61</v>
      </c>
      <c r="L41" s="15">
        <f>SUM(Historical_Data!L43:L45)</f>
        <v>3813.72</v>
      </c>
      <c r="M41" s="88">
        <f>L41</f>
        <v>3813.72</v>
      </c>
      <c r="N41" s="88">
        <f>M41</f>
        <v>3813.72</v>
      </c>
      <c r="O41" s="88">
        <f>N41</f>
        <v>3813.72</v>
      </c>
      <c r="P41" s="88">
        <f>O41</f>
        <v>3813.72</v>
      </c>
      <c r="Q41" s="88">
        <f>P41</f>
        <v>3813.72</v>
      </c>
    </row>
    <row r="42" ht="16.5" customHeight="1" outlineLevel="1" spans="1:17">
      <c r="D42" s="15" t="s">
        <v>189</v>
      </c>
      <c r="E42" s="15"/>
      <c r="F42" s="15"/>
      <c r="G42" s="15"/>
      <c r="H42" s="15">
        <f>SUM(Historical_Data!H46:H48,Historical_Data!H41,Historical_Data!H36)</f>
        <v>2938.51</v>
      </c>
      <c r="I42" s="15">
        <f>SUM(Historical_Data!I46:I48,Historical_Data!I41,Historical_Data!I36)</f>
        <v>3811.67</v>
      </c>
      <c r="J42" s="15">
        <f>SUM(Historical_Data!J46:J48,Historical_Data!J41,Historical_Data!J36)</f>
        <v>4950.5</v>
      </c>
      <c r="K42" s="15">
        <f>SUM(Historical_Data!K46:K48,Historical_Data!K41,Historical_Data!K36)</f>
        <v>6473.95</v>
      </c>
      <c r="L42" s="15">
        <f>SUM(Historical_Data!L46:L48,Historical_Data!L41,Historical_Data!L36)</f>
        <v>6176.19</v>
      </c>
      <c r="M42" s="88">
        <f>L42</f>
        <v>6176.19</v>
      </c>
      <c r="N42" s="88">
        <f>M42</f>
        <v>6176.19</v>
      </c>
      <c r="O42" s="88">
        <f>N42</f>
        <v>6176.19</v>
      </c>
      <c r="P42" s="88">
        <f>O42</f>
        <v>6176.19</v>
      </c>
      <c r="Q42" s="88">
        <f>P42</f>
        <v>6176.19</v>
      </c>
    </row>
    <row r="43" ht="16.5" customHeight="1" outlineLevel="1" spans="1:17">
      <c r="E43" s="15"/>
      <c r="F43" s="15"/>
      <c r="G43" s="15"/>
      <c r="H43" s="15"/>
      <c r="I43" s="15"/>
      <c r="J43" s="15"/>
      <c r="K43" s="15"/>
      <c r="L43" s="15"/>
      <c r="M43" s="88"/>
      <c r="N43" s="175"/>
      <c r="O43" s="175"/>
      <c r="P43" s="175"/>
      <c r="Q43" s="175"/>
    </row>
    <row r="44" ht="16.5" customHeight="1" outlineLevel="1" spans="1:17">
      <c r="C44" s="94" t="s">
        <v>190</v>
      </c>
      <c r="E44" s="15"/>
      <c r="F44" s="15"/>
      <c r="G44" s="15"/>
      <c r="H44" s="15"/>
      <c r="I44" s="15"/>
      <c r="J44" s="15"/>
      <c r="K44" s="15"/>
      <c r="L44" s="15"/>
      <c r="M44" s="88"/>
      <c r="N44" s="175"/>
      <c r="O44" s="175"/>
      <c r="P44" s="175"/>
      <c r="Q44" s="175"/>
    </row>
    <row r="45" ht="16.5" customHeight="1" outlineLevel="1" spans="1:17">
      <c r="D45" s="87" t="s">
        <v>46</v>
      </c>
      <c r="E45" s="15"/>
      <c r="F45" s="15"/>
      <c r="G45" s="15"/>
      <c r="H45" s="170">
        <f>Historical_Data!H53</f>
        <v>11358.49</v>
      </c>
      <c r="I45" s="170">
        <f>Historical_Data!I53</f>
        <v>543.87</v>
      </c>
      <c r="J45" s="170">
        <f>Historical_Data!J53</f>
        <v>3007.1</v>
      </c>
      <c r="K45" s="170">
        <f>Historical_Data!K53</f>
        <v>5043.32</v>
      </c>
      <c r="L45" s="170">
        <f>Historical_Data!L53</f>
        <v>891.59</v>
      </c>
      <c r="M45" s="176">
        <f>M96</f>
        <v>-4812.3184092683</v>
      </c>
      <c r="N45" s="176">
        <f>N96</f>
        <v>-7023.45202596228</v>
      </c>
      <c r="O45" s="176">
        <f>O96</f>
        <v>-8231.07701853693</v>
      </c>
      <c r="P45" s="176">
        <f>P96</f>
        <v>-7832.49147298722</v>
      </c>
      <c r="Q45" s="176">
        <f>Q96</f>
        <v>-5494.83080279845</v>
      </c>
    </row>
    <row r="46" ht="16.5" customHeight="1" outlineLevel="1" spans="1:17">
      <c r="D46" s="87" t="s">
        <v>48</v>
      </c>
      <c r="E46" s="15"/>
      <c r="F46" s="15"/>
      <c r="G46" s="15"/>
      <c r="H46" s="170">
        <f>Historical_Data!H55</f>
        <v>645.83</v>
      </c>
      <c r="I46" s="170">
        <f>Historical_Data!I55</f>
        <v>1154.36</v>
      </c>
      <c r="J46" s="170">
        <f>Historical_Data!J55</f>
        <v>1213.14</v>
      </c>
      <c r="K46" s="170">
        <f>Historical_Data!K55</f>
        <v>1590.3</v>
      </c>
      <c r="L46" s="170">
        <f>Historical_Data!L55</f>
        <v>1868.47</v>
      </c>
      <c r="M46" s="88">
        <f>M22/365*M17</f>
        <v>1978.17184117384</v>
      </c>
      <c r="N46" s="88">
        <f>N22/365*N17</f>
        <v>2591.07186374086</v>
      </c>
      <c r="O46" s="88">
        <f>O22/365*O17</f>
        <v>3313.58806462638</v>
      </c>
      <c r="P46" s="88">
        <f>P22/365*P17</f>
        <v>4145.17787266328</v>
      </c>
      <c r="Q46" s="88">
        <f>Q22/365*Q17</f>
        <v>5081.43755363722</v>
      </c>
    </row>
    <row r="47" ht="16.5" customHeight="1" outlineLevel="1" spans="1:17">
      <c r="D47" s="87" t="s">
        <v>45</v>
      </c>
      <c r="E47" s="15"/>
      <c r="F47" s="15"/>
      <c r="G47" s="15"/>
      <c r="H47" s="170">
        <f>Historical_Data!H51</f>
        <v>2738.04</v>
      </c>
      <c r="I47" s="170">
        <f>Historical_Data!I51</f>
        <v>3272.79</v>
      </c>
      <c r="J47" s="170">
        <f>Historical_Data!J51</f>
        <v>3608.55</v>
      </c>
      <c r="K47" s="170">
        <f>Historical_Data!K51</f>
        <v>4248.01</v>
      </c>
      <c r="L47" s="170">
        <f>Historical_Data!L51</f>
        <v>4552.33</v>
      </c>
      <c r="M47" s="88">
        <f>-M23/365*M16</f>
        <v>5850.59901073991</v>
      </c>
      <c r="N47" s="88">
        <f>-N23/365*N16</f>
        <v>7663.29909628216</v>
      </c>
      <c r="O47" s="88">
        <f>-O23/365*O16</f>
        <v>9800.19766199825</v>
      </c>
      <c r="P47" s="88">
        <f>-P23/365*P16</f>
        <v>12259.6900109314</v>
      </c>
      <c r="Q47" s="88">
        <f>-Q23/365*Q16</f>
        <v>15028.7517523277</v>
      </c>
    </row>
    <row r="48" ht="16.5" customHeight="1" outlineLevel="1" spans="1:17">
      <c r="D48" s="15" t="s">
        <v>191</v>
      </c>
      <c r="E48" s="15"/>
      <c r="F48" s="15"/>
      <c r="G48" s="15"/>
      <c r="H48" s="15">
        <f>SUM(Historical_Data!H56:H61,Historical_Data!H54)</f>
        <v>2280.06</v>
      </c>
      <c r="I48" s="15">
        <f>SUM(Historical_Data!I56:I61,Historical_Data!I54)</f>
        <v>14278.35</v>
      </c>
      <c r="J48" s="15">
        <f>SUM(Historical_Data!J56:J61,Historical_Data!J54)</f>
        <v>17023.37</v>
      </c>
      <c r="K48" s="15">
        <f>SUM(Historical_Data!K56:K61,Historical_Data!K54)</f>
        <v>8835.52</v>
      </c>
      <c r="L48" s="15">
        <f>SUM(Historical_Data!L56:L61,Historical_Data!L54)</f>
        <v>6403.54</v>
      </c>
      <c r="M48" s="88">
        <f>L48</f>
        <v>6403.54</v>
      </c>
      <c r="N48" s="88">
        <f>M48</f>
        <v>6403.54</v>
      </c>
      <c r="O48" s="88">
        <f>N48</f>
        <v>6403.54</v>
      </c>
      <c r="P48" s="88">
        <f>O48</f>
        <v>6403.54</v>
      </c>
      <c r="Q48" s="88">
        <f>P48</f>
        <v>6403.54</v>
      </c>
    </row>
    <row r="49" ht="16.5" customHeight="1" outlineLevel="1" spans="3:17">
      <c r="D49" s="172" t="s">
        <v>53</v>
      </c>
      <c r="E49" s="172"/>
      <c r="F49" s="172"/>
      <c r="G49" s="172"/>
      <c r="H49" s="172">
        <f t="shared" ref="H49:Q49" si="11">SUM(H38:H48)</f>
        <v>45207.28</v>
      </c>
      <c r="I49" s="172">
        <f t="shared" si="11"/>
        <v>51721.46</v>
      </c>
      <c r="J49" s="172">
        <f t="shared" si="11"/>
        <v>65297.81</v>
      </c>
      <c r="K49" s="172">
        <f t="shared" si="11"/>
        <v>80945.41</v>
      </c>
      <c r="L49" s="172">
        <f t="shared" si="11"/>
        <v>89606.6</v>
      </c>
      <c r="M49" s="177">
        <f t="shared" si="11"/>
        <v>91272.7338241268</v>
      </c>
      <c r="N49" s="177">
        <f t="shared" si="11"/>
        <v>99097.0848244196</v>
      </c>
      <c r="O49" s="177">
        <f t="shared" si="11"/>
        <v>109942.509567532</v>
      </c>
      <c r="P49" s="177">
        <f t="shared" si="11"/>
        <v>124273.660787061</v>
      </c>
      <c r="Q49" s="177">
        <f t="shared" si="11"/>
        <v>142203.848789733</v>
      </c>
    </row>
    <row r="50" ht="16.5" customHeight="1" outlineLevel="1" spans="3:17">
      <c r="M50" s="175"/>
      <c r="N50" s="175"/>
      <c r="O50" s="175"/>
      <c r="P50" s="175"/>
      <c r="Q50" s="175"/>
    </row>
    <row r="51" ht="16.5" customHeight="1" outlineLevel="1" spans="3:17">
      <c r="M51" s="175"/>
      <c r="N51" s="175"/>
      <c r="O51" s="175"/>
      <c r="P51" s="175"/>
      <c r="Q51" s="175"/>
    </row>
    <row r="52" ht="16.5" customHeight="1" outlineLevel="1" spans="3:17">
      <c r="C52" s="94" t="s">
        <v>192</v>
      </c>
      <c r="D52" s="15"/>
      <c r="M52" s="175"/>
      <c r="N52" s="175"/>
      <c r="O52" s="175"/>
      <c r="P52" s="175"/>
      <c r="Q52" s="175"/>
    </row>
    <row r="53" ht="16.5" customHeight="1" outlineLevel="1" spans="3:17">
      <c r="C53" s="15"/>
      <c r="D53" s="15" t="s">
        <v>193</v>
      </c>
      <c r="H53" s="15">
        <f>SUM(Historical_Data!H88:H89)</f>
        <v>2912.82</v>
      </c>
      <c r="I53" s="15">
        <f>SUM(Historical_Data!I88:I89)</f>
        <v>2773.91</v>
      </c>
      <c r="J53" s="15">
        <f>SUM(Historical_Data!J88:J89)</f>
        <v>3108.75</v>
      </c>
      <c r="K53" s="15">
        <f>SUM(Historical_Data!K88:K89)</f>
        <v>2759.46</v>
      </c>
      <c r="L53" s="15">
        <f>SUM(Historical_Data!L88:L89)</f>
        <v>4185.03</v>
      </c>
      <c r="M53" s="88">
        <f>-M23/365*M15</f>
        <v>728.028125756961</v>
      </c>
      <c r="N53" s="88">
        <f>-N23/365*N15</f>
        <v>953.594199147779</v>
      </c>
      <c r="O53" s="88">
        <f>-O23/365*O15</f>
        <v>1219.50240014997</v>
      </c>
      <c r="P53" s="88">
        <f>-P23/365*P15</f>
        <v>1525.55304587367</v>
      </c>
      <c r="Q53" s="88">
        <f>-Q23/365*Q15</f>
        <v>1870.1254265809</v>
      </c>
    </row>
    <row r="54" ht="16.5" customHeight="1" outlineLevel="1" spans="3:17">
      <c r="C54" s="15"/>
      <c r="D54" s="170" t="s">
        <v>194</v>
      </c>
      <c r="H54" s="15">
        <f>SUM(Historical_Data!H91:H94)</f>
        <v>8247.96</v>
      </c>
      <c r="I54" s="15">
        <f>SUM(Historical_Data!I91:I94)</f>
        <v>8665.75</v>
      </c>
      <c r="J54" s="15">
        <f>SUM(Historical_Data!J91:J94)</f>
        <v>8839.08</v>
      </c>
      <c r="K54" s="15">
        <f>SUM(Historical_Data!K91:K94)</f>
        <v>10769.23</v>
      </c>
      <c r="L54" s="15">
        <f>SUM(Historical_Data!L91:L94)</f>
        <v>8711.7</v>
      </c>
      <c r="M54" s="88">
        <f>L54</f>
        <v>8711.7</v>
      </c>
      <c r="N54" s="88">
        <f>M54</f>
        <v>8711.7</v>
      </c>
      <c r="O54" s="88">
        <f>N54</f>
        <v>8711.7</v>
      </c>
      <c r="P54" s="88">
        <f>O54</f>
        <v>8711.7</v>
      </c>
      <c r="Q54" s="88">
        <f>P54</f>
        <v>8711.7</v>
      </c>
    </row>
    <row r="55" ht="16.5" customHeight="1" outlineLevel="1" spans="3:17">
      <c r="C55" s="15"/>
      <c r="D55" s="15"/>
      <c r="M55" s="175"/>
      <c r="N55" s="175"/>
      <c r="O55" s="175"/>
      <c r="P55" s="175"/>
      <c r="Q55" s="175"/>
    </row>
    <row r="56" ht="16.5" customHeight="1" outlineLevel="1" spans="3:17">
      <c r="C56" s="94" t="s">
        <v>195</v>
      </c>
      <c r="D56" s="15"/>
      <c r="M56" s="175"/>
      <c r="N56" s="175"/>
      <c r="O56" s="175"/>
      <c r="P56" s="175"/>
      <c r="Q56" s="175"/>
    </row>
    <row r="57" ht="16.5" customHeight="1" outlineLevel="1" spans="3:17">
      <c r="C57" s="15"/>
      <c r="D57" s="15" t="s">
        <v>196</v>
      </c>
      <c r="F57" s="15"/>
      <c r="G57" s="15"/>
      <c r="H57" s="15">
        <f>SUM(Historical_Data!H77,Historical_Data!H78)+Historical_Data!H90+Historical_Data!H86</f>
        <v>473.13</v>
      </c>
      <c r="I57" s="15">
        <f>SUM(Historical_Data!I77,Historical_Data!I78)+Historical_Data!I90+Historical_Data!I86</f>
        <v>522.73</v>
      </c>
      <c r="J57" s="15">
        <f>SUM(Historical_Data!J77,Historical_Data!J78)+Historical_Data!J90+Historical_Data!J86</f>
        <v>699.01</v>
      </c>
      <c r="K57" s="15">
        <f>SUM(Historical_Data!K77,Historical_Data!K78)+Historical_Data!K90+Historical_Data!K86</f>
        <v>788.5</v>
      </c>
      <c r="L57" s="15">
        <f>SUM(Historical_Data!L77,Historical_Data!L78)+Historical_Data!L90+Historical_Data!L86</f>
        <v>865.93</v>
      </c>
      <c r="M57" s="88">
        <f>M116</f>
        <v>539.5625</v>
      </c>
      <c r="N57" s="88">
        <f>N116</f>
        <v>213.195</v>
      </c>
      <c r="O57" s="88">
        <f>O116</f>
        <v>0</v>
      </c>
      <c r="P57" s="88">
        <f>P116</f>
        <v>0</v>
      </c>
      <c r="Q57" s="88">
        <f>Q116</f>
        <v>0</v>
      </c>
    </row>
    <row r="58" ht="16.5" customHeight="1" outlineLevel="1" spans="3:17">
      <c r="D58" s="15" t="s">
        <v>197</v>
      </c>
      <c r="F58" s="15"/>
      <c r="G58" s="15"/>
      <c r="H58" s="15">
        <f>SUM(Historical_Data!H79:H82)</f>
        <v>1074.6</v>
      </c>
      <c r="I58" s="15">
        <f>SUM(Historical_Data!I79:I82)</f>
        <v>1002.52</v>
      </c>
      <c r="J58" s="15">
        <f>SUM(Historical_Data!J79:J82)</f>
        <v>1805.07</v>
      </c>
      <c r="K58" s="15">
        <f>SUM(Historical_Data!K79:K82)</f>
        <v>2816.8</v>
      </c>
      <c r="L58" s="15">
        <f>SUM(Historical_Data!L79:L82)</f>
        <v>3997.7</v>
      </c>
      <c r="M58" s="178">
        <f>L58</f>
        <v>3997.7</v>
      </c>
      <c r="N58" s="178">
        <f>M58</f>
        <v>3997.7</v>
      </c>
      <c r="O58" s="178">
        <f>N58</f>
        <v>3997.7</v>
      </c>
      <c r="P58" s="178">
        <f>O58</f>
        <v>3997.7</v>
      </c>
      <c r="Q58" s="178">
        <f>P58</f>
        <v>3997.7</v>
      </c>
    </row>
    <row r="59" ht="16.5" customHeight="1" outlineLevel="1" spans="3:17">
      <c r="C59" s="173"/>
      <c r="D59" s="174" t="s">
        <v>198</v>
      </c>
      <c r="E59" s="173"/>
      <c r="F59" s="156"/>
      <c r="G59" s="156"/>
      <c r="H59" s="172">
        <f t="shared" ref="H59:Q59" si="12">SUM(H53:H54,H57:H58)</f>
        <v>12708.51</v>
      </c>
      <c r="I59" s="172">
        <f t="shared" si="12"/>
        <v>12964.91</v>
      </c>
      <c r="J59" s="172">
        <f t="shared" si="12"/>
        <v>14451.91</v>
      </c>
      <c r="K59" s="172">
        <f t="shared" si="12"/>
        <v>17133.99</v>
      </c>
      <c r="L59" s="172">
        <f t="shared" si="12"/>
        <v>17760.36</v>
      </c>
      <c r="M59" s="179">
        <f t="shared" si="12"/>
        <v>13976.990625757</v>
      </c>
      <c r="N59" s="179">
        <f t="shared" si="12"/>
        <v>13876.1891991478</v>
      </c>
      <c r="O59" s="179">
        <f t="shared" si="12"/>
        <v>13928.90240015</v>
      </c>
      <c r="P59" s="179">
        <f t="shared" si="12"/>
        <v>14234.9530458737</v>
      </c>
      <c r="Q59" s="179">
        <f t="shared" si="12"/>
        <v>14579.5254265809</v>
      </c>
    </row>
    <row r="60" ht="16.5" customHeight="1" outlineLevel="1" spans="3:17">
      <c r="F60" s="15"/>
      <c r="G60" s="15"/>
      <c r="H60" s="15"/>
      <c r="I60" s="15"/>
      <c r="J60" s="15"/>
      <c r="K60" s="15"/>
      <c r="L60" s="15"/>
      <c r="M60" s="175"/>
      <c r="N60" s="175"/>
      <c r="O60" s="175"/>
      <c r="P60" s="175"/>
      <c r="Q60" s="175"/>
    </row>
    <row r="61" ht="16.5" customHeight="1" outlineLevel="1" spans="3:17">
      <c r="D61" s="170" t="s">
        <v>55</v>
      </c>
      <c r="F61" s="15"/>
      <c r="G61" s="15"/>
      <c r="H61" s="170">
        <f>Historical_Data!H68</f>
        <v>397.13</v>
      </c>
      <c r="I61" s="170">
        <f>Historical_Data!I68</f>
        <v>397.13</v>
      </c>
      <c r="J61" s="170">
        <f>Historical_Data!J68</f>
        <v>439.54</v>
      </c>
      <c r="K61" s="170">
        <f>Historical_Data!K68</f>
        <v>492.62</v>
      </c>
      <c r="L61" s="170">
        <f>Historical_Data!L68</f>
        <v>494.36</v>
      </c>
      <c r="M61" s="88">
        <f>L61</f>
        <v>494.36</v>
      </c>
      <c r="N61" s="88">
        <f>M61</f>
        <v>494.36</v>
      </c>
      <c r="O61" s="88">
        <f>N61</f>
        <v>494.36</v>
      </c>
      <c r="P61" s="88">
        <f>O61</f>
        <v>494.36</v>
      </c>
      <c r="Q61" s="88">
        <f>P61</f>
        <v>494.36</v>
      </c>
    </row>
    <row r="62" ht="16.5" customHeight="1" outlineLevel="1" spans="3:17">
      <c r="D62" s="170" t="s">
        <v>199</v>
      </c>
      <c r="F62" s="15"/>
      <c r="G62" s="15"/>
      <c r="H62" s="15">
        <f>Historical_Data!H69+Historical_Data!H70</f>
        <v>24956.61</v>
      </c>
      <c r="I62" s="15">
        <f>Historical_Data!I69+Historical_Data!I70</f>
        <v>31301.07</v>
      </c>
      <c r="J62" s="15">
        <f>Historical_Data!J69+Historical_Data!J70</f>
        <v>41015.52</v>
      </c>
      <c r="K62" s="15">
        <f>Historical_Data!K69+Historical_Data!K70</f>
        <v>52950.63</v>
      </c>
      <c r="L62" s="15">
        <f>Historical_Data!L69+Historical_Data!L70</f>
        <v>58852.96</v>
      </c>
      <c r="M62" s="88">
        <f>L62+M33+M90</f>
        <v>64302.4631983698</v>
      </c>
      <c r="N62" s="88">
        <f>M62+N33+N90</f>
        <v>72227.6156252718</v>
      </c>
      <c r="O62" s="88">
        <f>N62+O33+O90</f>
        <v>83020.3271673825</v>
      </c>
      <c r="P62" s="88">
        <f>O62+P33+P90</f>
        <v>97045.4277411874</v>
      </c>
      <c r="Q62" s="88">
        <f>P62+Q33+Q90</f>
        <v>114631.043363152</v>
      </c>
    </row>
    <row r="63" ht="16.5" customHeight="1" outlineLevel="1" spans="3:17">
      <c r="D63" s="174" t="s">
        <v>200</v>
      </c>
      <c r="E63" s="173"/>
      <c r="F63" s="156"/>
      <c r="G63" s="156"/>
      <c r="H63" s="172">
        <f t="shared" ref="H63:Q63" si="13">SUM(H61:H62)</f>
        <v>25353.74</v>
      </c>
      <c r="I63" s="172">
        <f t="shared" si="13"/>
        <v>31698.2</v>
      </c>
      <c r="J63" s="172">
        <f t="shared" si="13"/>
        <v>41455.06</v>
      </c>
      <c r="K63" s="172">
        <f t="shared" si="13"/>
        <v>53443.25</v>
      </c>
      <c r="L63" s="172">
        <f t="shared" si="13"/>
        <v>59347.32</v>
      </c>
      <c r="M63" s="177">
        <f t="shared" si="13"/>
        <v>64796.8231983698</v>
      </c>
      <c r="N63" s="177">
        <f t="shared" si="13"/>
        <v>72721.9756252718</v>
      </c>
      <c r="O63" s="177">
        <f t="shared" si="13"/>
        <v>83514.6871673825</v>
      </c>
      <c r="P63" s="177">
        <f t="shared" si="13"/>
        <v>97539.7877411874</v>
      </c>
      <c r="Q63" s="177">
        <f t="shared" si="13"/>
        <v>115125.403363152</v>
      </c>
    </row>
    <row r="64" ht="16.5" customHeight="1" outlineLevel="1" spans="3:17">
      <c r="D64" s="170" t="s">
        <v>201</v>
      </c>
      <c r="F64" s="15"/>
      <c r="G64" s="15"/>
      <c r="H64" s="170">
        <f>Historical_Data!H72</f>
        <v>7145.03</v>
      </c>
      <c r="I64" s="170">
        <f>Historical_Data!I72</f>
        <v>7058.35</v>
      </c>
      <c r="J64" s="170">
        <f>Historical_Data!J72</f>
        <v>9390.84</v>
      </c>
      <c r="K64" s="170">
        <f>Historical_Data!K72</f>
        <v>10368.17</v>
      </c>
      <c r="L64" s="170">
        <f>Historical_Data!L72</f>
        <v>12498.92</v>
      </c>
      <c r="M64" s="88">
        <f>L64</f>
        <v>12498.92</v>
      </c>
      <c r="N64" s="88">
        <f>M64</f>
        <v>12498.92</v>
      </c>
      <c r="O64" s="88">
        <f>N64</f>
        <v>12498.92</v>
      </c>
      <c r="P64" s="88">
        <f>O64</f>
        <v>12498.92</v>
      </c>
      <c r="Q64" s="88">
        <f>P64</f>
        <v>12498.92</v>
      </c>
    </row>
    <row r="65" ht="16.5" customHeight="1" outlineLevel="1" spans="1:17">
      <c r="D65" s="174" t="s">
        <v>202</v>
      </c>
      <c r="E65" s="173"/>
      <c r="F65" s="156"/>
      <c r="G65" s="156"/>
      <c r="H65" s="172">
        <f t="shared" ref="H65:Q65" si="14">SUM(H63:H64)+H59</f>
        <v>45207.28</v>
      </c>
      <c r="I65" s="172">
        <f t="shared" si="14"/>
        <v>51721.46</v>
      </c>
      <c r="J65" s="172">
        <f t="shared" si="14"/>
        <v>65297.81</v>
      </c>
      <c r="K65" s="172">
        <f t="shared" si="14"/>
        <v>80945.41</v>
      </c>
      <c r="L65" s="172">
        <f t="shared" si="14"/>
        <v>89606.6</v>
      </c>
      <c r="M65" s="177">
        <f t="shared" si="14"/>
        <v>91272.7338241268</v>
      </c>
      <c r="N65" s="177">
        <f t="shared" si="14"/>
        <v>99097.0848244196</v>
      </c>
      <c r="O65" s="177">
        <f t="shared" si="14"/>
        <v>109942.509567532</v>
      </c>
      <c r="P65" s="177">
        <f t="shared" si="14"/>
        <v>124273.660787061</v>
      </c>
      <c r="Q65" s="177">
        <f t="shared" si="14"/>
        <v>142203.848789733</v>
      </c>
    </row>
    <row r="66" ht="16.5" customHeight="1" outlineLevel="1" spans="1:17">
      <c r="D66" s="171"/>
      <c r="F66" s="15"/>
      <c r="G66" s="15"/>
      <c r="H66" s="15"/>
      <c r="I66" s="15"/>
      <c r="J66" s="15"/>
      <c r="K66" s="15"/>
      <c r="L66" s="15"/>
    </row>
    <row r="67" ht="16.5" customHeight="1" outlineLevel="1" spans="1:17">
      <c r="D67" s="171" t="s">
        <v>203</v>
      </c>
      <c r="F67" s="15"/>
      <c r="G67" s="15"/>
      <c r="H67" s="180" t="str">
        <f t="shared" ref="H67:Q67" si="15">IF(H65=H49,"TALLIED","ERROR")</f>
        <v>TALLIED</v>
      </c>
      <c r="I67" s="180" t="str">
        <f t="shared" si="15"/>
        <v>TALLIED</v>
      </c>
      <c r="J67" s="180" t="str">
        <f t="shared" si="15"/>
        <v>TALLIED</v>
      </c>
      <c r="K67" s="180" t="str">
        <f t="shared" si="15"/>
        <v>TALLIED</v>
      </c>
      <c r="L67" s="180" t="str">
        <f t="shared" si="15"/>
        <v>TALLIED</v>
      </c>
      <c r="M67" s="180" t="str">
        <f t="shared" si="15"/>
        <v>TALLIED</v>
      </c>
      <c r="N67" s="180" t="str">
        <f t="shared" si="15"/>
        <v>TALLIED</v>
      </c>
      <c r="O67" s="180" t="str">
        <f t="shared" si="15"/>
        <v>TALLIED</v>
      </c>
      <c r="P67" s="180" t="str">
        <f t="shared" si="15"/>
        <v>TALLIED</v>
      </c>
      <c r="Q67" s="180" t="str">
        <f t="shared" si="15"/>
        <v>TALLIED</v>
      </c>
    </row>
    <row r="68" ht="16.5" customHeight="1" spans="1:17">
      <c r="D68" s="170"/>
      <c r="F68" s="15"/>
      <c r="G68" s="15"/>
      <c r="H68" s="15"/>
      <c r="I68" s="15"/>
      <c r="J68" s="15"/>
      <c r="K68" s="15"/>
      <c r="L68" s="15"/>
    </row>
    <row r="69" ht="16.5" customHeight="1" spans="1:17">
      <c r="A69" s="8" t="s">
        <v>204</v>
      </c>
      <c r="B69" s="59"/>
      <c r="C69" s="59"/>
      <c r="D69" s="59"/>
      <c r="E69" s="59"/>
      <c r="F69" s="59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</row>
    <row r="70" ht="16.5" customHeight="1" outlineLevel="1"/>
    <row r="71" ht="16.5" customHeight="1" outlineLevel="1" spans="1:17">
      <c r="C71" s="170"/>
      <c r="D71" s="170"/>
      <c r="E71" s="170"/>
      <c r="F71" s="170"/>
      <c r="G71" s="170"/>
      <c r="H71" s="170"/>
    </row>
    <row r="72" ht="16.5" customHeight="1" outlineLevel="1" spans="1:17">
      <c r="C72" s="171" t="s">
        <v>205</v>
      </c>
      <c r="E72" s="170"/>
      <c r="F72" s="170"/>
      <c r="G72" s="170"/>
      <c r="H72" s="170"/>
    </row>
    <row r="73" ht="16.5" customHeight="1" outlineLevel="1" spans="1:17">
      <c r="C73" s="170"/>
      <c r="D73" s="170" t="s">
        <v>206</v>
      </c>
      <c r="E73" s="170"/>
      <c r="G73" s="170"/>
      <c r="H73" s="170">
        <f>Historical_Data!H102+Historical_Data!H141</f>
        <v>4516.86</v>
      </c>
      <c r="I73" s="170">
        <f>Historical_Data!I102+Historical_Data!I141</f>
        <v>2991</v>
      </c>
      <c r="J73" s="170">
        <f>Historical_Data!J102+Historical_Data!J141</f>
        <v>4985.06</v>
      </c>
      <c r="K73" s="170">
        <f>Historical_Data!K102+Historical_Data!K141</f>
        <v>5542.19</v>
      </c>
      <c r="L73" s="170">
        <f>Historical_Data!L102+Historical_Data!L141</f>
        <v>3580.98</v>
      </c>
      <c r="M73" s="88">
        <f>M33</f>
        <v>6750.00125829476</v>
      </c>
      <c r="N73" s="88">
        <f>N33</f>
        <v>9816.45241895976</v>
      </c>
      <c r="O73" s="88">
        <f>O33</f>
        <v>13368.3408996718</v>
      </c>
      <c r="P73" s="88">
        <f>P33</f>
        <v>17372.12422395</v>
      </c>
      <c r="Q73" s="88">
        <f>Q33</f>
        <v>21782.3392803322</v>
      </c>
    </row>
    <row r="74" ht="16.5" customHeight="1" outlineLevel="1" spans="1:17">
      <c r="C74" s="170"/>
      <c r="D74" s="170" t="s">
        <v>207</v>
      </c>
      <c r="E74" s="170"/>
      <c r="G74" s="170"/>
      <c r="H74" s="170">
        <f>Historical_Data!H104</f>
        <v>1152.49</v>
      </c>
      <c r="I74" s="170">
        <f>Historical_Data!I104</f>
        <v>1644.67</v>
      </c>
      <c r="J74" s="170">
        <f>Historical_Data!J104</f>
        <v>1623.38</v>
      </c>
      <c r="K74" s="170">
        <f>Historical_Data!K104</f>
        <v>2478.34</v>
      </c>
      <c r="L74" s="170">
        <f>Historical_Data!L104</f>
        <v>3570.41</v>
      </c>
      <c r="M74" s="88">
        <f>-M110</f>
        <v>4135.12084524192</v>
      </c>
      <c r="N74" s="88">
        <f>-N110</f>
        <v>4606.01708505256</v>
      </c>
      <c r="O74" s="88">
        <f>-O110</f>
        <v>5207.06087861635</v>
      </c>
      <c r="P74" s="88">
        <f>-P110</f>
        <v>5933.19242923502</v>
      </c>
      <c r="Q74" s="88">
        <f>-Q110</f>
        <v>6773.6779339425</v>
      </c>
    </row>
    <row r="75" ht="16.5" customHeight="1" outlineLevel="1" spans="1:17">
      <c r="C75" s="170"/>
      <c r="D75" s="170" t="s">
        <v>208</v>
      </c>
      <c r="E75" s="170"/>
      <c r="G75" s="170"/>
      <c r="H75" s="170">
        <f>SUM(Historical_Data!H105:H128)</f>
        <v>-28.78</v>
      </c>
      <c r="I75" s="170">
        <f>SUM(Historical_Data!I105:I128)</f>
        <v>-427.84</v>
      </c>
      <c r="J75" s="170">
        <f>SUM(Historical_Data!J105:J128)</f>
        <v>-1156.71</v>
      </c>
      <c r="K75" s="170">
        <f>SUM(Historical_Data!K105:K128)</f>
        <v>-2381.96</v>
      </c>
      <c r="L75" s="170">
        <f>SUM(Historical_Data!L105:L128)</f>
        <v>57.76</v>
      </c>
      <c r="M75" s="181">
        <f>-SUM(M29:M30)</f>
        <v>-2014.17546912082</v>
      </c>
      <c r="N75" s="181">
        <f>-SUM(N29:N30)</f>
        <v>-2829.49642582566</v>
      </c>
      <c r="O75" s="181">
        <f>-SUM(O29:O30)</f>
        <v>-3771.86204777474</v>
      </c>
      <c r="P75" s="181">
        <f>-SUM(P29:P30)</f>
        <v>-4804.24279781322</v>
      </c>
      <c r="Q75" s="181">
        <f>-SUM(Q29:Q30)</f>
        <v>-5889.36362190755</v>
      </c>
    </row>
    <row r="76" ht="16.5" customHeight="1" outlineLevel="1" spans="1:17">
      <c r="C76" s="170"/>
      <c r="D76" s="170" t="s">
        <v>209</v>
      </c>
      <c r="E76" s="170"/>
      <c r="G76" s="170"/>
      <c r="H76" s="170">
        <f>SUM(Historical_Data!H131:H138)</f>
        <v>-331.41</v>
      </c>
      <c r="I76" s="170">
        <f>SUM(Historical_Data!I131:I138)</f>
        <v>-3472.91</v>
      </c>
      <c r="J76" s="170">
        <f>SUM(Historical_Data!J131:J138)</f>
        <v>194.09</v>
      </c>
      <c r="K76" s="170">
        <f>SUM(Historical_Data!K131:K138)</f>
        <v>-3401.22</v>
      </c>
      <c r="L76" s="170">
        <f>SUM(Historical_Data!L131:L138)</f>
        <v>-1847.62</v>
      </c>
      <c r="M76" s="170">
        <f>M105</f>
        <v>-4864.97272615679</v>
      </c>
      <c r="N76" s="170">
        <f>N105</f>
        <v>-2200.03403471846</v>
      </c>
      <c r="O76" s="170">
        <f>O105</f>
        <v>-2593.50656559941</v>
      </c>
      <c r="P76" s="170">
        <f>P105</f>
        <v>-2985.03151124636</v>
      </c>
      <c r="Q76" s="170">
        <f>Q105</f>
        <v>-3360.74904166297</v>
      </c>
    </row>
    <row r="77" ht="16.5" customHeight="1" outlineLevel="1" spans="1:17">
      <c r="C77" s="170"/>
      <c r="D77" s="174" t="s">
        <v>210</v>
      </c>
      <c r="E77" s="182"/>
      <c r="F77" s="173"/>
      <c r="G77" s="174"/>
      <c r="H77" s="174">
        <f t="shared" ref="H77:Q77" si="16">SUM(H73:H76)</f>
        <v>5309.16</v>
      </c>
      <c r="I77" s="174">
        <f t="shared" si="16"/>
        <v>734.92</v>
      </c>
      <c r="J77" s="174">
        <f t="shared" si="16"/>
        <v>5645.82</v>
      </c>
      <c r="K77" s="174">
        <f t="shared" si="16"/>
        <v>2237.35</v>
      </c>
      <c r="L77" s="174">
        <f t="shared" si="16"/>
        <v>5361.53</v>
      </c>
      <c r="M77" s="174">
        <f t="shared" si="16"/>
        <v>4005.97390825907</v>
      </c>
      <c r="N77" s="174">
        <f t="shared" si="16"/>
        <v>9392.9390434682</v>
      </c>
      <c r="O77" s="174">
        <f t="shared" si="16"/>
        <v>12210.033164914</v>
      </c>
      <c r="P77" s="174">
        <f t="shared" si="16"/>
        <v>15516.0423441255</v>
      </c>
      <c r="Q77" s="174">
        <f t="shared" si="16"/>
        <v>19305.9045507042</v>
      </c>
    </row>
    <row r="78" ht="16.5" customHeight="1" outlineLevel="1" spans="1:17">
      <c r="C78" s="170"/>
      <c r="D78" s="170"/>
      <c r="E78" s="170"/>
      <c r="F78" s="170"/>
      <c r="G78" s="170"/>
      <c r="H78" s="170"/>
    </row>
    <row r="79" ht="16.5" customHeight="1" outlineLevel="1" spans="1:17">
      <c r="C79" s="171" t="s">
        <v>211</v>
      </c>
      <c r="E79" s="170"/>
      <c r="F79" s="170"/>
      <c r="G79" s="170"/>
      <c r="H79" s="170"/>
      <c r="M79" s="170"/>
      <c r="N79" s="170"/>
      <c r="O79" s="170"/>
      <c r="P79" s="170"/>
      <c r="Q79" s="170"/>
    </row>
    <row r="80" ht="16.5" customHeight="1" outlineLevel="1" spans="1:17">
      <c r="C80" s="170"/>
      <c r="D80" s="170" t="s">
        <v>212</v>
      </c>
      <c r="E80" s="170"/>
      <c r="G80" s="170"/>
      <c r="H80" s="170">
        <f>Historical_Data!H145</f>
        <v>-2334.1</v>
      </c>
      <c r="I80" s="170">
        <f>Historical_Data!I145</f>
        <v>-4231.78</v>
      </c>
      <c r="J80" s="170">
        <f>Historical_Data!J145</f>
        <v>-4482.46</v>
      </c>
      <c r="K80" s="170">
        <f>Historical_Data!K145</f>
        <v>-8687.05</v>
      </c>
      <c r="L80" s="170">
        <f>Historical_Data!L145</f>
        <v>-6344.33</v>
      </c>
      <c r="M80" s="170">
        <f>-M109</f>
        <v>-10097.1922267232</v>
      </c>
      <c r="N80" s="170">
        <f>-N109</f>
        <v>-12215.9015939301</v>
      </c>
      <c r="O80" s="170">
        <f>-O109</f>
        <v>-14400.6958477023</v>
      </c>
      <c r="P80" s="170">
        <f>-P109</f>
        <v>-16574.6759462438</v>
      </c>
      <c r="Q80" s="170">
        <f>-Q109</f>
        <v>-18660.8838440551</v>
      </c>
    </row>
    <row r="81" ht="16.5" customHeight="1" outlineLevel="1" spans="3:17">
      <c r="C81" s="170"/>
      <c r="D81" s="170" t="s">
        <v>213</v>
      </c>
      <c r="E81" s="170"/>
      <c r="G81" s="170"/>
      <c r="H81" s="170">
        <f>SUM(Historical_Data!H147:H159)</f>
        <v>6.67</v>
      </c>
      <c r="I81" s="170">
        <f>SUM(Historical_Data!I147:I159)</f>
        <v>-10862.08</v>
      </c>
      <c r="J81" s="170">
        <f>SUM(Historical_Data!J147:J159)</f>
        <v>-6018.93</v>
      </c>
      <c r="K81" s="170">
        <f>SUM(Historical_Data!K147:K159)</f>
        <v>63.7600000000005</v>
      </c>
      <c r="L81" s="170">
        <f>SUM(Historical_Data!L147:L159)</f>
        <v>-2312.39</v>
      </c>
      <c r="M81" s="170">
        <v>0</v>
      </c>
      <c r="N81" s="170">
        <f>M81</f>
        <v>0</v>
      </c>
      <c r="O81" s="170">
        <f>N81</f>
        <v>0</v>
      </c>
      <c r="P81" s="170">
        <f>O81</f>
        <v>0</v>
      </c>
      <c r="Q81" s="170">
        <f>P81</f>
        <v>0</v>
      </c>
    </row>
    <row r="82" ht="16.5" customHeight="1" outlineLevel="1" spans="3:17">
      <c r="C82" s="170"/>
      <c r="D82" s="170" t="s">
        <v>214</v>
      </c>
      <c r="E82" s="170"/>
      <c r="G82" s="170"/>
      <c r="H82" s="170">
        <f>Historical_Data!H146</f>
        <v>37.76</v>
      </c>
      <c r="I82" s="170">
        <f>Historical_Data!I146</f>
        <v>165.85</v>
      </c>
      <c r="J82" s="170">
        <f>Historical_Data!J146</f>
        <v>521.32</v>
      </c>
      <c r="K82" s="170">
        <f>Historical_Data!K146</f>
        <v>95.56</v>
      </c>
      <c r="L82" s="170">
        <f>Historical_Data!L146</f>
        <v>388.62</v>
      </c>
      <c r="M82" s="170">
        <v>0</v>
      </c>
      <c r="N82" s="170">
        <f>M82</f>
        <v>0</v>
      </c>
      <c r="O82" s="170">
        <f>N82</f>
        <v>0</v>
      </c>
      <c r="P82" s="170">
        <f>O82</f>
        <v>0</v>
      </c>
      <c r="Q82" s="170">
        <f>P82</f>
        <v>0</v>
      </c>
    </row>
    <row r="83" ht="16.5" customHeight="1" outlineLevel="1" spans="3:17">
      <c r="C83" s="170"/>
      <c r="D83" s="170" t="s">
        <v>215</v>
      </c>
      <c r="E83" s="170"/>
      <c r="G83" s="170"/>
      <c r="H83" s="170">
        <f>Historical_Data!H160</f>
        <v>4.31</v>
      </c>
      <c r="I83" s="170">
        <f>Historical_Data!I160</f>
        <v>12.39</v>
      </c>
      <c r="J83" s="170">
        <f>Historical_Data!J160</f>
        <v>26.04</v>
      </c>
      <c r="K83" s="170">
        <f>Historical_Data!K160</f>
        <v>15.07</v>
      </c>
      <c r="L83" s="170">
        <f>Historical_Data!L160</f>
        <v>6.89</v>
      </c>
      <c r="M83" s="170">
        <v>0</v>
      </c>
      <c r="N83" s="170">
        <f>M83</f>
        <v>0</v>
      </c>
      <c r="O83" s="170">
        <f>N83</f>
        <v>0</v>
      </c>
      <c r="P83" s="170">
        <f>O83</f>
        <v>0</v>
      </c>
      <c r="Q83" s="170">
        <f>P83</f>
        <v>0</v>
      </c>
    </row>
    <row r="84" ht="16.5" customHeight="1" outlineLevel="1" spans="3:17">
      <c r="C84" s="170"/>
      <c r="D84" s="170" t="s">
        <v>216</v>
      </c>
      <c r="E84" s="170"/>
      <c r="G84" s="170"/>
      <c r="H84" s="170">
        <f>Historical_Data!H161</f>
        <v>278.31</v>
      </c>
      <c r="I84" s="170">
        <f>Historical_Data!I161</f>
        <v>434.87</v>
      </c>
      <c r="J84" s="170">
        <f>Historical_Data!J161</f>
        <v>1003.6</v>
      </c>
      <c r="K84" s="170">
        <f>Historical_Data!K161</f>
        <v>981.56</v>
      </c>
      <c r="L84" s="170">
        <f>Historical_Data!L161</f>
        <v>326.02</v>
      </c>
      <c r="M84" s="170">
        <f>M30</f>
        <v>2292.69240373761</v>
      </c>
      <c r="N84" s="170">
        <f>N30</f>
        <v>3003.04081571187</v>
      </c>
      <c r="O84" s="170">
        <f>O30</f>
        <v>3840.43389293038</v>
      </c>
      <c r="P84" s="170">
        <f>P30</f>
        <v>4804.24279781322</v>
      </c>
      <c r="Q84" s="170">
        <f>Q30</f>
        <v>5889.36362190755</v>
      </c>
    </row>
    <row r="85" ht="16.5" customHeight="1" outlineLevel="1" spans="3:17">
      <c r="C85" s="170"/>
      <c r="D85" s="183" t="s">
        <v>217</v>
      </c>
      <c r="E85" s="182"/>
      <c r="F85" s="173"/>
      <c r="G85" s="174"/>
      <c r="H85" s="174">
        <f t="shared" ref="H85:Q85" si="17">SUM(H80:H84)</f>
        <v>-2007.05</v>
      </c>
      <c r="I85" s="174">
        <f t="shared" si="17"/>
        <v>-14480.75</v>
      </c>
      <c r="J85" s="174">
        <f t="shared" si="17"/>
        <v>-8950.43</v>
      </c>
      <c r="K85" s="174">
        <f t="shared" si="17"/>
        <v>-7531.1</v>
      </c>
      <c r="L85" s="174">
        <f t="shared" si="17"/>
        <v>-7935.19</v>
      </c>
      <c r="M85" s="174">
        <f t="shared" si="17"/>
        <v>-7804.49982298563</v>
      </c>
      <c r="N85" s="174">
        <f t="shared" si="17"/>
        <v>-9212.86077821821</v>
      </c>
      <c r="O85" s="174">
        <f t="shared" si="17"/>
        <v>-10560.2619547719</v>
      </c>
      <c r="P85" s="174">
        <f t="shared" si="17"/>
        <v>-11770.4331484306</v>
      </c>
      <c r="Q85" s="174">
        <f t="shared" si="17"/>
        <v>-12771.5202221475</v>
      </c>
    </row>
    <row r="86" ht="16.5" customHeight="1" outlineLevel="1" spans="3:17">
      <c r="C86" s="170"/>
      <c r="D86" s="170"/>
      <c r="E86" s="170"/>
      <c r="F86" s="170"/>
      <c r="G86" s="170"/>
      <c r="H86" s="170"/>
    </row>
    <row r="87" ht="16.5" customHeight="1" outlineLevel="1" spans="3:17">
      <c r="C87" s="171" t="s">
        <v>218</v>
      </c>
      <c r="E87" s="170"/>
      <c r="F87" s="170"/>
      <c r="G87" s="170"/>
      <c r="H87" s="170"/>
    </row>
    <row r="88" ht="16.5" customHeight="1" outlineLevel="1" spans="3:17">
      <c r="C88" s="170"/>
      <c r="D88" s="170" t="s">
        <v>219</v>
      </c>
      <c r="E88" s="170"/>
      <c r="G88" s="170"/>
      <c r="H88" s="170">
        <f>SUM(Historical_Data!H165:H166,Historical_Data!H168:H171)</f>
        <v>-75.13</v>
      </c>
      <c r="I88" s="170">
        <f>SUM(Historical_Data!I165:I166,Historical_Data!I168:I171)</f>
        <v>4853.99</v>
      </c>
      <c r="J88" s="170">
        <f>SUM(Historical_Data!J165:J166,Historical_Data!J168:J171)</f>
        <v>6507.66</v>
      </c>
      <c r="K88" s="170">
        <f>SUM(Historical_Data!K165:K166,Historical_Data!K168:K171)</f>
        <v>6330.81</v>
      </c>
      <c r="L88" s="170">
        <f>SUM(Historical_Data!L165:L166,Historical_Data!L168:L171)</f>
        <v>-912.13</v>
      </c>
      <c r="M88" s="170">
        <f>M115</f>
        <v>-326.3675</v>
      </c>
      <c r="N88" s="170">
        <f>N115</f>
        <v>-326.3675</v>
      </c>
      <c r="O88" s="170">
        <f>O115</f>
        <v>-213.195</v>
      </c>
      <c r="P88" s="170">
        <f>P115</f>
        <v>0</v>
      </c>
      <c r="Q88" s="170">
        <f>Q115</f>
        <v>0</v>
      </c>
    </row>
    <row r="89" ht="16.5" customHeight="1" outlineLevel="1" spans="3:17">
      <c r="C89" s="170"/>
      <c r="D89" s="170" t="s">
        <v>220</v>
      </c>
      <c r="E89" s="170"/>
      <c r="G89" s="170"/>
      <c r="H89" s="170"/>
      <c r="I89" s="170"/>
      <c r="J89" s="170"/>
      <c r="K89" s="170"/>
      <c r="L89" s="170"/>
      <c r="M89" s="15"/>
    </row>
    <row r="90" ht="16.5" customHeight="1" outlineLevel="1" spans="3:17">
      <c r="C90" s="170"/>
      <c r="D90" s="170" t="s">
        <v>221</v>
      </c>
      <c r="E90" s="170"/>
      <c r="G90" s="170"/>
      <c r="H90" s="170">
        <f>SUM(Historical_Data!H172:H173)</f>
        <v>-333.42</v>
      </c>
      <c r="I90" s="170">
        <f>SUM(Historical_Data!I172:I173)</f>
        <v>-1795.48</v>
      </c>
      <c r="J90" s="170">
        <f>SUM(Historical_Data!J172:J173)</f>
        <v>-584.81</v>
      </c>
      <c r="K90" s="170">
        <f>SUM(Historical_Data!K172:K173)</f>
        <v>-562.98</v>
      </c>
      <c r="L90" s="170">
        <f>SUM(Historical_Data!L172:L173)</f>
        <v>-564.96</v>
      </c>
      <c r="M90" s="170">
        <f>M33*-M14</f>
        <v>-1300.49805992494</v>
      </c>
      <c r="N90" s="170">
        <f>N33*-N14</f>
        <v>-1891.29999205775</v>
      </c>
      <c r="O90" s="170">
        <f>O33*-O14</f>
        <v>-2575.62935756112</v>
      </c>
      <c r="P90" s="170">
        <f>P33*-P14</f>
        <v>-3347.02365014516</v>
      </c>
      <c r="Q90" s="170">
        <f>Q33*-Q14</f>
        <v>-4196.72365836794</v>
      </c>
    </row>
    <row r="91" ht="16.5" customHeight="1" outlineLevel="1" spans="3:17">
      <c r="C91" s="170"/>
      <c r="D91" s="170" t="s">
        <v>222</v>
      </c>
      <c r="E91" s="170"/>
      <c r="G91" s="170"/>
      <c r="H91" s="170">
        <f>Historical_Data!H167</f>
        <v>-107.21</v>
      </c>
      <c r="I91" s="170">
        <f>Historical_Data!I167</f>
        <v>-127.5</v>
      </c>
      <c r="J91" s="170">
        <f>Historical_Data!J167</f>
        <v>-234.08</v>
      </c>
      <c r="K91" s="170">
        <f>Historical_Data!K167</f>
        <v>-175.79</v>
      </c>
      <c r="L91" s="170">
        <f>Historical_Data!L167</f>
        <v>-152.31</v>
      </c>
      <c r="M91" s="170">
        <f>M117</f>
        <v>-278.516934616787</v>
      </c>
      <c r="N91" s="170">
        <f>N117</f>
        <v>-173.544389886215</v>
      </c>
      <c r="O91" s="170">
        <f>O117</f>
        <v>-68.5718451556429</v>
      </c>
      <c r="P91" s="170">
        <f>P117</f>
        <v>0</v>
      </c>
      <c r="Q91" s="170">
        <f>Q117</f>
        <v>0</v>
      </c>
    </row>
    <row r="92" ht="16.5" customHeight="1" outlineLevel="1" spans="3:17">
      <c r="C92" s="170"/>
      <c r="D92" s="174" t="s">
        <v>218</v>
      </c>
      <c r="E92" s="182"/>
      <c r="F92" s="173"/>
      <c r="G92" s="174"/>
      <c r="H92" s="174">
        <f t="shared" ref="H92:Q92" si="18">SUM(H88:H91)</f>
        <v>-515.76</v>
      </c>
      <c r="I92" s="174">
        <f t="shared" si="18"/>
        <v>2931.01</v>
      </c>
      <c r="J92" s="174">
        <f t="shared" si="18"/>
        <v>5688.77</v>
      </c>
      <c r="K92" s="174">
        <f t="shared" si="18"/>
        <v>5592.04</v>
      </c>
      <c r="L92" s="174">
        <f t="shared" si="18"/>
        <v>-1629.4</v>
      </c>
      <c r="M92" s="174">
        <f t="shared" si="18"/>
        <v>-1905.38249454173</v>
      </c>
      <c r="N92" s="174">
        <f t="shared" si="18"/>
        <v>-2391.21188194397</v>
      </c>
      <c r="O92" s="174">
        <f t="shared" si="18"/>
        <v>-2857.39620271676</v>
      </c>
      <c r="P92" s="174">
        <f t="shared" si="18"/>
        <v>-3347.02365014516</v>
      </c>
      <c r="Q92" s="174">
        <f t="shared" si="18"/>
        <v>-4196.72365836794</v>
      </c>
    </row>
    <row r="93" ht="16.5" customHeight="1" outlineLevel="1" spans="3:17">
      <c r="C93" s="170"/>
      <c r="D93" s="170"/>
      <c r="E93" s="170"/>
      <c r="G93" s="170"/>
      <c r="H93" s="170"/>
      <c r="I93" s="15"/>
      <c r="J93" s="15"/>
      <c r="K93" s="15"/>
      <c r="L93" s="15"/>
      <c r="M93" s="15"/>
    </row>
    <row r="94" ht="16.5" customHeight="1" outlineLevel="1" spans="3:17">
      <c r="C94" s="170"/>
      <c r="D94" s="171" t="s">
        <v>223</v>
      </c>
      <c r="E94" s="170"/>
      <c r="G94" s="170"/>
      <c r="H94" s="170">
        <f t="shared" ref="H94:Q94" si="19">SUM(H77+H85+H92)</f>
        <v>2786.35</v>
      </c>
      <c r="I94" s="170">
        <f t="shared" si="19"/>
        <v>-10814.82</v>
      </c>
      <c r="J94" s="170">
        <f t="shared" si="19"/>
        <v>2384.16</v>
      </c>
      <c r="K94" s="170">
        <f t="shared" si="19"/>
        <v>298.289999999999</v>
      </c>
      <c r="L94" s="170">
        <f t="shared" si="19"/>
        <v>-4203.06</v>
      </c>
      <c r="M94" s="170">
        <f t="shared" si="19"/>
        <v>-5703.9084092683</v>
      </c>
      <c r="N94" s="170">
        <f t="shared" si="19"/>
        <v>-2211.13361669398</v>
      </c>
      <c r="O94" s="170">
        <f t="shared" si="19"/>
        <v>-1207.62499257465</v>
      </c>
      <c r="P94" s="170">
        <f t="shared" si="19"/>
        <v>398.585545549712</v>
      </c>
      <c r="Q94" s="170">
        <f t="shared" si="19"/>
        <v>2337.66067018877</v>
      </c>
    </row>
    <row r="95" ht="16.5" customHeight="1" outlineLevel="1" spans="3:17">
      <c r="C95" s="170"/>
      <c r="D95" s="170" t="s">
        <v>224</v>
      </c>
      <c r="E95" s="170"/>
      <c r="G95" s="170"/>
      <c r="H95" s="170">
        <f>Historical_Data!H178</f>
        <v>8571.56</v>
      </c>
      <c r="I95" s="170">
        <f>H96</f>
        <v>11358.49</v>
      </c>
      <c r="J95" s="170">
        <f>I96</f>
        <v>543.87</v>
      </c>
      <c r="K95" s="170">
        <f>J96</f>
        <v>3007.1</v>
      </c>
      <c r="L95" s="170">
        <f>K96</f>
        <v>5043.32</v>
      </c>
      <c r="M95" s="170">
        <f>L45</f>
        <v>891.59</v>
      </c>
      <c r="N95" s="170">
        <f>M96</f>
        <v>-4812.3184092683</v>
      </c>
      <c r="O95" s="170">
        <f>N96</f>
        <v>-7023.45202596228</v>
      </c>
      <c r="P95" s="170">
        <f>O96</f>
        <v>-8231.07701853693</v>
      </c>
      <c r="Q95" s="170">
        <f>P96</f>
        <v>-7832.49147298722</v>
      </c>
    </row>
    <row r="96" ht="16.5" customHeight="1" outlineLevel="1" spans="3:17">
      <c r="C96" s="170"/>
      <c r="D96" s="174" t="s">
        <v>225</v>
      </c>
      <c r="E96" s="182"/>
      <c r="F96" s="173"/>
      <c r="G96" s="174"/>
      <c r="H96" s="174">
        <f>Historical_Data!H53</f>
        <v>11358.49</v>
      </c>
      <c r="I96" s="174">
        <f>Historical_Data!I53</f>
        <v>543.87</v>
      </c>
      <c r="J96" s="174">
        <f>Historical_Data!J53</f>
        <v>3007.1</v>
      </c>
      <c r="K96" s="174">
        <f>Historical_Data!K53</f>
        <v>5043.32</v>
      </c>
      <c r="L96" s="174">
        <f>Historical_Data!L53</f>
        <v>891.59</v>
      </c>
      <c r="M96" s="174">
        <f>SUM(M94:M95)</f>
        <v>-4812.3184092683</v>
      </c>
      <c r="N96" s="174">
        <f>SUM(N94:N95)</f>
        <v>-7023.45202596228</v>
      </c>
      <c r="O96" s="174">
        <f>SUM(O94:O95)</f>
        <v>-8231.07701853693</v>
      </c>
      <c r="P96" s="174">
        <f>SUM(P94:P95)</f>
        <v>-7832.49147298722</v>
      </c>
      <c r="Q96" s="174">
        <f>SUM(Q94:Q95)</f>
        <v>-5494.83080279845</v>
      </c>
    </row>
    <row r="97" ht="16.5" customHeight="1" spans="1:17">
      <c r="C97" s="170"/>
      <c r="D97" s="170"/>
      <c r="E97" s="170"/>
      <c r="F97" s="170"/>
      <c r="G97" s="170"/>
      <c r="H97" s="170"/>
      <c r="I97" s="15"/>
      <c r="J97" s="15"/>
      <c r="K97" s="15"/>
      <c r="L97" s="15"/>
      <c r="M97" s="15"/>
    </row>
    <row r="98" ht="16.5" customHeight="1" spans="1:17">
      <c r="A98" s="184" t="s">
        <v>226</v>
      </c>
      <c r="B98" s="60"/>
      <c r="C98" s="60"/>
      <c r="D98" s="184"/>
      <c r="E98" s="184"/>
      <c r="F98" s="184"/>
      <c r="G98" s="184"/>
      <c r="H98" s="184"/>
      <c r="I98" s="60"/>
      <c r="J98" s="60"/>
      <c r="K98" s="60"/>
      <c r="L98" s="60"/>
      <c r="M98" s="60"/>
      <c r="N98" s="60"/>
      <c r="O98" s="60"/>
      <c r="P98" s="60"/>
      <c r="Q98" s="60"/>
    </row>
    <row r="99" ht="16.5" customHeight="1" outlineLevel="1" spans="1:17">
      <c r="C99" s="185"/>
      <c r="D99" s="185"/>
      <c r="E99" s="186"/>
      <c r="F99" s="186"/>
      <c r="G99" s="170"/>
      <c r="H99" s="170"/>
      <c r="I99" s="170"/>
      <c r="J99" s="170"/>
      <c r="K99" s="170"/>
      <c r="L99" s="170"/>
      <c r="M99" s="170"/>
      <c r="N99" s="157"/>
      <c r="O99" s="157"/>
      <c r="P99" s="157"/>
      <c r="Q99" s="157"/>
    </row>
    <row r="100" ht="16.5" customHeight="1" outlineLevel="1" spans="1:17">
      <c r="C100" s="187" t="s">
        <v>227</v>
      </c>
      <c r="D100" s="186"/>
      <c r="E100" s="170"/>
      <c r="F100" s="170"/>
      <c r="H100" s="170"/>
      <c r="I100" s="170"/>
      <c r="J100" s="170"/>
      <c r="K100" s="170"/>
      <c r="L100" s="170"/>
      <c r="M100" s="170"/>
      <c r="N100" s="157"/>
      <c r="O100" s="157"/>
      <c r="P100" s="157"/>
      <c r="Q100" s="157"/>
    </row>
    <row r="101" ht="16.5" customHeight="1" outlineLevel="1" spans="1:17">
      <c r="C101" s="186"/>
      <c r="D101" s="186" t="s">
        <v>228</v>
      </c>
      <c r="E101" s="170"/>
      <c r="F101" s="170"/>
      <c r="H101" s="170">
        <f>Historical_Data!H132</f>
        <v>-268.03</v>
      </c>
      <c r="I101" s="170">
        <f>Historical_Data!I132</f>
        <v>-547.07</v>
      </c>
      <c r="J101" s="170">
        <f>Historical_Data!J132</f>
        <v>24.35</v>
      </c>
      <c r="K101" s="170">
        <f>Historical_Data!K132</f>
        <v>-382.32</v>
      </c>
      <c r="L101" s="170">
        <f>Historical_Data!L132</f>
        <v>-21.37</v>
      </c>
      <c r="M101" s="170">
        <f>L46-M46</f>
        <v>-109.701841173836</v>
      </c>
      <c r="N101" s="170">
        <f>M46-N46</f>
        <v>-612.900022567027</v>
      </c>
      <c r="O101" s="170">
        <f>N46-O46</f>
        <v>-722.516200885512</v>
      </c>
      <c r="P101" s="170">
        <f>O46-P46</f>
        <v>-831.589808036902</v>
      </c>
      <c r="Q101" s="170">
        <f>P46-Q46</f>
        <v>-936.259680973939</v>
      </c>
    </row>
    <row r="102" ht="16.5" customHeight="1" outlineLevel="1" spans="1:17">
      <c r="C102" s="186"/>
      <c r="D102" s="186" t="s">
        <v>229</v>
      </c>
      <c r="E102" s="170"/>
      <c r="F102" s="170"/>
      <c r="H102" s="170">
        <f>Historical_Data!H131</f>
        <v>-1121.71</v>
      </c>
      <c r="I102" s="170">
        <f>Historical_Data!I131</f>
        <v>-466.99</v>
      </c>
      <c r="J102" s="170">
        <f>Historical_Data!J131</f>
        <v>-228.29</v>
      </c>
      <c r="K102" s="170">
        <f>Historical_Data!K131</f>
        <v>-512.89</v>
      </c>
      <c r="L102" s="170">
        <f>Historical_Data!L131</f>
        <v>-9.26</v>
      </c>
      <c r="M102" s="170">
        <f>L47-M47</f>
        <v>-1298.26901073991</v>
      </c>
      <c r="N102" s="170">
        <f>M47-N47</f>
        <v>-1812.70008554225</v>
      </c>
      <c r="O102" s="170">
        <f>N47-O47</f>
        <v>-2136.89856571608</v>
      </c>
      <c r="P102" s="170">
        <f>O47-P47</f>
        <v>-2459.49234893316</v>
      </c>
      <c r="Q102" s="170">
        <f>P47-Q47</f>
        <v>-2769.06174139626</v>
      </c>
    </row>
    <row r="103" ht="16.5" customHeight="1" outlineLevel="1" spans="1:17">
      <c r="C103" s="186"/>
      <c r="D103" s="186" t="s">
        <v>230</v>
      </c>
      <c r="E103" s="170"/>
      <c r="F103" s="170"/>
      <c r="H103" s="170">
        <f>Historical_Data!H135</f>
        <v>1058.33</v>
      </c>
      <c r="I103" s="170">
        <f>Historical_Data!I135</f>
        <v>-27.76</v>
      </c>
      <c r="J103" s="170">
        <f>Historical_Data!J135</f>
        <v>102.98</v>
      </c>
      <c r="K103" s="170">
        <f>Historical_Data!K135</f>
        <v>-576.29</v>
      </c>
      <c r="L103" s="170">
        <f>Historical_Data!L135</f>
        <v>665</v>
      </c>
      <c r="M103" s="170">
        <f>M53-L53</f>
        <v>-3457.00187424304</v>
      </c>
      <c r="N103" s="170">
        <f>N53-M53</f>
        <v>225.566073390819</v>
      </c>
      <c r="O103" s="170">
        <f>O53-N53</f>
        <v>265.908201002186</v>
      </c>
      <c r="P103" s="170">
        <f>P53-O53</f>
        <v>306.0506457237</v>
      </c>
      <c r="Q103" s="170">
        <f>Q53-P53</f>
        <v>344.572380707232</v>
      </c>
    </row>
    <row r="104" ht="16.5" customHeight="1" outlineLevel="1" spans="1:17">
      <c r="C104" s="187"/>
      <c r="D104" s="186" t="s">
        <v>231</v>
      </c>
      <c r="E104" s="170"/>
      <c r="F104" s="171"/>
      <c r="H104" s="170">
        <f>SUM(Historical_Data!H136:H138,Historical_Data!H133:H134)</f>
        <v>0</v>
      </c>
      <c r="I104" s="170">
        <f>SUM(Historical_Data!I136:I138,Historical_Data!I133:I134)</f>
        <v>-2431.09</v>
      </c>
      <c r="J104" s="170">
        <f>SUM(Historical_Data!J136:J138,Historical_Data!J133:J134)</f>
        <v>295.05</v>
      </c>
      <c r="K104" s="170">
        <f>SUM(Historical_Data!K136:K138,Historical_Data!K133:K134)</f>
        <v>-1929.72</v>
      </c>
      <c r="L104" s="170">
        <f>SUM(Historical_Data!L136:L138,Historical_Data!L133:L134)</f>
        <v>-2481.99</v>
      </c>
      <c r="M104" s="170"/>
      <c r="N104" s="157"/>
      <c r="O104" s="157"/>
      <c r="P104" s="157"/>
      <c r="Q104" s="157"/>
    </row>
    <row r="105" ht="16.5" customHeight="1" outlineLevel="1" spans="1:17">
      <c r="C105" s="187"/>
      <c r="D105" s="183" t="s">
        <v>232</v>
      </c>
      <c r="E105" s="182"/>
      <c r="F105" s="174"/>
      <c r="G105" s="173"/>
      <c r="H105" s="174">
        <f t="shared" ref="H105:Q105" si="20">SUM(H101:H104)</f>
        <v>-331.41</v>
      </c>
      <c r="I105" s="174">
        <f t="shared" si="20"/>
        <v>-3472.91</v>
      </c>
      <c r="J105" s="174">
        <f t="shared" si="20"/>
        <v>194.09</v>
      </c>
      <c r="K105" s="174">
        <f t="shared" si="20"/>
        <v>-3401.22</v>
      </c>
      <c r="L105" s="174">
        <f t="shared" si="20"/>
        <v>-1847.62</v>
      </c>
      <c r="M105" s="174">
        <f t="shared" si="20"/>
        <v>-4864.97272615679</v>
      </c>
      <c r="N105" s="174">
        <f t="shared" si="20"/>
        <v>-2200.03403471846</v>
      </c>
      <c r="O105" s="174">
        <f t="shared" si="20"/>
        <v>-2593.50656559941</v>
      </c>
      <c r="P105" s="174">
        <f t="shared" si="20"/>
        <v>-2985.03151124636</v>
      </c>
      <c r="Q105" s="174">
        <f t="shared" si="20"/>
        <v>-3360.74904166297</v>
      </c>
    </row>
    <row r="106" ht="16.5" customHeight="1" outlineLevel="1" spans="1:17">
      <c r="C106" s="186"/>
      <c r="D106" s="186"/>
      <c r="E106" s="170"/>
      <c r="F106" s="170"/>
      <c r="H106" s="170"/>
      <c r="I106" s="170"/>
      <c r="J106" s="170"/>
      <c r="K106" s="170"/>
      <c r="L106" s="170"/>
      <c r="M106" s="170"/>
      <c r="N106" s="157"/>
      <c r="O106" s="157"/>
      <c r="P106" s="157"/>
      <c r="Q106" s="157"/>
    </row>
    <row r="107" ht="16.5" customHeight="1" outlineLevel="1" spans="1:17">
      <c r="C107" s="187" t="s">
        <v>233</v>
      </c>
      <c r="D107" s="186"/>
      <c r="E107" s="170"/>
      <c r="F107" s="170"/>
      <c r="H107" s="170"/>
      <c r="I107" s="170"/>
      <c r="J107" s="170"/>
      <c r="K107" s="170"/>
      <c r="L107" s="170"/>
      <c r="M107" s="170"/>
      <c r="N107" s="157"/>
      <c r="O107" s="157"/>
      <c r="P107" s="157"/>
      <c r="Q107" s="157"/>
    </row>
    <row r="108" ht="16.5" customHeight="1" outlineLevel="1" spans="1:17">
      <c r="C108" s="186"/>
      <c r="D108" s="186" t="s">
        <v>234</v>
      </c>
      <c r="E108" s="170"/>
      <c r="F108" s="170"/>
      <c r="H108" s="170"/>
      <c r="I108" s="170">
        <f t="shared" ref="I108:Q108" si="21">H111</f>
        <v>16082.38</v>
      </c>
      <c r="J108" s="170">
        <f t="shared" si="21"/>
        <v>17619.52</v>
      </c>
      <c r="K108" s="170">
        <f t="shared" si="21"/>
        <v>26069.31</v>
      </c>
      <c r="L108" s="170">
        <f t="shared" si="21"/>
        <v>40142.63</v>
      </c>
      <c r="M108" s="170">
        <f t="shared" si="21"/>
        <v>52355.24</v>
      </c>
      <c r="N108" s="170">
        <f t="shared" si="21"/>
        <v>58317.3113814813</v>
      </c>
      <c r="O108" s="170">
        <f t="shared" si="21"/>
        <v>65927.1958903588</v>
      </c>
      <c r="P108" s="170">
        <f t="shared" si="21"/>
        <v>75120.8308594448</v>
      </c>
      <c r="Q108" s="170">
        <f t="shared" si="21"/>
        <v>85762.3143764536</v>
      </c>
    </row>
    <row r="109" ht="16.5" customHeight="1" outlineLevel="1" spans="1:17">
      <c r="C109" s="186"/>
      <c r="D109" s="186" t="s">
        <v>235</v>
      </c>
      <c r="E109" s="170"/>
      <c r="F109" s="170"/>
      <c r="H109" s="170"/>
      <c r="I109" s="170">
        <f>I111-I110-I108</f>
        <v>3181.81</v>
      </c>
      <c r="J109" s="170">
        <f>J111-J110-J108</f>
        <v>10073.17</v>
      </c>
      <c r="K109" s="170">
        <f>K111-K110-K108</f>
        <v>16551.66</v>
      </c>
      <c r="L109" s="170">
        <f>L111-L110-L108</f>
        <v>15783.02</v>
      </c>
      <c r="M109" s="170">
        <f>(M22-L22)/M18</f>
        <v>10097.1922267232</v>
      </c>
      <c r="N109" s="170">
        <f>(N22-M22)/N18</f>
        <v>12215.9015939301</v>
      </c>
      <c r="O109" s="170">
        <f>(O22-N22)/O18</f>
        <v>14400.6958477023</v>
      </c>
      <c r="P109" s="170">
        <f>(P22-O22)/P18</f>
        <v>16574.6759462438</v>
      </c>
      <c r="Q109" s="170">
        <f>(Q22-P22)/Q18</f>
        <v>18660.8838440551</v>
      </c>
    </row>
    <row r="110" ht="16.5" customHeight="1" outlineLevel="1" spans="1:17">
      <c r="C110" s="186"/>
      <c r="D110" s="186" t="s">
        <v>178</v>
      </c>
      <c r="E110" s="170"/>
      <c r="F110" s="170"/>
      <c r="H110" s="170">
        <f>-Historical_Data!H104</f>
        <v>-1152.49</v>
      </c>
      <c r="I110" s="170">
        <f>-Historical_Data!I104</f>
        <v>-1644.67</v>
      </c>
      <c r="J110" s="170">
        <f>-Historical_Data!J104</f>
        <v>-1623.38</v>
      </c>
      <c r="K110" s="170">
        <f>-Historical_Data!K104</f>
        <v>-2478.34</v>
      </c>
      <c r="L110" s="170">
        <f>-Historical_Data!L104</f>
        <v>-3570.41</v>
      </c>
      <c r="M110" s="170">
        <f>M108*-M13</f>
        <v>-4135.12084524192</v>
      </c>
      <c r="N110" s="170">
        <f>N108*-N13</f>
        <v>-4606.01708505256</v>
      </c>
      <c r="O110" s="170">
        <f>O108*-O13</f>
        <v>-5207.06087861635</v>
      </c>
      <c r="P110" s="170">
        <f>P108*-P13</f>
        <v>-5933.19242923502</v>
      </c>
      <c r="Q110" s="170">
        <f>Q108*-Q13</f>
        <v>-6773.6779339425</v>
      </c>
    </row>
    <row r="111" ht="16.5" customHeight="1" outlineLevel="1" spans="1:17">
      <c r="C111" s="187"/>
      <c r="D111" s="183" t="s">
        <v>236</v>
      </c>
      <c r="E111" s="182"/>
      <c r="F111" s="182"/>
      <c r="G111" s="173"/>
      <c r="H111" s="174">
        <f>H38+H39</f>
        <v>16082.38</v>
      </c>
      <c r="I111" s="174">
        <f>I38+I39</f>
        <v>17619.52</v>
      </c>
      <c r="J111" s="174">
        <f>J38+J39</f>
        <v>26069.31</v>
      </c>
      <c r="K111" s="174">
        <f>K38+K39</f>
        <v>40142.63</v>
      </c>
      <c r="L111" s="174">
        <f>L38+L39</f>
        <v>52355.24</v>
      </c>
      <c r="M111" s="174">
        <f>SUM(M108:M110)</f>
        <v>58317.3113814813</v>
      </c>
      <c r="N111" s="174">
        <f>SUM(N108:N110)</f>
        <v>65927.1958903588</v>
      </c>
      <c r="O111" s="174">
        <f>SUM(O108:O110)</f>
        <v>75120.8308594448</v>
      </c>
      <c r="P111" s="174">
        <f>SUM(P108:P110)</f>
        <v>85762.3143764536</v>
      </c>
      <c r="Q111" s="174">
        <f>SUM(Q108:Q110)</f>
        <v>97649.5202865661</v>
      </c>
    </row>
    <row r="112" ht="16.5" customHeight="1" outlineLevel="1" spans="1:17">
      <c r="C112" s="186"/>
      <c r="D112" s="186"/>
      <c r="E112" s="170"/>
      <c r="F112" s="170"/>
      <c r="H112" s="170"/>
      <c r="I112" s="170"/>
      <c r="J112" s="170"/>
      <c r="K112" s="170"/>
      <c r="L112" s="170"/>
      <c r="M112" s="170"/>
      <c r="N112" s="170"/>
      <c r="O112" s="157"/>
      <c r="P112" s="157"/>
      <c r="Q112" s="157"/>
    </row>
    <row r="113" ht="16.5" customHeight="1" outlineLevel="1" spans="1:17">
      <c r="C113" s="187" t="s">
        <v>237</v>
      </c>
      <c r="D113" s="186"/>
      <c r="E113" s="170"/>
      <c r="F113" s="170"/>
      <c r="H113" s="170"/>
      <c r="I113" s="170"/>
      <c r="J113" s="170"/>
      <c r="K113" s="170"/>
      <c r="L113" s="170"/>
      <c r="M113" s="170"/>
      <c r="N113" s="170"/>
      <c r="O113" s="157"/>
      <c r="P113" s="157"/>
      <c r="Q113" s="157"/>
    </row>
    <row r="114" ht="16.5" customHeight="1" outlineLevel="1" spans="1:17">
      <c r="C114" s="186"/>
      <c r="D114" s="186" t="s">
        <v>234</v>
      </c>
      <c r="E114" s="170"/>
      <c r="F114" s="170"/>
      <c r="H114" s="170"/>
      <c r="I114" s="170">
        <f t="shared" ref="I114:Q114" si="22">H116</f>
        <v>473.13</v>
      </c>
      <c r="J114" s="170">
        <f t="shared" si="22"/>
        <v>522.73</v>
      </c>
      <c r="K114" s="170">
        <f t="shared" si="22"/>
        <v>699.01</v>
      </c>
      <c r="L114" s="170">
        <f t="shared" si="22"/>
        <v>788.5</v>
      </c>
      <c r="M114" s="170">
        <f t="shared" si="22"/>
        <v>865.93</v>
      </c>
      <c r="N114" s="170">
        <f t="shared" si="22"/>
        <v>539.5625</v>
      </c>
      <c r="O114" s="170">
        <f t="shared" si="22"/>
        <v>213.195</v>
      </c>
      <c r="P114" s="170">
        <f t="shared" si="22"/>
        <v>0</v>
      </c>
      <c r="Q114" s="170">
        <f t="shared" si="22"/>
        <v>0</v>
      </c>
    </row>
    <row r="115" ht="16.5" customHeight="1" outlineLevel="1" spans="1:17">
      <c r="C115" s="186"/>
      <c r="D115" s="186" t="s">
        <v>238</v>
      </c>
      <c r="E115" s="170"/>
      <c r="F115" s="170"/>
      <c r="H115" s="170"/>
      <c r="I115" s="170">
        <f>I114-I116</f>
        <v>-49.6</v>
      </c>
      <c r="J115" s="170">
        <f>J114-J116</f>
        <v>-176.28</v>
      </c>
      <c r="K115" s="170">
        <f>K114-K116</f>
        <v>-89.4899999999998</v>
      </c>
      <c r="L115" s="170">
        <f>L114-L116</f>
        <v>-77.4300000000001</v>
      </c>
      <c r="M115" s="170">
        <f>-AVERAGE(Repayment!H11:K11)</f>
        <v>-326.3675</v>
      </c>
      <c r="N115" s="170">
        <f>M115</f>
        <v>-326.3675</v>
      </c>
      <c r="O115" s="170">
        <f>-O114</f>
        <v>-213.195</v>
      </c>
      <c r="P115" s="170">
        <v>0</v>
      </c>
      <c r="Q115" s="170">
        <v>0</v>
      </c>
    </row>
    <row r="116" ht="16.5" customHeight="1" outlineLevel="1" spans="1:17">
      <c r="C116" s="187"/>
      <c r="D116" s="183" t="s">
        <v>236</v>
      </c>
      <c r="E116" s="182"/>
      <c r="F116" s="182"/>
      <c r="G116" s="173"/>
      <c r="H116" s="174">
        <f>H57</f>
        <v>473.13</v>
      </c>
      <c r="I116" s="174">
        <f>I57</f>
        <v>522.73</v>
      </c>
      <c r="J116" s="174">
        <f>J57</f>
        <v>699.01</v>
      </c>
      <c r="K116" s="174">
        <f>K57</f>
        <v>788.5</v>
      </c>
      <c r="L116" s="174">
        <f>L57</f>
        <v>865.93</v>
      </c>
      <c r="M116" s="174">
        <f>SUM(M114:M115)</f>
        <v>539.5625</v>
      </c>
      <c r="N116" s="174">
        <f>SUM(N114:N115)</f>
        <v>213.195</v>
      </c>
      <c r="O116" s="188">
        <f>SUM(O114:O115)</f>
        <v>0</v>
      </c>
      <c r="P116" s="174">
        <f>SUM(P114:P115)</f>
        <v>0</v>
      </c>
      <c r="Q116" s="174">
        <f>SUM(Q114:Q115)</f>
        <v>0</v>
      </c>
    </row>
    <row r="117" ht="16.5" customHeight="1" outlineLevel="1" spans="1:17">
      <c r="C117" s="186"/>
      <c r="D117" s="186" t="s">
        <v>239</v>
      </c>
      <c r="E117" s="170"/>
      <c r="F117" s="170"/>
      <c r="H117" s="170">
        <f>H29</f>
        <v>-145.66</v>
      </c>
      <c r="I117" s="170">
        <f>I29</f>
        <v>-194.9</v>
      </c>
      <c r="J117" s="170">
        <f>J29</f>
        <v>-276.38</v>
      </c>
      <c r="K117" s="170">
        <f>K29</f>
        <v>-215.94</v>
      </c>
      <c r="L117" s="170">
        <f>L29</f>
        <v>-223.61</v>
      </c>
      <c r="M117" s="170">
        <f>-M114*M10</f>
        <v>-278.516934616787</v>
      </c>
      <c r="N117" s="170">
        <f>-N114*N10</f>
        <v>-173.544389886215</v>
      </c>
      <c r="O117" s="170">
        <f>-O114*O10</f>
        <v>-68.5718451556429</v>
      </c>
      <c r="P117" s="170">
        <f>-P114*P10</f>
        <v>0</v>
      </c>
      <c r="Q117" s="170">
        <f>-Q114*Q10</f>
        <v>0</v>
      </c>
    </row>
    <row r="118" ht="16.5" customHeight="1" spans="1:17">
      <c r="C118" s="170"/>
      <c r="D118" s="170"/>
      <c r="E118" s="170"/>
      <c r="F118" s="170"/>
      <c r="H118" s="170"/>
      <c r="I118" s="170"/>
      <c r="J118" s="170"/>
      <c r="K118" s="170"/>
      <c r="L118" s="170"/>
      <c r="M118" s="170"/>
      <c r="N118" s="170"/>
      <c r="O118" s="157"/>
      <c r="P118" s="157"/>
      <c r="Q118" s="157"/>
    </row>
    <row r="119" ht="16.5" customHeight="1" spans="1:17">
      <c r="A119" s="189" t="s">
        <v>240</v>
      </c>
      <c r="B119" s="60"/>
      <c r="C119" s="60"/>
      <c r="D119" s="184"/>
      <c r="E119" s="184"/>
      <c r="F119" s="184"/>
      <c r="G119" s="184"/>
      <c r="H119" s="184"/>
      <c r="I119" s="60"/>
      <c r="J119" s="60"/>
      <c r="K119" s="60"/>
      <c r="L119" s="60"/>
      <c r="M119" s="60"/>
      <c r="N119" s="60"/>
      <c r="O119" s="60"/>
      <c r="P119" s="60"/>
      <c r="Q119" s="60"/>
    </row>
    <row r="121" ht="17.25" customHeight="1" spans="1:17">
      <c r="C121" s="190"/>
      <c r="D121" s="190"/>
      <c r="E121" s="190"/>
      <c r="F121" s="191"/>
    </row>
    <row r="122" ht="16.5" customHeight="1" spans="1:17">
      <c r="C122" s="192" t="s">
        <v>241</v>
      </c>
      <c r="D122" s="190"/>
      <c r="E122" s="190"/>
      <c r="F122" s="191"/>
    </row>
    <row r="123" ht="16.5" customHeight="1" spans="1:17">
      <c r="C123" s="193"/>
      <c r="D123" s="194" t="s">
        <v>242</v>
      </c>
      <c r="E123" s="193"/>
      <c r="F123" s="195">
        <f>DATE(2026,8,16)</f>
        <v>46250</v>
      </c>
    </row>
    <row r="124" ht="16.5" customHeight="1" spans="1:17">
      <c r="C124" s="190"/>
      <c r="D124" s="147" t="s">
        <v>243</v>
      </c>
      <c r="E124" s="190"/>
      <c r="F124" s="196">
        <f>DATE(2027,3,31)</f>
        <v>46477</v>
      </c>
    </row>
    <row r="125" ht="16.5" customHeight="1" spans="1:17">
      <c r="C125" s="190"/>
      <c r="D125" s="147" t="s">
        <v>244</v>
      </c>
      <c r="E125" s="190"/>
      <c r="F125" s="197">
        <f>M11</f>
        <v>0.0264313434839762</v>
      </c>
    </row>
    <row r="126" ht="16.5" customHeight="1" spans="1:17">
      <c r="C126" s="190"/>
      <c r="D126" s="147" t="s">
        <v>245</v>
      </c>
      <c r="E126" s="190"/>
      <c r="F126" s="198">
        <f>Comp!T18</f>
        <v>13.573013298735</v>
      </c>
    </row>
    <row r="127" ht="16.5" customHeight="1" spans="1:17">
      <c r="C127" s="190"/>
      <c r="D127" s="147" t="s">
        <v>246</v>
      </c>
      <c r="E127" s="190"/>
      <c r="F127" s="199">
        <v>0.05</v>
      </c>
    </row>
    <row r="128" ht="16.5" customHeight="1" spans="1:17">
      <c r="C128" s="190"/>
      <c r="D128" s="147" t="s">
        <v>247</v>
      </c>
      <c r="E128" s="190"/>
      <c r="F128" s="197">
        <f>WACC!I48</f>
        <v>0.142116133251749</v>
      </c>
    </row>
    <row r="129" ht="16.5" customHeight="1" spans="1:18">
      <c r="C129" s="190"/>
      <c r="D129" s="147" t="s">
        <v>248</v>
      </c>
      <c r="E129" s="190"/>
      <c r="F129" s="200">
        <f>Comp_Data!J5</f>
        <v>247.2</v>
      </c>
    </row>
    <row r="130" ht="17.25" customHeight="1" spans="1:18">
      <c r="C130" s="190"/>
      <c r="D130" s="201"/>
      <c r="E130" s="201"/>
      <c r="F130" s="202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4"/>
    </row>
    <row r="131" ht="17.25" customHeight="1" spans="1:18">
      <c r="A131" s="123"/>
      <c r="B131" s="123"/>
      <c r="C131" s="190"/>
      <c r="D131" s="201"/>
      <c r="E131" s="201"/>
      <c r="F131" s="202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4"/>
    </row>
    <row r="132" ht="16.5" customHeight="1" spans="1:18">
      <c r="A132" s="123"/>
      <c r="B132" s="123"/>
      <c r="C132" s="190"/>
      <c r="D132" s="205" t="s">
        <v>249</v>
      </c>
      <c r="E132" s="201"/>
      <c r="F132" s="202"/>
      <c r="G132" s="201"/>
      <c r="H132" s="206" t="s">
        <v>250</v>
      </c>
      <c r="I132" s="206">
        <f>YEAR(F123)</f>
        <v>2026</v>
      </c>
      <c r="J132" s="206">
        <f>I132+1</f>
        <v>2027</v>
      </c>
      <c r="K132" s="206">
        <f>J132+1</f>
        <v>2028</v>
      </c>
      <c r="L132" s="206">
        <f>K132+1</f>
        <v>2029</v>
      </c>
      <c r="M132" s="206">
        <f>L132+1</f>
        <v>2030</v>
      </c>
      <c r="N132" s="206" t="s">
        <v>251</v>
      </c>
      <c r="O132" s="201"/>
      <c r="P132" s="205" t="s">
        <v>252</v>
      </c>
      <c r="Q132" s="201"/>
      <c r="R132" s="204"/>
    </row>
    <row r="133" ht="16.5" customHeight="1" spans="1:18">
      <c r="A133" s="123"/>
      <c r="B133" s="123"/>
      <c r="C133" s="190"/>
      <c r="D133" s="207" t="s">
        <v>253</v>
      </c>
      <c r="E133" s="208"/>
      <c r="F133" s="209"/>
      <c r="G133" s="208"/>
      <c r="H133" s="210">
        <f>F123</f>
        <v>46250</v>
      </c>
      <c r="I133" s="210">
        <f>F124</f>
        <v>46477</v>
      </c>
      <c r="J133" s="210">
        <f>DATE(2028,3,31)</f>
        <v>46843</v>
      </c>
      <c r="K133" s="210">
        <f>DATE(2029,3,31)</f>
        <v>47208</v>
      </c>
      <c r="L133" s="210">
        <f>DATE(2030,3,31)</f>
        <v>47573</v>
      </c>
      <c r="M133" s="210">
        <f>DATE(2031,3,31)</f>
        <v>47938</v>
      </c>
      <c r="N133" s="210">
        <f>M133</f>
        <v>47938</v>
      </c>
      <c r="O133" s="201"/>
      <c r="P133" s="211" t="s">
        <v>245</v>
      </c>
      <c r="Q133" s="211">
        <f>(M137+M140)*F126</f>
        <v>315681.424415554</v>
      </c>
      <c r="R133" s="204"/>
    </row>
    <row r="134" ht="16.5" customHeight="1" spans="1:18">
      <c r="A134" s="123"/>
      <c r="B134" s="123"/>
      <c r="C134" s="190"/>
      <c r="D134" s="212" t="s">
        <v>254</v>
      </c>
      <c r="E134" s="201"/>
      <c r="F134" s="202"/>
      <c r="G134" s="201"/>
      <c r="H134" s="201"/>
      <c r="I134" s="213">
        <v>1</v>
      </c>
      <c r="J134" s="213">
        <v>2</v>
      </c>
      <c r="K134" s="213">
        <v>3</v>
      </c>
      <c r="L134" s="213">
        <v>4</v>
      </c>
      <c r="M134" s="213">
        <v>5</v>
      </c>
      <c r="N134" s="201"/>
      <c r="O134" s="201"/>
      <c r="P134" s="213" t="s">
        <v>255</v>
      </c>
      <c r="Q134" s="213">
        <f>M143*(1+F127)/(F128-F127)</f>
        <v>85742.7622403606</v>
      </c>
      <c r="R134" s="204"/>
    </row>
    <row r="135" ht="16.5" customHeight="1" spans="1:18">
      <c r="A135" s="123"/>
      <c r="B135" s="123"/>
      <c r="C135" s="190"/>
      <c r="D135" s="212" t="s">
        <v>256</v>
      </c>
      <c r="E135" s="201"/>
      <c r="F135" s="202"/>
      <c r="G135" s="201"/>
      <c r="H135" s="201"/>
      <c r="I135" s="213">
        <f>YEARFRAC(H133,I133)</f>
        <v>0.625</v>
      </c>
      <c r="J135" s="213">
        <f>YEARFRAC(I133,J133)</f>
        <v>1</v>
      </c>
      <c r="K135" s="213">
        <f>YEARFRAC(J133,K133)</f>
        <v>1</v>
      </c>
      <c r="L135" s="213">
        <f>YEARFRAC(K133,L133)</f>
        <v>1</v>
      </c>
      <c r="M135" s="213">
        <f>YEARFRAC(L133,M133)</f>
        <v>1</v>
      </c>
      <c r="N135" s="213">
        <f>M135</f>
        <v>1</v>
      </c>
      <c r="O135" s="201"/>
      <c r="P135" s="211" t="s">
        <v>257</v>
      </c>
      <c r="Q135" s="211">
        <f>AVERAGE(Q133:Q134)</f>
        <v>200712.093327957</v>
      </c>
      <c r="R135" s="204"/>
    </row>
    <row r="136" ht="17.25" customHeight="1" spans="1:18">
      <c r="A136" s="123"/>
      <c r="B136" s="123"/>
      <c r="C136" s="190"/>
      <c r="D136" s="201"/>
      <c r="E136" s="201"/>
      <c r="F136" s="202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4"/>
    </row>
    <row r="137" ht="16.5" customHeight="1" spans="1:18">
      <c r="A137" s="123"/>
      <c r="B137" s="123"/>
      <c r="C137" s="190"/>
      <c r="D137" s="213" t="s">
        <v>179</v>
      </c>
      <c r="E137" s="201"/>
      <c r="F137" s="202"/>
      <c r="G137" s="201"/>
      <c r="H137" s="201"/>
      <c r="I137" s="213">
        <f>M28</f>
        <v>4919.08107433658</v>
      </c>
      <c r="J137" s="213">
        <f>N28</f>
        <v>7253.46213416799</v>
      </c>
      <c r="K137" s="213">
        <f>O28</f>
        <v>9959.41495071785</v>
      </c>
      <c r="L137" s="213">
        <f>P28</f>
        <v>13039.5159424458</v>
      </c>
      <c r="M137" s="213">
        <f>Q28</f>
        <v>16484.342777271</v>
      </c>
      <c r="N137" s="201"/>
      <c r="O137" s="201"/>
      <c r="P137" s="201"/>
      <c r="Q137" s="201"/>
      <c r="R137" s="204"/>
    </row>
    <row r="138" ht="16.5" customHeight="1" spans="1:18">
      <c r="A138" s="123"/>
      <c r="B138" s="123"/>
      <c r="C138" s="190"/>
      <c r="D138" s="213" t="s">
        <v>258</v>
      </c>
      <c r="E138" s="201"/>
      <c r="F138" s="202"/>
      <c r="G138" s="201"/>
      <c r="H138" s="201"/>
      <c r="I138" s="213">
        <f>I137*-$F$125</f>
        <v>-130.017921501317</v>
      </c>
      <c r="J138" s="213">
        <f>J137*-$F$125</f>
        <v>-191.718749116209</v>
      </c>
      <c r="K138" s="213">
        <f>K137*-$F$125</f>
        <v>-263.240717461871</v>
      </c>
      <c r="L138" s="213">
        <f>L137*-$F$125</f>
        <v>-344.651924739569</v>
      </c>
      <c r="M138" s="213">
        <f>M137*-$F$125</f>
        <v>-435.703326053652</v>
      </c>
      <c r="N138" s="201"/>
      <c r="O138" s="201"/>
      <c r="P138" s="201"/>
      <c r="Q138" s="201"/>
      <c r="R138" s="204"/>
    </row>
    <row r="139" ht="16.5" customHeight="1" spans="1:18">
      <c r="A139" s="123"/>
      <c r="B139" s="123"/>
      <c r="C139" s="190"/>
      <c r="D139" s="214" t="s">
        <v>259</v>
      </c>
      <c r="E139" s="208"/>
      <c r="F139" s="209"/>
      <c r="G139" s="208"/>
      <c r="H139" s="208"/>
      <c r="I139" s="211">
        <f>SUM(I137:I138)</f>
        <v>4789.06315283526</v>
      </c>
      <c r="J139" s="211">
        <f>SUM(J137:J138)</f>
        <v>7061.74338505178</v>
      </c>
      <c r="K139" s="211">
        <f>SUM(K137:K138)</f>
        <v>9696.17423325598</v>
      </c>
      <c r="L139" s="211">
        <f>SUM(L137:L138)</f>
        <v>12694.8640177062</v>
      </c>
      <c r="M139" s="211">
        <f>SUM(M137:M138)</f>
        <v>16048.6394512173</v>
      </c>
      <c r="N139" s="208"/>
      <c r="O139" s="201"/>
      <c r="P139" s="201"/>
      <c r="Q139" s="201"/>
      <c r="R139" s="204"/>
    </row>
    <row r="140" ht="16.5" customHeight="1" spans="1:18">
      <c r="A140" s="123"/>
      <c r="B140" s="123"/>
      <c r="C140" s="190"/>
      <c r="D140" s="213" t="s">
        <v>207</v>
      </c>
      <c r="E140" s="201"/>
      <c r="F140" s="202"/>
      <c r="G140" s="201"/>
      <c r="H140" s="201"/>
      <c r="I140" s="213">
        <f>-M110</f>
        <v>4135.12084524192</v>
      </c>
      <c r="J140" s="213">
        <f>-N110</f>
        <v>4606.01708505256</v>
      </c>
      <c r="K140" s="213">
        <f>-O110</f>
        <v>5207.06087861635</v>
      </c>
      <c r="L140" s="213">
        <f>-P110</f>
        <v>5933.19242923502</v>
      </c>
      <c r="M140" s="213">
        <f>-Q110</f>
        <v>6773.6779339425</v>
      </c>
      <c r="N140" s="201"/>
      <c r="O140" s="201"/>
      <c r="P140" s="201"/>
      <c r="Q140" s="201"/>
      <c r="R140" s="204"/>
    </row>
    <row r="141" ht="16.5" customHeight="1" spans="1:18">
      <c r="A141" s="123"/>
      <c r="B141" s="123"/>
      <c r="C141" s="190"/>
      <c r="D141" s="213" t="s">
        <v>260</v>
      </c>
      <c r="E141" s="201"/>
      <c r="F141" s="202"/>
      <c r="G141" s="201"/>
      <c r="H141" s="201"/>
      <c r="I141" s="213">
        <f>-M109</f>
        <v>-10097.1922267232</v>
      </c>
      <c r="J141" s="213">
        <f>-N109</f>
        <v>-12215.9015939301</v>
      </c>
      <c r="K141" s="213">
        <f>-O109</f>
        <v>-14400.6958477023</v>
      </c>
      <c r="L141" s="213">
        <f>-P109</f>
        <v>-16574.6759462438</v>
      </c>
      <c r="M141" s="213">
        <f>-Q109</f>
        <v>-18660.8838440551</v>
      </c>
      <c r="N141" s="201"/>
      <c r="O141" s="201"/>
      <c r="P141" s="201"/>
      <c r="Q141" s="201"/>
      <c r="R141" s="204"/>
    </row>
    <row r="142" ht="16.5" customHeight="1" spans="1:18">
      <c r="A142" s="123"/>
      <c r="B142" s="123"/>
      <c r="C142" s="190"/>
      <c r="D142" s="213" t="s">
        <v>261</v>
      </c>
      <c r="E142" s="201"/>
      <c r="F142" s="202"/>
      <c r="G142" s="201"/>
      <c r="H142" s="201"/>
      <c r="I142" s="213">
        <f>-M105</f>
        <v>4864.97272615679</v>
      </c>
      <c r="J142" s="213">
        <f>-N105</f>
        <v>2200.03403471846</v>
      </c>
      <c r="K142" s="213">
        <f>-O105</f>
        <v>2593.50656559941</v>
      </c>
      <c r="L142" s="213">
        <f>-P105</f>
        <v>2985.03151124636</v>
      </c>
      <c r="M142" s="213">
        <f>-Q105</f>
        <v>3360.74904166297</v>
      </c>
      <c r="N142" s="201"/>
      <c r="O142" s="201"/>
      <c r="P142" s="201"/>
      <c r="Q142" s="201"/>
      <c r="R142" s="204"/>
    </row>
    <row r="143" ht="16.5" customHeight="1" spans="1:18">
      <c r="A143" s="123"/>
      <c r="B143" s="123"/>
      <c r="C143" s="190"/>
      <c r="D143" s="214" t="s">
        <v>262</v>
      </c>
      <c r="E143" s="208"/>
      <c r="F143" s="209"/>
      <c r="G143" s="208"/>
      <c r="H143" s="208"/>
      <c r="I143" s="214">
        <f>SUM(I139:I142)</f>
        <v>3691.96449751077</v>
      </c>
      <c r="J143" s="214">
        <f>SUM(J139:J142)</f>
        <v>1651.8929108927</v>
      </c>
      <c r="K143" s="214">
        <f>SUM(K139:K142)</f>
        <v>3096.04582976944</v>
      </c>
      <c r="L143" s="214">
        <f>SUM(L139:L142)</f>
        <v>5038.41201194381</v>
      </c>
      <c r="M143" s="214">
        <f>SUM(M139:M142)</f>
        <v>7522.18258276771</v>
      </c>
      <c r="N143" s="208"/>
      <c r="O143" s="201"/>
      <c r="P143" s="201"/>
      <c r="Q143" s="201"/>
      <c r="R143" s="204"/>
    </row>
    <row r="144" ht="17.25" customHeight="1" spans="1:18">
      <c r="A144" s="123"/>
      <c r="B144" s="123"/>
      <c r="C144" s="190"/>
      <c r="D144" s="201"/>
      <c r="E144" s="201"/>
      <c r="F144" s="202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4"/>
    </row>
    <row r="145" ht="16.5" customHeight="1" spans="1:18">
      <c r="A145" s="123"/>
      <c r="B145" s="123"/>
      <c r="C145" s="190"/>
      <c r="D145" s="205" t="s">
        <v>263</v>
      </c>
      <c r="E145" s="215"/>
      <c r="F145" s="216"/>
      <c r="G145" s="215"/>
      <c r="H145" s="215"/>
      <c r="I145" s="205">
        <f>I143*I135</f>
        <v>2307.47781094423</v>
      </c>
      <c r="J145" s="205">
        <f>J143*J135</f>
        <v>1651.8929108927</v>
      </c>
      <c r="K145" s="205">
        <f>K143*K135</f>
        <v>3096.04582976944</v>
      </c>
      <c r="L145" s="205">
        <f>L143*L135</f>
        <v>5038.41201194381</v>
      </c>
      <c r="M145" s="205">
        <f>M143*M135</f>
        <v>7522.18258276771</v>
      </c>
      <c r="N145" s="205">
        <f>Q135</f>
        <v>200712.093327957</v>
      </c>
      <c r="O145" s="201"/>
      <c r="P145" s="201"/>
      <c r="Q145" s="201"/>
      <c r="R145" s="204"/>
    </row>
    <row r="146" ht="16.5" customHeight="1" spans="1:18">
      <c r="A146" s="123"/>
      <c r="B146" s="123"/>
      <c r="C146" s="123"/>
      <c r="D146" s="217"/>
      <c r="E146" s="217"/>
      <c r="F146" s="181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04"/>
    </row>
    <row r="147" ht="16.5" customHeight="1" spans="1:18">
      <c r="A147" s="123"/>
      <c r="B147" s="123"/>
      <c r="C147" s="123"/>
      <c r="D147" s="218" t="s">
        <v>264</v>
      </c>
      <c r="E147" s="217"/>
      <c r="F147" s="181"/>
      <c r="G147" s="217"/>
      <c r="H147" s="217"/>
      <c r="I147" s="218" t="s">
        <v>265</v>
      </c>
      <c r="J147" s="217"/>
      <c r="K147" s="217"/>
      <c r="L147" s="217"/>
      <c r="M147" s="217"/>
      <c r="N147" s="217"/>
      <c r="O147" s="217"/>
      <c r="P147" s="217"/>
      <c r="Q147" s="217"/>
      <c r="R147" s="204"/>
    </row>
    <row r="148" ht="16.5" customHeight="1" spans="1:18">
      <c r="A148" s="123"/>
      <c r="B148" s="123"/>
      <c r="C148" s="123"/>
      <c r="D148" s="219" t="s">
        <v>266</v>
      </c>
      <c r="E148" s="220"/>
      <c r="F148" s="219">
        <f>XNPV(F128,I145:N145,I133:N133)</f>
        <v>131842.25608723</v>
      </c>
      <c r="G148" s="217"/>
      <c r="H148" s="217"/>
      <c r="I148" s="219" t="s">
        <v>267</v>
      </c>
      <c r="J148" s="220"/>
      <c r="K148" s="220"/>
      <c r="L148" s="221">
        <v>438</v>
      </c>
      <c r="M148" s="217"/>
      <c r="N148" s="217"/>
      <c r="O148" s="217"/>
      <c r="P148" s="217"/>
      <c r="Q148" s="217"/>
      <c r="R148" s="204"/>
    </row>
    <row r="149" ht="16.5" customHeight="1" spans="1:18">
      <c r="A149" s="123"/>
      <c r="B149" s="123"/>
      <c r="C149" s="123"/>
      <c r="D149" s="222" t="s">
        <v>268</v>
      </c>
      <c r="E149" s="217"/>
      <c r="F149" s="222">
        <f>M45</f>
        <v>-4812.3184092683</v>
      </c>
      <c r="G149" s="217"/>
      <c r="H149" s="217"/>
      <c r="I149" s="222" t="s">
        <v>269</v>
      </c>
      <c r="J149" s="217"/>
      <c r="K149" s="217"/>
      <c r="L149" s="222">
        <f>F154</f>
        <v>459.810225234472</v>
      </c>
      <c r="M149" s="217"/>
      <c r="N149" s="217"/>
      <c r="O149" s="217"/>
      <c r="P149" s="217"/>
      <c r="Q149" s="217"/>
      <c r="R149" s="204"/>
    </row>
    <row r="150" ht="16.5" customHeight="1" spans="1:18">
      <c r="A150" s="123"/>
      <c r="B150" s="123"/>
      <c r="C150" s="123"/>
      <c r="D150" s="222" t="s">
        <v>270</v>
      </c>
      <c r="E150" s="217"/>
      <c r="F150" s="222">
        <f>-L116</f>
        <v>-865.93</v>
      </c>
      <c r="G150" s="217"/>
      <c r="H150" s="217"/>
      <c r="I150" s="222" t="s">
        <v>271</v>
      </c>
      <c r="J150" s="217"/>
      <c r="K150" s="217"/>
      <c r="L150" s="222">
        <f>L149/L148-1</f>
        <v>0.0497950347819001</v>
      </c>
      <c r="M150" s="217"/>
      <c r="N150" s="217"/>
      <c r="O150" s="217"/>
      <c r="P150" s="217"/>
      <c r="Q150" s="217"/>
      <c r="R150" s="204"/>
    </row>
    <row r="151" ht="16.5" customHeight="1" spans="1:18">
      <c r="A151" s="123"/>
      <c r="B151" s="123"/>
      <c r="C151" s="123"/>
      <c r="D151" s="222" t="s">
        <v>272</v>
      </c>
      <c r="E151" s="217"/>
      <c r="F151" s="222">
        <f>-L64</f>
        <v>-12498.92</v>
      </c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04"/>
    </row>
    <row r="152" ht="16.5" customHeight="1" spans="1:18">
      <c r="A152" s="123"/>
      <c r="B152" s="123"/>
      <c r="C152" s="123"/>
      <c r="D152" s="223" t="s">
        <v>273</v>
      </c>
      <c r="E152" s="220"/>
      <c r="F152" s="223">
        <f>SUM(F148:F151)</f>
        <v>113665.087677962</v>
      </c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04"/>
    </row>
    <row r="153" ht="16.5" customHeight="1" spans="1:18">
      <c r="A153" s="123"/>
      <c r="B153" s="123"/>
      <c r="C153" s="123"/>
      <c r="D153" s="217"/>
      <c r="E153" s="217"/>
      <c r="F153" s="181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04"/>
    </row>
    <row r="154" ht="16.5" customHeight="1" spans="1:18">
      <c r="A154" s="123"/>
      <c r="B154" s="123"/>
      <c r="C154" s="123"/>
      <c r="D154" s="102" t="s">
        <v>274</v>
      </c>
      <c r="E154" s="123"/>
      <c r="F154" s="224">
        <f>F152/F129</f>
        <v>459.810225234472</v>
      </c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</row>
    <row r="156" ht="16.5" customHeight="1" spans="1:18">
      <c r="A156" s="225" t="s">
        <v>275</v>
      </c>
      <c r="B156" s="226"/>
      <c r="C156" s="226"/>
      <c r="D156" s="226"/>
      <c r="E156" s="226"/>
      <c r="F156" s="227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</row>
    <row r="157" ht="16.5" customHeight="1" spans="1:18"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</row>
    <row r="158" ht="16.5" customHeight="1" spans="1:18">
      <c r="B158" s="228"/>
      <c r="C158" s="228"/>
      <c r="D158" s="228"/>
      <c r="E158" s="228"/>
      <c r="F158" s="60"/>
      <c r="H158" s="123"/>
      <c r="I158" s="229" t="s">
        <v>276</v>
      </c>
      <c r="J158" s="229"/>
      <c r="K158" s="229"/>
      <c r="L158" s="229"/>
      <c r="M158" s="229"/>
      <c r="N158" s="229"/>
      <c r="O158" s="229"/>
      <c r="P158" s="229"/>
      <c r="Q158" s="123"/>
    </row>
    <row r="159" ht="16.5" customHeight="1" spans="1:18">
      <c r="B159" s="228"/>
      <c r="C159" s="228"/>
      <c r="D159" s="228"/>
      <c r="E159" s="228"/>
      <c r="F159" s="60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</row>
    <row r="160" ht="16.5" customHeight="1" spans="1:18">
      <c r="B160" s="228"/>
      <c r="C160" s="228"/>
      <c r="D160" s="228"/>
      <c r="E160" s="228"/>
      <c r="F160" s="60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</row>
    <row r="161" ht="16.5" customHeight="1" spans="2:17">
      <c r="B161" s="228"/>
      <c r="C161" s="228"/>
      <c r="D161" s="228"/>
      <c r="E161" s="228"/>
      <c r="F161" s="60"/>
      <c r="H161" s="123"/>
      <c r="I161" s="230" t="s">
        <v>247</v>
      </c>
      <c r="J161" s="23"/>
      <c r="K161" s="231" t="s">
        <v>277</v>
      </c>
      <c r="L161" s="231"/>
      <c r="M161" s="231"/>
      <c r="N161" s="231"/>
      <c r="O161" s="231"/>
      <c r="P161" s="123"/>
      <c r="Q161" s="123"/>
    </row>
    <row r="162" ht="16.5" customHeight="1" spans="2:17">
      <c r="B162" s="228"/>
      <c r="C162" s="228"/>
      <c r="D162" s="228"/>
      <c r="E162" s="228"/>
      <c r="F162" s="60"/>
      <c r="H162" s="123"/>
      <c r="I162" s="230"/>
      <c r="J162" s="232">
        <f>F154</f>
        <v>459.810225234472</v>
      </c>
      <c r="K162" s="233">
        <v>9</v>
      </c>
      <c r="L162" s="233">
        <v>11</v>
      </c>
      <c r="M162" s="233">
        <f>F126</f>
        <v>13.573013298735</v>
      </c>
      <c r="N162" s="233">
        <v>16</v>
      </c>
      <c r="O162" s="233">
        <v>18</v>
      </c>
      <c r="P162" s="123"/>
      <c r="Q162" s="123"/>
    </row>
    <row r="163" ht="16.5" customHeight="1" spans="2:17">
      <c r="B163" s="228"/>
      <c r="C163" s="228"/>
      <c r="D163" s="228"/>
      <c r="E163" s="228"/>
      <c r="F163" s="60"/>
      <c r="H163" s="123"/>
      <c r="I163" s="230"/>
      <c r="J163" s="234">
        <f>J164-1%</f>
        <v>0.122116133251749</v>
      </c>
      <c r="K163" s="235">
        <f>($I$145+$J$145/(1+$J163)^(($J$133-$I$133)/365)+$K$145/(1+$J163)^(($K$133-$I$133)/365)+$L$145/(1+$J163)^(($L$133-$I$133)/365)+$M$145/(1+$J163)^(($M$133-$I$133)/365)+(($M$137+$M$140)*K$162)/(1+$J163)^(($N$133-$I$133)/365)+$F$149+$F$150+$F$151)/$F$129</f>
        <v>519.229986117413</v>
      </c>
      <c r="L163" s="236">
        <f>($I$145+$J$145/(1+$J163)^(($J$133-$I$133)/365)+$K$145/(1+$J163)^(($K$133-$I$133)/365)+$L$145/(1+$J163)^(($L$133-$I$133)/365)+$M$145/(1+$J163)^(($M$133-$I$133)/365)+(($M$137+$M$140)*L$162)/(1+$J163)^(($N$133-$I$133)/365)+$F$149+$F$150+$F$151)/$F$129</f>
        <v>637.879500847642</v>
      </c>
      <c r="M163" s="236">
        <f>($I$145+$J$145/(1+$J163)^(($J$133-$I$133)/365)+$K$145/(1+$J163)^(($K$133-$I$133)/365)+$L$145/(1+$J163)^(($L$133-$I$133)/365)+$M$145/(1+$J163)^(($M$133-$I$133)/365)+(($M$137+$M$140)*M$162)/(1+$J163)^(($N$133-$I$133)/365)+$F$149+$F$150+$F$151)/$F$129</f>
        <v>790.522890492308</v>
      </c>
      <c r="N163" s="236">
        <f>($I$145+$J$145/(1+$J163)^(($J$133-$I$133)/365)+$K$145/(1+$J163)^(($K$133-$I$133)/365)+$L$145/(1+$J163)^(($L$133-$I$133)/365)+$M$145/(1+$J163)^(($M$133-$I$133)/365)+(($M$137+$M$140)*N$162)/(1+$J163)^(($N$133-$I$133)/365)+$F$149+$F$150+$F$151)/$F$129</f>
        <v>934.503287673213</v>
      </c>
      <c r="O163" s="236">
        <f>($I$145+$J$145/(1+$J163)^(($J$133-$I$133)/365)+$K$145/(1+$J163)^(($K$133-$I$133)/365)+$L$145/(1+$J163)^(($L$133-$I$133)/365)+$M$145/(1+$J163)^(($M$133-$I$133)/365)+(($M$137+$M$140)*O$162)/(1+$J163)^(($N$133-$I$133)/365)+$F$149+$F$150+$F$151)/$F$129</f>
        <v>1053.15280240344</v>
      </c>
      <c r="P163" s="123"/>
      <c r="Q163" s="123"/>
    </row>
    <row r="164" ht="16.5" customHeight="1" spans="2:17">
      <c r="B164" s="228"/>
      <c r="C164" s="228"/>
      <c r="D164" s="228"/>
      <c r="E164" s="228"/>
      <c r="F164" s="60"/>
      <c r="H164" s="123"/>
      <c r="I164" s="230"/>
      <c r="J164" s="234">
        <f>J165-1%</f>
        <v>0.132116133251749</v>
      </c>
      <c r="K164" s="237">
        <f>($I$145+$J$145/(1+$J164)^(($J$133-$I$133)/365)+$K$145/(1+$J164)^(($K$133-$I$133)/365)+$L$145/(1+$J164)^(($L$133-$I$133)/365)+$M$145/(1+$J164)^(($M$133-$I$133)/365)+(($M$137+$M$140)*K$162)/(1+$J164)^(($N$133-$I$133)/365)+$F$149+$F$150+$F$151)/$F$129</f>
        <v>499.324932572805</v>
      </c>
      <c r="L164" s="130">
        <f>($I$145+$J$145/(1+$J164)^(($J$133-$I$133)/365)+$K$145/(1+$J164)^(($K$133-$I$133)/365)+$L$145/(1+$J164)^(($L$133-$I$133)/365)+$M$145/(1+$J164)^(($M$133-$I$133)/365)+(($M$137+$M$140)*L$162)/(1+$J164)^(($N$133-$I$133)/365)+$F$149+$F$150+$F$151)/$F$129</f>
        <v>613.83474893399</v>
      </c>
      <c r="M164" s="130">
        <f>($I$145+$J$145/(1+$J164)^(($J$133-$I$133)/365)+$K$145/(1+$J164)^(($K$133-$I$133)/365)+$L$145/(1+$J164)^(($L$133-$I$133)/365)+$M$145/(1+$J164)^(($M$133-$I$133)/365)+(($M$137+$M$140)*M$162)/(1+$J164)^(($N$133-$I$133)/365)+$F$149+$F$150+$F$151)/$F$129</f>
        <v>761.152389100507</v>
      </c>
      <c r="N164" s="130">
        <f>($I$145+$J$145/(1+$J164)^(($J$133-$I$133)/365)+$K$145/(1+$J164)^(($K$133-$I$133)/365)+$L$145/(1+$J164)^(($L$133-$I$133)/365)+$M$145/(1+$J164)^(($M$133-$I$133)/365)+(($M$137+$M$140)*N$162)/(1+$J164)^(($N$133-$I$133)/365)+$F$149+$F$150+$F$151)/$F$129</f>
        <v>900.109289836954</v>
      </c>
      <c r="O164" s="130">
        <f>($I$145+$J$145/(1+$J164)^(($J$133-$I$133)/365)+$K$145/(1+$J164)^(($K$133-$I$133)/365)+$L$145/(1+$J164)^(($L$133-$I$133)/365)+$M$145/(1+$J164)^(($M$133-$I$133)/365)+(($M$137+$M$140)*O$162)/(1+$J164)^(($N$133-$I$133)/365)+$F$149+$F$150+$F$151)/$F$129</f>
        <v>1014.61910619814</v>
      </c>
      <c r="P164" s="123"/>
      <c r="Q164" s="123"/>
    </row>
    <row r="165" ht="16.5" customHeight="1" spans="2:17">
      <c r="B165" s="228"/>
      <c r="C165" s="228"/>
      <c r="D165" s="228"/>
      <c r="E165" s="228"/>
      <c r="F165" s="60"/>
      <c r="H165" s="123"/>
      <c r="I165" s="230"/>
      <c r="J165" s="234">
        <f>F128</f>
        <v>0.142116133251749</v>
      </c>
      <c r="K165" s="237">
        <f>($I$145+$J$145/(1+$J165)^(($J$133-$I$133)/365)+$K$145/(1+$J165)^(($K$133-$I$133)/365)+$L$145/(1+$J165)^(($L$133-$I$133)/365)+$M$145/(1+$J165)^(($M$133-$I$133)/365)+(($M$137+$M$140)*K$162)/(1+$J165)^(($N$133-$I$133)/365)+$F$149+$F$150+$F$151)/$F$129</f>
        <v>480.272796459941</v>
      </c>
      <c r="L165" s="130">
        <f>($I$145+$J$145/(1+$J165)^(($J$133-$I$133)/365)+$K$145/(1+$J165)^(($K$133-$I$133)/365)+$L$145/(1+$J165)^(($L$133-$I$133)/365)+$M$145/(1+$J165)^(($M$133-$I$133)/365)+(($M$137+$M$140)*L$162)/(1+$J165)^(($N$133-$I$133)/365)+$F$149+$F$150+$F$151)/$F$129</f>
        <v>590.821869816886</v>
      </c>
      <c r="M165" s="130">
        <f>($I$145+$J$145/(1+$J165)^(($J$133-$I$133)/365)+$K$145/(1+$J165)^(($K$133-$I$133)/365)+$L$145/(1+$J165)^(($L$133-$I$133)/365)+$M$145/(1+$J165)^(($M$133-$I$133)/365)+(($M$137+$M$140)*M$162)/(1+$J165)^(($N$133-$I$133)/365)+$F$149+$F$150+$F$151)/$F$129</f>
        <v>733.043987772012</v>
      </c>
      <c r="N165" s="130">
        <f>($I$145+$J$145/(1+$J165)^(($J$133-$I$133)/365)+$K$145/(1+$J165)^(($K$133-$I$133)/365)+$L$145/(1+$J165)^(($L$133-$I$133)/365)+$M$145/(1+$J165)^(($M$133-$I$133)/365)+(($M$137+$M$140)*N$162)/(1+$J165)^(($N$133-$I$133)/365)+$F$149+$F$150+$F$151)/$F$129</f>
        <v>867.19455320925</v>
      </c>
      <c r="O165" s="130">
        <f>($I$145+$J$145/(1+$J165)^(($J$133-$I$133)/365)+$K$145/(1+$J165)^(($K$133-$I$133)/365)+$L$145/(1+$J165)^(($L$133-$I$133)/365)+$M$145/(1+$J165)^(($M$133-$I$133)/365)+(($M$137+$M$140)*O$162)/(1+$J165)^(($N$133-$I$133)/365)+$F$149+$F$150+$F$151)/$F$129</f>
        <v>977.743626566195</v>
      </c>
      <c r="P165" s="123"/>
      <c r="Q165" s="123"/>
    </row>
    <row r="166" ht="16.5" customHeight="1" spans="2:17">
      <c r="B166" s="228"/>
      <c r="C166" s="228"/>
      <c r="D166" s="228"/>
      <c r="E166" s="228"/>
      <c r="F166" s="60"/>
      <c r="H166" s="123"/>
      <c r="I166" s="230"/>
      <c r="J166" s="234">
        <f>J165+1%</f>
        <v>0.152116133251749</v>
      </c>
      <c r="K166" s="237">
        <f>($I$145+$J$145/(1+$J166)^(($J$133-$I$133)/365)+$K$145/(1+$J166)^(($K$133-$I$133)/365)+$L$145/(1+$J166)^(($L$133-$I$133)/365)+$M$145/(1+$J166)^(($M$133-$I$133)/365)+(($M$137+$M$140)*K$162)/(1+$J166)^(($N$133-$I$133)/365)+$F$149+$F$150+$F$151)/$F$129</f>
        <v>462.02992761843</v>
      </c>
      <c r="L166" s="130">
        <f>($I$145+$J$145/(1+$J166)^(($J$133-$I$133)/365)+$K$145/(1+$J166)^(($K$133-$I$133)/365)+$L$145/(1+$J166)^(($L$133-$I$133)/365)+$M$145/(1+$J166)^(($M$133-$I$133)/365)+(($M$137+$M$140)*L$162)/(1+$J166)^(($N$133-$I$133)/365)+$F$149+$F$150+$F$151)/$F$129</f>
        <v>568.788010583804</v>
      </c>
      <c r="M166" s="130">
        <f>($I$145+$J$145/(1+$J166)^(($J$133-$I$133)/365)+$K$145/(1+$J166)^(($K$133-$I$133)/365)+$L$145/(1+$J166)^(($L$133-$I$133)/365)+$M$145/(1+$J166)^(($M$133-$I$133)/365)+(($M$137+$M$140)*M$162)/(1+$J166)^(($N$133-$I$133)/365)+$F$149+$F$150+$F$151)/$F$129</f>
        <v>706.132994192484</v>
      </c>
      <c r="N166" s="130">
        <f>($I$145+$J$145/(1+$J166)^(($J$133-$I$133)/365)+$K$145/(1+$J166)^(($K$133-$I$133)/365)+$L$145/(1+$J166)^(($L$133-$I$133)/365)+$M$145/(1+$J166)^(($M$133-$I$133)/365)+(($M$137+$M$140)*N$162)/(1+$J166)^(($N$133-$I$133)/365)+$F$149+$F$150+$F$151)/$F$129</f>
        <v>835.683217997237</v>
      </c>
      <c r="O166" s="130">
        <f>($I$145+$J$145/(1+$J166)^(($J$133-$I$133)/365)+$K$145/(1+$J166)^(($K$133-$I$133)/365)+$L$145/(1+$J166)^(($L$133-$I$133)/365)+$M$145/(1+$J166)^(($M$133-$I$133)/365)+(($M$137+$M$140)*O$162)/(1+$J166)^(($N$133-$I$133)/365)+$F$149+$F$150+$F$151)/$F$129</f>
        <v>942.441300962611</v>
      </c>
      <c r="P166" s="123"/>
      <c r="Q166" s="123"/>
    </row>
    <row r="167" ht="16.5" customHeight="1" spans="2:17">
      <c r="B167" s="228"/>
      <c r="C167" s="228"/>
      <c r="D167" s="228"/>
      <c r="E167" s="228"/>
      <c r="F167" s="60"/>
      <c r="H167" s="123"/>
      <c r="I167" s="230"/>
      <c r="J167" s="234">
        <f>J166+1%</f>
        <v>0.162116133251749</v>
      </c>
      <c r="K167" s="237">
        <f>($I$145+$J$145/(1+$J167)^(($J$133-$I$133)/365)+$K$145/(1+$J167)^(($K$133-$I$133)/365)+$L$145/(1+$J167)^(($L$133-$I$133)/365)+$M$145/(1+$J167)^(($M$133-$I$133)/365)+(($M$137+$M$140)*K$162)/(1+$J167)^(($N$133-$I$133)/365)+$F$149+$F$150+$F$151)/$F$129</f>
        <v>444.555264318174</v>
      </c>
      <c r="L167" s="130">
        <f>($I$145+$J$145/(1+$J167)^(($J$133-$I$133)/365)+$K$145/(1+$J167)^(($K$133-$I$133)/365)+$L$145/(1+$J167)^(($L$133-$I$133)/365)+$M$145/(1+$J167)^(($M$133-$I$133)/365)+(($M$137+$M$140)*L$162)/(1+$J167)^(($N$133-$I$133)/365)+$F$149+$F$150+$F$151)/$F$129</f>
        <v>547.683454142248</v>
      </c>
      <c r="M167" s="130">
        <f>($I$145+$J$145/(1+$J167)^(($J$133-$I$133)/365)+$K$145/(1+$J167)^(($K$133-$I$133)/365)+$L$145/(1+$J167)^(($L$133-$I$133)/365)+$M$145/(1+$J167)^(($M$133-$I$133)/365)+(($M$137+$M$140)*M$162)/(1+$J167)^(($N$133-$I$133)/365)+$F$149+$F$150+$F$151)/$F$129</f>
        <v>680.358556088153</v>
      </c>
      <c r="N167" s="130">
        <f>($I$145+$J$145/(1+$J167)^(($J$133-$I$133)/365)+$K$145/(1+$J167)^(($K$133-$I$133)/365)+$L$145/(1+$J167)^(($L$133-$I$133)/365)+$M$145/(1+$J167)^(($M$133-$I$133)/365)+(($M$137+$M$140)*N$162)/(1+$J167)^(($N$133-$I$133)/365)+$F$149+$F$150+$F$151)/$F$129</f>
        <v>805.503928702433</v>
      </c>
      <c r="O167" s="130">
        <f>($I$145+$J$145/(1+$J167)^(($J$133-$I$133)/365)+$K$145/(1+$J167)^(($K$133-$I$133)/365)+$L$145/(1+$J167)^(($L$133-$I$133)/365)+$M$145/(1+$J167)^(($M$133-$I$133)/365)+(($M$137+$M$140)*O$162)/(1+$J167)^(($N$133-$I$133)/365)+$F$149+$F$150+$F$151)/$F$129</f>
        <v>908.632118526507</v>
      </c>
      <c r="P167" s="123"/>
      <c r="Q167" s="123"/>
    </row>
    <row r="168" ht="16.5" customHeight="1" spans="2:17">
      <c r="B168" s="228"/>
      <c r="C168" s="228"/>
      <c r="D168" s="228"/>
      <c r="E168" s="228"/>
      <c r="F168" s="60"/>
      <c r="H168" s="123"/>
      <c r="I168" s="238"/>
      <c r="J168" s="123"/>
      <c r="K168" s="123"/>
      <c r="L168" s="123"/>
      <c r="M168" s="123"/>
      <c r="N168" s="123"/>
      <c r="O168" s="123"/>
      <c r="P168" s="123"/>
      <c r="Q168" s="123"/>
    </row>
    <row r="169" ht="16.5" customHeight="1" spans="2:17">
      <c r="B169" s="228"/>
      <c r="C169" s="228"/>
      <c r="D169" s="228"/>
      <c r="E169" s="228"/>
      <c r="F169" s="60"/>
      <c r="H169" s="123"/>
      <c r="I169" s="238"/>
      <c r="J169" s="123"/>
      <c r="K169" s="123"/>
      <c r="L169" s="123"/>
      <c r="M169" s="123"/>
      <c r="N169" s="123"/>
      <c r="O169" s="123"/>
      <c r="P169" s="123"/>
      <c r="Q169" s="123"/>
    </row>
    <row r="170" ht="16.5" customHeight="1" spans="2:17">
      <c r="B170" s="228"/>
      <c r="C170" s="228"/>
      <c r="D170" s="228"/>
      <c r="E170" s="228"/>
      <c r="F170" s="60"/>
      <c r="H170" s="123"/>
      <c r="I170" s="238"/>
      <c r="J170" s="123"/>
      <c r="K170" s="123"/>
      <c r="L170" s="123"/>
      <c r="M170" s="123"/>
      <c r="N170" s="123"/>
      <c r="O170" s="123"/>
      <c r="P170" s="123"/>
      <c r="Q170" s="123"/>
    </row>
    <row r="171" ht="16.5" customHeight="1" spans="2:17">
      <c r="B171" s="228"/>
      <c r="C171" s="228"/>
      <c r="D171" s="228"/>
      <c r="E171" s="228"/>
      <c r="F171" s="60"/>
      <c r="H171" s="123"/>
      <c r="I171" s="238"/>
      <c r="J171" s="123"/>
      <c r="K171" s="231" t="s">
        <v>278</v>
      </c>
      <c r="L171" s="231"/>
      <c r="M171" s="231"/>
      <c r="N171" s="231"/>
      <c r="O171" s="231"/>
      <c r="P171" s="123"/>
      <c r="Q171" s="123"/>
    </row>
    <row r="172" ht="16.5" customHeight="1" spans="2:17">
      <c r="B172" s="228"/>
      <c r="C172" s="228"/>
      <c r="D172" s="228"/>
      <c r="E172" s="228"/>
      <c r="F172" s="60"/>
      <c r="H172" s="123"/>
      <c r="I172" s="230" t="s">
        <v>247</v>
      </c>
      <c r="J172" s="123"/>
      <c r="K172" s="234">
        <f>$F$127-0.02</f>
        <v>0.03</v>
      </c>
      <c r="L172" s="234">
        <f>$F$127-0.01</f>
        <v>0.04</v>
      </c>
      <c r="M172" s="234">
        <f>$F$127</f>
        <v>0.05</v>
      </c>
      <c r="N172" s="234">
        <f>$F$127+0.01</f>
        <v>0.06</v>
      </c>
      <c r="O172" s="234">
        <f>$F$127+0.02</f>
        <v>0.07</v>
      </c>
      <c r="P172" s="123"/>
      <c r="Q172" s="123"/>
    </row>
    <row r="173" ht="16.5" customHeight="1" spans="2:17">
      <c r="B173" s="228"/>
      <c r="C173" s="228"/>
      <c r="D173" s="228"/>
      <c r="E173" s="228"/>
      <c r="F173" s="60"/>
      <c r="H173" s="123"/>
      <c r="I173" s="230"/>
      <c r="J173" s="234">
        <f>J174-1%</f>
        <v>0.122116133251749</v>
      </c>
      <c r="K173" s="235">
        <f>($I$145+$J$145/(1+$J173)^(($J$133-$I$133)/365)+$K$145/(1+$J173)^(($K$133-$I$133)/365)+$L$145/(1+$J173)^(($L$133-$I$133)/365)+$M$145/(1+$J173)^(($M$133-$I$133)/365)+(($Q$133+($M$143*(1+K$172)/($J173-K$172)))/2)/(1+$J173)^(($N$133-$I$133)/365)+$F$149+$F$150+$F$151)/$F$129</f>
        <v>495.185113515432</v>
      </c>
      <c r="L173" s="236">
        <f>($I$145+$J$145/(1+$J173)^(($J$133-$I$133)/365)+$K$145/(1+$J173)^(($K$133-$I$133)/365)+$L$145/(1+$J173)^(($L$133-$I$133)/365)+$M$145/(1+$J173)^(($M$133-$I$133)/365)+(($Q$133+($M$143*(1+L$172)/($J173-L$172)))/2)/(1+$J173)^(($N$133-$I$133)/365)+$F$149+$F$150+$F$151)/$F$129</f>
        <v>509.416614562727</v>
      </c>
      <c r="M173" s="236">
        <f>($I$145+$J$145/(1+$J173)^(($J$133-$I$133)/365)+$K$145/(1+$J173)^(($K$133-$I$133)/365)+$L$145/(1+$J173)^(($L$133-$I$133)/365)+$M$145/(1+$J173)^(($M$133-$I$133)/365)+(($Q$133+($M$143*(1+M$172)/($J173-M$172)))/2)/(1+$J173)^(($N$133-$I$133)/365)+$F$149+$F$150+$F$151)/$F$129</f>
        <v>527.594944261417</v>
      </c>
      <c r="N173" s="236">
        <f>($I$145+$J$145/(1+$J173)^(($J$133-$I$133)/365)+$K$145/(1+$J173)^(($K$133-$I$133)/365)+$L$145/(1+$J173)^(($L$133-$I$133)/365)+$M$145/(1+$J173)^(($M$133-$I$133)/365)+(($Q$133+($M$143*(1+N$172)/($J173-N$172)))/2)/(1+$J173)^(($N$133-$I$133)/365)+$F$149+$F$150+$F$151)/$F$129</f>
        <v>551.626287902561</v>
      </c>
      <c r="O173" s="236">
        <f>($I$145+$J$145/(1+$J173)^(($J$133-$I$133)/365)+$K$145/(1+$J173)^(($K$133-$I$133)/365)+$L$145/(1+$J173)^(($L$133-$I$133)/365)+$M$145/(1+$J173)^(($M$133-$I$133)/365)+(($Q$133+($M$143*(1+O$172)/($J173-O$172)))/2)/(1+$J173)^(($N$133-$I$133)/365)+$F$149+$F$150+$F$151)/$F$129</f>
        <v>584.879859725931</v>
      </c>
      <c r="P173" s="123"/>
      <c r="Q173" s="123"/>
    </row>
    <row r="174" ht="16.5" customHeight="1" spans="2:17">
      <c r="B174" s="228"/>
      <c r="C174" s="228"/>
      <c r="D174" s="228"/>
      <c r="E174" s="228"/>
      <c r="F174" s="60"/>
      <c r="H174" s="123"/>
      <c r="I174" s="230"/>
      <c r="J174" s="234">
        <f>J175-1%</f>
        <v>0.132116133251749</v>
      </c>
      <c r="K174" s="237">
        <f>($I$145+$J$145/(1+$J174)^(($J$133-$I$133)/365)+$K$145/(1+$J174)^(($K$133-$I$133)/365)+$L$145/(1+$J174)^(($L$133-$I$133)/365)+$M$145/(1+$J174)^(($M$133-$I$133)/365)+(($Q$133+($M$143*(1+K$172)/($J174-K$172)))/2)/(1+$J174)^(($N$133-$I$133)/365)+$F$149+$F$150+$F$151)/$F$129</f>
        <v>465.980785382344</v>
      </c>
      <c r="L174" s="130">
        <f>($I$145+$J$145/(1+$J174)^(($J$133-$I$133)/365)+$K$145/(1+$J174)^(($K$133-$I$133)/365)+$L$145/(1+$J174)^(($L$133-$I$133)/365)+$M$145/(1+$J174)^(($M$133-$I$133)/365)+(($Q$133+($M$143*(1+L$172)/($J174-L$172)))/2)/(1+$J174)^(($N$133-$I$133)/365)+$F$149+$F$150+$F$151)/$F$129</f>
        <v>477.124109514085</v>
      </c>
      <c r="M174" s="130">
        <f>($I$145+$J$145/(1+$J174)^(($J$133-$I$133)/365)+$K$145/(1+$J174)^(($K$133-$I$133)/365)+$L$145/(1+$J174)^(($L$133-$I$133)/365)+$M$145/(1+$J174)^(($M$133-$I$133)/365)+(($Q$133+($M$143*(1+M$172)/($J174-M$172)))/2)/(1+$J174)^(($N$133-$I$133)/365)+$F$149+$F$150+$F$151)/$F$129</f>
        <v>490.981473796153</v>
      </c>
      <c r="N174" s="130">
        <f>($I$145+$J$145/(1+$J174)^(($J$133-$I$133)/365)+$K$145/(1+$J174)^(($K$133-$I$133)/365)+$L$145/(1+$J174)^(($L$133-$I$133)/365)+$M$145/(1+$J174)^(($M$133-$I$133)/365)+(($Q$133+($M$143*(1+N$172)/($J174-N$172)))/2)/(1+$J174)^(($N$133-$I$133)/365)+$F$149+$F$150+$F$151)/$F$129</f>
        <v>508.681907210531</v>
      </c>
      <c r="O174" s="130">
        <f>($I$145+$J$145/(1+$J174)^(($J$133-$I$133)/365)+$K$145/(1+$J174)^(($K$133-$I$133)/365)+$L$145/(1+$J174)^(($L$133-$I$133)/365)+$M$145/(1+$J174)^(($M$133-$I$133)/365)+(($Q$133+($M$143*(1+O$172)/($J174-O$172)))/2)/(1+$J174)^(($N$133-$I$133)/365)+$F$149+$F$150+$F$151)/$F$129</f>
        <v>532.081482695663</v>
      </c>
      <c r="P174" s="123"/>
      <c r="Q174" s="123"/>
    </row>
    <row r="175" ht="16.5" customHeight="1" spans="2:17">
      <c r="B175" s="228"/>
      <c r="C175" s="228"/>
      <c r="D175" s="228"/>
      <c r="E175" s="228"/>
      <c r="F175" s="60"/>
      <c r="H175" s="123"/>
      <c r="I175" s="230"/>
      <c r="J175" s="234">
        <f>F128</f>
        <v>0.142116133251749</v>
      </c>
      <c r="K175" s="237">
        <f>($I$145+$J$145/(1+$J175)^(($J$133-$I$133)/365)+$K$145/(1+$J175)^(($K$133-$I$133)/365)+$L$145/(1+$J175)^(($L$133-$I$133)/365)+$M$145/(1+$J175)^(($M$133-$I$133)/365)+(($Q$133+($M$143*(1+K$172)/($J175-K$172)))/2)/(1+$J175)^(($N$133-$I$133)/365)+$F$149+$F$150+$F$151)/$F$129</f>
        <v>440.040406627318</v>
      </c>
      <c r="L175" s="130">
        <f>($I$145+$J$145/(1+$J175)^(($J$133-$I$133)/365)+$K$145/(1+$J175)^(($K$133-$I$133)/365)+$L$145/(1+$J175)^(($L$133-$I$133)/365)+$M$145/(1+$J175)^(($M$133-$I$133)/365)+(($Q$133+($M$143*(1+L$172)/($J175-L$172)))/2)/(1+$J175)^(($N$133-$I$133)/365)+$F$149+$F$150+$F$151)/$F$129</f>
        <v>448.957309310511</v>
      </c>
      <c r="M175" s="130">
        <f>($I$145+$J$145/(1+$J175)^(($J$133-$I$133)/365)+$K$145/(1+$J175)^(($K$133-$I$133)/365)+$L$145/(1+$J175)^(($L$133-$I$133)/365)+$M$145/(1+$J175)^(($M$133-$I$133)/365)+(($Q$133+($M$143*(1+M$172)/($J175-M$172)))/2)/(1+$J175)^(($N$133-$I$133)/365)+$F$149+$F$150+$F$151)/$F$129</f>
        <v>459.810225234472</v>
      </c>
      <c r="N175" s="130">
        <f>($I$145+$J$145/(1+$J175)^(($J$133-$I$133)/365)+$K$145/(1+$J175)^(($K$133-$I$133)/365)+$L$145/(1+$J175)^(($L$133-$I$133)/365)+$M$145/(1+$J175)^(($M$133-$I$133)/365)+(($Q$133+($M$143*(1+N$172)/($J175-N$172)))/2)/(1+$J175)^(($N$133-$I$133)/365)+$F$149+$F$150+$F$151)/$F$129</f>
        <v>473.306450212135</v>
      </c>
      <c r="O175" s="130">
        <f>($I$145+$J$145/(1+$J175)^(($J$133-$I$133)/365)+$K$145/(1+$J175)^(($K$133-$I$133)/365)+$L$145/(1+$J175)^(($L$133-$I$133)/365)+$M$145/(1+$J175)^(($M$133-$I$133)/365)+(($Q$133+($M$143*(1+O$172)/($J175-O$172)))/2)/(1+$J175)^(($N$133-$I$133)/365)+$F$149+$F$150+$F$151)/$F$129</f>
        <v>490.545589394736</v>
      </c>
      <c r="P175" s="123"/>
      <c r="Q175" s="123"/>
    </row>
    <row r="176" ht="16.5" customHeight="1" spans="2:17">
      <c r="B176" s="228"/>
      <c r="C176" s="228"/>
      <c r="D176" s="228"/>
      <c r="E176" s="228"/>
      <c r="F176" s="60"/>
      <c r="H176" s="123"/>
      <c r="I176" s="230"/>
      <c r="J176" s="234">
        <f>J175+1%</f>
        <v>0.152116133251749</v>
      </c>
      <c r="K176" s="237">
        <f>($I$145+$J$145/(1+$J176)^(($J$133-$I$133)/365)+$K$145/(1+$J176)^(($K$133-$I$133)/365)+$L$145/(1+$J176)^(($L$133-$I$133)/365)+$M$145/(1+$J176)^(($M$133-$I$133)/365)+(($Q$133+($M$143*(1+K$172)/($J176-K$172)))/2)/(1+$J176)^(($N$133-$I$133)/365)+$F$149+$F$150+$F$151)/$F$129</f>
        <v>416.683266648082</v>
      </c>
      <c r="L176" s="130">
        <f>($I$145+$J$145/(1+$J176)^(($J$133-$I$133)/365)+$K$145/(1+$J176)^(($K$133-$I$133)/365)+$L$145/(1+$J176)^(($L$133-$I$133)/365)+$M$145/(1+$J176)^(($M$133-$I$133)/365)+(($Q$133+($M$143*(1+L$172)/($J176-L$172)))/2)/(1+$J176)^(($N$133-$I$133)/365)+$F$149+$F$150+$F$151)/$F$129</f>
        <v>423.94711880058</v>
      </c>
      <c r="M176" s="130">
        <f>($I$145+$J$145/(1+$J176)^(($J$133-$I$133)/365)+$K$145/(1+$J176)^(($K$133-$I$133)/365)+$L$145/(1+$J176)^(($L$133-$I$133)/365)+$M$145/(1+$J176)^(($M$133-$I$133)/365)+(($Q$133+($M$143*(1+M$172)/($J176-M$172)))/2)/(1+$J176)^(($N$133-$I$133)/365)+$F$149+$F$150+$F$151)/$F$129</f>
        <v>432.633635897626</v>
      </c>
      <c r="N176" s="130">
        <f>($I$145+$J$145/(1+$J176)^(($J$133-$I$133)/365)+$K$145/(1+$J176)^(($K$133-$I$133)/365)+$L$145/(1+$J176)^(($L$133-$I$133)/365)+$M$145/(1+$J176)^(($M$133-$I$133)/365)+(($Q$133+($M$143*(1+N$172)/($J176-N$172)))/2)/(1+$J176)^(($N$133-$I$133)/365)+$F$149+$F$150+$F$151)/$F$129</f>
        <v>443.206145554368</v>
      </c>
      <c r="O176" s="130">
        <f>($I$145+$J$145/(1+$J176)^(($J$133-$I$133)/365)+$K$145/(1+$J176)^(($K$133-$I$133)/365)+$L$145/(1+$J176)^(($L$133-$I$133)/365)+$M$145/(1+$J176)^(($M$133-$I$133)/365)+(($Q$133+($M$143*(1+O$172)/($J176-O$172)))/2)/(1+$J176)^(($N$133-$I$133)/365)+$F$149+$F$150+$F$151)/$F$129</f>
        <v>456.353669215808</v>
      </c>
      <c r="P176" s="123"/>
      <c r="Q176" s="123"/>
    </row>
    <row r="177" ht="16.5" customHeight="1" spans="2:17">
      <c r="B177" s="228"/>
      <c r="C177" s="228"/>
      <c r="D177" s="228"/>
      <c r="E177" s="228"/>
      <c r="F177" s="60"/>
      <c r="H177" s="123"/>
      <c r="I177" s="230"/>
      <c r="J177" s="234">
        <f>J176+1%</f>
        <v>0.162116133251749</v>
      </c>
      <c r="K177" s="237">
        <f>($I$145+$J$145/(1+$J177)^(($J$133-$I$133)/365)+$K$145/(1+$J177)^(($K$133-$I$133)/365)+$L$145/(1+$J177)^(($L$133-$I$133)/365)+$M$145/(1+$J177)^(($M$133-$I$133)/365)+(($Q$133+($M$143*(1+K$172)/($J177-K$172)))/2)/(1+$J177)^(($N$133-$I$133)/365)+$F$149+$F$150+$F$151)/$F$129</f>
        <v>395.426945116484</v>
      </c>
      <c r="L177" s="130">
        <f>($I$145+$J$145/(1+$J177)^(($J$133-$I$133)/365)+$K$145/(1+$J177)^(($K$133-$I$133)/365)+$L$145/(1+$J177)^(($L$133-$I$133)/365)+$M$145/(1+$J177)^(($M$133-$I$133)/365)+(($Q$133+($M$143*(1+L$172)/($J177-L$172)))/2)/(1+$J177)^(($N$133-$I$133)/365)+$F$149+$F$150+$F$151)/$F$129</f>
        <v>401.433274612516</v>
      </c>
      <c r="M177" s="130">
        <f>($I$145+$J$145/(1+$J177)^(($J$133-$I$133)/365)+$K$145/(1+$J177)^(($K$133-$I$133)/365)+$L$145/(1+$J177)^(($L$133-$I$133)/365)+$M$145/(1+$J177)^(($M$133-$I$133)/365)+(($Q$133+($M$143*(1+M$172)/($J177-M$172)))/2)/(1+$J177)^(($N$133-$I$133)/365)+$F$149+$F$150+$F$151)/$F$129</f>
        <v>408.511051958527</v>
      </c>
      <c r="N177" s="130">
        <f>($I$145+$J$145/(1+$J177)^(($J$133-$I$133)/365)+$K$145/(1+$J177)^(($K$133-$I$133)/365)+$L$145/(1+$J177)^(($L$133-$I$133)/365)+$M$145/(1+$J177)^(($M$133-$I$133)/365)+(($Q$133+($M$143*(1+N$172)/($J177-N$172)))/2)/(1+$J177)^(($N$133-$I$133)/365)+$F$149+$F$150+$F$151)/$F$129</f>
        <v>416.975050486369</v>
      </c>
      <c r="O177" s="130">
        <f>($I$145+$J$145/(1+$J177)^(($J$133-$I$133)/365)+$K$145/(1+$J177)^(($K$133-$I$133)/365)+$L$145/(1+$J177)^(($L$133-$I$133)/365)+$M$145/(1+$J177)^(($M$133-$I$133)/365)+(($Q$133+($M$143*(1+O$172)/($J177-O$172)))/2)/(1+$J177)^(($N$133-$I$133)/365)+$F$149+$F$150+$F$151)/$F$129</f>
        <v>427.276728957791</v>
      </c>
      <c r="P177" s="123"/>
      <c r="Q177" s="123"/>
    </row>
    <row r="178" ht="16.5" customHeight="1" spans="2:17">
      <c r="B178" s="228"/>
      <c r="C178" s="228"/>
      <c r="D178" s="228"/>
      <c r="E178" s="228"/>
      <c r="F178" s="60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</row>
    <row r="179" ht="16.5" customHeight="1" spans="2:17">
      <c r="B179" s="228"/>
      <c r="C179" s="228"/>
      <c r="D179" s="228"/>
      <c r="E179" s="228"/>
      <c r="F179" s="60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</row>
    <row r="180" ht="16.5" customHeight="1" spans="2:17"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</row>
  </sheetData>
  <mergeCells count="7">
    <mergeCell ref="H1:L1"/>
    <mergeCell ref="M1:Q1"/>
    <mergeCell ref="I158:P158"/>
    <mergeCell ref="K161:O161"/>
    <mergeCell ref="K171:O171"/>
    <mergeCell ref="I161:I167"/>
    <mergeCell ref="I172:I177"/>
  </mergeCells>
  <dataValidations count="1">
    <dataValidation type="list" allowBlank="1" showInputMessage="1" showErrorMessage="1" sqref="E6">
      <formula1>Scenario!$D$5:$D$7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50:R180 G149:R149 G149:R149 A149:E149 A149:E149 A126:R148 G125:R125 A125:E125 A6:R14 A1:R1 A2:G2 I2:R2 A3:R3 A3:R3 A15:G15 A15:G15 M15:R15 M15:R15 A96:R124 M95:R95 M95:R95 A95:H95 A95:H95 A59:R94 A59:R94 M45:R58 M45:R58 A45:G58 A45:G58 A16:R44" formula="1" formulaRange="1"/>
    <ignoredError sqref="A149:R149 A3:R5 A15:R15 A45:R95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showGridLines="0" zoomScale="84" zoomScaleNormal="84" workbookViewId="0">
      <selection activeCell="I26" sqref="I26"/>
    </sheetView>
  </sheetViews>
  <sheetFormatPr defaultColWidth="9.16071428571429" defaultRowHeight="16.8" outlineLevelRow="7"/>
  <cols>
    <col min="1" max="3" width="1.24107142857143" style="1" customWidth="1"/>
    <col min="4" max="4" width="40.6428571428571" style="1" customWidth="1"/>
    <col min="5" max="5" width="9.28571428571429" style="1" customWidth="1"/>
    <col min="7" max="7" width="2.64285714285714" style="1" customWidth="1"/>
    <col min="8" max="18" width="11.6428571428571" style="1" customWidth="1"/>
  </cols>
  <sheetData>
    <row r="1" ht="46.5" customHeight="1" spans="1:1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ht="16.5" customHeight="1" spans="1:13">
      <c r="A2" s="61" t="s">
        <v>279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4" ht="16.5" customHeight="1" spans="1:13">
      <c r="C4" s="15"/>
      <c r="D4" s="151"/>
      <c r="E4" s="152" t="s">
        <v>280</v>
      </c>
      <c r="H4" s="153">
        <f>Model!M2</f>
        <v>2027</v>
      </c>
      <c r="I4" s="153">
        <f>Model!N2</f>
        <v>2028</v>
      </c>
      <c r="J4" s="153">
        <f>Model!O2</f>
        <v>2029</v>
      </c>
      <c r="K4" s="153">
        <f>Model!P2</f>
        <v>2030</v>
      </c>
      <c r="L4" s="153">
        <f>Model!Q2</f>
        <v>2031</v>
      </c>
    </row>
    <row r="5" ht="16.5" customHeight="1" spans="1:13">
      <c r="C5" s="15"/>
      <c r="D5" s="154" t="s">
        <v>159</v>
      </c>
      <c r="E5" s="155">
        <f>MAX(Model!I7:L7)</f>
        <v>0.344257263651259</v>
      </c>
      <c r="F5" s="156"/>
      <c r="G5" s="156"/>
      <c r="H5" s="128">
        <f>E5</f>
        <v>0.344257263651259</v>
      </c>
      <c r="I5" s="128">
        <f>H5*(1-$E$8)</f>
        <v>0.309831537286133</v>
      </c>
      <c r="J5" s="128">
        <f>I5*(1-$E$8)</f>
        <v>0.27884838355752</v>
      </c>
      <c r="K5" s="128">
        <f>J5*(1-$E$8)</f>
        <v>0.250963545201768</v>
      </c>
      <c r="L5" s="128">
        <f>K5*(1-$E$8)</f>
        <v>0.225867190681591</v>
      </c>
      <c r="M5" s="157"/>
    </row>
    <row r="6" ht="16.5" customHeight="1" spans="1:13">
      <c r="C6" s="15"/>
      <c r="D6" s="123" t="s">
        <v>281</v>
      </c>
      <c r="E6" s="158">
        <f>AVERAGE(Model!I7:L7)</f>
        <v>0.103091745793886</v>
      </c>
      <c r="F6" s="15"/>
      <c r="G6" s="15"/>
      <c r="H6" s="129">
        <f>E6</f>
        <v>0.103091745793886</v>
      </c>
      <c r="I6" s="129">
        <f>H6*(1-$E$8)</f>
        <v>0.0927825712144978</v>
      </c>
      <c r="J6" s="129">
        <f>I6*(1-$E$8)</f>
        <v>0.083504314093048</v>
      </c>
      <c r="K6" s="129">
        <f>J6*(1-$E$8)</f>
        <v>0.0751538826837432</v>
      </c>
      <c r="L6" s="129">
        <f>K6*(1-$E$8)</f>
        <v>0.0676384944153689</v>
      </c>
      <c r="M6" s="157"/>
    </row>
    <row r="7" ht="16.5" customHeight="1" spans="1:13">
      <c r="C7" s="15"/>
      <c r="D7" s="123" t="s">
        <v>282</v>
      </c>
      <c r="E7" s="158">
        <f>MIN(Model!I7:L7)</f>
        <v>-0.148377778171576</v>
      </c>
      <c r="F7" s="94"/>
      <c r="G7" s="94"/>
      <c r="H7" s="129">
        <f>E7</f>
        <v>-0.148377778171576</v>
      </c>
      <c r="I7" s="129">
        <f>H7*(1-$E$8)</f>
        <v>-0.133540000354418</v>
      </c>
      <c r="J7" s="129">
        <f>I7*(1-$E$8)</f>
        <v>-0.120186000318977</v>
      </c>
      <c r="K7" s="129">
        <f>J7*(1-$E$8)</f>
        <v>-0.108167400287079</v>
      </c>
      <c r="L7" s="129">
        <f>K7*(1-$E$8)</f>
        <v>-0.0973506602583711</v>
      </c>
      <c r="M7" s="157"/>
    </row>
    <row r="8" ht="16.5" customHeight="1" spans="1:13">
      <c r="C8" s="15"/>
      <c r="D8" s="123" t="s">
        <v>283</v>
      </c>
      <c r="E8" s="159">
        <v>0.1</v>
      </c>
      <c r="F8" s="15"/>
      <c r="G8" s="15"/>
      <c r="H8" s="160"/>
      <c r="I8" s="160"/>
      <c r="J8" s="160"/>
      <c r="K8" s="160"/>
      <c r="L8" s="160"/>
      <c r="M8" s="15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zoomScale="84" zoomScaleNormal="84" workbookViewId="0">
      <selection activeCell="I14" sqref="I1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6" width="12.6428571428571" style="1" customWidth="1"/>
    <col min="7" max="7" width="2.64285714285714" style="1" customWidth="1"/>
    <col min="8" max="20" width="12.6428571428571" style="1" customWidth="1"/>
  </cols>
  <sheetData>
    <row r="1" ht="33.75" customHeight="1" spans="1:16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60"/>
      <c r="O1" s="60"/>
      <c r="P1" s="60"/>
    </row>
    <row r="2" ht="16.5" customHeight="1" spans="1:16">
      <c r="A2" s="61" t="s">
        <v>219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  <c r="N2" s="60"/>
      <c r="O2" s="60"/>
      <c r="P2" s="60"/>
    </row>
    <row r="5" ht="16.5" customHeight="1" spans="1:16">
      <c r="A5" s="61"/>
      <c r="B5" s="61"/>
      <c r="C5" s="61"/>
      <c r="D5" s="139" t="s">
        <v>284</v>
      </c>
      <c r="E5" s="139"/>
      <c r="F5" s="139"/>
      <c r="G5" s="139"/>
      <c r="H5" s="140" t="s">
        <v>285</v>
      </c>
      <c r="I5" s="140" t="s">
        <v>286</v>
      </c>
      <c r="J5" s="140" t="s">
        <v>287</v>
      </c>
      <c r="K5" s="140" t="s">
        <v>288</v>
      </c>
      <c r="L5" s="61"/>
      <c r="M5" s="61"/>
      <c r="N5" s="61"/>
      <c r="O5" s="61"/>
      <c r="P5" s="61"/>
    </row>
    <row r="6" ht="17.25" customHeight="1" spans="1:16">
      <c r="D6" s="141" t="s">
        <v>289</v>
      </c>
      <c r="E6" s="142"/>
      <c r="F6" s="142"/>
      <c r="G6" s="142"/>
      <c r="H6" s="143">
        <v>8.47</v>
      </c>
      <c r="I6" s="144">
        <v>0</v>
      </c>
      <c r="J6" s="144">
        <v>0</v>
      </c>
      <c r="K6" s="144">
        <v>9.72</v>
      </c>
      <c r="L6" s="145"/>
    </row>
    <row r="8" ht="16.5" customHeight="1" spans="1:16">
      <c r="A8" s="146"/>
      <c r="B8" s="146"/>
      <c r="C8" s="146"/>
      <c r="D8" s="146" t="s">
        <v>290</v>
      </c>
      <c r="E8" s="146"/>
      <c r="F8" s="146"/>
      <c r="G8" s="146"/>
      <c r="H8" s="59"/>
      <c r="I8" s="59"/>
      <c r="J8" s="59"/>
      <c r="K8" s="59"/>
      <c r="L8" s="59"/>
      <c r="M8" s="59"/>
      <c r="N8" s="59"/>
      <c r="O8" s="59"/>
      <c r="P8" s="59"/>
    </row>
    <row r="9" ht="17.25" customHeight="1" spans="1:16">
      <c r="D9" s="147" t="s">
        <v>291</v>
      </c>
      <c r="E9" s="148"/>
      <c r="F9" s="147"/>
      <c r="G9" s="148"/>
      <c r="H9" s="143">
        <v>275.52</v>
      </c>
      <c r="I9" s="143">
        <v>0</v>
      </c>
      <c r="J9" s="143">
        <v>0</v>
      </c>
      <c r="K9" s="143">
        <v>0</v>
      </c>
    </row>
    <row r="10" ht="17.25" customHeight="1" spans="1:16">
      <c r="D10" s="147" t="s">
        <v>292</v>
      </c>
      <c r="E10" s="147"/>
      <c r="F10" s="148"/>
      <c r="G10" s="148"/>
      <c r="H10" s="143">
        <v>0</v>
      </c>
      <c r="I10" s="143">
        <v>1011.76</v>
      </c>
      <c r="J10" s="143">
        <v>0</v>
      </c>
      <c r="K10" s="143">
        <v>0</v>
      </c>
    </row>
    <row r="11" ht="17.25" customHeight="1" spans="1:16">
      <c r="D11" s="141" t="s">
        <v>232</v>
      </c>
      <c r="E11" s="141"/>
      <c r="F11" s="141"/>
      <c r="G11" s="141"/>
      <c r="H11" s="149">
        <f>SUM(H6,H9:H10)</f>
        <v>283.99</v>
      </c>
      <c r="I11" s="149">
        <f>SUM(I6,I9:I10)</f>
        <v>1011.76</v>
      </c>
      <c r="J11" s="150">
        <f>SUM(J6,J9:J10)</f>
        <v>0</v>
      </c>
      <c r="K11" s="149">
        <f>SUM(K6,K9:K10)</f>
        <v>9.72</v>
      </c>
    </row>
    <row r="12" ht="17.25" customHeight="1" spans="1:16">
      <c r="D12" s="141"/>
      <c r="E12" s="141"/>
      <c r="F12" s="141"/>
      <c r="G12" s="141"/>
      <c r="H12" s="141"/>
      <c r="I12" s="141"/>
      <c r="J12" s="141"/>
      <c r="K12" s="141"/>
    </row>
    <row r="13" ht="17.25" customHeight="1" spans="1:16">
      <c r="D13" s="141"/>
      <c r="E13" s="141"/>
      <c r="F13" s="141"/>
      <c r="G13" s="141"/>
      <c r="H13" s="141"/>
      <c r="I13" s="141"/>
      <c r="J13" s="141"/>
      <c r="K13" s="141"/>
    </row>
    <row r="14" ht="17.25" customHeight="1" spans="1:16">
      <c r="I14" s="141"/>
      <c r="J14" s="141"/>
      <c r="K14" s="141"/>
    </row>
    <row r="15" ht="17.25" customHeight="1" spans="1:16">
      <c r="I15" s="141"/>
      <c r="J15" s="141"/>
      <c r="K15" s="14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showGridLines="0" zoomScale="108" zoomScaleNormal="108" workbookViewId="0">
      <selection activeCell="I48" sqref="I48"/>
    </sheetView>
  </sheetViews>
  <sheetFormatPr defaultColWidth="8.67857142857143" defaultRowHeight="16.8"/>
  <cols>
    <col min="1" max="3" width="1.24107142857143" style="1" customWidth="1"/>
    <col min="4" max="4" width="32" style="1" customWidth="1"/>
    <col min="5" max="5" width="9.91071428571429" style="1" customWidth="1"/>
    <col min="6" max="6" width="10" style="1" customWidth="1"/>
    <col min="7" max="7" width="3" style="1" customWidth="1"/>
    <col min="8" max="8" width="11.6964285714286" style="1" customWidth="1"/>
    <col min="9" max="9" width="11.8482142857143" style="1" customWidth="1"/>
    <col min="10" max="14" width="12.6428571428571" style="1" customWidth="1"/>
  </cols>
  <sheetData>
    <row r="1" ht="28.5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5"/>
      <c r="Q1" s="5"/>
      <c r="R1" s="5"/>
      <c r="S1" s="5"/>
      <c r="T1" s="5"/>
    </row>
    <row r="2" ht="15" customHeight="1" spans="1:20">
      <c r="A2" s="98" t="s">
        <v>293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  <c r="Q2" s="5"/>
      <c r="R2" s="5"/>
      <c r="S2" s="5"/>
      <c r="T2" s="5"/>
    </row>
    <row r="3" ht="15" customHeight="1" spans="1:20">
      <c r="A3" s="99" t="s">
        <v>294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</row>
    <row r="4" ht="16.5" customHeight="1" spans="1:20">
      <c r="O4" s="6"/>
      <c r="P4" s="6"/>
      <c r="Q4" s="6"/>
      <c r="R4" s="6"/>
      <c r="S4" s="6"/>
      <c r="T4" s="6"/>
    </row>
    <row r="5" ht="15" customHeight="1" spans="1:20">
      <c r="A5" s="7" t="s">
        <v>295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</row>
    <row r="7" ht="15" customHeight="1" spans="1:20">
      <c r="C7" s="100"/>
      <c r="D7" s="100"/>
      <c r="E7" s="100"/>
      <c r="F7" s="100"/>
      <c r="G7" s="100"/>
      <c r="H7" s="101" t="s">
        <v>55</v>
      </c>
      <c r="I7" s="101" t="s">
        <v>232</v>
      </c>
      <c r="J7" s="101" t="s">
        <v>296</v>
      </c>
      <c r="K7" s="101" t="s">
        <v>296</v>
      </c>
      <c r="L7" s="101" t="s">
        <v>297</v>
      </c>
      <c r="M7" s="101" t="s">
        <v>298</v>
      </c>
      <c r="N7" s="101" t="s">
        <v>299</v>
      </c>
    </row>
    <row r="8" ht="15" customHeight="1" spans="1:20">
      <c r="C8" s="100"/>
      <c r="D8" s="102" t="s">
        <v>300</v>
      </c>
      <c r="E8" s="100"/>
      <c r="F8" s="100"/>
      <c r="G8" s="100"/>
      <c r="H8" s="101" t="s">
        <v>301</v>
      </c>
      <c r="I8" s="101" t="s">
        <v>196</v>
      </c>
      <c r="J8" s="101" t="s">
        <v>55</v>
      </c>
      <c r="K8" s="101" t="s">
        <v>302</v>
      </c>
      <c r="L8" s="101" t="s">
        <v>303</v>
      </c>
      <c r="M8" s="101" t="s">
        <v>304</v>
      </c>
      <c r="N8" s="101" t="s">
        <v>304</v>
      </c>
    </row>
    <row r="9" ht="15" customHeight="1" spans="1:20">
      <c r="C9" s="103"/>
      <c r="D9" s="104" t="s">
        <v>305</v>
      </c>
      <c r="E9" s="103"/>
      <c r="F9" s="103"/>
      <c r="G9" s="103"/>
      <c r="H9" s="105">
        <f>Comp!M7</f>
        <v>365131.5</v>
      </c>
      <c r="I9" s="105">
        <f>Comp!K7</f>
        <v>23755</v>
      </c>
      <c r="J9" s="106">
        <f t="shared" ref="J9:J17" si="0">I9/H9</f>
        <v>0.0650587528054961</v>
      </c>
      <c r="K9" s="106">
        <f t="shared" ref="K9:K17" si="1">I9/(H9+I9)</f>
        <v>0.0610846609486315</v>
      </c>
      <c r="L9" s="107">
        <f>Model!M11</f>
        <v>0.0264313434839762</v>
      </c>
      <c r="M9" s="108">
        <v>0.5</v>
      </c>
      <c r="N9" s="109">
        <f t="shared" ref="N9:N17" si="2">M9/(1+J9*(1+K9))</f>
        <v>0.467712477213848</v>
      </c>
    </row>
    <row r="10" ht="15" customHeight="1" spans="1:20">
      <c r="D10" s="53" t="s">
        <v>306</v>
      </c>
      <c r="H10" s="110">
        <f>Comp!M8</f>
        <v>446877.2</v>
      </c>
      <c r="I10" s="110">
        <f>Comp!K8</f>
        <v>229393</v>
      </c>
      <c r="J10" s="111">
        <f t="shared" si="0"/>
        <v>0.513324465871161</v>
      </c>
      <c r="K10" s="111">
        <f t="shared" si="1"/>
        <v>0.339203176481826</v>
      </c>
      <c r="L10" s="112">
        <f t="shared" ref="L10:L17" si="3">L9</f>
        <v>0.0264313434839762</v>
      </c>
      <c r="M10" s="113">
        <v>0.9</v>
      </c>
      <c r="N10" s="114">
        <f t="shared" si="2"/>
        <v>0.533350477900882</v>
      </c>
    </row>
    <row r="11" ht="15" customHeight="1" spans="1:20">
      <c r="D11" s="53" t="s">
        <v>307</v>
      </c>
      <c r="H11" s="110">
        <f>Comp!M9</f>
        <v>91015</v>
      </c>
      <c r="I11" s="110">
        <f>Comp!K9</f>
        <v>1868</v>
      </c>
      <c r="J11" s="111">
        <f t="shared" si="0"/>
        <v>0.0205240894358073</v>
      </c>
      <c r="K11" s="111">
        <f t="shared" si="1"/>
        <v>0.0201113228470226</v>
      </c>
      <c r="L11" s="112">
        <f t="shared" si="3"/>
        <v>0.0264313434839762</v>
      </c>
      <c r="M11" s="113">
        <v>0.7</v>
      </c>
      <c r="N11" s="114">
        <f t="shared" si="2"/>
        <v>0.685644754491201</v>
      </c>
    </row>
    <row r="12" ht="15" customHeight="1" spans="1:20">
      <c r="D12" s="53" t="s">
        <v>308</v>
      </c>
      <c r="H12" s="110">
        <f>Comp!M10</f>
        <v>46570.2</v>
      </c>
      <c r="I12" s="110">
        <f>Comp!K10</f>
        <v>6183</v>
      </c>
      <c r="J12" s="111">
        <f t="shared" si="0"/>
        <v>0.132767306131389</v>
      </c>
      <c r="K12" s="111">
        <f t="shared" si="1"/>
        <v>0.117206160005459</v>
      </c>
      <c r="L12" s="112">
        <f t="shared" si="3"/>
        <v>0.0264313434839762</v>
      </c>
      <c r="M12" s="113">
        <v>1.1</v>
      </c>
      <c r="N12" s="114">
        <f t="shared" si="2"/>
        <v>0.957914086198668</v>
      </c>
    </row>
    <row r="13" ht="15" customHeight="1" spans="1:20">
      <c r="D13" s="53" t="s">
        <v>309</v>
      </c>
      <c r="H13" s="110">
        <f>Comp!M11</f>
        <v>41845.6</v>
      </c>
      <c r="I13" s="110">
        <f>Comp!K11</f>
        <v>7428</v>
      </c>
      <c r="J13" s="111">
        <f t="shared" si="0"/>
        <v>0.177509702334296</v>
      </c>
      <c r="K13" s="111">
        <f t="shared" si="1"/>
        <v>0.150750097415249</v>
      </c>
      <c r="L13" s="112">
        <f t="shared" si="3"/>
        <v>0.0264313434839762</v>
      </c>
      <c r="M13" s="113">
        <v>1</v>
      </c>
      <c r="N13" s="114">
        <f t="shared" si="2"/>
        <v>0.830379047258762</v>
      </c>
    </row>
    <row r="14" ht="15" customHeight="1" spans="1:20">
      <c r="D14" s="53" t="s">
        <v>310</v>
      </c>
      <c r="H14" s="110">
        <f>Comp!M12</f>
        <v>24726.8</v>
      </c>
      <c r="I14" s="110">
        <f>Comp!K12</f>
        <v>429</v>
      </c>
      <c r="J14" s="111">
        <f t="shared" si="0"/>
        <v>0.0173495963893427</v>
      </c>
      <c r="K14" s="111">
        <f t="shared" si="1"/>
        <v>0.0170537212094229</v>
      </c>
      <c r="L14" s="112">
        <f t="shared" si="3"/>
        <v>0.0264313434839762</v>
      </c>
      <c r="M14" s="113">
        <v>0.55</v>
      </c>
      <c r="N14" s="114">
        <f t="shared" si="2"/>
        <v>0.54046327072224</v>
      </c>
    </row>
    <row r="15" ht="15" customHeight="1" spans="1:20">
      <c r="D15" s="53" t="s">
        <v>311</v>
      </c>
      <c r="H15" s="110">
        <f>Comp!M13</f>
        <v>25151.2</v>
      </c>
      <c r="I15" s="110">
        <f>Comp!K13</f>
        <v>3871</v>
      </c>
      <c r="J15" s="111">
        <f t="shared" si="0"/>
        <v>0.153909157415948</v>
      </c>
      <c r="K15" s="111">
        <f t="shared" si="1"/>
        <v>0.133380653430822</v>
      </c>
      <c r="L15" s="112">
        <f t="shared" si="3"/>
        <v>0.0264313434839762</v>
      </c>
      <c r="M15" s="113">
        <v>1</v>
      </c>
      <c r="N15" s="114">
        <f t="shared" si="2"/>
        <v>0.851471332081624</v>
      </c>
    </row>
    <row r="16" ht="15" customHeight="1" spans="1:20">
      <c r="D16" s="53" t="s">
        <v>312</v>
      </c>
      <c r="H16" s="110">
        <f>Comp!M14</f>
        <v>9679.5</v>
      </c>
      <c r="I16" s="110">
        <f>Comp!K14</f>
        <v>3391</v>
      </c>
      <c r="J16" s="111">
        <f t="shared" si="0"/>
        <v>0.350328012810579</v>
      </c>
      <c r="K16" s="111">
        <f t="shared" si="1"/>
        <v>0.259439195134081</v>
      </c>
      <c r="L16" s="112">
        <f t="shared" si="3"/>
        <v>0.0264313434839762</v>
      </c>
      <c r="M16" s="113">
        <v>1.1</v>
      </c>
      <c r="N16" s="114">
        <f t="shared" si="2"/>
        <v>0.763243931607599</v>
      </c>
    </row>
    <row r="17" ht="15" customHeight="1" spans="1:14">
      <c r="D17" s="53" t="s">
        <v>313</v>
      </c>
      <c r="H17" s="110">
        <f>Comp!M15</f>
        <v>8393.6</v>
      </c>
      <c r="I17" s="110">
        <f>Comp!K15</f>
        <v>2586</v>
      </c>
      <c r="J17" s="111">
        <f t="shared" si="0"/>
        <v>0.308091879527259</v>
      </c>
      <c r="K17" s="111">
        <f t="shared" si="1"/>
        <v>0.235527705927356</v>
      </c>
      <c r="L17" s="112">
        <f t="shared" si="3"/>
        <v>0.0264313434839762</v>
      </c>
      <c r="M17" s="113">
        <v>1</v>
      </c>
      <c r="N17" s="114">
        <f t="shared" si="2"/>
        <v>0.724293351508522</v>
      </c>
    </row>
    <row r="18" ht="17.25" customHeight="1"/>
    <row r="19" ht="15" customHeight="1" spans="1:14">
      <c r="D19" s="115" t="s">
        <v>257</v>
      </c>
      <c r="E19" s="116"/>
      <c r="F19" s="116"/>
      <c r="G19" s="116"/>
      <c r="H19" s="116"/>
      <c r="I19" s="116"/>
      <c r="J19" s="117">
        <f>AVERAGE(J9:J17)</f>
        <v>0.19320699585792</v>
      </c>
      <c r="K19" s="117">
        <f>AVERAGE(K9:K17)</f>
        <v>0.148195188155541</v>
      </c>
      <c r="L19" s="117">
        <f>AVERAGE(L9:L17)</f>
        <v>0.0264313434839762</v>
      </c>
      <c r="M19" s="118">
        <f>AVERAGE(M9:M17)</f>
        <v>0.872222222222222</v>
      </c>
      <c r="N19" s="118">
        <f>AVERAGE(N9:N17)</f>
        <v>0.706052525442594</v>
      </c>
    </row>
    <row r="20" ht="15" customHeight="1" spans="1:14">
      <c r="D20" s="119" t="s">
        <v>314</v>
      </c>
      <c r="E20" s="120"/>
      <c r="F20" s="120"/>
      <c r="G20" s="120"/>
      <c r="H20" s="120"/>
      <c r="I20" s="120"/>
      <c r="J20" s="121">
        <f>MEDIAN(J9:J17)</f>
        <v>0.153909157415948</v>
      </c>
      <c r="K20" s="121">
        <f>MEDIAN(K9:K17)</f>
        <v>0.133380653430822</v>
      </c>
      <c r="L20" s="121">
        <f>MEDIAN(L9:L17)</f>
        <v>0.0264313434839762</v>
      </c>
      <c r="M20" s="122">
        <f>MEDIAN(M9:M17)</f>
        <v>1</v>
      </c>
      <c r="N20" s="122">
        <f>MEDIAN(N9:N17)</f>
        <v>0.724293351508522</v>
      </c>
    </row>
    <row r="21" ht="16.5" customHeight="1" spans="1:14">
      <c r="A21" s="123"/>
      <c r="B21" s="123"/>
      <c r="C21" s="123"/>
      <c r="D21" s="123"/>
      <c r="E21" s="123"/>
      <c r="F21" s="123"/>
      <c r="G21" s="123"/>
      <c r="H21" s="123"/>
      <c r="I21" s="123"/>
      <c r="J21" s="123"/>
    </row>
    <row r="22" ht="15" customHeight="1" spans="1:14">
      <c r="A22" s="62"/>
      <c r="B22" s="62"/>
      <c r="C22" s="62"/>
      <c r="D22" s="124" t="s">
        <v>315</v>
      </c>
      <c r="E22" s="62"/>
      <c r="F22" s="62"/>
      <c r="G22" s="62"/>
      <c r="H22" s="125">
        <f>Comp!M20</f>
        <v>103303.6</v>
      </c>
      <c r="I22" s="125">
        <f>Comp!K20</f>
        <v>866</v>
      </c>
      <c r="J22" s="62"/>
      <c r="K22" s="62"/>
      <c r="L22" s="62"/>
      <c r="M22" s="62"/>
      <c r="N22" s="62"/>
    </row>
    <row r="23" ht="16.5" customHeight="1" spans="1:14">
      <c r="A23" s="123"/>
      <c r="B23" s="123"/>
      <c r="C23" s="123"/>
      <c r="D23" s="123"/>
      <c r="E23" s="123"/>
      <c r="F23" s="123"/>
      <c r="G23" s="123"/>
      <c r="H23" s="123"/>
      <c r="I23" s="123"/>
      <c r="J23" s="123"/>
    </row>
    <row r="24" ht="15" customHeight="1" spans="1:14">
      <c r="A24" s="62"/>
      <c r="B24" s="62"/>
      <c r="C24" s="62"/>
      <c r="D24" s="124" t="s">
        <v>316</v>
      </c>
      <c r="E24" s="62"/>
      <c r="F24" s="62"/>
      <c r="G24" s="62"/>
      <c r="H24" s="62"/>
      <c r="I24" s="62"/>
      <c r="J24" s="123"/>
    </row>
    <row r="25" ht="16.5" customHeight="1" spans="1:14">
      <c r="A25" s="123"/>
      <c r="B25" s="123"/>
      <c r="C25" s="123"/>
      <c r="D25" s="123"/>
      <c r="E25" s="123"/>
      <c r="F25" s="123"/>
      <c r="G25" s="123"/>
      <c r="H25" s="123"/>
      <c r="I25" s="123"/>
      <c r="J25" s="123"/>
    </row>
    <row r="26" ht="15" customHeight="1" spans="1:14">
      <c r="A26" s="123"/>
      <c r="B26" s="123"/>
      <c r="C26" s="124" t="s">
        <v>317</v>
      </c>
      <c r="D26" s="62"/>
      <c r="E26" s="62"/>
      <c r="F26" s="62"/>
      <c r="G26" s="62"/>
      <c r="H26" s="62"/>
      <c r="I26" s="62"/>
      <c r="J26" s="123"/>
    </row>
    <row r="27" ht="16.5" customHeight="1" spans="1:14">
      <c r="A27" s="123"/>
      <c r="B27" s="123"/>
      <c r="C27" s="123"/>
      <c r="D27" s="123"/>
      <c r="E27" s="123"/>
      <c r="F27" s="123"/>
      <c r="G27" s="123"/>
      <c r="H27" s="123"/>
      <c r="I27" s="123"/>
      <c r="J27" s="123"/>
    </row>
    <row r="28" ht="15" customHeight="1" spans="1:14">
      <c r="A28" s="123"/>
      <c r="B28" s="123"/>
      <c r="C28" s="126"/>
      <c r="D28" s="127" t="s">
        <v>318</v>
      </c>
      <c r="E28" s="126"/>
      <c r="F28" s="126"/>
      <c r="G28" s="126"/>
      <c r="H28" s="126"/>
      <c r="I28" s="128">
        <f>K19</f>
        <v>0.148195188155541</v>
      </c>
      <c r="J28" s="123"/>
    </row>
    <row r="29" ht="15" customHeight="1" spans="1:14">
      <c r="A29" s="123"/>
      <c r="B29" s="123"/>
      <c r="C29" s="123"/>
      <c r="D29" s="89" t="s">
        <v>319</v>
      </c>
      <c r="E29" s="123"/>
      <c r="F29" s="123"/>
      <c r="G29" s="123"/>
      <c r="H29" s="123"/>
      <c r="I29" s="129">
        <f>1-I28</f>
        <v>0.851804811844459</v>
      </c>
      <c r="J29" s="123"/>
    </row>
    <row r="30" ht="16.5" customHeight="1" spans="1:14">
      <c r="A30" s="123"/>
      <c r="B30" s="123"/>
      <c r="C30" s="123"/>
      <c r="D30" s="123"/>
      <c r="E30" s="123"/>
      <c r="F30" s="123"/>
      <c r="G30" s="123"/>
      <c r="H30" s="123"/>
      <c r="I30" s="123"/>
      <c r="J30" s="123"/>
    </row>
    <row r="31" ht="15" customHeight="1" spans="1:14">
      <c r="A31" s="123"/>
      <c r="B31" s="123"/>
      <c r="C31" s="124" t="s">
        <v>320</v>
      </c>
      <c r="D31" s="62"/>
      <c r="E31" s="62"/>
      <c r="F31" s="62"/>
      <c r="G31" s="62"/>
      <c r="H31" s="62"/>
      <c r="I31" s="62"/>
      <c r="J31" s="123"/>
    </row>
    <row r="32" ht="15" customHeight="1" spans="1:14">
      <c r="A32" s="123"/>
      <c r="B32" s="123"/>
      <c r="C32" s="123"/>
      <c r="D32" s="89" t="s">
        <v>321</v>
      </c>
      <c r="E32" s="123"/>
      <c r="F32" s="123"/>
      <c r="G32" s="123"/>
      <c r="H32" s="123"/>
      <c r="I32" s="130">
        <f>H22</f>
        <v>103303.6</v>
      </c>
      <c r="J32" s="123"/>
    </row>
    <row r="33" ht="15" customHeight="1" spans="1:10">
      <c r="A33" s="123"/>
      <c r="B33" s="123"/>
      <c r="C33" s="123"/>
      <c r="D33" s="89" t="s">
        <v>322</v>
      </c>
      <c r="E33" s="123"/>
      <c r="F33" s="123"/>
      <c r="G33" s="123"/>
      <c r="H33" s="123"/>
      <c r="I33" s="130">
        <f>I22</f>
        <v>866</v>
      </c>
      <c r="J33" s="123"/>
    </row>
    <row r="34" ht="15" customHeight="1" spans="1:10">
      <c r="A34" s="123"/>
      <c r="B34" s="123"/>
      <c r="C34" s="123"/>
      <c r="D34" s="89" t="s">
        <v>323</v>
      </c>
      <c r="E34" s="123"/>
      <c r="F34" s="123"/>
      <c r="G34" s="123"/>
      <c r="H34" s="123"/>
      <c r="I34" s="129">
        <f>I33/I32</f>
        <v>0.0083830573184284</v>
      </c>
      <c r="J34" s="123"/>
    </row>
    <row r="35" ht="16.5" customHeight="1" spans="1:10">
      <c r="A35" s="123"/>
      <c r="B35" s="123"/>
      <c r="C35" s="123"/>
      <c r="D35" s="123"/>
      <c r="E35" s="123"/>
      <c r="F35" s="123"/>
      <c r="G35" s="123"/>
      <c r="H35" s="123"/>
      <c r="I35" s="123"/>
      <c r="J35" s="123"/>
    </row>
    <row r="36" ht="15" customHeight="1" spans="1:10">
      <c r="A36" s="123"/>
      <c r="B36" s="123"/>
      <c r="C36" s="124" t="s">
        <v>324</v>
      </c>
      <c r="D36" s="62"/>
      <c r="E36" s="62"/>
      <c r="F36" s="62"/>
      <c r="G36" s="62"/>
      <c r="H36" s="62"/>
      <c r="I36" s="62"/>
      <c r="J36" s="123"/>
    </row>
    <row r="37" ht="15" customHeight="1" spans="1:10">
      <c r="A37" s="123"/>
      <c r="B37" s="123"/>
      <c r="C37" s="123"/>
      <c r="D37" s="89" t="s">
        <v>325</v>
      </c>
      <c r="E37" s="123"/>
      <c r="F37" s="123"/>
      <c r="G37" s="123"/>
      <c r="H37" s="123"/>
      <c r="I37" s="131">
        <f>Model!M10</f>
        <v>0.321639087012561</v>
      </c>
      <c r="J37" s="123"/>
    </row>
    <row r="38" ht="15" customHeight="1" spans="1:10">
      <c r="A38" s="123"/>
      <c r="B38" s="123"/>
      <c r="C38" s="123"/>
      <c r="D38" s="89" t="s">
        <v>244</v>
      </c>
      <c r="E38" s="123"/>
      <c r="F38" s="123"/>
      <c r="G38" s="123"/>
      <c r="H38" s="123"/>
      <c r="I38" s="131">
        <f>Model!M11</f>
        <v>0.0264313434839762</v>
      </c>
      <c r="J38" s="123"/>
    </row>
    <row r="39" ht="15" customHeight="1" spans="1:10">
      <c r="A39" s="123"/>
      <c r="B39" s="123"/>
      <c r="C39" s="126"/>
      <c r="D39" s="127" t="s">
        <v>326</v>
      </c>
      <c r="E39" s="126"/>
      <c r="F39" s="126"/>
      <c r="G39" s="126"/>
      <c r="H39" s="126"/>
      <c r="I39" s="128">
        <f>I37*(1-I38)</f>
        <v>0.313137733825859</v>
      </c>
      <c r="J39" s="123"/>
    </row>
    <row r="40" ht="16.5" customHeight="1" spans="1:10">
      <c r="A40" s="123"/>
      <c r="B40" s="123"/>
      <c r="C40" s="123"/>
      <c r="D40" s="123"/>
      <c r="E40" s="123"/>
      <c r="F40" s="123"/>
      <c r="G40" s="123"/>
      <c r="H40" s="123"/>
      <c r="I40" s="123"/>
      <c r="J40" s="123"/>
    </row>
    <row r="41" ht="15" customHeight="1" spans="1:10">
      <c r="A41" s="123"/>
      <c r="B41" s="123"/>
      <c r="C41" s="124" t="s">
        <v>327</v>
      </c>
      <c r="D41" s="62"/>
      <c r="E41" s="62"/>
      <c r="F41" s="62"/>
      <c r="G41" s="62"/>
      <c r="H41" s="62"/>
      <c r="I41" s="62"/>
      <c r="J41" s="123"/>
    </row>
    <row r="42" ht="15" customHeight="1" spans="1:10">
      <c r="A42" s="123"/>
      <c r="B42" s="123"/>
      <c r="C42" s="123"/>
      <c r="D42" s="89" t="s">
        <v>328</v>
      </c>
      <c r="E42" s="123"/>
      <c r="F42" s="123"/>
      <c r="G42" s="123"/>
      <c r="H42" s="123"/>
      <c r="I42" s="132">
        <v>0.068</v>
      </c>
      <c r="J42" s="123"/>
    </row>
    <row r="43" ht="15" customHeight="1" spans="1:10">
      <c r="A43" s="123"/>
      <c r="B43" s="123"/>
      <c r="C43" s="123"/>
      <c r="D43" s="89" t="s">
        <v>329</v>
      </c>
      <c r="E43" s="123"/>
      <c r="F43" s="123"/>
      <c r="G43" s="123"/>
      <c r="H43" s="123"/>
      <c r="I43" s="131">
        <f>Market_Data!J10</f>
        <v>0.130388716842143</v>
      </c>
      <c r="J43" s="123"/>
    </row>
    <row r="44" ht="15" customHeight="1" spans="1:10">
      <c r="A44" s="123"/>
      <c r="B44" s="123"/>
      <c r="C44" s="123"/>
      <c r="D44" s="89" t="s">
        <v>330</v>
      </c>
      <c r="E44" s="123"/>
      <c r="F44" s="123"/>
      <c r="G44" s="123"/>
      <c r="H44" s="123"/>
      <c r="I44" s="129">
        <f>I43-I42</f>
        <v>0.0623887168421429</v>
      </c>
      <c r="J44" s="123"/>
    </row>
    <row r="45" ht="15" customHeight="1" spans="1:10">
      <c r="A45" s="123"/>
      <c r="B45" s="123"/>
      <c r="C45" s="133"/>
      <c r="D45" s="134" t="s">
        <v>331</v>
      </c>
      <c r="E45" s="133"/>
      <c r="F45" s="133"/>
      <c r="G45" s="133"/>
      <c r="H45" s="133"/>
      <c r="I45" s="135">
        <f>N20*(1+I34)*(1-I38)</f>
        <v>0.711060612194776</v>
      </c>
      <c r="J45" s="123"/>
    </row>
    <row r="46" ht="15" customHeight="1" spans="1:10">
      <c r="A46" s="123"/>
      <c r="B46" s="123"/>
      <c r="C46" s="123"/>
      <c r="D46" s="89" t="s">
        <v>327</v>
      </c>
      <c r="E46" s="123"/>
      <c r="F46" s="123"/>
      <c r="G46" s="123"/>
      <c r="H46" s="123"/>
      <c r="I46" s="129">
        <f>I42+I45*I44</f>
        <v>0.112362159191821</v>
      </c>
      <c r="J46" s="123"/>
    </row>
    <row r="47" ht="16.5" customHeight="1" spans="1:10">
      <c r="A47" s="123"/>
      <c r="B47" s="123"/>
      <c r="C47" s="123"/>
      <c r="D47" s="123"/>
      <c r="E47" s="123"/>
      <c r="F47" s="123"/>
      <c r="G47" s="123"/>
      <c r="H47" s="123"/>
      <c r="I47" s="123"/>
      <c r="J47" s="123"/>
    </row>
    <row r="48" ht="15" customHeight="1" spans="1:10">
      <c r="A48" s="123"/>
      <c r="B48" s="123"/>
      <c r="C48" s="136"/>
      <c r="D48" s="137" t="s">
        <v>332</v>
      </c>
      <c r="E48" s="136"/>
      <c r="F48" s="136"/>
      <c r="G48" s="136"/>
      <c r="H48" s="136"/>
      <c r="I48" s="138">
        <f>(I28*I39)+(I46*I29)</f>
        <v>0.142116133251749</v>
      </c>
      <c r="J48" s="123"/>
    </row>
    <row r="51" ht="15" customHeight="1" spans="4:4">
      <c r="D51" s="5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23"/>
  <sheetViews>
    <sheetView showGridLines="0" zoomScale="104" zoomScaleNormal="104" workbookViewId="0">
      <selection activeCell="L3" sqref="L3"/>
    </sheetView>
  </sheetViews>
  <sheetFormatPr defaultColWidth="9.16071428571429" defaultRowHeight="16.8"/>
  <cols>
    <col min="1" max="3" width="1.24107142857143" style="1" customWidth="1"/>
    <col min="4" max="4" width="11.2857142857143" style="1" customWidth="1"/>
    <col min="5" max="5" width="16.5" style="1" customWidth="1"/>
    <col min="6" max="6" width="18.0803571428571" style="1" customWidth="1"/>
    <col min="7" max="7" width="21.5714285714286" style="1" customWidth="1"/>
    <col min="8" max="16" width="12.6428571428571" style="1" customWidth="1"/>
  </cols>
  <sheetData>
    <row r="1" ht="33.75" customHeight="1" spans="1:12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ht="16.5" customHeight="1" spans="1:12">
      <c r="A2" s="61" t="s">
        <v>329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5" ht="16.5" customHeight="1" spans="1:12">
      <c r="F5" s="91" t="s">
        <v>333</v>
      </c>
      <c r="G5" s="91" t="s">
        <v>334</v>
      </c>
      <c r="H5" s="15"/>
      <c r="I5" s="15"/>
      <c r="J5" s="15"/>
      <c r="K5" s="15"/>
      <c r="L5" s="15"/>
    </row>
    <row r="6" ht="16.5" customHeight="1" spans="1:12">
      <c r="F6" s="91"/>
      <c r="G6" s="91"/>
      <c r="H6" s="15"/>
      <c r="I6" s="15"/>
      <c r="J6" s="15"/>
      <c r="K6" s="15"/>
      <c r="L6" s="15"/>
    </row>
    <row r="7" ht="16.5" customHeight="1" spans="1:12">
      <c r="F7" s="92">
        <v>46230</v>
      </c>
      <c r="G7" s="93">
        <v>23995.95</v>
      </c>
      <c r="H7" s="15"/>
      <c r="I7" s="15"/>
      <c r="J7" s="15"/>
      <c r="K7" s="15"/>
      <c r="L7" s="15"/>
    </row>
    <row r="8" ht="16.5" customHeight="1" spans="1:12">
      <c r="F8" s="92">
        <v>46227</v>
      </c>
      <c r="G8" s="93">
        <v>23767.45</v>
      </c>
      <c r="H8" s="15"/>
      <c r="I8" s="94" t="s">
        <v>335</v>
      </c>
      <c r="J8" s="95">
        <v>9</v>
      </c>
      <c r="K8" s="15"/>
      <c r="L8" s="15"/>
    </row>
    <row r="9" ht="16.5" customHeight="1" spans="1:12">
      <c r="F9" s="92">
        <v>46226</v>
      </c>
      <c r="G9" s="93">
        <v>23869.6</v>
      </c>
      <c r="H9" s="15"/>
      <c r="I9" s="94"/>
      <c r="J9" s="96"/>
      <c r="K9" s="15"/>
      <c r="L9" s="15"/>
    </row>
    <row r="10" ht="16.5" customHeight="1" spans="1:12">
      <c r="F10" s="92">
        <v>46225</v>
      </c>
      <c r="G10" s="93">
        <v>23996.25</v>
      </c>
      <c r="H10" s="15"/>
      <c r="I10" s="94" t="s">
        <v>336</v>
      </c>
      <c r="J10" s="97">
        <f>_xlfn.RRI(J8,G2623,G7)</f>
        <v>0.130388716842143</v>
      </c>
      <c r="K10" s="15"/>
      <c r="L10" s="15"/>
    </row>
    <row r="11" ht="16.5" customHeight="1" spans="1:12">
      <c r="F11" s="92">
        <v>46224</v>
      </c>
      <c r="G11" s="93">
        <v>24187.7</v>
      </c>
      <c r="H11" s="15"/>
      <c r="I11" s="15"/>
      <c r="J11" s="96"/>
      <c r="K11" s="15"/>
      <c r="L11" s="15"/>
    </row>
    <row r="12" ht="16.5" customHeight="1" spans="1:12">
      <c r="F12" s="92">
        <v>46223</v>
      </c>
      <c r="G12" s="93">
        <v>24238.5</v>
      </c>
      <c r="H12" s="15"/>
      <c r="I12" s="15"/>
      <c r="J12" s="15"/>
      <c r="K12" s="15"/>
      <c r="L12" s="15"/>
    </row>
    <row r="13" ht="16.5" customHeight="1" spans="1:12">
      <c r="F13" s="92">
        <v>46220</v>
      </c>
      <c r="G13" s="93">
        <v>24334.3</v>
      </c>
      <c r="H13" s="15"/>
      <c r="I13" s="15"/>
      <c r="J13" s="15"/>
      <c r="K13" s="15"/>
      <c r="L13" s="15"/>
    </row>
    <row r="14" ht="16.5" customHeight="1" spans="1:12">
      <c r="F14" s="92">
        <v>46219</v>
      </c>
      <c r="G14" s="93">
        <v>24072.75</v>
      </c>
      <c r="H14" s="15"/>
      <c r="I14" s="15"/>
      <c r="J14" s="15"/>
      <c r="K14" s="15"/>
      <c r="L14" s="15"/>
    </row>
    <row r="15" ht="16.5" customHeight="1" spans="1:12">
      <c r="F15" s="92">
        <v>46218</v>
      </c>
      <c r="G15" s="93">
        <v>24078.5</v>
      </c>
      <c r="H15" s="15"/>
      <c r="I15" s="15"/>
      <c r="J15" s="15"/>
      <c r="K15" s="15"/>
      <c r="L15" s="15"/>
    </row>
    <row r="16" ht="16.5" customHeight="1" spans="1:12">
      <c r="F16" s="92">
        <v>46217</v>
      </c>
      <c r="G16" s="93">
        <v>24052.05</v>
      </c>
    </row>
    <row r="17" ht="16.5" customHeight="1" spans="6:7">
      <c r="F17" s="92">
        <v>46216</v>
      </c>
      <c r="G17" s="93">
        <v>24211</v>
      </c>
    </row>
    <row r="18" ht="16.5" customHeight="1" spans="6:7">
      <c r="F18" s="92">
        <v>46213</v>
      </c>
      <c r="G18" s="93">
        <v>24206.9</v>
      </c>
    </row>
    <row r="19" ht="16.5" customHeight="1" spans="6:7">
      <c r="F19" s="92">
        <v>46212</v>
      </c>
      <c r="G19" s="93">
        <v>23962.8</v>
      </c>
    </row>
    <row r="20" ht="16.5" customHeight="1" spans="6:7">
      <c r="F20" s="92">
        <v>46211</v>
      </c>
      <c r="G20" s="93">
        <v>23882.05</v>
      </c>
    </row>
    <row r="21" ht="16.5" customHeight="1" spans="6:7">
      <c r="F21" s="92">
        <v>46210</v>
      </c>
      <c r="G21" s="93">
        <v>24398.7</v>
      </c>
    </row>
    <row r="22" ht="16.5" customHeight="1" spans="6:7">
      <c r="F22" s="92">
        <v>46209</v>
      </c>
      <c r="G22" s="93">
        <v>24430.35</v>
      </c>
    </row>
    <row r="23" ht="16.5" customHeight="1" spans="6:7">
      <c r="F23" s="92">
        <v>46206</v>
      </c>
      <c r="G23" s="93">
        <v>24270.85</v>
      </c>
    </row>
    <row r="24" ht="16.5" customHeight="1" spans="6:7">
      <c r="F24" s="92">
        <v>46205</v>
      </c>
      <c r="G24" s="93">
        <v>24175.7</v>
      </c>
    </row>
    <row r="25" ht="16.5" customHeight="1" spans="6:7">
      <c r="F25" s="92">
        <v>46204</v>
      </c>
      <c r="G25" s="93">
        <v>24005.85</v>
      </c>
    </row>
    <row r="26" ht="16.5" customHeight="1" spans="6:7">
      <c r="F26" s="92">
        <v>46203</v>
      </c>
      <c r="G26" s="93">
        <v>23865.75</v>
      </c>
    </row>
    <row r="27" ht="16.5" customHeight="1" spans="6:7">
      <c r="F27" s="92">
        <v>46202</v>
      </c>
      <c r="G27" s="93">
        <v>23946.25</v>
      </c>
    </row>
    <row r="28" ht="16.5" customHeight="1" spans="6:7">
      <c r="F28" s="92">
        <v>46198</v>
      </c>
      <c r="G28" s="93">
        <v>24056</v>
      </c>
    </row>
    <row r="29" ht="16.5" customHeight="1" spans="6:7">
      <c r="F29" s="92">
        <v>46197</v>
      </c>
      <c r="G29" s="93">
        <v>24021.65</v>
      </c>
    </row>
    <row r="30" ht="16.5" customHeight="1" spans="6:7">
      <c r="F30" s="92">
        <v>46196</v>
      </c>
      <c r="G30" s="93">
        <v>23824.1</v>
      </c>
    </row>
    <row r="31" ht="16.5" customHeight="1" spans="6:7">
      <c r="F31" s="92">
        <v>46195</v>
      </c>
      <c r="G31" s="93">
        <v>24102.9</v>
      </c>
    </row>
    <row r="32" ht="16.5" customHeight="1" spans="6:7">
      <c r="F32" s="92">
        <v>46192</v>
      </c>
      <c r="G32" s="93">
        <v>24013.1</v>
      </c>
    </row>
    <row r="33" ht="16.5" customHeight="1" spans="6:7">
      <c r="F33" s="92">
        <v>46191</v>
      </c>
      <c r="G33" s="93">
        <v>24168</v>
      </c>
    </row>
    <row r="34" ht="16.5" customHeight="1" spans="6:7">
      <c r="F34" s="92">
        <v>46190</v>
      </c>
      <c r="G34" s="93">
        <v>24085.7</v>
      </c>
    </row>
    <row r="35" ht="16.5" customHeight="1" spans="6:7">
      <c r="F35" s="92">
        <v>46189</v>
      </c>
      <c r="G35" s="93">
        <v>23989.15</v>
      </c>
    </row>
    <row r="36" ht="16.5" customHeight="1" spans="6:7">
      <c r="F36" s="92">
        <v>46188</v>
      </c>
      <c r="G36" s="93">
        <v>23853.9</v>
      </c>
    </row>
    <row r="37" ht="16.5" customHeight="1" spans="6:7">
      <c r="F37" s="92">
        <v>46185</v>
      </c>
      <c r="G37" s="93">
        <v>23622.9</v>
      </c>
    </row>
    <row r="38" ht="16.5" customHeight="1" spans="6:7">
      <c r="F38" s="92">
        <v>46184</v>
      </c>
      <c r="G38" s="93">
        <v>23161.6</v>
      </c>
    </row>
    <row r="39" ht="16.5" customHeight="1" spans="6:7">
      <c r="F39" s="92">
        <v>46183</v>
      </c>
      <c r="G39" s="93">
        <v>23214.95</v>
      </c>
    </row>
    <row r="40" ht="16.5" customHeight="1" spans="6:7">
      <c r="F40" s="92">
        <v>46182</v>
      </c>
      <c r="G40" s="93">
        <v>23242.1</v>
      </c>
    </row>
    <row r="41" ht="16.5" customHeight="1" spans="6:7">
      <c r="F41" s="92">
        <v>46181</v>
      </c>
      <c r="G41" s="93">
        <v>23123</v>
      </c>
    </row>
    <row r="42" ht="16.5" customHeight="1" spans="6:7">
      <c r="F42" s="92">
        <v>46178</v>
      </c>
      <c r="G42" s="93">
        <v>23366.7</v>
      </c>
    </row>
    <row r="43" ht="16.5" customHeight="1" spans="6:7">
      <c r="F43" s="92">
        <v>46177</v>
      </c>
      <c r="G43" s="93">
        <v>23416.55</v>
      </c>
    </row>
    <row r="44" ht="16.5" customHeight="1" spans="6:7">
      <c r="F44" s="92">
        <v>46176</v>
      </c>
      <c r="G44" s="93">
        <v>23405.6</v>
      </c>
    </row>
    <row r="45" ht="16.5" customHeight="1" spans="6:7">
      <c r="F45" s="92">
        <v>46175</v>
      </c>
      <c r="G45" s="93">
        <v>23483.55</v>
      </c>
    </row>
    <row r="46" ht="16.5" customHeight="1" spans="6:7">
      <c r="F46" s="92">
        <v>46174</v>
      </c>
      <c r="G46" s="93">
        <v>23382.6</v>
      </c>
    </row>
    <row r="47" ht="16.5" customHeight="1" spans="6:7">
      <c r="F47" s="92">
        <v>46171</v>
      </c>
      <c r="G47" s="93">
        <v>23547.75</v>
      </c>
    </row>
    <row r="48" ht="16.5" customHeight="1" spans="6:7">
      <c r="F48" s="92">
        <v>46169</v>
      </c>
      <c r="G48" s="93">
        <v>23907.15</v>
      </c>
    </row>
    <row r="49" ht="16.5" customHeight="1" spans="6:7">
      <c r="F49" s="92">
        <v>46168</v>
      </c>
      <c r="G49" s="93">
        <v>23913.7</v>
      </c>
    </row>
    <row r="50" ht="16.5" customHeight="1" spans="6:7">
      <c r="F50" s="92">
        <v>46167</v>
      </c>
      <c r="G50" s="93">
        <v>24031.7</v>
      </c>
    </row>
    <row r="51" ht="16.5" customHeight="1" spans="6:7">
      <c r="F51" s="92">
        <v>46164</v>
      </c>
      <c r="G51" s="93">
        <v>23719.3</v>
      </c>
    </row>
    <row r="52" ht="16.5" customHeight="1" spans="6:7">
      <c r="F52" s="92">
        <v>46163</v>
      </c>
      <c r="G52" s="93">
        <v>23654.7</v>
      </c>
    </row>
    <row r="53" ht="16.5" customHeight="1" spans="6:7">
      <c r="F53" s="92">
        <v>46162</v>
      </c>
      <c r="G53" s="93">
        <v>23659</v>
      </c>
    </row>
    <row r="54" ht="16.5" customHeight="1" spans="6:7">
      <c r="F54" s="92">
        <v>46161</v>
      </c>
      <c r="G54" s="93">
        <v>23618</v>
      </c>
    </row>
    <row r="55" ht="16.5" customHeight="1" spans="6:7">
      <c r="F55" s="92">
        <v>46160</v>
      </c>
      <c r="G55" s="93">
        <v>23649.95</v>
      </c>
    </row>
    <row r="56" ht="16.5" customHeight="1" spans="6:7">
      <c r="F56" s="92">
        <v>46157</v>
      </c>
      <c r="G56" s="93">
        <v>23643.5</v>
      </c>
    </row>
    <row r="57" ht="16.5" customHeight="1" spans="6:7">
      <c r="F57" s="92">
        <v>46156</v>
      </c>
      <c r="G57" s="93">
        <v>23689.6</v>
      </c>
    </row>
    <row r="58" ht="16.5" customHeight="1" spans="6:7">
      <c r="F58" s="92">
        <v>46155</v>
      </c>
      <c r="G58" s="93">
        <v>23412.6</v>
      </c>
    </row>
    <row r="59" ht="16.5" customHeight="1" spans="6:7">
      <c r="F59" s="92">
        <v>46154</v>
      </c>
      <c r="G59" s="93">
        <v>23379.55</v>
      </c>
    </row>
    <row r="60" ht="16.5" customHeight="1" spans="6:7">
      <c r="F60" s="92">
        <v>46153</v>
      </c>
      <c r="G60" s="93">
        <v>23815.85</v>
      </c>
    </row>
    <row r="61" ht="16.5" customHeight="1" spans="6:7">
      <c r="F61" s="92">
        <v>46150</v>
      </c>
      <c r="G61" s="93">
        <v>24176.15</v>
      </c>
    </row>
    <row r="62" ht="16.5" customHeight="1" spans="6:7">
      <c r="F62" s="92">
        <v>46149</v>
      </c>
      <c r="G62" s="93">
        <v>24326.65</v>
      </c>
    </row>
    <row r="63" ht="16.5" customHeight="1" spans="6:7">
      <c r="F63" s="92">
        <v>46148</v>
      </c>
      <c r="G63" s="93">
        <v>24330.95</v>
      </c>
    </row>
    <row r="64" ht="16.5" customHeight="1" spans="6:7">
      <c r="F64" s="92">
        <v>46147</v>
      </c>
      <c r="G64" s="93">
        <v>24032.8</v>
      </c>
    </row>
    <row r="65" ht="16.5" customHeight="1" spans="6:7">
      <c r="F65" s="92">
        <v>46146</v>
      </c>
      <c r="G65" s="93">
        <v>24119.3</v>
      </c>
    </row>
    <row r="66" ht="16.5" customHeight="1" spans="6:7">
      <c r="F66" s="92">
        <v>46142</v>
      </c>
      <c r="G66" s="93">
        <v>23997.55</v>
      </c>
    </row>
    <row r="67" ht="16.5" customHeight="1" spans="6:7">
      <c r="F67" s="92">
        <v>46141</v>
      </c>
      <c r="G67" s="93">
        <v>24177.65</v>
      </c>
    </row>
    <row r="68" ht="16.5" customHeight="1" spans="6:7">
      <c r="F68" s="92">
        <v>46140</v>
      </c>
      <c r="G68" s="93">
        <v>23995.7</v>
      </c>
    </row>
    <row r="69" ht="16.5" customHeight="1" spans="6:7">
      <c r="F69" s="92">
        <v>46139</v>
      </c>
      <c r="G69" s="93">
        <v>24092.7</v>
      </c>
    </row>
    <row r="70" ht="16.5" customHeight="1" spans="6:7">
      <c r="F70" s="92">
        <v>46136</v>
      </c>
      <c r="G70" s="93">
        <v>23897.95</v>
      </c>
    </row>
    <row r="71" ht="16.5" customHeight="1" spans="6:7">
      <c r="F71" s="92">
        <v>46135</v>
      </c>
      <c r="G71" s="93">
        <v>24173.05</v>
      </c>
    </row>
    <row r="72" ht="16.5" customHeight="1" spans="6:7">
      <c r="F72" s="92">
        <v>46134</v>
      </c>
      <c r="G72" s="93">
        <v>24378.1</v>
      </c>
    </row>
    <row r="73" ht="16.5" customHeight="1" spans="6:7">
      <c r="F73" s="92">
        <v>46133</v>
      </c>
      <c r="G73" s="93">
        <v>24576.6</v>
      </c>
    </row>
    <row r="74" ht="16.5" customHeight="1" spans="6:7">
      <c r="F74" s="92">
        <v>46132</v>
      </c>
      <c r="G74" s="93">
        <v>24364.85</v>
      </c>
    </row>
    <row r="75" ht="16.5" customHeight="1" spans="6:7">
      <c r="F75" s="92">
        <v>46129</v>
      </c>
      <c r="G75" s="93">
        <v>24353.55</v>
      </c>
    </row>
    <row r="76" ht="16.5" customHeight="1" spans="6:7">
      <c r="F76" s="92">
        <v>46128</v>
      </c>
      <c r="G76" s="93">
        <v>24196.75</v>
      </c>
    </row>
    <row r="77" ht="16.5" customHeight="1" spans="6:7">
      <c r="F77" s="92">
        <v>46127</v>
      </c>
      <c r="G77" s="93">
        <v>24231.3</v>
      </c>
    </row>
    <row r="78" ht="16.5" customHeight="1" spans="6:7">
      <c r="F78" s="92">
        <v>46125</v>
      </c>
      <c r="G78" s="93">
        <v>23842.65</v>
      </c>
    </row>
    <row r="79" ht="16.5" customHeight="1" spans="6:7">
      <c r="F79" s="92">
        <v>46122</v>
      </c>
      <c r="G79" s="93">
        <v>24050.6</v>
      </c>
    </row>
    <row r="80" ht="16.5" customHeight="1" spans="6:7">
      <c r="F80" s="92">
        <v>46121</v>
      </c>
      <c r="G80" s="93">
        <v>23775.1</v>
      </c>
    </row>
    <row r="81" ht="16.5" customHeight="1" spans="6:7">
      <c r="F81" s="92">
        <v>46120</v>
      </c>
      <c r="G81" s="93">
        <v>23997.35</v>
      </c>
    </row>
    <row r="82" ht="16.5" customHeight="1" spans="6:7">
      <c r="F82" s="92">
        <v>46119</v>
      </c>
      <c r="G82" s="93">
        <v>23123.65</v>
      </c>
    </row>
    <row r="83" ht="16.5" customHeight="1" spans="6:7">
      <c r="F83" s="92">
        <v>46118</v>
      </c>
      <c r="G83" s="93">
        <v>22968.25</v>
      </c>
    </row>
    <row r="84" ht="16.5" customHeight="1" spans="6:7">
      <c r="F84" s="92">
        <v>46114</v>
      </c>
      <c r="G84" s="93">
        <v>22713.1</v>
      </c>
    </row>
    <row r="85" ht="16.5" customHeight="1" spans="6:7">
      <c r="F85" s="92">
        <v>46113</v>
      </c>
      <c r="G85" s="93">
        <v>22679.4</v>
      </c>
    </row>
    <row r="86" ht="16.5" customHeight="1" spans="6:7">
      <c r="F86" s="92">
        <v>46111</v>
      </c>
      <c r="G86" s="93">
        <v>22331.4</v>
      </c>
    </row>
    <row r="87" ht="16.5" customHeight="1" spans="6:7">
      <c r="F87" s="92">
        <v>46108</v>
      </c>
      <c r="G87" s="93">
        <v>22819.6</v>
      </c>
    </row>
    <row r="88" ht="16.5" customHeight="1" spans="6:7">
      <c r="F88" s="92">
        <v>46106</v>
      </c>
      <c r="G88" s="93">
        <v>23306.45</v>
      </c>
    </row>
    <row r="89" ht="16.5" customHeight="1" spans="6:7">
      <c r="F89" s="92">
        <v>46105</v>
      </c>
      <c r="G89" s="93">
        <v>22912.4</v>
      </c>
    </row>
    <row r="90" ht="16.5" customHeight="1" spans="6:7">
      <c r="F90" s="92">
        <v>46104</v>
      </c>
      <c r="G90" s="93">
        <v>22512.65</v>
      </c>
    </row>
    <row r="91" ht="16.5" customHeight="1" spans="6:7">
      <c r="F91" s="92">
        <v>46101</v>
      </c>
      <c r="G91" s="93">
        <v>23114.5</v>
      </c>
    </row>
    <row r="92" ht="16.5" customHeight="1" spans="6:7">
      <c r="F92" s="92">
        <v>46100</v>
      </c>
      <c r="G92" s="93">
        <v>23002.15</v>
      </c>
    </row>
    <row r="93" ht="16.5" customHeight="1" spans="6:7">
      <c r="F93" s="92">
        <v>46099</v>
      </c>
      <c r="G93" s="93">
        <v>23777.8</v>
      </c>
    </row>
    <row r="94" ht="16.5" customHeight="1" spans="6:7">
      <c r="F94" s="92">
        <v>46098</v>
      </c>
      <c r="G94" s="93">
        <v>23581.15</v>
      </c>
    </row>
    <row r="95" ht="16.5" customHeight="1" spans="6:7">
      <c r="F95" s="92">
        <v>46097</v>
      </c>
      <c r="G95" s="93">
        <v>23408.8</v>
      </c>
    </row>
    <row r="96" ht="16.5" customHeight="1" spans="6:7">
      <c r="F96" s="92">
        <v>46094</v>
      </c>
      <c r="G96" s="93">
        <v>23151.1</v>
      </c>
    </row>
    <row r="97" ht="16.5" customHeight="1" spans="6:7">
      <c r="F97" s="92">
        <v>46093</v>
      </c>
      <c r="G97" s="93">
        <v>23639.15</v>
      </c>
    </row>
    <row r="98" ht="16.5" customHeight="1" spans="6:7">
      <c r="F98" s="92">
        <v>46092</v>
      </c>
      <c r="G98" s="93">
        <v>23866.85</v>
      </c>
    </row>
    <row r="99" ht="16.5" customHeight="1" spans="6:7">
      <c r="F99" s="92">
        <v>46091</v>
      </c>
      <c r="G99" s="93">
        <v>24261.6</v>
      </c>
    </row>
    <row r="100" ht="16.5" customHeight="1" spans="6:7">
      <c r="F100" s="92">
        <v>46090</v>
      </c>
      <c r="G100" s="93">
        <v>24028.05</v>
      </c>
    </row>
    <row r="101" ht="16.5" customHeight="1" spans="6:7">
      <c r="F101" s="92">
        <v>46087</v>
      </c>
      <c r="G101" s="93">
        <v>24450.45</v>
      </c>
    </row>
    <row r="102" ht="16.5" customHeight="1" spans="6:7">
      <c r="F102" s="92">
        <v>46086</v>
      </c>
      <c r="G102" s="93">
        <v>24765.9</v>
      </c>
    </row>
    <row r="103" ht="16.5" customHeight="1" spans="6:7">
      <c r="F103" s="92">
        <v>46085</v>
      </c>
      <c r="G103" s="93">
        <v>24480.5</v>
      </c>
    </row>
    <row r="104" ht="16.5" customHeight="1" spans="6:7">
      <c r="F104" s="92">
        <v>46083</v>
      </c>
      <c r="G104" s="93">
        <v>24865.7</v>
      </c>
    </row>
    <row r="105" ht="16.5" customHeight="1" spans="6:7">
      <c r="F105" s="92">
        <v>46080</v>
      </c>
      <c r="G105" s="93">
        <v>25178.65</v>
      </c>
    </row>
    <row r="106" ht="16.5" customHeight="1" spans="6:7">
      <c r="F106" s="92">
        <v>46079</v>
      </c>
      <c r="G106" s="93">
        <v>25496.55</v>
      </c>
    </row>
    <row r="107" ht="16.5" customHeight="1" spans="6:7">
      <c r="F107" s="92">
        <v>46078</v>
      </c>
      <c r="G107" s="93">
        <v>25482.5</v>
      </c>
    </row>
    <row r="108" ht="16.5" customHeight="1" spans="6:7">
      <c r="F108" s="92">
        <v>46077</v>
      </c>
      <c r="G108" s="93">
        <v>25424.65</v>
      </c>
    </row>
    <row r="109" ht="16.5" customHeight="1" spans="6:7">
      <c r="F109" s="92">
        <v>46076</v>
      </c>
      <c r="G109" s="93">
        <v>25713</v>
      </c>
    </row>
    <row r="110" ht="16.5" customHeight="1" spans="6:7">
      <c r="F110" s="92">
        <v>46073</v>
      </c>
      <c r="G110" s="93">
        <v>25571.25</v>
      </c>
    </row>
    <row r="111" ht="16.5" customHeight="1" spans="6:7">
      <c r="F111" s="92">
        <v>46072</v>
      </c>
      <c r="G111" s="93">
        <v>25454.35</v>
      </c>
    </row>
    <row r="112" ht="16.5" customHeight="1" spans="6:7">
      <c r="F112" s="92">
        <v>46071</v>
      </c>
      <c r="G112" s="93">
        <v>25819.35</v>
      </c>
    </row>
    <row r="113" ht="16.5" customHeight="1" spans="6:7">
      <c r="F113" s="92">
        <v>46070</v>
      </c>
      <c r="G113" s="93">
        <v>25725.4</v>
      </c>
    </row>
    <row r="114" ht="16.5" customHeight="1" spans="6:7">
      <c r="F114" s="92">
        <v>46069</v>
      </c>
      <c r="G114" s="93">
        <v>25682.75</v>
      </c>
    </row>
    <row r="115" ht="16.5" customHeight="1" spans="6:7">
      <c r="F115" s="92">
        <v>46066</v>
      </c>
      <c r="G115" s="93">
        <v>25471.1</v>
      </c>
    </row>
    <row r="116" ht="16.5" customHeight="1" spans="6:7">
      <c r="F116" s="92">
        <v>46065</v>
      </c>
      <c r="G116" s="93">
        <v>25807.2</v>
      </c>
    </row>
    <row r="117" ht="16.5" customHeight="1" spans="6:7">
      <c r="F117" s="92">
        <v>46064</v>
      </c>
      <c r="G117" s="93">
        <v>25953.85</v>
      </c>
    </row>
    <row r="118" ht="16.5" customHeight="1" spans="6:7">
      <c r="F118" s="92">
        <v>46063</v>
      </c>
      <c r="G118" s="93">
        <v>25935.15</v>
      </c>
    </row>
    <row r="119" ht="16.5" customHeight="1" spans="6:7">
      <c r="F119" s="92">
        <v>46062</v>
      </c>
      <c r="G119" s="93">
        <v>25867.3</v>
      </c>
    </row>
    <row r="120" ht="16.5" customHeight="1" spans="6:7">
      <c r="F120" s="92">
        <v>46059</v>
      </c>
      <c r="G120" s="93">
        <v>25693.7</v>
      </c>
    </row>
    <row r="121" ht="16.5" customHeight="1" spans="6:7">
      <c r="F121" s="92">
        <v>46058</v>
      </c>
      <c r="G121" s="93">
        <v>25642.8</v>
      </c>
    </row>
    <row r="122" ht="16.5" customHeight="1" spans="6:7">
      <c r="F122" s="92">
        <v>46057</v>
      </c>
      <c r="G122" s="93">
        <v>25776</v>
      </c>
    </row>
    <row r="123" ht="16.5" customHeight="1" spans="6:7">
      <c r="F123" s="92">
        <v>46056</v>
      </c>
      <c r="G123" s="93">
        <v>25727.55</v>
      </c>
    </row>
    <row r="124" ht="16.5" customHeight="1" spans="6:7">
      <c r="F124" s="92">
        <v>46055</v>
      </c>
      <c r="G124" s="93">
        <v>25088.4</v>
      </c>
    </row>
    <row r="125" ht="16.5" customHeight="1" spans="6:7">
      <c r="F125" s="92">
        <v>46054</v>
      </c>
      <c r="G125" s="93">
        <v>24825.45</v>
      </c>
    </row>
    <row r="126" ht="16.5" customHeight="1" spans="6:7">
      <c r="F126" s="92">
        <v>46052</v>
      </c>
      <c r="G126" s="93">
        <v>25320.65</v>
      </c>
    </row>
    <row r="127" ht="16.5" customHeight="1" spans="6:7">
      <c r="F127" s="92">
        <v>46051</v>
      </c>
      <c r="G127" s="93">
        <v>25418.9</v>
      </c>
    </row>
    <row r="128" ht="16.5" customHeight="1" spans="6:7">
      <c r="F128" s="92">
        <v>46050</v>
      </c>
      <c r="G128" s="93">
        <v>25342.75</v>
      </c>
    </row>
    <row r="129" ht="16.5" customHeight="1" spans="6:7">
      <c r="F129" s="92">
        <v>46049</v>
      </c>
      <c r="G129" s="93">
        <v>25175.4</v>
      </c>
    </row>
    <row r="130" ht="16.5" customHeight="1" spans="6:7">
      <c r="F130" s="92">
        <v>46045</v>
      </c>
      <c r="G130" s="93">
        <v>25048.65</v>
      </c>
    </row>
    <row r="131" ht="16.5" customHeight="1" spans="6:7">
      <c r="F131" s="92">
        <v>46044</v>
      </c>
      <c r="G131" s="93">
        <v>25289.9</v>
      </c>
    </row>
    <row r="132" ht="16.5" customHeight="1" spans="6:7">
      <c r="F132" s="92">
        <v>46043</v>
      </c>
      <c r="G132" s="93">
        <v>25157.5</v>
      </c>
    </row>
    <row r="133" ht="16.5" customHeight="1" spans="6:7">
      <c r="F133" s="92">
        <v>46042</v>
      </c>
      <c r="G133" s="93">
        <v>25232.5</v>
      </c>
    </row>
    <row r="134" ht="16.5" customHeight="1" spans="6:7">
      <c r="F134" s="92">
        <v>46041</v>
      </c>
      <c r="G134" s="93">
        <v>25585.5</v>
      </c>
    </row>
    <row r="135" ht="16.5" customHeight="1" spans="6:7">
      <c r="F135" s="92">
        <v>46038</v>
      </c>
      <c r="G135" s="93">
        <v>25694.35</v>
      </c>
    </row>
    <row r="136" ht="16.5" customHeight="1" spans="6:7">
      <c r="F136" s="92">
        <v>46036</v>
      </c>
      <c r="G136" s="93">
        <v>25665.6</v>
      </c>
    </row>
    <row r="137" ht="16.5" customHeight="1" spans="6:7">
      <c r="F137" s="92">
        <v>46035</v>
      </c>
      <c r="G137" s="93">
        <v>25732.3</v>
      </c>
    </row>
    <row r="138" ht="16.5" customHeight="1" spans="6:7">
      <c r="F138" s="92">
        <v>46034</v>
      </c>
      <c r="G138" s="93">
        <v>25790.25</v>
      </c>
    </row>
    <row r="139" ht="16.5" customHeight="1" spans="6:7">
      <c r="F139" s="92">
        <v>46031</v>
      </c>
      <c r="G139" s="93">
        <v>25683.3</v>
      </c>
    </row>
    <row r="140" ht="16.5" customHeight="1" spans="6:7">
      <c r="F140" s="92">
        <v>46030</v>
      </c>
      <c r="G140" s="93">
        <v>25876.85</v>
      </c>
    </row>
    <row r="141" ht="16.5" customHeight="1" spans="6:7">
      <c r="F141" s="92">
        <v>46029</v>
      </c>
      <c r="G141" s="93">
        <v>26140.75</v>
      </c>
    </row>
    <row r="142" ht="16.5" customHeight="1" spans="6:7">
      <c r="F142" s="92">
        <v>46028</v>
      </c>
      <c r="G142" s="93">
        <v>26178.7</v>
      </c>
    </row>
    <row r="143" ht="16.5" customHeight="1" spans="6:7">
      <c r="F143" s="92">
        <v>46027</v>
      </c>
      <c r="G143" s="93">
        <v>26250.3</v>
      </c>
    </row>
    <row r="144" ht="16.5" customHeight="1" spans="6:7">
      <c r="F144" s="92">
        <v>46024</v>
      </c>
      <c r="G144" s="93">
        <v>26328.55</v>
      </c>
    </row>
    <row r="145" ht="16.5" customHeight="1" spans="6:7">
      <c r="F145" s="92">
        <v>46023</v>
      </c>
      <c r="G145" s="93">
        <v>26146.55</v>
      </c>
    </row>
    <row r="146" ht="16.5" customHeight="1" spans="6:7">
      <c r="F146" s="92">
        <v>46022</v>
      </c>
      <c r="G146" s="93">
        <v>26129.6</v>
      </c>
    </row>
    <row r="147" ht="16.5" customHeight="1" spans="6:7">
      <c r="F147" s="92">
        <v>46021</v>
      </c>
      <c r="G147" s="93">
        <v>25938.85</v>
      </c>
    </row>
    <row r="148" ht="16.5" customHeight="1" spans="6:7">
      <c r="F148" s="92">
        <v>46020</v>
      </c>
      <c r="G148" s="93">
        <v>25942.1</v>
      </c>
    </row>
    <row r="149" ht="16.5" customHeight="1" spans="6:7">
      <c r="F149" s="92">
        <v>46017</v>
      </c>
      <c r="G149" s="93">
        <v>26042.3</v>
      </c>
    </row>
    <row r="150" ht="16.5" customHeight="1" spans="6:7">
      <c r="F150" s="92">
        <v>46015</v>
      </c>
      <c r="G150" s="93">
        <v>26142.1</v>
      </c>
    </row>
    <row r="151" ht="16.5" customHeight="1" spans="6:7">
      <c r="F151" s="92">
        <v>46014</v>
      </c>
      <c r="G151" s="93">
        <v>26177.15</v>
      </c>
    </row>
    <row r="152" ht="16.5" customHeight="1" spans="6:7">
      <c r="F152" s="92">
        <v>46013</v>
      </c>
      <c r="G152" s="93">
        <v>26172.4</v>
      </c>
    </row>
    <row r="153" ht="16.5" customHeight="1" spans="6:7">
      <c r="F153" s="92">
        <v>46010</v>
      </c>
      <c r="G153" s="93">
        <v>25966.4</v>
      </c>
    </row>
    <row r="154" ht="16.5" customHeight="1" spans="6:7">
      <c r="F154" s="92">
        <v>46009</v>
      </c>
      <c r="G154" s="93">
        <v>25815.55</v>
      </c>
    </row>
    <row r="155" ht="16.5" customHeight="1" spans="6:7">
      <c r="F155" s="92">
        <v>46008</v>
      </c>
      <c r="G155" s="93">
        <v>25818.55</v>
      </c>
    </row>
    <row r="156" ht="16.5" customHeight="1" spans="6:7">
      <c r="F156" s="92">
        <v>46007</v>
      </c>
      <c r="G156" s="93">
        <v>25860.1</v>
      </c>
    </row>
    <row r="157" ht="16.5" customHeight="1" spans="6:7">
      <c r="F157" s="92">
        <v>46006</v>
      </c>
      <c r="G157" s="93">
        <v>26027.3</v>
      </c>
    </row>
    <row r="158" ht="16.5" customHeight="1" spans="6:7">
      <c r="F158" s="92">
        <v>46003</v>
      </c>
      <c r="G158" s="93">
        <v>26046.95</v>
      </c>
    </row>
    <row r="159" ht="16.5" customHeight="1" spans="6:7">
      <c r="F159" s="92">
        <v>46002</v>
      </c>
      <c r="G159" s="93">
        <v>25898.55</v>
      </c>
    </row>
    <row r="160" ht="16.5" customHeight="1" spans="6:7">
      <c r="F160" s="92">
        <v>46001</v>
      </c>
      <c r="G160" s="93">
        <v>25758</v>
      </c>
    </row>
    <row r="161" ht="16.5" customHeight="1" spans="6:7">
      <c r="F161" s="92">
        <v>46000</v>
      </c>
      <c r="G161" s="93">
        <v>25839.65</v>
      </c>
    </row>
    <row r="162" ht="16.5" customHeight="1" spans="6:7">
      <c r="F162" s="92">
        <v>45999</v>
      </c>
      <c r="G162" s="93">
        <v>25960.55</v>
      </c>
    </row>
    <row r="163" ht="16.5" customHeight="1" spans="6:7">
      <c r="F163" s="92">
        <v>45996</v>
      </c>
      <c r="G163" s="93">
        <v>26186.45</v>
      </c>
    </row>
    <row r="164" ht="16.5" customHeight="1" spans="6:7">
      <c r="F164" s="92">
        <v>45995</v>
      </c>
      <c r="G164" s="93">
        <v>26033.75</v>
      </c>
    </row>
    <row r="165" ht="16.5" customHeight="1" spans="6:7">
      <c r="F165" s="92">
        <v>45994</v>
      </c>
      <c r="G165" s="93">
        <v>25986</v>
      </c>
    </row>
    <row r="166" ht="16.5" customHeight="1" spans="6:7">
      <c r="F166" s="92">
        <v>45993</v>
      </c>
      <c r="G166" s="93">
        <v>26032.2</v>
      </c>
    </row>
    <row r="167" ht="16.5" customHeight="1" spans="6:7">
      <c r="F167" s="92">
        <v>45992</v>
      </c>
      <c r="G167" s="93">
        <v>26175.75</v>
      </c>
    </row>
    <row r="168" ht="16.5" customHeight="1" spans="6:7">
      <c r="F168" s="92">
        <v>45989</v>
      </c>
      <c r="G168" s="93">
        <v>26202.95</v>
      </c>
    </row>
    <row r="169" ht="16.5" customHeight="1" spans="6:7">
      <c r="F169" s="92">
        <v>45988</v>
      </c>
      <c r="G169" s="93">
        <v>26215.55</v>
      </c>
    </row>
    <row r="170" ht="16.5" customHeight="1" spans="6:7">
      <c r="F170" s="92">
        <v>45987</v>
      </c>
      <c r="G170" s="93">
        <v>26205.3</v>
      </c>
    </row>
    <row r="171" ht="16.5" customHeight="1" spans="6:7">
      <c r="F171" s="92">
        <v>45986</v>
      </c>
      <c r="G171" s="93">
        <v>25884.8</v>
      </c>
    </row>
    <row r="172" ht="16.5" customHeight="1" spans="6:7">
      <c r="F172" s="92">
        <v>45985</v>
      </c>
      <c r="G172" s="93">
        <v>25959.5</v>
      </c>
    </row>
    <row r="173" ht="16.5" customHeight="1" spans="6:7">
      <c r="F173" s="92">
        <v>45982</v>
      </c>
      <c r="G173" s="93">
        <v>26068.15</v>
      </c>
    </row>
    <row r="174" ht="16.5" customHeight="1" spans="6:7">
      <c r="F174" s="92">
        <v>45981</v>
      </c>
      <c r="G174" s="93">
        <v>26192.15</v>
      </c>
    </row>
    <row r="175" ht="16.5" customHeight="1" spans="6:7">
      <c r="F175" s="92">
        <v>45980</v>
      </c>
      <c r="G175" s="93">
        <v>26052.65</v>
      </c>
    </row>
    <row r="176" ht="16.5" customHeight="1" spans="6:7">
      <c r="F176" s="92">
        <v>45979</v>
      </c>
      <c r="G176" s="93">
        <v>25910.05</v>
      </c>
    </row>
    <row r="177" ht="16.5" customHeight="1" spans="6:7">
      <c r="F177" s="92">
        <v>45978</v>
      </c>
      <c r="G177" s="93">
        <v>26013.45</v>
      </c>
    </row>
    <row r="178" ht="16.5" customHeight="1" spans="6:7">
      <c r="F178" s="92">
        <v>45975</v>
      </c>
      <c r="G178" s="93">
        <v>25910.05</v>
      </c>
    </row>
    <row r="179" ht="16.5" customHeight="1" spans="6:7">
      <c r="F179" s="92">
        <v>45974</v>
      </c>
      <c r="G179" s="93">
        <v>25879.15</v>
      </c>
    </row>
    <row r="180" ht="16.5" customHeight="1" spans="6:7">
      <c r="F180" s="92">
        <v>45973</v>
      </c>
      <c r="G180" s="93">
        <v>25875.8</v>
      </c>
    </row>
    <row r="181" ht="16.5" customHeight="1" spans="6:7">
      <c r="F181" s="92">
        <v>45972</v>
      </c>
      <c r="G181" s="93">
        <v>25694.95</v>
      </c>
    </row>
    <row r="182" ht="16.5" customHeight="1" spans="6:7">
      <c r="F182" s="92">
        <v>45971</v>
      </c>
      <c r="G182" s="93">
        <v>25574.35</v>
      </c>
    </row>
    <row r="183" ht="16.5" customHeight="1" spans="6:7">
      <c r="F183" s="92">
        <v>45968</v>
      </c>
      <c r="G183" s="93">
        <v>25492.3</v>
      </c>
    </row>
    <row r="184" ht="16.5" customHeight="1" spans="6:7">
      <c r="F184" s="92">
        <v>45967</v>
      </c>
      <c r="G184" s="93">
        <v>25509.7</v>
      </c>
    </row>
    <row r="185" ht="16.5" customHeight="1" spans="6:7">
      <c r="F185" s="92">
        <v>45965</v>
      </c>
      <c r="G185" s="93">
        <v>25597.65</v>
      </c>
    </row>
    <row r="186" ht="16.5" customHeight="1" spans="6:7">
      <c r="F186" s="92">
        <v>45964</v>
      </c>
      <c r="G186" s="93">
        <v>25763.35</v>
      </c>
    </row>
    <row r="187" ht="16.5" customHeight="1" spans="6:7">
      <c r="F187" s="92">
        <v>45961</v>
      </c>
      <c r="G187" s="93">
        <v>25722.1</v>
      </c>
    </row>
    <row r="188" ht="16.5" customHeight="1" spans="6:7">
      <c r="F188" s="92">
        <v>45960</v>
      </c>
      <c r="G188" s="93">
        <v>25877.85</v>
      </c>
    </row>
    <row r="189" ht="16.5" customHeight="1" spans="6:7">
      <c r="F189" s="92">
        <v>45959</v>
      </c>
      <c r="G189" s="93">
        <v>26053.9</v>
      </c>
    </row>
    <row r="190" ht="16.5" customHeight="1" spans="6:7">
      <c r="F190" s="92">
        <v>45958</v>
      </c>
      <c r="G190" s="93">
        <v>25936.2</v>
      </c>
    </row>
    <row r="191" ht="16.5" customHeight="1" spans="6:7">
      <c r="F191" s="92">
        <v>45957</v>
      </c>
      <c r="G191" s="93">
        <v>25966.05</v>
      </c>
    </row>
    <row r="192" ht="16.5" customHeight="1" spans="6:7">
      <c r="F192" s="92">
        <v>45954</v>
      </c>
      <c r="G192" s="93">
        <v>25795.15</v>
      </c>
    </row>
    <row r="193" ht="16.5" customHeight="1" spans="6:7">
      <c r="F193" s="92">
        <v>45953</v>
      </c>
      <c r="G193" s="93">
        <v>25891.4</v>
      </c>
    </row>
    <row r="194" ht="16.5" customHeight="1" spans="6:7">
      <c r="F194" s="92">
        <v>45951</v>
      </c>
      <c r="G194" s="93">
        <v>25868.6</v>
      </c>
    </row>
    <row r="195" ht="16.5" customHeight="1" spans="6:7">
      <c r="F195" s="92">
        <v>45950</v>
      </c>
      <c r="G195" s="93">
        <v>25843.15</v>
      </c>
    </row>
    <row r="196" ht="16.5" customHeight="1" spans="6:7">
      <c r="F196" s="92">
        <v>45947</v>
      </c>
      <c r="G196" s="93">
        <v>25709.85</v>
      </c>
    </row>
    <row r="197" ht="16.5" customHeight="1" spans="6:7">
      <c r="F197" s="92">
        <v>45946</v>
      </c>
      <c r="G197" s="93">
        <v>25585.3</v>
      </c>
    </row>
    <row r="198" ht="16.5" customHeight="1" spans="6:7">
      <c r="F198" s="92">
        <v>45945</v>
      </c>
      <c r="G198" s="93">
        <v>25323.55</v>
      </c>
    </row>
    <row r="199" ht="16.5" customHeight="1" spans="6:7">
      <c r="F199" s="92">
        <v>45944</v>
      </c>
      <c r="G199" s="93">
        <v>25145.5</v>
      </c>
    </row>
    <row r="200" ht="16.5" customHeight="1" spans="6:7">
      <c r="F200" s="92">
        <v>45943</v>
      </c>
      <c r="G200" s="93">
        <v>25227.35</v>
      </c>
    </row>
    <row r="201" ht="16.5" customHeight="1" spans="6:7">
      <c r="F201" s="92">
        <v>45940</v>
      </c>
      <c r="G201" s="93">
        <v>25285.35</v>
      </c>
    </row>
    <row r="202" ht="16.5" customHeight="1" spans="6:7">
      <c r="F202" s="92">
        <v>45939</v>
      </c>
      <c r="G202" s="93">
        <v>25181.8</v>
      </c>
    </row>
    <row r="203" ht="16.5" customHeight="1" spans="6:7">
      <c r="F203" s="92">
        <v>45938</v>
      </c>
      <c r="G203" s="93">
        <v>25046.15</v>
      </c>
    </row>
    <row r="204" ht="16.5" customHeight="1" spans="6:7">
      <c r="F204" s="92">
        <v>45937</v>
      </c>
      <c r="G204" s="93">
        <v>25108.3</v>
      </c>
    </row>
    <row r="205" ht="16.5" customHeight="1" spans="6:7">
      <c r="F205" s="92">
        <v>45936</v>
      </c>
      <c r="G205" s="93">
        <v>25077.65</v>
      </c>
    </row>
    <row r="206" ht="16.5" customHeight="1" spans="6:7">
      <c r="F206" s="92">
        <v>45933</v>
      </c>
      <c r="G206" s="93">
        <v>24894.25</v>
      </c>
    </row>
    <row r="207" ht="16.5" customHeight="1" spans="6:7">
      <c r="F207" s="92">
        <v>45931</v>
      </c>
      <c r="G207" s="93">
        <v>24836.3</v>
      </c>
    </row>
    <row r="208" ht="16.5" customHeight="1" spans="6:7">
      <c r="F208" s="92">
        <v>45930</v>
      </c>
      <c r="G208" s="93">
        <v>24611.1</v>
      </c>
    </row>
    <row r="209" ht="16.5" customHeight="1" spans="6:7">
      <c r="F209" s="92">
        <v>45929</v>
      </c>
      <c r="G209" s="93">
        <v>24634.9</v>
      </c>
    </row>
    <row r="210" ht="16.5" customHeight="1" spans="6:7">
      <c r="F210" s="92">
        <v>45926</v>
      </c>
      <c r="G210" s="93">
        <v>24654.7</v>
      </c>
    </row>
    <row r="211" ht="16.5" customHeight="1" spans="6:7">
      <c r="F211" s="92">
        <v>45925</v>
      </c>
      <c r="G211" s="93">
        <v>24890.85</v>
      </c>
    </row>
    <row r="212" ht="16.5" customHeight="1" spans="6:7">
      <c r="F212" s="92">
        <v>45924</v>
      </c>
      <c r="G212" s="93">
        <v>25056.9</v>
      </c>
    </row>
    <row r="213" ht="16.5" customHeight="1" spans="6:7">
      <c r="F213" s="92">
        <v>45923</v>
      </c>
      <c r="G213" s="93">
        <v>25169.5</v>
      </c>
    </row>
    <row r="214" ht="16.5" customHeight="1" spans="6:7">
      <c r="F214" s="92">
        <v>45922</v>
      </c>
      <c r="G214" s="93">
        <v>25202.35</v>
      </c>
    </row>
    <row r="215" ht="16.5" customHeight="1" spans="6:7">
      <c r="F215" s="92">
        <v>45919</v>
      </c>
      <c r="G215" s="93">
        <v>25327.05</v>
      </c>
    </row>
    <row r="216" ht="16.5" customHeight="1" spans="6:7">
      <c r="F216" s="92">
        <v>45918</v>
      </c>
      <c r="G216" s="93">
        <v>25423.6</v>
      </c>
    </row>
    <row r="217" ht="16.5" customHeight="1" spans="6:7">
      <c r="F217" s="92">
        <v>45917</v>
      </c>
      <c r="G217" s="93">
        <v>25330.25</v>
      </c>
    </row>
    <row r="218" ht="16.5" customHeight="1" spans="6:7">
      <c r="F218" s="92">
        <v>45916</v>
      </c>
      <c r="G218" s="93">
        <v>25239.1</v>
      </c>
    </row>
    <row r="219" ht="16.5" customHeight="1" spans="6:7">
      <c r="F219" s="92">
        <v>45915</v>
      </c>
      <c r="G219" s="93">
        <v>25069.2</v>
      </c>
    </row>
    <row r="220" ht="16.5" customHeight="1" spans="6:7">
      <c r="F220" s="92">
        <v>45912</v>
      </c>
      <c r="G220" s="93">
        <v>25114</v>
      </c>
    </row>
    <row r="221" ht="16.5" customHeight="1" spans="6:7">
      <c r="F221" s="92">
        <v>45911</v>
      </c>
      <c r="G221" s="93">
        <v>25005.5</v>
      </c>
    </row>
    <row r="222" ht="16.5" customHeight="1" spans="6:7">
      <c r="F222" s="92">
        <v>45910</v>
      </c>
      <c r="G222" s="93">
        <v>24973.1</v>
      </c>
    </row>
    <row r="223" ht="16.5" customHeight="1" spans="6:7">
      <c r="F223" s="92">
        <v>45909</v>
      </c>
      <c r="G223" s="93">
        <v>24868.6</v>
      </c>
    </row>
    <row r="224" ht="16.5" customHeight="1" spans="6:7">
      <c r="F224" s="92">
        <v>45908</v>
      </c>
      <c r="G224" s="93">
        <v>24773.15</v>
      </c>
    </row>
    <row r="225" ht="16.5" customHeight="1" spans="6:7">
      <c r="F225" s="92">
        <v>45905</v>
      </c>
      <c r="G225" s="93">
        <v>24741</v>
      </c>
    </row>
    <row r="226" ht="16.5" customHeight="1" spans="6:7">
      <c r="F226" s="92">
        <v>45904</v>
      </c>
      <c r="G226" s="93">
        <v>24734.3</v>
      </c>
    </row>
    <row r="227" ht="16.5" customHeight="1" spans="6:7">
      <c r="F227" s="92">
        <v>45903</v>
      </c>
      <c r="G227" s="93">
        <v>24715.05</v>
      </c>
    </row>
    <row r="228" ht="16.5" customHeight="1" spans="6:7">
      <c r="F228" s="92">
        <v>45902</v>
      </c>
      <c r="G228" s="93">
        <v>24579.6</v>
      </c>
    </row>
    <row r="229" ht="16.5" customHeight="1" spans="6:7">
      <c r="F229" s="92">
        <v>45901</v>
      </c>
      <c r="G229" s="93">
        <v>24625.05</v>
      </c>
    </row>
    <row r="230" ht="16.5" customHeight="1" spans="6:7">
      <c r="F230" s="92">
        <v>45898</v>
      </c>
      <c r="G230" s="93">
        <v>24426.85</v>
      </c>
    </row>
    <row r="231" ht="16.5" customHeight="1" spans="6:7">
      <c r="F231" s="92">
        <v>45897</v>
      </c>
      <c r="G231" s="93">
        <v>24500.9</v>
      </c>
    </row>
    <row r="232" ht="16.5" customHeight="1" spans="6:7">
      <c r="F232" s="92">
        <v>45895</v>
      </c>
      <c r="G232" s="93">
        <v>24712.05</v>
      </c>
    </row>
    <row r="233" ht="16.5" customHeight="1" spans="6:7">
      <c r="F233" s="92">
        <v>45894</v>
      </c>
      <c r="G233" s="93">
        <v>24967.75</v>
      </c>
    </row>
    <row r="234" ht="16.5" customHeight="1" spans="6:7">
      <c r="F234" s="92">
        <v>45891</v>
      </c>
      <c r="G234" s="93">
        <v>24870.1</v>
      </c>
    </row>
    <row r="235" ht="16.5" customHeight="1" spans="6:7">
      <c r="F235" s="92">
        <v>45890</v>
      </c>
      <c r="G235" s="93">
        <v>25083.75</v>
      </c>
    </row>
    <row r="236" ht="16.5" customHeight="1" spans="6:7">
      <c r="F236" s="92">
        <v>45889</v>
      </c>
      <c r="G236" s="93">
        <v>25050.55</v>
      </c>
    </row>
    <row r="237" ht="16.5" customHeight="1" spans="6:7">
      <c r="F237" s="92">
        <v>45888</v>
      </c>
      <c r="G237" s="93">
        <v>24980.65</v>
      </c>
    </row>
    <row r="238" ht="16.5" customHeight="1" spans="6:7">
      <c r="F238" s="92">
        <v>45887</v>
      </c>
      <c r="G238" s="93">
        <v>24876.95</v>
      </c>
    </row>
    <row r="239" ht="16.5" customHeight="1" spans="6:7">
      <c r="F239" s="92">
        <v>45883</v>
      </c>
      <c r="G239" s="93">
        <v>24631.3</v>
      </c>
    </row>
    <row r="240" ht="16.5" customHeight="1" spans="6:7">
      <c r="F240" s="92">
        <v>45882</v>
      </c>
      <c r="G240" s="93">
        <v>24619.35</v>
      </c>
    </row>
    <row r="241" ht="16.5" customHeight="1" spans="6:7">
      <c r="F241" s="92">
        <v>45881</v>
      </c>
      <c r="G241" s="93">
        <v>24487.4</v>
      </c>
    </row>
    <row r="242" ht="16.5" customHeight="1" spans="6:7">
      <c r="F242" s="92">
        <v>45880</v>
      </c>
      <c r="G242" s="93">
        <v>24585.05</v>
      </c>
    </row>
    <row r="243" ht="16.5" customHeight="1" spans="6:7">
      <c r="F243" s="92">
        <v>45877</v>
      </c>
      <c r="G243" s="93">
        <v>24363.3</v>
      </c>
    </row>
    <row r="244" ht="16.5" customHeight="1" spans="6:7">
      <c r="F244" s="92">
        <v>45876</v>
      </c>
      <c r="G244" s="93">
        <v>24596.15</v>
      </c>
    </row>
    <row r="245" ht="16.5" customHeight="1" spans="6:7">
      <c r="F245" s="92">
        <v>45875</v>
      </c>
      <c r="G245" s="93">
        <v>24574.2</v>
      </c>
    </row>
    <row r="246" ht="16.5" customHeight="1" spans="6:7">
      <c r="F246" s="92">
        <v>45874</v>
      </c>
      <c r="G246" s="93">
        <v>24649.55</v>
      </c>
    </row>
    <row r="247" ht="16.5" customHeight="1" spans="6:7">
      <c r="F247" s="92">
        <v>45873</v>
      </c>
      <c r="G247" s="93">
        <v>24722.75</v>
      </c>
    </row>
    <row r="248" ht="16.5" customHeight="1" spans="6:7">
      <c r="F248" s="92">
        <v>45870</v>
      </c>
      <c r="G248" s="93">
        <v>24565.35</v>
      </c>
    </row>
    <row r="249" ht="16.5" customHeight="1" spans="6:7">
      <c r="F249" s="92">
        <v>45869</v>
      </c>
      <c r="G249" s="93">
        <v>24768.35</v>
      </c>
    </row>
    <row r="250" ht="16.5" customHeight="1" spans="6:7">
      <c r="F250" s="92">
        <v>45868</v>
      </c>
      <c r="G250" s="93">
        <v>24855.05</v>
      </c>
    </row>
    <row r="251" ht="16.5" customHeight="1" spans="6:7">
      <c r="F251" s="92">
        <v>45867</v>
      </c>
      <c r="G251" s="93">
        <v>24821.1</v>
      </c>
    </row>
    <row r="252" ht="16.5" customHeight="1" spans="6:7">
      <c r="F252" s="92">
        <v>45866</v>
      </c>
      <c r="G252" s="93">
        <v>24680.9</v>
      </c>
    </row>
    <row r="253" ht="16.5" customHeight="1" spans="6:7">
      <c r="F253" s="92">
        <v>45863</v>
      </c>
      <c r="G253" s="93">
        <v>24837</v>
      </c>
    </row>
    <row r="254" ht="16.5" customHeight="1" spans="6:7">
      <c r="F254" s="92">
        <v>45862</v>
      </c>
      <c r="G254" s="93">
        <v>25062.1</v>
      </c>
    </row>
    <row r="255" ht="16.5" customHeight="1" spans="6:7">
      <c r="F255" s="92">
        <v>45861</v>
      </c>
      <c r="G255" s="93">
        <v>25219.9</v>
      </c>
    </row>
    <row r="256" ht="16.5" customHeight="1" spans="6:7">
      <c r="F256" s="92">
        <v>45860</v>
      </c>
      <c r="G256" s="93">
        <v>25060.9</v>
      </c>
    </row>
    <row r="257" ht="16.5" customHeight="1" spans="6:7">
      <c r="F257" s="92">
        <v>45859</v>
      </c>
      <c r="G257" s="93">
        <v>25090.7</v>
      </c>
    </row>
    <row r="258" ht="16.5" customHeight="1" spans="6:7">
      <c r="F258" s="92">
        <v>45856</v>
      </c>
      <c r="G258" s="93">
        <v>24968.4</v>
      </c>
    </row>
    <row r="259" ht="16.5" customHeight="1" spans="6:7">
      <c r="F259" s="92">
        <v>45855</v>
      </c>
      <c r="G259" s="93">
        <v>25111.45</v>
      </c>
    </row>
    <row r="260" ht="16.5" customHeight="1" spans="6:7">
      <c r="F260" s="92">
        <v>45854</v>
      </c>
      <c r="G260" s="93">
        <v>25212.05</v>
      </c>
    </row>
    <row r="261" ht="16.5" customHeight="1" spans="6:7">
      <c r="F261" s="92">
        <v>45853</v>
      </c>
      <c r="G261" s="93">
        <v>25195.8</v>
      </c>
    </row>
    <row r="262" ht="16.5" customHeight="1" spans="6:7">
      <c r="F262" s="92">
        <v>45852</v>
      </c>
      <c r="G262" s="93">
        <v>25082.3</v>
      </c>
    </row>
    <row r="263" ht="16.5" customHeight="1" spans="6:7">
      <c r="F263" s="92">
        <v>45849</v>
      </c>
      <c r="G263" s="93">
        <v>25149.85</v>
      </c>
    </row>
    <row r="264" ht="16.5" customHeight="1" spans="6:7">
      <c r="F264" s="92">
        <v>45848</v>
      </c>
      <c r="G264" s="93">
        <v>25355.25</v>
      </c>
    </row>
    <row r="265" ht="16.5" customHeight="1" spans="6:7">
      <c r="F265" s="92">
        <v>45847</v>
      </c>
      <c r="G265" s="93">
        <v>25476.1</v>
      </c>
    </row>
    <row r="266" ht="16.5" customHeight="1" spans="6:7">
      <c r="F266" s="92">
        <v>45846</v>
      </c>
      <c r="G266" s="93">
        <v>25522.5</v>
      </c>
    </row>
    <row r="267" ht="16.5" customHeight="1" spans="6:7">
      <c r="F267" s="92">
        <v>45845</v>
      </c>
      <c r="G267" s="93">
        <v>25461.3</v>
      </c>
    </row>
    <row r="268" ht="16.5" customHeight="1" spans="6:7">
      <c r="F268" s="92">
        <v>45842</v>
      </c>
      <c r="G268" s="93">
        <v>25461</v>
      </c>
    </row>
    <row r="269" ht="16.5" customHeight="1" spans="6:7">
      <c r="F269" s="92">
        <v>45841</v>
      </c>
      <c r="G269" s="93">
        <v>25405.3</v>
      </c>
    </row>
    <row r="270" ht="16.5" customHeight="1" spans="6:7">
      <c r="F270" s="92">
        <v>45840</v>
      </c>
      <c r="G270" s="93">
        <v>25453.4</v>
      </c>
    </row>
    <row r="271" ht="16.5" customHeight="1" spans="6:7">
      <c r="F271" s="92">
        <v>45839</v>
      </c>
      <c r="G271" s="93">
        <v>25541.8</v>
      </c>
    </row>
    <row r="272" ht="16.5" customHeight="1" spans="6:7">
      <c r="F272" s="92">
        <v>45838</v>
      </c>
      <c r="G272" s="93">
        <v>25517.05</v>
      </c>
    </row>
    <row r="273" ht="16.5" customHeight="1" spans="6:7">
      <c r="F273" s="92">
        <v>45835</v>
      </c>
      <c r="G273" s="93">
        <v>25637.8</v>
      </c>
    </row>
    <row r="274" ht="16.5" customHeight="1" spans="6:7">
      <c r="F274" s="92">
        <v>45834</v>
      </c>
      <c r="G274" s="93">
        <v>25549</v>
      </c>
    </row>
    <row r="275" ht="16.5" customHeight="1" spans="6:7">
      <c r="F275" s="92">
        <v>45833</v>
      </c>
      <c r="G275" s="93">
        <v>25244.75</v>
      </c>
    </row>
    <row r="276" ht="16.5" customHeight="1" spans="6:7">
      <c r="F276" s="92">
        <v>45832</v>
      </c>
      <c r="G276" s="93">
        <v>25044.35</v>
      </c>
    </row>
    <row r="277" ht="16.5" customHeight="1" spans="6:7">
      <c r="F277" s="92">
        <v>45831</v>
      </c>
      <c r="G277" s="93">
        <v>24971.9</v>
      </c>
    </row>
    <row r="278" ht="16.5" customHeight="1" spans="6:7">
      <c r="F278" s="92">
        <v>45828</v>
      </c>
      <c r="G278" s="93">
        <v>25112.4</v>
      </c>
    </row>
    <row r="279" ht="16.5" customHeight="1" spans="6:7">
      <c r="F279" s="92">
        <v>45827</v>
      </c>
      <c r="G279" s="93">
        <v>24793.25</v>
      </c>
    </row>
    <row r="280" ht="16.5" customHeight="1" spans="6:7">
      <c r="F280" s="92">
        <v>45826</v>
      </c>
      <c r="G280" s="93">
        <v>24812.05</v>
      </c>
    </row>
    <row r="281" ht="16.5" customHeight="1" spans="6:7">
      <c r="F281" s="92">
        <v>45825</v>
      </c>
      <c r="G281" s="93">
        <v>24853.4</v>
      </c>
    </row>
    <row r="282" ht="16.5" customHeight="1" spans="6:7">
      <c r="F282" s="92">
        <v>45824</v>
      </c>
      <c r="G282" s="93">
        <v>24946.5</v>
      </c>
    </row>
    <row r="283" ht="16.5" customHeight="1" spans="6:7">
      <c r="F283" s="92">
        <v>45821</v>
      </c>
      <c r="G283" s="93">
        <v>24718.6</v>
      </c>
    </row>
    <row r="284" ht="16.5" customHeight="1" spans="6:7">
      <c r="F284" s="92">
        <v>45820</v>
      </c>
      <c r="G284" s="93">
        <v>24888.2</v>
      </c>
    </row>
    <row r="285" ht="16.5" customHeight="1" spans="6:7">
      <c r="F285" s="92">
        <v>45819</v>
      </c>
      <c r="G285" s="93">
        <v>25141.4</v>
      </c>
    </row>
    <row r="286" ht="16.5" customHeight="1" spans="6:7">
      <c r="F286" s="92">
        <v>45818</v>
      </c>
      <c r="G286" s="93">
        <v>25104.25</v>
      </c>
    </row>
    <row r="287" ht="16.5" customHeight="1" spans="6:7">
      <c r="F287" s="92">
        <v>45817</v>
      </c>
      <c r="G287" s="93">
        <v>25103.2</v>
      </c>
    </row>
    <row r="288" ht="16.5" customHeight="1" spans="6:7">
      <c r="F288" s="92">
        <v>45814</v>
      </c>
      <c r="G288" s="93">
        <v>25003.05</v>
      </c>
    </row>
    <row r="289" ht="16.5" customHeight="1" spans="6:7">
      <c r="F289" s="92">
        <v>45813</v>
      </c>
      <c r="G289" s="93">
        <v>24750.9</v>
      </c>
    </row>
    <row r="290" ht="16.5" customHeight="1" spans="6:7">
      <c r="F290" s="92">
        <v>45812</v>
      </c>
      <c r="G290" s="93">
        <v>24620.2</v>
      </c>
    </row>
    <row r="291" ht="16.5" customHeight="1" spans="6:7">
      <c r="F291" s="92">
        <v>45811</v>
      </c>
      <c r="G291" s="93">
        <v>24542.5</v>
      </c>
    </row>
    <row r="292" ht="16.5" customHeight="1" spans="6:7">
      <c r="F292" s="92">
        <v>45810</v>
      </c>
      <c r="G292" s="93">
        <v>24716.6</v>
      </c>
    </row>
    <row r="293" ht="16.5" customHeight="1" spans="6:7">
      <c r="F293" s="92">
        <v>45807</v>
      </c>
      <c r="G293" s="93">
        <v>24750.7</v>
      </c>
    </row>
    <row r="294" ht="16.5" customHeight="1" spans="6:7">
      <c r="F294" s="92">
        <v>45806</v>
      </c>
      <c r="G294" s="93">
        <v>24833.6</v>
      </c>
    </row>
    <row r="295" ht="16.5" customHeight="1" spans="6:7">
      <c r="F295" s="92">
        <v>45805</v>
      </c>
      <c r="G295" s="93">
        <v>24752.45</v>
      </c>
    </row>
    <row r="296" ht="16.5" customHeight="1" spans="6:7">
      <c r="F296" s="92">
        <v>45804</v>
      </c>
      <c r="G296" s="93">
        <v>24826.2</v>
      </c>
    </row>
    <row r="297" ht="16.5" customHeight="1" spans="6:7">
      <c r="F297" s="92">
        <v>45803</v>
      </c>
      <c r="G297" s="93">
        <v>25001.15</v>
      </c>
    </row>
    <row r="298" ht="16.5" customHeight="1" spans="6:7">
      <c r="F298" s="92">
        <v>45800</v>
      </c>
      <c r="G298" s="93">
        <v>24853.15</v>
      </c>
    </row>
    <row r="299" ht="16.5" customHeight="1" spans="6:7">
      <c r="F299" s="92">
        <v>45799</v>
      </c>
      <c r="G299" s="93">
        <v>24609.7</v>
      </c>
    </row>
    <row r="300" ht="16.5" customHeight="1" spans="6:7">
      <c r="F300" s="92">
        <v>45798</v>
      </c>
      <c r="G300" s="93">
        <v>24813.45</v>
      </c>
    </row>
    <row r="301" ht="16.5" customHeight="1" spans="6:7">
      <c r="F301" s="92">
        <v>45797</v>
      </c>
      <c r="G301" s="93">
        <v>24683.9</v>
      </c>
    </row>
    <row r="302" ht="16.5" customHeight="1" spans="6:7">
      <c r="F302" s="92">
        <v>45796</v>
      </c>
      <c r="G302" s="93">
        <v>24945.45</v>
      </c>
    </row>
    <row r="303" ht="16.5" customHeight="1" spans="6:7">
      <c r="F303" s="92">
        <v>45793</v>
      </c>
      <c r="G303" s="93">
        <v>25019.8</v>
      </c>
    </row>
    <row r="304" ht="16.5" customHeight="1" spans="6:7">
      <c r="F304" s="92">
        <v>45792</v>
      </c>
      <c r="G304" s="93">
        <v>25062.1</v>
      </c>
    </row>
    <row r="305" ht="16.5" customHeight="1" spans="6:7">
      <c r="F305" s="92">
        <v>45791</v>
      </c>
      <c r="G305" s="93">
        <v>24666.9</v>
      </c>
    </row>
    <row r="306" ht="16.5" customHeight="1" spans="6:7">
      <c r="F306" s="92">
        <v>45790</v>
      </c>
      <c r="G306" s="93">
        <v>24578.35</v>
      </c>
    </row>
    <row r="307" ht="16.5" customHeight="1" spans="6:7">
      <c r="F307" s="92">
        <v>45789</v>
      </c>
      <c r="G307" s="93">
        <v>24924.7</v>
      </c>
    </row>
    <row r="308" ht="16.5" customHeight="1" spans="6:7">
      <c r="F308" s="92">
        <v>45786</v>
      </c>
      <c r="G308" s="93">
        <v>24008</v>
      </c>
    </row>
    <row r="309" ht="16.5" customHeight="1" spans="6:7">
      <c r="F309" s="92">
        <v>45785</v>
      </c>
      <c r="G309" s="93">
        <v>24273.8</v>
      </c>
    </row>
    <row r="310" ht="16.5" customHeight="1" spans="6:7">
      <c r="F310" s="92">
        <v>45784</v>
      </c>
      <c r="G310" s="93">
        <v>24414.4</v>
      </c>
    </row>
    <row r="311" ht="16.5" customHeight="1" spans="6:7">
      <c r="F311" s="92">
        <v>45783</v>
      </c>
      <c r="G311" s="93">
        <v>24379.6</v>
      </c>
    </row>
    <row r="312" ht="16.5" customHeight="1" spans="6:7">
      <c r="F312" s="92">
        <v>45782</v>
      </c>
      <c r="G312" s="93">
        <v>24461.15</v>
      </c>
    </row>
    <row r="313" ht="16.5" customHeight="1" spans="6:7">
      <c r="F313" s="92">
        <v>45779</v>
      </c>
      <c r="G313" s="93">
        <v>24346.7</v>
      </c>
    </row>
    <row r="314" ht="16.5" customHeight="1" spans="6:7">
      <c r="F314" s="92">
        <v>45777</v>
      </c>
      <c r="G314" s="93">
        <v>24334.2</v>
      </c>
    </row>
    <row r="315" ht="16.5" customHeight="1" spans="6:7">
      <c r="F315" s="92">
        <v>45776</v>
      </c>
      <c r="G315" s="93">
        <v>24335.95</v>
      </c>
    </row>
    <row r="316" ht="16.5" customHeight="1" spans="6:7">
      <c r="F316" s="92">
        <v>45775</v>
      </c>
      <c r="G316" s="93">
        <v>24328.5</v>
      </c>
    </row>
    <row r="317" ht="16.5" customHeight="1" spans="6:7">
      <c r="F317" s="92">
        <v>45772</v>
      </c>
      <c r="G317" s="93">
        <v>24039.35</v>
      </c>
    </row>
    <row r="318" ht="16.5" customHeight="1" spans="6:7">
      <c r="F318" s="92">
        <v>45771</v>
      </c>
      <c r="G318" s="93">
        <v>24246.7</v>
      </c>
    </row>
    <row r="319" ht="16.5" customHeight="1" spans="6:7">
      <c r="F319" s="92">
        <v>45770</v>
      </c>
      <c r="G319" s="93">
        <v>24328.95</v>
      </c>
    </row>
    <row r="320" ht="16.5" customHeight="1" spans="6:7">
      <c r="F320" s="92">
        <v>45769</v>
      </c>
      <c r="G320" s="93">
        <v>24167.25</v>
      </c>
    </row>
    <row r="321" ht="16.5" customHeight="1" spans="6:7">
      <c r="F321" s="92">
        <v>45768</v>
      </c>
      <c r="G321" s="93">
        <v>24125.55</v>
      </c>
    </row>
    <row r="322" ht="16.5" customHeight="1" spans="6:7">
      <c r="F322" s="92">
        <v>45764</v>
      </c>
      <c r="G322" s="93">
        <v>23851.65</v>
      </c>
    </row>
    <row r="323" ht="16.5" customHeight="1" spans="6:7">
      <c r="F323" s="92">
        <v>45763</v>
      </c>
      <c r="G323" s="93">
        <v>23437.2</v>
      </c>
    </row>
    <row r="324" ht="16.5" customHeight="1" spans="6:7">
      <c r="F324" s="92">
        <v>45762</v>
      </c>
      <c r="G324" s="93">
        <v>23328.55</v>
      </c>
    </row>
    <row r="325" ht="16.5" customHeight="1" spans="6:7">
      <c r="F325" s="92">
        <v>45758</v>
      </c>
      <c r="G325" s="93">
        <v>22828.55</v>
      </c>
    </row>
    <row r="326" ht="16.5" customHeight="1" spans="6:7">
      <c r="F326" s="92">
        <v>45756</v>
      </c>
      <c r="G326" s="93">
        <v>22399.15</v>
      </c>
    </row>
    <row r="327" ht="16.5" customHeight="1" spans="6:7">
      <c r="F327" s="92">
        <v>45755</v>
      </c>
      <c r="G327" s="93">
        <v>22535.85</v>
      </c>
    </row>
    <row r="328" ht="16.5" customHeight="1" spans="6:7">
      <c r="F328" s="92">
        <v>45754</v>
      </c>
      <c r="G328" s="93">
        <v>22161.6</v>
      </c>
    </row>
    <row r="329" ht="16.5" customHeight="1" spans="6:7">
      <c r="F329" s="92">
        <v>45751</v>
      </c>
      <c r="G329" s="93">
        <v>22904.45</v>
      </c>
    </row>
    <row r="330" ht="16.5" customHeight="1" spans="6:7">
      <c r="F330" s="92">
        <v>45750</v>
      </c>
      <c r="G330" s="93">
        <v>23250.1</v>
      </c>
    </row>
    <row r="331" ht="16.5" customHeight="1" spans="6:7">
      <c r="F331" s="92">
        <v>45749</v>
      </c>
      <c r="G331" s="93">
        <v>23332.35</v>
      </c>
    </row>
    <row r="332" ht="16.5" customHeight="1" spans="6:7">
      <c r="F332" s="92">
        <v>45748</v>
      </c>
      <c r="G332" s="93">
        <v>23165.7</v>
      </c>
    </row>
    <row r="333" ht="16.5" customHeight="1" spans="6:7">
      <c r="F333" s="92">
        <v>45744</v>
      </c>
      <c r="G333" s="93">
        <v>23519.35</v>
      </c>
    </row>
    <row r="334" ht="16.5" customHeight="1" spans="6:7">
      <c r="F334" s="92">
        <v>45743</v>
      </c>
      <c r="G334" s="93">
        <v>23591.95</v>
      </c>
    </row>
    <row r="335" ht="16.5" customHeight="1" spans="6:7">
      <c r="F335" s="92">
        <v>45742</v>
      </c>
      <c r="G335" s="93">
        <v>23486.85</v>
      </c>
    </row>
    <row r="336" ht="16.5" customHeight="1" spans="6:7">
      <c r="F336" s="92">
        <v>45741</v>
      </c>
      <c r="G336" s="93">
        <v>23668.65</v>
      </c>
    </row>
    <row r="337" ht="16.5" customHeight="1" spans="6:7">
      <c r="F337" s="92">
        <v>45740</v>
      </c>
      <c r="G337" s="93">
        <v>23658.35</v>
      </c>
    </row>
    <row r="338" ht="16.5" customHeight="1" spans="6:7">
      <c r="F338" s="92">
        <v>45737</v>
      </c>
      <c r="G338" s="93">
        <v>23350.4</v>
      </c>
    </row>
    <row r="339" ht="16.5" customHeight="1" spans="6:7">
      <c r="F339" s="92">
        <v>45736</v>
      </c>
      <c r="G339" s="93">
        <v>23190.65</v>
      </c>
    </row>
    <row r="340" ht="16.5" customHeight="1" spans="6:7">
      <c r="F340" s="92">
        <v>45735</v>
      </c>
      <c r="G340" s="93">
        <v>22907.6</v>
      </c>
    </row>
    <row r="341" ht="16.5" customHeight="1" spans="6:7">
      <c r="F341" s="92">
        <v>45734</v>
      </c>
      <c r="G341" s="93">
        <v>22834.3</v>
      </c>
    </row>
    <row r="342" ht="16.5" customHeight="1" spans="6:7">
      <c r="F342" s="92">
        <v>45733</v>
      </c>
      <c r="G342" s="93">
        <v>22508.75</v>
      </c>
    </row>
    <row r="343" ht="16.5" customHeight="1" spans="6:7">
      <c r="F343" s="92">
        <v>45729</v>
      </c>
      <c r="G343" s="93">
        <v>22397.2</v>
      </c>
    </row>
    <row r="344" ht="16.5" customHeight="1" spans="6:7">
      <c r="F344" s="92">
        <v>45728</v>
      </c>
      <c r="G344" s="93">
        <v>22470.5</v>
      </c>
    </row>
    <row r="345" ht="16.5" customHeight="1" spans="6:7">
      <c r="F345" s="92">
        <v>45727</v>
      </c>
      <c r="G345" s="93">
        <v>22497.9</v>
      </c>
    </row>
    <row r="346" ht="16.5" customHeight="1" spans="6:7">
      <c r="F346" s="92">
        <v>45726</v>
      </c>
      <c r="G346" s="93">
        <v>22460.3</v>
      </c>
    </row>
    <row r="347" ht="16.5" customHeight="1" spans="6:7">
      <c r="F347" s="92">
        <v>45723</v>
      </c>
      <c r="G347" s="93">
        <v>22552.5</v>
      </c>
    </row>
    <row r="348" ht="16.5" customHeight="1" spans="6:7">
      <c r="F348" s="92">
        <v>45722</v>
      </c>
      <c r="G348" s="93">
        <v>22544.7</v>
      </c>
    </row>
    <row r="349" ht="16.5" customHeight="1" spans="6:7">
      <c r="F349" s="92">
        <v>45721</v>
      </c>
      <c r="G349" s="93">
        <v>22337.3</v>
      </c>
    </row>
    <row r="350" ht="16.5" customHeight="1" spans="6:7">
      <c r="F350" s="92">
        <v>45720</v>
      </c>
      <c r="G350" s="93">
        <v>22082.65</v>
      </c>
    </row>
    <row r="351" ht="16.5" customHeight="1" spans="6:7">
      <c r="F351" s="92">
        <v>45719</v>
      </c>
      <c r="G351" s="93">
        <v>22119.3</v>
      </c>
    </row>
    <row r="352" ht="16.5" customHeight="1" spans="6:7">
      <c r="F352" s="92">
        <v>45716</v>
      </c>
      <c r="G352" s="93">
        <v>22124.7</v>
      </c>
    </row>
    <row r="353" ht="16.5" customHeight="1" spans="6:7">
      <c r="F353" s="92">
        <v>45715</v>
      </c>
      <c r="G353" s="93">
        <v>22545.05</v>
      </c>
    </row>
    <row r="354" ht="16.5" customHeight="1" spans="6:7">
      <c r="F354" s="92">
        <v>45713</v>
      </c>
      <c r="G354" s="93">
        <v>22547.55</v>
      </c>
    </row>
    <row r="355" ht="16.5" customHeight="1" spans="6:7">
      <c r="F355" s="92">
        <v>45712</v>
      </c>
      <c r="G355" s="93">
        <v>22553.35</v>
      </c>
    </row>
    <row r="356" ht="16.5" customHeight="1" spans="6:7">
      <c r="F356" s="92">
        <v>45709</v>
      </c>
      <c r="G356" s="93">
        <v>22795.9</v>
      </c>
    </row>
    <row r="357" ht="16.5" customHeight="1" spans="6:7">
      <c r="F357" s="92">
        <v>45708</v>
      </c>
      <c r="G357" s="93">
        <v>22913.15</v>
      </c>
    </row>
    <row r="358" ht="16.5" customHeight="1" spans="6:7">
      <c r="F358" s="92">
        <v>45707</v>
      </c>
      <c r="G358" s="93">
        <v>22932.9</v>
      </c>
    </row>
    <row r="359" ht="16.5" customHeight="1" spans="6:7">
      <c r="F359" s="92">
        <v>45706</v>
      </c>
      <c r="G359" s="93">
        <v>22945.3</v>
      </c>
    </row>
    <row r="360" ht="16.5" customHeight="1" spans="6:7">
      <c r="F360" s="92">
        <v>45705</v>
      </c>
      <c r="G360" s="93">
        <v>22959.5</v>
      </c>
    </row>
    <row r="361" ht="16.5" customHeight="1" spans="6:7">
      <c r="F361" s="92">
        <v>45702</v>
      </c>
      <c r="G361" s="93">
        <v>22929.25</v>
      </c>
    </row>
    <row r="362" ht="16.5" customHeight="1" spans="6:7">
      <c r="F362" s="92">
        <v>45701</v>
      </c>
      <c r="G362" s="93">
        <v>23031.4</v>
      </c>
    </row>
    <row r="363" ht="16.5" customHeight="1" spans="6:7">
      <c r="F363" s="92">
        <v>45700</v>
      </c>
      <c r="G363" s="93">
        <v>23045.25</v>
      </c>
    </row>
    <row r="364" ht="16.5" customHeight="1" spans="6:7">
      <c r="F364" s="92">
        <v>45699</v>
      </c>
      <c r="G364" s="93">
        <v>23071.8</v>
      </c>
    </row>
    <row r="365" ht="16.5" customHeight="1" spans="6:7">
      <c r="F365" s="92">
        <v>45698</v>
      </c>
      <c r="G365" s="93">
        <v>23381.6</v>
      </c>
    </row>
    <row r="366" ht="16.5" customHeight="1" spans="6:7">
      <c r="F366" s="92">
        <v>45695</v>
      </c>
      <c r="G366" s="93">
        <v>23559.95</v>
      </c>
    </row>
    <row r="367" ht="16.5" customHeight="1" spans="6:7">
      <c r="F367" s="92">
        <v>45694</v>
      </c>
      <c r="G367" s="93">
        <v>23603.35</v>
      </c>
    </row>
    <row r="368" ht="16.5" customHeight="1" spans="6:7">
      <c r="F368" s="92">
        <v>45693</v>
      </c>
      <c r="G368" s="93">
        <v>23696.3</v>
      </c>
    </row>
    <row r="369" ht="16.5" customHeight="1" spans="6:7">
      <c r="F369" s="92">
        <v>45692</v>
      </c>
      <c r="G369" s="93">
        <v>23739.25</v>
      </c>
    </row>
    <row r="370" ht="16.5" customHeight="1" spans="6:7">
      <c r="F370" s="92">
        <v>45691</v>
      </c>
      <c r="G370" s="93">
        <v>23361.05</v>
      </c>
    </row>
    <row r="371" ht="16.5" customHeight="1" spans="6:7">
      <c r="F371" s="92">
        <v>45689</v>
      </c>
      <c r="G371" s="93">
        <v>23482.15</v>
      </c>
    </row>
    <row r="372" ht="16.5" customHeight="1" spans="6:7">
      <c r="F372" s="92">
        <v>45688</v>
      </c>
      <c r="G372" s="93">
        <v>23508.4</v>
      </c>
    </row>
    <row r="373" ht="16.5" customHeight="1" spans="6:7">
      <c r="F373" s="92">
        <v>45687</v>
      </c>
      <c r="G373" s="93">
        <v>23249.5</v>
      </c>
    </row>
    <row r="374" ht="16.5" customHeight="1" spans="6:7">
      <c r="F374" s="92">
        <v>45686</v>
      </c>
      <c r="G374" s="93">
        <v>23163.1</v>
      </c>
    </row>
    <row r="375" ht="16.5" customHeight="1" spans="6:7">
      <c r="F375" s="92">
        <v>45685</v>
      </c>
      <c r="G375" s="93">
        <v>22957.25</v>
      </c>
    </row>
    <row r="376" ht="16.5" customHeight="1" spans="6:7">
      <c r="F376" s="92">
        <v>45684</v>
      </c>
      <c r="G376" s="93">
        <v>22829.15</v>
      </c>
    </row>
    <row r="377" ht="16.5" customHeight="1" spans="6:7">
      <c r="F377" s="92">
        <v>45681</v>
      </c>
      <c r="G377" s="93">
        <v>23092.2</v>
      </c>
    </row>
    <row r="378" ht="16.5" customHeight="1" spans="6:7">
      <c r="F378" s="92">
        <v>45680</v>
      </c>
      <c r="G378" s="93">
        <v>23205.35</v>
      </c>
    </row>
    <row r="379" ht="16.5" customHeight="1" spans="6:7">
      <c r="F379" s="92">
        <v>45679</v>
      </c>
      <c r="G379" s="93">
        <v>23155.35</v>
      </c>
    </row>
    <row r="380" ht="16.5" customHeight="1" spans="6:7">
      <c r="F380" s="92">
        <v>45678</v>
      </c>
      <c r="G380" s="93">
        <v>23024.65</v>
      </c>
    </row>
    <row r="381" ht="16.5" customHeight="1" spans="6:7">
      <c r="F381" s="92">
        <v>45677</v>
      </c>
      <c r="G381" s="93">
        <v>23344.75</v>
      </c>
    </row>
    <row r="382" ht="16.5" customHeight="1" spans="6:7">
      <c r="F382" s="92">
        <v>45674</v>
      </c>
      <c r="G382" s="93">
        <v>23203.2</v>
      </c>
    </row>
    <row r="383" ht="16.5" customHeight="1" spans="6:7">
      <c r="F383" s="92">
        <v>45673</v>
      </c>
      <c r="G383" s="93">
        <v>23311.8</v>
      </c>
    </row>
    <row r="384" ht="16.5" customHeight="1" spans="6:7">
      <c r="F384" s="92">
        <v>45672</v>
      </c>
      <c r="G384" s="93">
        <v>23213.2</v>
      </c>
    </row>
    <row r="385" ht="16.5" customHeight="1" spans="6:7">
      <c r="F385" s="92">
        <v>45671</v>
      </c>
      <c r="G385" s="93">
        <v>23176.05</v>
      </c>
    </row>
    <row r="386" ht="16.5" customHeight="1" spans="6:7">
      <c r="F386" s="92">
        <v>45670</v>
      </c>
      <c r="G386" s="93">
        <v>23085.95</v>
      </c>
    </row>
    <row r="387" ht="16.5" customHeight="1" spans="6:7">
      <c r="F387" s="92">
        <v>45667</v>
      </c>
      <c r="G387" s="93">
        <v>23431.5</v>
      </c>
    </row>
    <row r="388" ht="16.5" customHeight="1" spans="6:7">
      <c r="F388" s="92">
        <v>45666</v>
      </c>
      <c r="G388" s="93">
        <v>23526.5</v>
      </c>
    </row>
    <row r="389" ht="16.5" customHeight="1" spans="6:7">
      <c r="F389" s="92">
        <v>45665</v>
      </c>
      <c r="G389" s="93">
        <v>23688.95</v>
      </c>
    </row>
    <row r="390" ht="16.5" customHeight="1" spans="6:7">
      <c r="F390" s="92">
        <v>45664</v>
      </c>
      <c r="G390" s="93">
        <v>23707.9</v>
      </c>
    </row>
    <row r="391" ht="16.5" customHeight="1" spans="6:7">
      <c r="F391" s="92">
        <v>45663</v>
      </c>
      <c r="G391" s="93">
        <v>23616.05</v>
      </c>
    </row>
    <row r="392" ht="16.5" customHeight="1" spans="6:7">
      <c r="F392" s="92">
        <v>45660</v>
      </c>
      <c r="G392" s="93">
        <v>24004.75</v>
      </c>
    </row>
    <row r="393" ht="16.5" customHeight="1" spans="6:7">
      <c r="F393" s="92">
        <v>45659</v>
      </c>
      <c r="G393" s="93">
        <v>24188.65</v>
      </c>
    </row>
    <row r="394" ht="16.5" customHeight="1" spans="6:7">
      <c r="F394" s="92">
        <v>45658</v>
      </c>
      <c r="G394" s="93">
        <v>23742.9</v>
      </c>
    </row>
    <row r="395" ht="16.5" customHeight="1" spans="6:7">
      <c r="F395" s="92">
        <v>45657</v>
      </c>
      <c r="G395" s="93">
        <v>23644.8</v>
      </c>
    </row>
    <row r="396" ht="16.5" customHeight="1" spans="6:7">
      <c r="F396" s="92">
        <v>45656</v>
      </c>
      <c r="G396" s="93">
        <v>23644.9</v>
      </c>
    </row>
    <row r="397" ht="16.5" customHeight="1" spans="6:7">
      <c r="F397" s="92">
        <v>45653</v>
      </c>
      <c r="G397" s="93">
        <v>23813.4</v>
      </c>
    </row>
    <row r="398" ht="16.5" customHeight="1" spans="6:7">
      <c r="F398" s="92">
        <v>45652</v>
      </c>
      <c r="G398" s="93">
        <v>23750.2</v>
      </c>
    </row>
    <row r="399" ht="16.5" customHeight="1" spans="6:7">
      <c r="F399" s="92">
        <v>45650</v>
      </c>
      <c r="G399" s="93">
        <v>23727.65</v>
      </c>
    </row>
    <row r="400" ht="16.5" customHeight="1" spans="6:7">
      <c r="F400" s="92">
        <v>45649</v>
      </c>
      <c r="G400" s="93">
        <v>23753.45</v>
      </c>
    </row>
    <row r="401" ht="16.5" customHeight="1" spans="6:7">
      <c r="F401" s="92">
        <v>45646</v>
      </c>
      <c r="G401" s="93">
        <v>23587.5</v>
      </c>
    </row>
    <row r="402" ht="16.5" customHeight="1" spans="6:7">
      <c r="F402" s="92">
        <v>45645</v>
      </c>
      <c r="G402" s="93">
        <v>23951.7</v>
      </c>
    </row>
    <row r="403" ht="16.5" customHeight="1" spans="6:7">
      <c r="F403" s="92">
        <v>45644</v>
      </c>
      <c r="G403" s="93">
        <v>24198.85</v>
      </c>
    </row>
    <row r="404" ht="16.5" customHeight="1" spans="6:7">
      <c r="F404" s="92">
        <v>45643</v>
      </c>
      <c r="G404" s="93">
        <v>24336</v>
      </c>
    </row>
    <row r="405" ht="16.5" customHeight="1" spans="6:7">
      <c r="F405" s="92">
        <v>45642</v>
      </c>
      <c r="G405" s="93">
        <v>24668.25</v>
      </c>
    </row>
    <row r="406" ht="16.5" customHeight="1" spans="6:7">
      <c r="F406" s="92">
        <v>45639</v>
      </c>
      <c r="G406" s="93">
        <v>24768.3</v>
      </c>
    </row>
    <row r="407" ht="16.5" customHeight="1" spans="6:7">
      <c r="F407" s="92">
        <v>45638</v>
      </c>
      <c r="G407" s="93">
        <v>24548.7</v>
      </c>
    </row>
    <row r="408" ht="16.5" customHeight="1" spans="6:7">
      <c r="F408" s="92">
        <v>45637</v>
      </c>
      <c r="G408" s="93">
        <v>24641.8</v>
      </c>
    </row>
    <row r="409" ht="16.5" customHeight="1" spans="6:7">
      <c r="F409" s="92">
        <v>45636</v>
      </c>
      <c r="G409" s="93">
        <v>24610.05</v>
      </c>
    </row>
    <row r="410" ht="16.5" customHeight="1" spans="6:7">
      <c r="F410" s="92">
        <v>45635</v>
      </c>
      <c r="G410" s="93">
        <v>24619</v>
      </c>
    </row>
    <row r="411" ht="16.5" customHeight="1" spans="6:7">
      <c r="F411" s="92">
        <v>45632</v>
      </c>
      <c r="G411" s="93">
        <v>24677.8</v>
      </c>
    </row>
    <row r="412" ht="16.5" customHeight="1" spans="6:7">
      <c r="F412" s="92">
        <v>45631</v>
      </c>
      <c r="G412" s="93">
        <v>24708.4</v>
      </c>
    </row>
    <row r="413" ht="16.5" customHeight="1" spans="6:7">
      <c r="F413" s="92">
        <v>45630</v>
      </c>
      <c r="G413" s="93">
        <v>24467.45</v>
      </c>
    </row>
    <row r="414" ht="16.5" customHeight="1" spans="6:7">
      <c r="F414" s="92">
        <v>45629</v>
      </c>
      <c r="G414" s="93">
        <v>24457.15</v>
      </c>
    </row>
    <row r="415" ht="16.5" customHeight="1" spans="6:7">
      <c r="F415" s="92">
        <v>45628</v>
      </c>
      <c r="G415" s="93">
        <v>24276.05</v>
      </c>
    </row>
    <row r="416" ht="16.5" customHeight="1" spans="6:7">
      <c r="F416" s="92">
        <v>45625</v>
      </c>
      <c r="G416" s="93">
        <v>24131.1</v>
      </c>
    </row>
    <row r="417" ht="16.5" customHeight="1" spans="6:7">
      <c r="F417" s="92">
        <v>45624</v>
      </c>
      <c r="G417" s="93">
        <v>23914.15</v>
      </c>
    </row>
    <row r="418" ht="16.5" customHeight="1" spans="6:7">
      <c r="F418" s="92">
        <v>45623</v>
      </c>
      <c r="G418" s="93">
        <v>24274.9</v>
      </c>
    </row>
    <row r="419" ht="16.5" customHeight="1" spans="6:7">
      <c r="F419" s="92">
        <v>45622</v>
      </c>
      <c r="G419" s="93">
        <v>24194.5</v>
      </c>
    </row>
    <row r="420" ht="16.5" customHeight="1" spans="6:7">
      <c r="F420" s="92">
        <v>45621</v>
      </c>
      <c r="G420" s="93">
        <v>24221.9</v>
      </c>
    </row>
    <row r="421" ht="16.5" customHeight="1" spans="6:7">
      <c r="F421" s="92">
        <v>45618</v>
      </c>
      <c r="G421" s="93">
        <v>23907.25</v>
      </c>
    </row>
    <row r="422" ht="16.5" customHeight="1" spans="6:7">
      <c r="F422" s="92">
        <v>45617</v>
      </c>
      <c r="G422" s="93">
        <v>23349.9</v>
      </c>
    </row>
    <row r="423" ht="16.5" customHeight="1" spans="6:7">
      <c r="F423" s="92">
        <v>45615</v>
      </c>
      <c r="G423" s="93">
        <v>23518.5</v>
      </c>
    </row>
    <row r="424" ht="16.5" customHeight="1" spans="6:7">
      <c r="F424" s="92">
        <v>45614</v>
      </c>
      <c r="G424" s="93">
        <v>23453.8</v>
      </c>
    </row>
    <row r="425" ht="16.5" customHeight="1" spans="6:7">
      <c r="F425" s="92">
        <v>45610</v>
      </c>
      <c r="G425" s="93">
        <v>23532.7</v>
      </c>
    </row>
    <row r="426" ht="16.5" customHeight="1" spans="6:7">
      <c r="F426" s="92">
        <v>45609</v>
      </c>
      <c r="G426" s="93">
        <v>23559.05</v>
      </c>
    </row>
    <row r="427" ht="16.5" customHeight="1" spans="6:7">
      <c r="F427" s="92">
        <v>45608</v>
      </c>
      <c r="G427" s="93">
        <v>23883.45</v>
      </c>
    </row>
    <row r="428" ht="16.5" customHeight="1" spans="6:7">
      <c r="F428" s="92">
        <v>45607</v>
      </c>
      <c r="G428" s="93">
        <v>24141.3</v>
      </c>
    </row>
    <row r="429" ht="16.5" customHeight="1" spans="6:7">
      <c r="F429" s="92">
        <v>45604</v>
      </c>
      <c r="G429" s="93">
        <v>24148.2</v>
      </c>
    </row>
    <row r="430" ht="16.5" customHeight="1" spans="6:7">
      <c r="F430" s="92">
        <v>45603</v>
      </c>
      <c r="G430" s="93">
        <v>24199.35</v>
      </c>
    </row>
    <row r="431" ht="16.5" customHeight="1" spans="6:7">
      <c r="F431" s="92">
        <v>45602</v>
      </c>
      <c r="G431" s="93">
        <v>24484.05</v>
      </c>
    </row>
    <row r="432" ht="16.5" customHeight="1" spans="6:7">
      <c r="F432" s="92">
        <v>45601</v>
      </c>
      <c r="G432" s="93">
        <v>24213.3</v>
      </c>
    </row>
    <row r="433" ht="16.5" customHeight="1" spans="6:7">
      <c r="F433" s="92">
        <v>45600</v>
      </c>
      <c r="G433" s="93">
        <v>23995.35</v>
      </c>
    </row>
    <row r="434" ht="16.5" customHeight="1" spans="6:7">
      <c r="F434" s="92">
        <v>45597</v>
      </c>
      <c r="G434" s="93">
        <v>24304.35</v>
      </c>
    </row>
    <row r="435" ht="16.5" customHeight="1" spans="6:7">
      <c r="F435" s="92">
        <v>45596</v>
      </c>
      <c r="G435" s="93">
        <v>24205.35</v>
      </c>
    </row>
    <row r="436" ht="16.5" customHeight="1" spans="6:7">
      <c r="F436" s="92">
        <v>45595</v>
      </c>
      <c r="G436" s="93">
        <v>24340.85</v>
      </c>
    </row>
    <row r="437" ht="16.5" customHeight="1" spans="6:7">
      <c r="F437" s="92">
        <v>45594</v>
      </c>
      <c r="G437" s="93">
        <v>24466.85</v>
      </c>
    </row>
    <row r="438" ht="16.5" customHeight="1" spans="6:7">
      <c r="F438" s="92">
        <v>45593</v>
      </c>
      <c r="G438" s="93">
        <v>24339.15</v>
      </c>
    </row>
    <row r="439" ht="16.5" customHeight="1" spans="6:7">
      <c r="F439" s="92">
        <v>45590</v>
      </c>
      <c r="G439" s="93">
        <v>24180.8</v>
      </c>
    </row>
    <row r="440" ht="16.5" customHeight="1" spans="6:7">
      <c r="F440" s="92">
        <v>45589</v>
      </c>
      <c r="G440" s="93">
        <v>24399.4</v>
      </c>
    </row>
    <row r="441" ht="16.5" customHeight="1" spans="6:7">
      <c r="F441" s="92">
        <v>45588</v>
      </c>
      <c r="G441" s="93">
        <v>24435.5</v>
      </c>
    </row>
    <row r="442" ht="16.5" customHeight="1" spans="6:7">
      <c r="F442" s="92">
        <v>45587</v>
      </c>
      <c r="G442" s="93">
        <v>24472.1</v>
      </c>
    </row>
    <row r="443" ht="16.5" customHeight="1" spans="6:7">
      <c r="F443" s="92">
        <v>45586</v>
      </c>
      <c r="G443" s="93">
        <v>24781.1</v>
      </c>
    </row>
    <row r="444" ht="16.5" customHeight="1" spans="6:7">
      <c r="F444" s="92">
        <v>45583</v>
      </c>
      <c r="G444" s="93">
        <v>24854.05</v>
      </c>
    </row>
    <row r="445" ht="16.5" customHeight="1" spans="6:7">
      <c r="F445" s="92">
        <v>45582</v>
      </c>
      <c r="G445" s="93">
        <v>24749.85</v>
      </c>
    </row>
    <row r="446" ht="16.5" customHeight="1" spans="6:7">
      <c r="F446" s="92">
        <v>45581</v>
      </c>
      <c r="G446" s="93">
        <v>24971.3</v>
      </c>
    </row>
    <row r="447" ht="16.5" customHeight="1" spans="6:7">
      <c r="F447" s="92">
        <v>45580</v>
      </c>
      <c r="G447" s="93">
        <v>25057.35</v>
      </c>
    </row>
    <row r="448" ht="16.5" customHeight="1" spans="6:7">
      <c r="F448" s="92">
        <v>45579</v>
      </c>
      <c r="G448" s="93">
        <v>25127.95</v>
      </c>
    </row>
    <row r="449" ht="16.5" customHeight="1" spans="6:7">
      <c r="F449" s="92">
        <v>45576</v>
      </c>
      <c r="G449" s="93">
        <v>24964.25</v>
      </c>
    </row>
    <row r="450" ht="16.5" customHeight="1" spans="6:7">
      <c r="F450" s="92">
        <v>45575</v>
      </c>
      <c r="G450" s="93">
        <v>24998.45</v>
      </c>
    </row>
    <row r="451" ht="16.5" customHeight="1" spans="6:7">
      <c r="F451" s="92">
        <v>45574</v>
      </c>
      <c r="G451" s="93">
        <v>24981.95</v>
      </c>
    </row>
    <row r="452" ht="16.5" customHeight="1" spans="6:7">
      <c r="F452" s="92">
        <v>45573</v>
      </c>
      <c r="G452" s="93">
        <v>25013.15</v>
      </c>
    </row>
    <row r="453" ht="16.5" customHeight="1" spans="6:7">
      <c r="F453" s="92">
        <v>45572</v>
      </c>
      <c r="G453" s="93">
        <v>24795.75</v>
      </c>
    </row>
    <row r="454" ht="16.5" customHeight="1" spans="6:7">
      <c r="F454" s="92">
        <v>45569</v>
      </c>
      <c r="G454" s="93">
        <v>25014.6</v>
      </c>
    </row>
    <row r="455" ht="16.5" customHeight="1" spans="6:7">
      <c r="F455" s="92">
        <v>45568</v>
      </c>
      <c r="G455" s="93">
        <v>25250.1</v>
      </c>
    </row>
    <row r="456" ht="16.5" customHeight="1" spans="6:7">
      <c r="F456" s="92">
        <v>45566</v>
      </c>
      <c r="G456" s="93">
        <v>25796.9</v>
      </c>
    </row>
    <row r="457" ht="16.5" customHeight="1" spans="6:7">
      <c r="F457" s="92">
        <v>45565</v>
      </c>
      <c r="G457" s="93">
        <v>25810.85</v>
      </c>
    </row>
    <row r="458" ht="16.5" customHeight="1" spans="6:7">
      <c r="F458" s="92">
        <v>45562</v>
      </c>
      <c r="G458" s="93">
        <v>26178.95</v>
      </c>
    </row>
    <row r="459" ht="16.5" customHeight="1" spans="6:7">
      <c r="F459" s="92">
        <v>45561</v>
      </c>
      <c r="G459" s="93">
        <v>26216.05</v>
      </c>
    </row>
    <row r="460" ht="16.5" customHeight="1" spans="6:7">
      <c r="F460" s="92">
        <v>45560</v>
      </c>
      <c r="G460" s="93">
        <v>26004.15</v>
      </c>
    </row>
    <row r="461" ht="16.5" customHeight="1" spans="6:7">
      <c r="F461" s="92">
        <v>45559</v>
      </c>
      <c r="G461" s="93">
        <v>25940.4</v>
      </c>
    </row>
    <row r="462" ht="16.5" customHeight="1" spans="6:7">
      <c r="F462" s="92">
        <v>45558</v>
      </c>
      <c r="G462" s="93">
        <v>25939.05</v>
      </c>
    </row>
    <row r="463" ht="16.5" customHeight="1" spans="6:7">
      <c r="F463" s="92">
        <v>45555</v>
      </c>
      <c r="G463" s="93">
        <v>25790.95</v>
      </c>
    </row>
    <row r="464" ht="16.5" customHeight="1" spans="6:7">
      <c r="F464" s="92">
        <v>45554</v>
      </c>
      <c r="G464" s="93">
        <v>25415.8</v>
      </c>
    </row>
    <row r="465" ht="16.5" customHeight="1" spans="6:7">
      <c r="F465" s="92">
        <v>45553</v>
      </c>
      <c r="G465" s="93">
        <v>25377.55</v>
      </c>
    </row>
    <row r="466" ht="16.5" customHeight="1" spans="6:7">
      <c r="F466" s="92">
        <v>45552</v>
      </c>
      <c r="G466" s="93">
        <v>25418.55</v>
      </c>
    </row>
    <row r="467" ht="16.5" customHeight="1" spans="6:7">
      <c r="F467" s="92">
        <v>45551</v>
      </c>
      <c r="G467" s="93">
        <v>25383.75</v>
      </c>
    </row>
    <row r="468" ht="16.5" customHeight="1" spans="6:7">
      <c r="F468" s="92">
        <v>45548</v>
      </c>
      <c r="G468" s="93">
        <v>25356.5</v>
      </c>
    </row>
    <row r="469" ht="16.5" customHeight="1" spans="6:7">
      <c r="F469" s="92">
        <v>45547</v>
      </c>
      <c r="G469" s="93">
        <v>25388.9</v>
      </c>
    </row>
    <row r="470" ht="16.5" customHeight="1" spans="6:7">
      <c r="F470" s="92">
        <v>45546</v>
      </c>
      <c r="G470" s="93">
        <v>24918.45</v>
      </c>
    </row>
    <row r="471" ht="16.5" customHeight="1" spans="6:7">
      <c r="F471" s="92">
        <v>45545</v>
      </c>
      <c r="G471" s="93">
        <v>25041.1</v>
      </c>
    </row>
    <row r="472" ht="16.5" customHeight="1" spans="6:7">
      <c r="F472" s="92">
        <v>45544</v>
      </c>
      <c r="G472" s="93">
        <v>24936.4</v>
      </c>
    </row>
    <row r="473" ht="16.5" customHeight="1" spans="6:7">
      <c r="F473" s="92">
        <v>45541</v>
      </c>
      <c r="G473" s="93">
        <v>24852.15</v>
      </c>
    </row>
    <row r="474" ht="16.5" customHeight="1" spans="6:7">
      <c r="F474" s="92">
        <v>45540</v>
      </c>
      <c r="G474" s="93">
        <v>25145.1</v>
      </c>
    </row>
    <row r="475" ht="16.5" customHeight="1" spans="6:7">
      <c r="F475" s="92">
        <v>45539</v>
      </c>
      <c r="G475" s="93">
        <v>25198.7</v>
      </c>
    </row>
    <row r="476" ht="16.5" customHeight="1" spans="6:7">
      <c r="F476" s="92">
        <v>45538</v>
      </c>
      <c r="G476" s="93">
        <v>25279.85</v>
      </c>
    </row>
    <row r="477" ht="16.5" customHeight="1" spans="6:7">
      <c r="F477" s="92">
        <v>45537</v>
      </c>
      <c r="G477" s="93">
        <v>25278.7</v>
      </c>
    </row>
    <row r="478" ht="16.5" customHeight="1" spans="6:7">
      <c r="F478" s="92">
        <v>45534</v>
      </c>
      <c r="G478" s="93">
        <v>25235.9</v>
      </c>
    </row>
    <row r="479" ht="16.5" customHeight="1" spans="6:7">
      <c r="F479" s="92">
        <v>45533</v>
      </c>
      <c r="G479" s="93">
        <v>25151.95</v>
      </c>
    </row>
    <row r="480" ht="16.5" customHeight="1" spans="6:7">
      <c r="F480" s="92">
        <v>45532</v>
      </c>
      <c r="G480" s="93">
        <v>25052.35</v>
      </c>
    </row>
    <row r="481" ht="16.5" customHeight="1" spans="6:7">
      <c r="F481" s="92">
        <v>45531</v>
      </c>
      <c r="G481" s="93">
        <v>25017.75</v>
      </c>
    </row>
    <row r="482" ht="16.5" customHeight="1" spans="6:7">
      <c r="F482" s="92">
        <v>45530</v>
      </c>
      <c r="G482" s="93">
        <v>25010.6</v>
      </c>
    </row>
    <row r="483" ht="16.5" customHeight="1" spans="6:7">
      <c r="F483" s="92">
        <v>45527</v>
      </c>
      <c r="G483" s="93">
        <v>24823.15</v>
      </c>
    </row>
    <row r="484" ht="16.5" customHeight="1" spans="6:7">
      <c r="F484" s="92">
        <v>45526</v>
      </c>
      <c r="G484" s="93">
        <v>24811.5</v>
      </c>
    </row>
    <row r="485" ht="16.5" customHeight="1" spans="6:7">
      <c r="F485" s="92">
        <v>45525</v>
      </c>
      <c r="G485" s="93">
        <v>24770.2</v>
      </c>
    </row>
    <row r="486" ht="16.5" customHeight="1" spans="6:7">
      <c r="F486" s="92">
        <v>45524</v>
      </c>
      <c r="G486" s="93">
        <v>24698.85</v>
      </c>
    </row>
    <row r="487" ht="16.5" customHeight="1" spans="6:7">
      <c r="F487" s="92">
        <v>45523</v>
      </c>
      <c r="G487" s="93">
        <v>24572.65</v>
      </c>
    </row>
    <row r="488" ht="16.5" customHeight="1" spans="6:7">
      <c r="F488" s="92">
        <v>45520</v>
      </c>
      <c r="G488" s="93">
        <v>24541.15</v>
      </c>
    </row>
    <row r="489" ht="16.5" customHeight="1" spans="6:7">
      <c r="F489" s="92">
        <v>45518</v>
      </c>
      <c r="G489" s="93">
        <v>24143.75</v>
      </c>
    </row>
    <row r="490" ht="16.5" customHeight="1" spans="6:7">
      <c r="F490" s="92">
        <v>45517</v>
      </c>
      <c r="G490" s="93">
        <v>24139</v>
      </c>
    </row>
    <row r="491" ht="16.5" customHeight="1" spans="6:7">
      <c r="F491" s="92">
        <v>45516</v>
      </c>
      <c r="G491" s="93">
        <v>24347</v>
      </c>
    </row>
    <row r="492" ht="16.5" customHeight="1" spans="6:7">
      <c r="F492" s="92">
        <v>45513</v>
      </c>
      <c r="G492" s="93">
        <v>24367.5</v>
      </c>
    </row>
    <row r="493" ht="16.5" customHeight="1" spans="6:7">
      <c r="F493" s="92">
        <v>45512</v>
      </c>
      <c r="G493" s="93">
        <v>24117</v>
      </c>
    </row>
    <row r="494" ht="16.5" customHeight="1" spans="6:7">
      <c r="F494" s="92">
        <v>45511</v>
      </c>
      <c r="G494" s="93">
        <v>24297.5</v>
      </c>
    </row>
    <row r="495" ht="16.5" customHeight="1" spans="6:7">
      <c r="F495" s="92">
        <v>45510</v>
      </c>
      <c r="G495" s="93">
        <v>23992.55</v>
      </c>
    </row>
    <row r="496" ht="16.5" customHeight="1" spans="6:7">
      <c r="F496" s="92">
        <v>45509</v>
      </c>
      <c r="G496" s="93">
        <v>24055.6</v>
      </c>
    </row>
    <row r="497" ht="16.5" customHeight="1" spans="6:7">
      <c r="F497" s="92">
        <v>45506</v>
      </c>
      <c r="G497" s="93">
        <v>24717.7</v>
      </c>
    </row>
    <row r="498" ht="16.5" customHeight="1" spans="6:7">
      <c r="F498" s="92">
        <v>45505</v>
      </c>
      <c r="G498" s="93">
        <v>25010.9</v>
      </c>
    </row>
    <row r="499" ht="16.5" customHeight="1" spans="6:7">
      <c r="F499" s="92">
        <v>45504</v>
      </c>
      <c r="G499" s="93">
        <v>24951.15</v>
      </c>
    </row>
    <row r="500" ht="16.5" customHeight="1" spans="6:7">
      <c r="F500" s="92">
        <v>45503</v>
      </c>
      <c r="G500" s="93">
        <v>24857.3</v>
      </c>
    </row>
    <row r="501" ht="16.5" customHeight="1" spans="6:7">
      <c r="F501" s="92">
        <v>45502</v>
      </c>
      <c r="G501" s="93">
        <v>24836.1</v>
      </c>
    </row>
    <row r="502" ht="16.5" customHeight="1" spans="6:7">
      <c r="F502" s="92">
        <v>45499</v>
      </c>
      <c r="G502" s="93">
        <v>24834.85</v>
      </c>
    </row>
    <row r="503" ht="16.5" customHeight="1" spans="6:7">
      <c r="F503" s="92">
        <v>45498</v>
      </c>
      <c r="G503" s="93">
        <v>24406.1</v>
      </c>
    </row>
    <row r="504" ht="16.5" customHeight="1" spans="6:7">
      <c r="F504" s="92">
        <v>45497</v>
      </c>
      <c r="G504" s="93">
        <v>24413.5</v>
      </c>
    </row>
    <row r="505" ht="16.5" customHeight="1" spans="6:7">
      <c r="F505" s="92">
        <v>45496</v>
      </c>
      <c r="G505" s="93">
        <v>24479.05</v>
      </c>
    </row>
    <row r="506" ht="16.5" customHeight="1" spans="6:7">
      <c r="F506" s="92">
        <v>45495</v>
      </c>
      <c r="G506" s="93">
        <v>24509.25</v>
      </c>
    </row>
    <row r="507" ht="16.5" customHeight="1" spans="6:7">
      <c r="F507" s="92">
        <v>45492</v>
      </c>
      <c r="G507" s="93">
        <v>24530.9</v>
      </c>
    </row>
    <row r="508" ht="16.5" customHeight="1" spans="6:7">
      <c r="F508" s="92">
        <v>45491</v>
      </c>
      <c r="G508" s="93">
        <v>24800.85</v>
      </c>
    </row>
    <row r="509" ht="16.5" customHeight="1" spans="6:7">
      <c r="F509" s="92">
        <v>45489</v>
      </c>
      <c r="G509" s="93">
        <v>24613</v>
      </c>
    </row>
    <row r="510" ht="16.5" customHeight="1" spans="6:7">
      <c r="F510" s="92">
        <v>45488</v>
      </c>
      <c r="G510" s="93">
        <v>24586.7</v>
      </c>
    </row>
    <row r="511" ht="16.5" customHeight="1" spans="6:7">
      <c r="F511" s="92">
        <v>45485</v>
      </c>
      <c r="G511" s="93">
        <v>24502.15</v>
      </c>
    </row>
    <row r="512" ht="16.5" customHeight="1" spans="6:7">
      <c r="F512" s="92">
        <v>45484</v>
      </c>
      <c r="G512" s="93">
        <v>24315.95</v>
      </c>
    </row>
    <row r="513" ht="16.5" customHeight="1" spans="6:7">
      <c r="F513" s="92">
        <v>45483</v>
      </c>
      <c r="G513" s="93">
        <v>24324.45</v>
      </c>
    </row>
    <row r="514" ht="16.5" customHeight="1" spans="6:7">
      <c r="F514" s="92">
        <v>45482</v>
      </c>
      <c r="G514" s="93">
        <v>24433.2</v>
      </c>
    </row>
    <row r="515" ht="16.5" customHeight="1" spans="6:7">
      <c r="F515" s="92">
        <v>45481</v>
      </c>
      <c r="G515" s="93">
        <v>24320.55</v>
      </c>
    </row>
    <row r="516" ht="16.5" customHeight="1" spans="6:7">
      <c r="F516" s="92">
        <v>45478</v>
      </c>
      <c r="G516" s="93">
        <v>24323.85</v>
      </c>
    </row>
    <row r="517" ht="16.5" customHeight="1" spans="6:7">
      <c r="F517" s="92">
        <v>45477</v>
      </c>
      <c r="G517" s="93">
        <v>24302.15</v>
      </c>
    </row>
    <row r="518" ht="16.5" customHeight="1" spans="6:7">
      <c r="F518" s="92">
        <v>45476</v>
      </c>
      <c r="G518" s="93">
        <v>24286.5</v>
      </c>
    </row>
    <row r="519" ht="16.5" customHeight="1" spans="6:7">
      <c r="F519" s="92">
        <v>45475</v>
      </c>
      <c r="G519" s="93">
        <v>24123.85</v>
      </c>
    </row>
    <row r="520" ht="16.5" customHeight="1" spans="6:7">
      <c r="F520" s="92">
        <v>45474</v>
      </c>
      <c r="G520" s="93">
        <v>24141.95</v>
      </c>
    </row>
    <row r="521" ht="16.5" customHeight="1" spans="6:7">
      <c r="F521" s="92">
        <v>45471</v>
      </c>
      <c r="G521" s="93">
        <v>24010.6</v>
      </c>
    </row>
    <row r="522" ht="16.5" customHeight="1" spans="6:7">
      <c r="F522" s="92">
        <v>45470</v>
      </c>
      <c r="G522" s="93">
        <v>24044.5</v>
      </c>
    </row>
    <row r="523" ht="16.5" customHeight="1" spans="6:7">
      <c r="F523" s="92">
        <v>45469</v>
      </c>
      <c r="G523" s="93">
        <v>23868.8</v>
      </c>
    </row>
    <row r="524" ht="16.5" customHeight="1" spans="6:7">
      <c r="F524" s="92">
        <v>45468</v>
      </c>
      <c r="G524" s="93">
        <v>23721.3</v>
      </c>
    </row>
    <row r="525" ht="16.5" customHeight="1" spans="6:7">
      <c r="F525" s="92">
        <v>45467</v>
      </c>
      <c r="G525" s="93">
        <v>23537.85</v>
      </c>
    </row>
    <row r="526" ht="16.5" customHeight="1" spans="6:7">
      <c r="F526" s="92">
        <v>45464</v>
      </c>
      <c r="G526" s="93">
        <v>23501.1</v>
      </c>
    </row>
    <row r="527" ht="16.5" customHeight="1" spans="6:7">
      <c r="F527" s="92">
        <v>45463</v>
      </c>
      <c r="G527" s="93">
        <v>23567</v>
      </c>
    </row>
    <row r="528" ht="16.5" customHeight="1" spans="6:7">
      <c r="F528" s="92">
        <v>45462</v>
      </c>
      <c r="G528" s="93">
        <v>23516</v>
      </c>
    </row>
    <row r="529" ht="16.5" customHeight="1" spans="6:7">
      <c r="F529" s="92">
        <v>45461</v>
      </c>
      <c r="G529" s="93">
        <v>23557.9</v>
      </c>
    </row>
    <row r="530" ht="16.5" customHeight="1" spans="6:7">
      <c r="F530" s="92">
        <v>45457</v>
      </c>
      <c r="G530" s="93">
        <v>23465.6</v>
      </c>
    </row>
    <row r="531" ht="16.5" customHeight="1" spans="6:7">
      <c r="F531" s="92">
        <v>45456</v>
      </c>
      <c r="G531" s="93">
        <v>23398.9</v>
      </c>
    </row>
    <row r="532" ht="16.5" customHeight="1" spans="6:7">
      <c r="F532" s="92">
        <v>45455</v>
      </c>
      <c r="G532" s="93">
        <v>23322.95</v>
      </c>
    </row>
    <row r="533" ht="16.5" customHeight="1" spans="6:7">
      <c r="F533" s="92">
        <v>45454</v>
      </c>
      <c r="G533" s="93">
        <v>23264.85</v>
      </c>
    </row>
    <row r="534" ht="16.5" customHeight="1" spans="6:7">
      <c r="F534" s="92">
        <v>45453</v>
      </c>
      <c r="G534" s="93">
        <v>23259.2</v>
      </c>
    </row>
    <row r="535" ht="16.5" customHeight="1" spans="6:7">
      <c r="F535" s="92">
        <v>45450</v>
      </c>
      <c r="G535" s="93">
        <v>23290.15</v>
      </c>
    </row>
    <row r="536" ht="16.5" customHeight="1" spans="6:7">
      <c r="F536" s="92">
        <v>45449</v>
      </c>
      <c r="G536" s="93">
        <v>22821.4</v>
      </c>
    </row>
    <row r="537" ht="16.5" customHeight="1" spans="6:7">
      <c r="F537" s="92">
        <v>45448</v>
      </c>
      <c r="G537" s="93">
        <v>22620.35</v>
      </c>
    </row>
    <row r="538" ht="16.5" customHeight="1" spans="6:7">
      <c r="F538" s="92">
        <v>45447</v>
      </c>
      <c r="G538" s="93">
        <v>21884.5</v>
      </c>
    </row>
    <row r="539" ht="16.5" customHeight="1" spans="6:7">
      <c r="F539" s="92">
        <v>45446</v>
      </c>
      <c r="G539" s="93">
        <v>23263.9</v>
      </c>
    </row>
    <row r="540" ht="16.5" customHeight="1" spans="6:7">
      <c r="F540" s="92">
        <v>45443</v>
      </c>
      <c r="G540" s="93">
        <v>22530.7</v>
      </c>
    </row>
    <row r="541" ht="16.5" customHeight="1" spans="6:7">
      <c r="F541" s="92">
        <v>45442</v>
      </c>
      <c r="G541" s="93">
        <v>22488.65</v>
      </c>
    </row>
    <row r="542" ht="16.5" customHeight="1" spans="6:7">
      <c r="F542" s="92">
        <v>45441</v>
      </c>
      <c r="G542" s="93">
        <v>22704.7</v>
      </c>
    </row>
    <row r="543" ht="16.5" customHeight="1" spans="6:7">
      <c r="F543" s="92">
        <v>45440</v>
      </c>
      <c r="G543" s="93">
        <v>22888.15</v>
      </c>
    </row>
    <row r="544" ht="16.5" customHeight="1" spans="6:7">
      <c r="F544" s="92">
        <v>45439</v>
      </c>
      <c r="G544" s="93">
        <v>22932.45</v>
      </c>
    </row>
    <row r="545" ht="16.5" customHeight="1" spans="6:7">
      <c r="F545" s="92">
        <v>45436</v>
      </c>
      <c r="G545" s="93">
        <v>22957.1</v>
      </c>
    </row>
    <row r="546" ht="16.5" customHeight="1" spans="6:7">
      <c r="F546" s="92">
        <v>45435</v>
      </c>
      <c r="G546" s="93">
        <v>22967.65</v>
      </c>
    </row>
    <row r="547" ht="16.5" customHeight="1" spans="6:7">
      <c r="F547" s="92">
        <v>45434</v>
      </c>
      <c r="G547" s="93">
        <v>22597.8</v>
      </c>
    </row>
    <row r="548" ht="16.5" customHeight="1" spans="6:7">
      <c r="F548" s="92">
        <v>45433</v>
      </c>
      <c r="G548" s="93">
        <v>22529.05</v>
      </c>
    </row>
    <row r="549" ht="16.5" customHeight="1" spans="6:7">
      <c r="F549" s="92">
        <v>45430</v>
      </c>
      <c r="G549" s="93">
        <v>22502</v>
      </c>
    </row>
    <row r="550" ht="16.5" customHeight="1" spans="6:7">
      <c r="F550" s="92">
        <v>45429</v>
      </c>
      <c r="G550" s="93">
        <v>22466.1</v>
      </c>
    </row>
    <row r="551" ht="16.5" customHeight="1" spans="6:7">
      <c r="F551" s="92">
        <v>45428</v>
      </c>
      <c r="G551" s="93">
        <v>22403.85</v>
      </c>
    </row>
    <row r="552" ht="16.5" customHeight="1" spans="6:7">
      <c r="F552" s="92">
        <v>45427</v>
      </c>
      <c r="G552" s="93">
        <v>22200.55</v>
      </c>
    </row>
    <row r="553" ht="16.5" customHeight="1" spans="6:7">
      <c r="F553" s="92">
        <v>45426</v>
      </c>
      <c r="G553" s="93">
        <v>22217.85</v>
      </c>
    </row>
    <row r="554" ht="16.5" customHeight="1" spans="6:7">
      <c r="F554" s="92">
        <v>45425</v>
      </c>
      <c r="G554" s="93">
        <v>22104.05</v>
      </c>
    </row>
    <row r="555" ht="16.5" customHeight="1" spans="6:7">
      <c r="F555" s="92">
        <v>45422</v>
      </c>
      <c r="G555" s="93">
        <v>22055.2</v>
      </c>
    </row>
    <row r="556" ht="16.5" customHeight="1" spans="6:7">
      <c r="F556" s="92">
        <v>45421</v>
      </c>
      <c r="G556" s="93">
        <v>21957.5</v>
      </c>
    </row>
    <row r="557" ht="16.5" customHeight="1" spans="6:7">
      <c r="F557" s="92">
        <v>45420</v>
      </c>
      <c r="G557" s="93">
        <v>22302.5</v>
      </c>
    </row>
    <row r="558" ht="16.5" customHeight="1" spans="6:7">
      <c r="F558" s="92">
        <v>45419</v>
      </c>
      <c r="G558" s="93">
        <v>22302.5</v>
      </c>
    </row>
    <row r="559" ht="16.5" customHeight="1" spans="6:7">
      <c r="F559" s="92">
        <v>45418</v>
      </c>
      <c r="G559" s="93">
        <v>22442.7</v>
      </c>
    </row>
    <row r="560" ht="16.5" customHeight="1" spans="6:7">
      <c r="F560" s="92">
        <v>45415</v>
      </c>
      <c r="G560" s="93">
        <v>22475.85</v>
      </c>
    </row>
    <row r="561" ht="16.5" customHeight="1" spans="6:7">
      <c r="F561" s="92">
        <v>45414</v>
      </c>
      <c r="G561" s="93">
        <v>22648.2</v>
      </c>
    </row>
    <row r="562" ht="16.5" customHeight="1" spans="6:7">
      <c r="F562" s="92">
        <v>45412</v>
      </c>
      <c r="G562" s="93">
        <v>22604.85</v>
      </c>
    </row>
    <row r="563" ht="16.5" customHeight="1" spans="6:7">
      <c r="F563" s="92">
        <v>45411</v>
      </c>
      <c r="G563" s="93">
        <v>22643.4</v>
      </c>
    </row>
    <row r="564" ht="16.5" customHeight="1" spans="6:7">
      <c r="F564" s="92">
        <v>45408</v>
      </c>
      <c r="G564" s="93">
        <v>22419.95</v>
      </c>
    </row>
    <row r="565" ht="16.5" customHeight="1" spans="6:7">
      <c r="F565" s="92">
        <v>45407</v>
      </c>
      <c r="G565" s="93">
        <v>22570.35</v>
      </c>
    </row>
    <row r="566" ht="16.5" customHeight="1" spans="6:7">
      <c r="F566" s="92">
        <v>45406</v>
      </c>
      <c r="G566" s="93">
        <v>22402.4</v>
      </c>
    </row>
    <row r="567" ht="16.5" customHeight="1" spans="6:7">
      <c r="F567" s="92">
        <v>45405</v>
      </c>
      <c r="G567" s="93">
        <v>22368</v>
      </c>
    </row>
    <row r="568" ht="16.5" customHeight="1" spans="6:7">
      <c r="F568" s="92">
        <v>45404</v>
      </c>
      <c r="G568" s="93">
        <v>22336.4</v>
      </c>
    </row>
    <row r="569" ht="16.5" customHeight="1" spans="6:7">
      <c r="F569" s="92">
        <v>45401</v>
      </c>
      <c r="G569" s="93">
        <v>22147</v>
      </c>
    </row>
    <row r="570" ht="16.5" customHeight="1" spans="6:7">
      <c r="F570" s="92">
        <v>45400</v>
      </c>
      <c r="G570" s="93">
        <v>21995.85</v>
      </c>
    </row>
    <row r="571" ht="16.5" customHeight="1" spans="6:7">
      <c r="F571" s="92">
        <v>45398</v>
      </c>
      <c r="G571" s="93">
        <v>22147.9</v>
      </c>
    </row>
    <row r="572" ht="16.5" customHeight="1" spans="6:7">
      <c r="F572" s="92">
        <v>45397</v>
      </c>
      <c r="G572" s="93">
        <v>22272.5</v>
      </c>
    </row>
    <row r="573" ht="16.5" customHeight="1" spans="6:7">
      <c r="F573" s="92">
        <v>45394</v>
      </c>
      <c r="G573" s="93">
        <v>22519.4</v>
      </c>
    </row>
    <row r="574" ht="16.5" customHeight="1" spans="6:7">
      <c r="F574" s="92">
        <v>45392</v>
      </c>
      <c r="G574" s="93">
        <v>22753.8</v>
      </c>
    </row>
    <row r="575" ht="16.5" customHeight="1" spans="6:7">
      <c r="F575" s="92">
        <v>45391</v>
      </c>
      <c r="G575" s="93">
        <v>22642.75</v>
      </c>
    </row>
    <row r="576" ht="16.5" customHeight="1" spans="6:7">
      <c r="F576" s="92">
        <v>45390</v>
      </c>
      <c r="G576" s="93">
        <v>22666.3</v>
      </c>
    </row>
    <row r="577" ht="16.5" customHeight="1" spans="6:7">
      <c r="F577" s="92">
        <v>45387</v>
      </c>
      <c r="G577" s="93">
        <v>22513.7</v>
      </c>
    </row>
    <row r="578" ht="16.5" customHeight="1" spans="6:7">
      <c r="F578" s="92">
        <v>45386</v>
      </c>
      <c r="G578" s="93">
        <v>22514.65</v>
      </c>
    </row>
    <row r="579" ht="16.5" customHeight="1" spans="6:7">
      <c r="F579" s="92">
        <v>45385</v>
      </c>
      <c r="G579" s="93">
        <v>22434.65</v>
      </c>
    </row>
    <row r="580" ht="16.5" customHeight="1" spans="6:7">
      <c r="F580" s="92">
        <v>45384</v>
      </c>
      <c r="G580" s="93">
        <v>22453.3</v>
      </c>
    </row>
    <row r="581" ht="16.5" customHeight="1" spans="6:7">
      <c r="F581" s="92">
        <v>45383</v>
      </c>
      <c r="G581" s="93">
        <v>22462</v>
      </c>
    </row>
    <row r="582" ht="16.5" customHeight="1" spans="6:7">
      <c r="F582" s="92">
        <v>45379</v>
      </c>
      <c r="G582" s="93">
        <v>22326.9</v>
      </c>
    </row>
    <row r="583" ht="16.5" customHeight="1" spans="6:7">
      <c r="F583" s="92">
        <v>45378</v>
      </c>
      <c r="G583" s="93">
        <v>22123.65</v>
      </c>
    </row>
    <row r="584" ht="16.5" customHeight="1" spans="6:7">
      <c r="F584" s="92">
        <v>45377</v>
      </c>
      <c r="G584" s="93">
        <v>22004.7</v>
      </c>
    </row>
    <row r="585" ht="16.5" customHeight="1" spans="6:7">
      <c r="F585" s="92">
        <v>45373</v>
      </c>
      <c r="G585" s="93">
        <v>22096.75</v>
      </c>
    </row>
    <row r="586" ht="16.5" customHeight="1" spans="6:7">
      <c r="F586" s="92">
        <v>45372</v>
      </c>
      <c r="G586" s="93">
        <v>22011.95</v>
      </c>
    </row>
    <row r="587" ht="16.5" customHeight="1" spans="6:7">
      <c r="F587" s="92">
        <v>45371</v>
      </c>
      <c r="G587" s="93">
        <v>21839.1</v>
      </c>
    </row>
    <row r="588" ht="16.5" customHeight="1" spans="6:7">
      <c r="F588" s="92">
        <v>45370</v>
      </c>
      <c r="G588" s="93">
        <v>21817.45</v>
      </c>
    </row>
    <row r="589" ht="16.5" customHeight="1" spans="6:7">
      <c r="F589" s="92">
        <v>45369</v>
      </c>
      <c r="G589" s="93">
        <v>22055.7</v>
      </c>
    </row>
    <row r="590" ht="16.5" customHeight="1" spans="6:7">
      <c r="F590" s="92">
        <v>45366</v>
      </c>
      <c r="G590" s="93">
        <v>22023.35</v>
      </c>
    </row>
    <row r="591" ht="16.5" customHeight="1" spans="6:7">
      <c r="F591" s="92">
        <v>45365</v>
      </c>
      <c r="G591" s="93">
        <v>22146.65</v>
      </c>
    </row>
    <row r="592" ht="16.5" customHeight="1" spans="6:7">
      <c r="F592" s="92">
        <v>45364</v>
      </c>
      <c r="G592" s="93">
        <v>21997.7</v>
      </c>
    </row>
    <row r="593" ht="16.5" customHeight="1" spans="6:7">
      <c r="F593" s="92">
        <v>45363</v>
      </c>
      <c r="G593" s="93">
        <v>22335.7</v>
      </c>
    </row>
    <row r="594" ht="16.5" customHeight="1" spans="6:7">
      <c r="F594" s="92">
        <v>45362</v>
      </c>
      <c r="G594" s="93">
        <v>22332.65</v>
      </c>
    </row>
    <row r="595" ht="16.5" customHeight="1" spans="6:7">
      <c r="F595" s="92">
        <v>45358</v>
      </c>
      <c r="G595" s="93">
        <v>22493.55</v>
      </c>
    </row>
    <row r="596" ht="16.5" customHeight="1" spans="6:7">
      <c r="F596" s="92">
        <v>45357</v>
      </c>
      <c r="G596" s="93">
        <v>22474.05</v>
      </c>
    </row>
    <row r="597" ht="16.5" customHeight="1" spans="6:7">
      <c r="F597" s="92">
        <v>45356</v>
      </c>
      <c r="G597" s="93">
        <v>22356.3</v>
      </c>
    </row>
    <row r="598" ht="16.5" customHeight="1" spans="6:7">
      <c r="F598" s="92">
        <v>45355</v>
      </c>
      <c r="G598" s="93">
        <v>22405.6</v>
      </c>
    </row>
    <row r="599" ht="16.5" customHeight="1" spans="6:7">
      <c r="F599" s="92">
        <v>45353</v>
      </c>
      <c r="G599" s="93">
        <v>22378.4</v>
      </c>
    </row>
    <row r="600" ht="16.5" customHeight="1" spans="6:7">
      <c r="F600" s="92">
        <v>45352</v>
      </c>
      <c r="G600" s="93">
        <v>22338.75</v>
      </c>
    </row>
    <row r="601" ht="16.5" customHeight="1" spans="6:7">
      <c r="F601" s="92">
        <v>45351</v>
      </c>
      <c r="G601" s="93">
        <v>21982.8</v>
      </c>
    </row>
    <row r="602" ht="16.5" customHeight="1" spans="6:7">
      <c r="F602" s="92">
        <v>45350</v>
      </c>
      <c r="G602" s="93">
        <v>21951.15</v>
      </c>
    </row>
    <row r="603" ht="16.5" customHeight="1" spans="6:7">
      <c r="F603" s="92">
        <v>45349</v>
      </c>
      <c r="G603" s="93">
        <v>22198.35</v>
      </c>
    </row>
    <row r="604" ht="16.5" customHeight="1" spans="6:7">
      <c r="F604" s="92">
        <v>45348</v>
      </c>
      <c r="G604" s="93">
        <v>22122.05</v>
      </c>
    </row>
    <row r="605" ht="16.5" customHeight="1" spans="6:7">
      <c r="F605" s="92">
        <v>45345</v>
      </c>
      <c r="G605" s="93">
        <v>22212.7</v>
      </c>
    </row>
    <row r="606" ht="16.5" customHeight="1" spans="6:7">
      <c r="F606" s="92">
        <v>45344</v>
      </c>
      <c r="G606" s="93">
        <v>22217.45</v>
      </c>
    </row>
    <row r="607" ht="16.5" customHeight="1" spans="6:7">
      <c r="F607" s="92">
        <v>45343</v>
      </c>
      <c r="G607" s="93">
        <v>22055.05</v>
      </c>
    </row>
    <row r="608" ht="16.5" customHeight="1" spans="6:7">
      <c r="F608" s="92">
        <v>45342</v>
      </c>
      <c r="G608" s="93">
        <v>22196.95</v>
      </c>
    </row>
    <row r="609" ht="16.5" customHeight="1" spans="6:7">
      <c r="F609" s="92">
        <v>45341</v>
      </c>
      <c r="G609" s="93">
        <v>22122.25</v>
      </c>
    </row>
    <row r="610" ht="16.5" customHeight="1" spans="6:7">
      <c r="F610" s="92">
        <v>45338</v>
      </c>
      <c r="G610" s="93">
        <v>22040.7</v>
      </c>
    </row>
    <row r="611" ht="16.5" customHeight="1" spans="6:7">
      <c r="F611" s="92">
        <v>45337</v>
      </c>
      <c r="G611" s="93">
        <v>21910.75</v>
      </c>
    </row>
    <row r="612" ht="16.5" customHeight="1" spans="6:7">
      <c r="F612" s="92">
        <v>45336</v>
      </c>
      <c r="G612" s="93">
        <v>21840.05</v>
      </c>
    </row>
    <row r="613" ht="16.5" customHeight="1" spans="6:7">
      <c r="F613" s="92">
        <v>45335</v>
      </c>
      <c r="G613" s="93">
        <v>21743.25</v>
      </c>
    </row>
    <row r="614" ht="16.5" customHeight="1" spans="6:7">
      <c r="F614" s="92">
        <v>45334</v>
      </c>
      <c r="G614" s="93">
        <v>21616.05</v>
      </c>
    </row>
    <row r="615" ht="16.5" customHeight="1" spans="6:7">
      <c r="F615" s="92">
        <v>45331</v>
      </c>
      <c r="G615" s="93">
        <v>21782.5</v>
      </c>
    </row>
    <row r="616" ht="16.5" customHeight="1" spans="6:7">
      <c r="F616" s="92">
        <v>45330</v>
      </c>
      <c r="G616" s="93">
        <v>21717.95</v>
      </c>
    </row>
    <row r="617" ht="16.5" customHeight="1" spans="6:7">
      <c r="F617" s="92">
        <v>45329</v>
      </c>
      <c r="G617" s="93">
        <v>21930.5</v>
      </c>
    </row>
    <row r="618" ht="16.5" customHeight="1" spans="6:7">
      <c r="F618" s="92">
        <v>45328</v>
      </c>
      <c r="G618" s="93">
        <v>21929.4</v>
      </c>
    </row>
    <row r="619" ht="16.5" customHeight="1" spans="6:7">
      <c r="F619" s="92">
        <v>45327</v>
      </c>
      <c r="G619" s="93">
        <v>21771.7</v>
      </c>
    </row>
    <row r="620" ht="16.5" customHeight="1" spans="6:7">
      <c r="F620" s="92">
        <v>45324</v>
      </c>
      <c r="G620" s="93">
        <v>21853.8</v>
      </c>
    </row>
    <row r="621" ht="16.5" customHeight="1" spans="6:7">
      <c r="F621" s="92">
        <v>45323</v>
      </c>
      <c r="G621" s="93">
        <v>21697.45</v>
      </c>
    </row>
    <row r="622" ht="16.5" customHeight="1" spans="6:7">
      <c r="F622" s="92">
        <v>45322</v>
      </c>
      <c r="G622" s="93">
        <v>21725.7</v>
      </c>
    </row>
    <row r="623" ht="16.5" customHeight="1" spans="6:7">
      <c r="F623" s="92">
        <v>45321</v>
      </c>
      <c r="G623" s="93">
        <v>21522.1</v>
      </c>
    </row>
    <row r="624" ht="16.5" customHeight="1" spans="6:7">
      <c r="F624" s="92">
        <v>45320</v>
      </c>
      <c r="G624" s="93">
        <v>21737.6</v>
      </c>
    </row>
    <row r="625" ht="16.5" customHeight="1" spans="6:7">
      <c r="F625" s="92">
        <v>45316</v>
      </c>
      <c r="G625" s="93">
        <v>21352.6</v>
      </c>
    </row>
    <row r="626" ht="16.5" customHeight="1" spans="6:7">
      <c r="F626" s="92">
        <v>45315</v>
      </c>
      <c r="G626" s="93">
        <v>21453.95</v>
      </c>
    </row>
    <row r="627" ht="16.5" customHeight="1" spans="6:7">
      <c r="F627" s="92">
        <v>45314</v>
      </c>
      <c r="G627" s="93">
        <v>21238.8</v>
      </c>
    </row>
    <row r="628" ht="16.5" customHeight="1" spans="6:7">
      <c r="F628" s="92">
        <v>45311</v>
      </c>
      <c r="G628" s="93">
        <v>21571.8</v>
      </c>
    </row>
    <row r="629" ht="16.5" customHeight="1" spans="6:7">
      <c r="F629" s="92">
        <v>45310</v>
      </c>
      <c r="G629" s="93">
        <v>21622.4</v>
      </c>
    </row>
    <row r="630" ht="16.5" customHeight="1" spans="6:7">
      <c r="F630" s="92">
        <v>45309</v>
      </c>
      <c r="G630" s="93">
        <v>21462.25</v>
      </c>
    </row>
    <row r="631" ht="16.5" customHeight="1" spans="6:7">
      <c r="F631" s="92">
        <v>45308</v>
      </c>
      <c r="G631" s="93">
        <v>21571.95</v>
      </c>
    </row>
    <row r="632" ht="16.5" customHeight="1" spans="6:7">
      <c r="F632" s="92">
        <v>45307</v>
      </c>
      <c r="G632" s="93">
        <v>22032.3</v>
      </c>
    </row>
    <row r="633" ht="16.5" customHeight="1" spans="6:7">
      <c r="F633" s="92">
        <v>45306</v>
      </c>
      <c r="G633" s="93">
        <v>22097.45</v>
      </c>
    </row>
    <row r="634" ht="16.5" customHeight="1" spans="6:7">
      <c r="F634" s="92">
        <v>45303</v>
      </c>
      <c r="G634" s="93">
        <v>21894.55</v>
      </c>
    </row>
    <row r="635" ht="16.5" customHeight="1" spans="6:7">
      <c r="F635" s="92">
        <v>45302</v>
      </c>
      <c r="G635" s="93">
        <v>21647.2</v>
      </c>
    </row>
    <row r="636" ht="16.5" customHeight="1" spans="6:7">
      <c r="F636" s="92">
        <v>45301</v>
      </c>
      <c r="G636" s="93">
        <v>21618.7</v>
      </c>
    </row>
    <row r="637" ht="16.5" customHeight="1" spans="6:7">
      <c r="F637" s="92">
        <v>45300</v>
      </c>
      <c r="G637" s="93">
        <v>21544.85</v>
      </c>
    </row>
    <row r="638" ht="16.5" customHeight="1" spans="6:7">
      <c r="F638" s="92">
        <v>45299</v>
      </c>
      <c r="G638" s="93">
        <v>21513</v>
      </c>
    </row>
    <row r="639" ht="16.5" customHeight="1" spans="6:7">
      <c r="F639" s="92">
        <v>45296</v>
      </c>
      <c r="G639" s="93">
        <v>21710.8</v>
      </c>
    </row>
    <row r="640" ht="16.5" customHeight="1" spans="6:7">
      <c r="F640" s="92">
        <v>45295</v>
      </c>
      <c r="G640" s="93">
        <v>21658.6</v>
      </c>
    </row>
    <row r="641" ht="16.5" customHeight="1" spans="6:7">
      <c r="F641" s="92">
        <v>45294</v>
      </c>
      <c r="G641" s="93">
        <v>21517.35</v>
      </c>
    </row>
    <row r="642" ht="16.5" customHeight="1" spans="6:7">
      <c r="F642" s="92">
        <v>45293</v>
      </c>
      <c r="G642" s="93">
        <v>21665.8</v>
      </c>
    </row>
    <row r="643" ht="16.5" customHeight="1" spans="6:7">
      <c r="F643" s="92">
        <v>45292</v>
      </c>
      <c r="G643" s="93">
        <v>21741.9</v>
      </c>
    </row>
    <row r="644" ht="16.5" customHeight="1" spans="6:7">
      <c r="F644" s="92">
        <v>45289</v>
      </c>
      <c r="G644" s="93">
        <v>21731.4</v>
      </c>
    </row>
    <row r="645" ht="16.5" customHeight="1" spans="6:7">
      <c r="F645" s="92">
        <v>45288</v>
      </c>
      <c r="G645" s="93">
        <v>21778.7</v>
      </c>
    </row>
    <row r="646" ht="16.5" customHeight="1" spans="6:7">
      <c r="F646" s="92">
        <v>45287</v>
      </c>
      <c r="G646" s="93">
        <v>21654.75</v>
      </c>
    </row>
    <row r="647" ht="16.5" customHeight="1" spans="6:7">
      <c r="F647" s="92">
        <v>45286</v>
      </c>
      <c r="G647" s="93">
        <v>21441.35</v>
      </c>
    </row>
    <row r="648" ht="16.5" customHeight="1" spans="6:7">
      <c r="F648" s="92">
        <v>45282</v>
      </c>
      <c r="G648" s="93">
        <v>21349.4</v>
      </c>
    </row>
    <row r="649" ht="16.5" customHeight="1" spans="6:7">
      <c r="F649" s="92">
        <v>45281</v>
      </c>
      <c r="G649" s="93">
        <v>21255.05</v>
      </c>
    </row>
    <row r="650" ht="16.5" customHeight="1" spans="6:7">
      <c r="F650" s="92">
        <v>45280</v>
      </c>
      <c r="G650" s="93">
        <v>21150.15</v>
      </c>
    </row>
    <row r="651" ht="16.5" customHeight="1" spans="6:7">
      <c r="F651" s="92">
        <v>45279</v>
      </c>
      <c r="G651" s="93">
        <v>21453.1</v>
      </c>
    </row>
    <row r="652" ht="16.5" customHeight="1" spans="6:7">
      <c r="F652" s="92">
        <v>45278</v>
      </c>
      <c r="G652" s="93">
        <v>21418.65</v>
      </c>
    </row>
    <row r="653" ht="16.5" customHeight="1" spans="6:7">
      <c r="F653" s="92">
        <v>45275</v>
      </c>
      <c r="G653" s="93">
        <v>21456.65</v>
      </c>
    </row>
    <row r="654" ht="16.5" customHeight="1" spans="6:7">
      <c r="F654" s="92">
        <v>45274</v>
      </c>
      <c r="G654" s="93">
        <v>21182.7</v>
      </c>
    </row>
    <row r="655" ht="16.5" customHeight="1" spans="6:7">
      <c r="F655" s="92">
        <v>45273</v>
      </c>
      <c r="G655" s="93">
        <v>20926.35</v>
      </c>
    </row>
    <row r="656" ht="16.5" customHeight="1" spans="6:7">
      <c r="F656" s="92">
        <v>45272</v>
      </c>
      <c r="G656" s="93">
        <v>20906.4</v>
      </c>
    </row>
    <row r="657" ht="16.5" customHeight="1" spans="6:7">
      <c r="F657" s="92">
        <v>45271</v>
      </c>
      <c r="G657" s="93">
        <v>20997.1</v>
      </c>
    </row>
    <row r="658" ht="16.5" customHeight="1" spans="6:7">
      <c r="F658" s="92">
        <v>45268</v>
      </c>
      <c r="G658" s="93">
        <v>20969.4</v>
      </c>
    </row>
    <row r="659" ht="16.5" customHeight="1" spans="6:7">
      <c r="F659" s="92">
        <v>45267</v>
      </c>
      <c r="G659" s="93">
        <v>20901.15</v>
      </c>
    </row>
    <row r="660" ht="16.5" customHeight="1" spans="6:7">
      <c r="F660" s="92">
        <v>45266</v>
      </c>
      <c r="G660" s="93">
        <v>20937.7</v>
      </c>
    </row>
    <row r="661" ht="16.5" customHeight="1" spans="6:7">
      <c r="F661" s="92">
        <v>45265</v>
      </c>
      <c r="G661" s="93">
        <v>20855.1</v>
      </c>
    </row>
    <row r="662" ht="16.5" customHeight="1" spans="6:7">
      <c r="F662" s="92">
        <v>45264</v>
      </c>
      <c r="G662" s="93">
        <v>20686.8</v>
      </c>
    </row>
    <row r="663" ht="16.5" customHeight="1" spans="6:7">
      <c r="F663" s="92">
        <v>45261</v>
      </c>
      <c r="G663" s="93">
        <v>20267.9</v>
      </c>
    </row>
    <row r="664" ht="16.5" customHeight="1" spans="6:7">
      <c r="F664" s="92">
        <v>45260</v>
      </c>
      <c r="G664" s="93">
        <v>20133.15</v>
      </c>
    </row>
    <row r="665" ht="16.5" customHeight="1" spans="6:7">
      <c r="F665" s="92">
        <v>45259</v>
      </c>
      <c r="G665" s="93">
        <v>20096.6</v>
      </c>
    </row>
    <row r="666" ht="16.5" customHeight="1" spans="6:7">
      <c r="F666" s="92">
        <v>45258</v>
      </c>
      <c r="G666" s="93">
        <v>19889.7</v>
      </c>
    </row>
    <row r="667" ht="16.5" customHeight="1" spans="6:7">
      <c r="F667" s="92">
        <v>45254</v>
      </c>
      <c r="G667" s="93">
        <v>19794.7</v>
      </c>
    </row>
    <row r="668" ht="16.5" customHeight="1" spans="6:7">
      <c r="F668" s="92">
        <v>45253</v>
      </c>
      <c r="G668" s="93">
        <v>19802</v>
      </c>
    </row>
    <row r="669" ht="16.5" customHeight="1" spans="6:7">
      <c r="F669" s="92">
        <v>45252</v>
      </c>
      <c r="G669" s="93">
        <v>19811.85</v>
      </c>
    </row>
    <row r="670" ht="16.5" customHeight="1" spans="6:7">
      <c r="F670" s="92">
        <v>45251</v>
      </c>
      <c r="G670" s="93">
        <v>19783.4</v>
      </c>
    </row>
    <row r="671" ht="16.5" customHeight="1" spans="6:7">
      <c r="F671" s="92">
        <v>45250</v>
      </c>
      <c r="G671" s="93">
        <v>19694</v>
      </c>
    </row>
    <row r="672" ht="16.5" customHeight="1" spans="6:7">
      <c r="F672" s="92">
        <v>45247</v>
      </c>
      <c r="G672" s="93">
        <v>19731.8</v>
      </c>
    </row>
    <row r="673" ht="16.5" customHeight="1" spans="6:7">
      <c r="F673" s="92">
        <v>45246</v>
      </c>
      <c r="G673" s="93">
        <v>19765.2</v>
      </c>
    </row>
    <row r="674" ht="16.5" customHeight="1" spans="6:7">
      <c r="F674" s="92">
        <v>45245</v>
      </c>
      <c r="G674" s="93">
        <v>19675.45</v>
      </c>
    </row>
    <row r="675" ht="16.5" customHeight="1" spans="6:7">
      <c r="F675" s="92">
        <v>45243</v>
      </c>
      <c r="G675" s="93">
        <v>19443.55</v>
      </c>
    </row>
    <row r="676" ht="16.5" customHeight="1" spans="6:7">
      <c r="F676" s="92">
        <v>45242</v>
      </c>
      <c r="G676" s="93">
        <v>19525.55</v>
      </c>
    </row>
    <row r="677" ht="16.5" customHeight="1" spans="6:7">
      <c r="F677" s="92">
        <v>45240</v>
      </c>
      <c r="G677" s="93">
        <v>19425.35</v>
      </c>
    </row>
    <row r="678" ht="16.5" customHeight="1" spans="6:7">
      <c r="F678" s="92">
        <v>45239</v>
      </c>
      <c r="G678" s="93">
        <v>19395.3</v>
      </c>
    </row>
    <row r="679" ht="16.5" customHeight="1" spans="6:7">
      <c r="F679" s="92">
        <v>45238</v>
      </c>
      <c r="G679" s="93">
        <v>19443.5</v>
      </c>
    </row>
    <row r="680" ht="16.5" customHeight="1" spans="6:7">
      <c r="F680" s="92">
        <v>45237</v>
      </c>
      <c r="G680" s="93">
        <v>19406.7</v>
      </c>
    </row>
    <row r="681" ht="16.5" customHeight="1" spans="6:7">
      <c r="F681" s="92">
        <v>45236</v>
      </c>
      <c r="G681" s="93">
        <v>19411.75</v>
      </c>
    </row>
    <row r="682" ht="16.5" customHeight="1" spans="6:7">
      <c r="F682" s="92">
        <v>45233</v>
      </c>
      <c r="G682" s="93">
        <v>19230.6</v>
      </c>
    </row>
    <row r="683" ht="16.5" customHeight="1" spans="6:7">
      <c r="F683" s="92">
        <v>45232</v>
      </c>
      <c r="G683" s="93">
        <v>19133.25</v>
      </c>
    </row>
    <row r="684" ht="16.5" customHeight="1" spans="6:7">
      <c r="F684" s="92">
        <v>45231</v>
      </c>
      <c r="G684" s="93">
        <v>18989.15</v>
      </c>
    </row>
    <row r="685" ht="16.5" customHeight="1" spans="6:7">
      <c r="F685" s="92">
        <v>45230</v>
      </c>
      <c r="G685" s="93">
        <v>19079.6</v>
      </c>
    </row>
    <row r="686" ht="16.5" customHeight="1" spans="6:7">
      <c r="F686" s="92">
        <v>45229</v>
      </c>
      <c r="G686" s="93">
        <v>19140.9</v>
      </c>
    </row>
    <row r="687" ht="16.5" customHeight="1" spans="6:7">
      <c r="F687" s="92">
        <v>45226</v>
      </c>
      <c r="G687" s="93">
        <v>19047.25</v>
      </c>
    </row>
    <row r="688" ht="16.5" customHeight="1" spans="6:7">
      <c r="F688" s="92">
        <v>45225</v>
      </c>
      <c r="G688" s="93">
        <v>18857.25</v>
      </c>
    </row>
    <row r="689" ht="16.5" customHeight="1" spans="6:7">
      <c r="F689" s="92">
        <v>45224</v>
      </c>
      <c r="G689" s="93">
        <v>19122.15</v>
      </c>
    </row>
    <row r="690" ht="16.5" customHeight="1" spans="6:7">
      <c r="F690" s="92">
        <v>45222</v>
      </c>
      <c r="G690" s="93">
        <v>19281.75</v>
      </c>
    </row>
    <row r="691" ht="16.5" customHeight="1" spans="6:7">
      <c r="F691" s="92">
        <v>45219</v>
      </c>
      <c r="G691" s="93">
        <v>19542.65</v>
      </c>
    </row>
    <row r="692" ht="16.5" customHeight="1" spans="6:7">
      <c r="F692" s="92">
        <v>45218</v>
      </c>
      <c r="G692" s="93">
        <v>19624.7</v>
      </c>
    </row>
    <row r="693" ht="16.5" customHeight="1" spans="6:7">
      <c r="F693" s="92">
        <v>45217</v>
      </c>
      <c r="G693" s="93">
        <v>19671.1</v>
      </c>
    </row>
    <row r="694" ht="16.5" customHeight="1" spans="6:7">
      <c r="F694" s="92">
        <v>45216</v>
      </c>
      <c r="G694" s="93">
        <v>19811.5</v>
      </c>
    </row>
    <row r="695" ht="16.5" customHeight="1" spans="6:7">
      <c r="F695" s="92">
        <v>45215</v>
      </c>
      <c r="G695" s="93">
        <v>19731.75</v>
      </c>
    </row>
    <row r="696" ht="16.5" customHeight="1" spans="6:7">
      <c r="F696" s="92">
        <v>45212</v>
      </c>
      <c r="G696" s="93">
        <v>19751.05</v>
      </c>
    </row>
    <row r="697" ht="16.5" customHeight="1" spans="6:7">
      <c r="F697" s="92">
        <v>45211</v>
      </c>
      <c r="G697" s="93">
        <v>19794</v>
      </c>
    </row>
    <row r="698" ht="16.5" customHeight="1" spans="6:7">
      <c r="F698" s="92">
        <v>45210</v>
      </c>
      <c r="G698" s="93">
        <v>19811.35</v>
      </c>
    </row>
    <row r="699" ht="16.5" customHeight="1" spans="6:7">
      <c r="F699" s="92">
        <v>45209</v>
      </c>
      <c r="G699" s="93">
        <v>19689.85</v>
      </c>
    </row>
    <row r="700" ht="16.5" customHeight="1" spans="6:7">
      <c r="F700" s="92">
        <v>45208</v>
      </c>
      <c r="G700" s="93">
        <v>19512.35</v>
      </c>
    </row>
    <row r="701" ht="16.5" customHeight="1" spans="6:7">
      <c r="F701" s="92">
        <v>45205</v>
      </c>
      <c r="G701" s="93">
        <v>19653.5</v>
      </c>
    </row>
    <row r="702" ht="16.5" customHeight="1" spans="6:7">
      <c r="F702" s="92">
        <v>45204</v>
      </c>
      <c r="G702" s="93">
        <v>19545.75</v>
      </c>
    </row>
    <row r="703" ht="16.5" customHeight="1" spans="6:7">
      <c r="F703" s="92">
        <v>45203</v>
      </c>
      <c r="G703" s="93">
        <v>19436.1</v>
      </c>
    </row>
    <row r="704" ht="16.5" customHeight="1" spans="6:7">
      <c r="F704" s="92">
        <v>45202</v>
      </c>
      <c r="G704" s="93">
        <v>19528.75</v>
      </c>
    </row>
    <row r="705" ht="16.5" customHeight="1" spans="6:7">
      <c r="F705" s="92">
        <v>45198</v>
      </c>
      <c r="G705" s="93">
        <v>19638.3</v>
      </c>
    </row>
    <row r="706" ht="16.5" customHeight="1" spans="6:7">
      <c r="F706" s="92">
        <v>45197</v>
      </c>
      <c r="G706" s="93">
        <v>19523.55</v>
      </c>
    </row>
    <row r="707" ht="16.5" customHeight="1" spans="6:7">
      <c r="F707" s="92">
        <v>45196</v>
      </c>
      <c r="G707" s="93">
        <v>19716.45</v>
      </c>
    </row>
    <row r="708" ht="16.5" customHeight="1" spans="6:7">
      <c r="F708" s="92">
        <v>45195</v>
      </c>
      <c r="G708" s="93">
        <v>19664.7</v>
      </c>
    </row>
    <row r="709" ht="16.5" customHeight="1" spans="6:7">
      <c r="F709" s="92">
        <v>45194</v>
      </c>
      <c r="G709" s="93">
        <v>19674.55</v>
      </c>
    </row>
    <row r="710" ht="16.5" customHeight="1" spans="6:7">
      <c r="F710" s="92">
        <v>45191</v>
      </c>
      <c r="G710" s="93">
        <v>19674.25</v>
      </c>
    </row>
    <row r="711" ht="16.5" customHeight="1" spans="6:7">
      <c r="F711" s="92">
        <v>45190</v>
      </c>
      <c r="G711" s="93">
        <v>19742.35</v>
      </c>
    </row>
    <row r="712" ht="16.5" customHeight="1" spans="6:7">
      <c r="F712" s="92">
        <v>45189</v>
      </c>
      <c r="G712" s="93">
        <v>19901.4</v>
      </c>
    </row>
    <row r="713" ht="16.5" customHeight="1" spans="6:7">
      <c r="F713" s="92">
        <v>45187</v>
      </c>
      <c r="G713" s="93">
        <v>20133.3</v>
      </c>
    </row>
    <row r="714" ht="16.5" customHeight="1" spans="6:7">
      <c r="F714" s="92">
        <v>45184</v>
      </c>
      <c r="G714" s="93">
        <v>20192.35</v>
      </c>
    </row>
    <row r="715" ht="16.5" customHeight="1" spans="6:7">
      <c r="F715" s="92">
        <v>45183</v>
      </c>
      <c r="G715" s="93">
        <v>20103.1</v>
      </c>
    </row>
    <row r="716" ht="16.5" customHeight="1" spans="6:7">
      <c r="F716" s="92">
        <v>45182</v>
      </c>
      <c r="G716" s="93">
        <v>20070</v>
      </c>
    </row>
    <row r="717" ht="16.5" customHeight="1" spans="6:7">
      <c r="F717" s="92">
        <v>45181</v>
      </c>
      <c r="G717" s="93">
        <v>19993.2</v>
      </c>
    </row>
    <row r="718" ht="16.5" customHeight="1" spans="6:7">
      <c r="F718" s="92">
        <v>45180</v>
      </c>
      <c r="G718" s="93">
        <v>19996.35</v>
      </c>
    </row>
    <row r="719" ht="16.5" customHeight="1" spans="6:7">
      <c r="F719" s="92">
        <v>45177</v>
      </c>
      <c r="G719" s="93">
        <v>19819.95</v>
      </c>
    </row>
    <row r="720" ht="16.5" customHeight="1" spans="6:7">
      <c r="F720" s="92">
        <v>45176</v>
      </c>
      <c r="G720" s="93">
        <v>19727.05</v>
      </c>
    </row>
    <row r="721" ht="16.5" customHeight="1" spans="6:7">
      <c r="F721" s="92">
        <v>45175</v>
      </c>
      <c r="G721" s="93">
        <v>19611.05</v>
      </c>
    </row>
    <row r="722" ht="16.5" customHeight="1" spans="6:7">
      <c r="F722" s="92">
        <v>45174</v>
      </c>
      <c r="G722" s="93">
        <v>19574.9</v>
      </c>
    </row>
    <row r="723" ht="16.5" customHeight="1" spans="6:7">
      <c r="F723" s="92">
        <v>45173</v>
      </c>
      <c r="G723" s="93">
        <v>19528.8</v>
      </c>
    </row>
    <row r="724" ht="16.5" customHeight="1" spans="6:7">
      <c r="F724" s="92">
        <v>45170</v>
      </c>
      <c r="G724" s="93">
        <v>19435.3</v>
      </c>
    </row>
    <row r="725" ht="16.5" customHeight="1" spans="6:7">
      <c r="F725" s="92">
        <v>45169</v>
      </c>
      <c r="G725" s="93">
        <v>19253.8</v>
      </c>
    </row>
    <row r="726" ht="16.5" customHeight="1" spans="6:7">
      <c r="F726" s="92">
        <v>45168</v>
      </c>
      <c r="G726" s="93">
        <v>19347.45</v>
      </c>
    </row>
    <row r="727" ht="16.5" customHeight="1" spans="6:7">
      <c r="F727" s="92">
        <v>45167</v>
      </c>
      <c r="G727" s="93">
        <v>19342.65</v>
      </c>
    </row>
    <row r="728" ht="16.5" customHeight="1" spans="6:7">
      <c r="F728" s="92">
        <v>45166</v>
      </c>
      <c r="G728" s="93">
        <v>19306.05</v>
      </c>
    </row>
    <row r="729" ht="16.5" customHeight="1" spans="6:7">
      <c r="F729" s="92">
        <v>45163</v>
      </c>
      <c r="G729" s="93">
        <v>19265.8</v>
      </c>
    </row>
    <row r="730" ht="16.5" customHeight="1" spans="6:7">
      <c r="F730" s="92">
        <v>45162</v>
      </c>
      <c r="G730" s="93">
        <v>19386.7</v>
      </c>
    </row>
    <row r="731" ht="16.5" customHeight="1" spans="6:7">
      <c r="F731" s="92">
        <v>45161</v>
      </c>
      <c r="G731" s="93">
        <v>19444</v>
      </c>
    </row>
    <row r="732" ht="16.5" customHeight="1" spans="6:7">
      <c r="F732" s="92">
        <v>45160</v>
      </c>
      <c r="G732" s="93">
        <v>19396.45</v>
      </c>
    </row>
    <row r="733" ht="16.5" customHeight="1" spans="6:7">
      <c r="F733" s="92">
        <v>45159</v>
      </c>
      <c r="G733" s="93">
        <v>19393.6</v>
      </c>
    </row>
    <row r="734" ht="16.5" customHeight="1" spans="6:7">
      <c r="F734" s="92">
        <v>45156</v>
      </c>
      <c r="G734" s="93">
        <v>19310.15</v>
      </c>
    </row>
    <row r="735" ht="16.5" customHeight="1" spans="6:7">
      <c r="F735" s="92">
        <v>45155</v>
      </c>
      <c r="G735" s="93">
        <v>19365.25</v>
      </c>
    </row>
    <row r="736" ht="16.5" customHeight="1" spans="6:7">
      <c r="F736" s="92">
        <v>45154</v>
      </c>
      <c r="G736" s="93">
        <v>19465</v>
      </c>
    </row>
    <row r="737" ht="16.5" customHeight="1" spans="6:7">
      <c r="F737" s="92">
        <v>45152</v>
      </c>
      <c r="G737" s="93">
        <v>19434.55</v>
      </c>
    </row>
    <row r="738" ht="16.5" customHeight="1" spans="6:7">
      <c r="F738" s="92">
        <v>45149</v>
      </c>
      <c r="G738" s="93">
        <v>19428.3</v>
      </c>
    </row>
    <row r="739" ht="16.5" customHeight="1" spans="6:7">
      <c r="F739" s="92">
        <v>45148</v>
      </c>
      <c r="G739" s="93">
        <v>19543.1</v>
      </c>
    </row>
    <row r="740" ht="16.5" customHeight="1" spans="6:7">
      <c r="F740" s="92">
        <v>45147</v>
      </c>
      <c r="G740" s="93">
        <v>19632.55</v>
      </c>
    </row>
    <row r="741" ht="16.5" customHeight="1" spans="6:7">
      <c r="F741" s="92">
        <v>45146</v>
      </c>
      <c r="G741" s="93">
        <v>19570.85</v>
      </c>
    </row>
    <row r="742" ht="16.5" customHeight="1" spans="6:7">
      <c r="F742" s="92">
        <v>45145</v>
      </c>
      <c r="G742" s="93">
        <v>19597.3</v>
      </c>
    </row>
    <row r="743" ht="16.5" customHeight="1" spans="6:7">
      <c r="F743" s="92">
        <v>45142</v>
      </c>
      <c r="G743" s="93">
        <v>19517</v>
      </c>
    </row>
    <row r="744" ht="16.5" customHeight="1" spans="6:7">
      <c r="F744" s="92">
        <v>45141</v>
      </c>
      <c r="G744" s="93">
        <v>19381.65</v>
      </c>
    </row>
    <row r="745" ht="16.5" customHeight="1" spans="6:7">
      <c r="F745" s="92">
        <v>45140</v>
      </c>
      <c r="G745" s="93">
        <v>19526.55</v>
      </c>
    </row>
    <row r="746" ht="16.5" customHeight="1" spans="6:7">
      <c r="F746" s="92">
        <v>45139</v>
      </c>
      <c r="G746" s="93">
        <v>19733.55</v>
      </c>
    </row>
    <row r="747" ht="16.5" customHeight="1" spans="6:7">
      <c r="F747" s="92">
        <v>45138</v>
      </c>
      <c r="G747" s="93">
        <v>19753.8</v>
      </c>
    </row>
    <row r="748" ht="16.5" customHeight="1" spans="6:7">
      <c r="F748" s="92">
        <v>45135</v>
      </c>
      <c r="G748" s="93">
        <v>19646.05</v>
      </c>
    </row>
    <row r="749" ht="16.5" customHeight="1" spans="6:7">
      <c r="F749" s="92">
        <v>45134</v>
      </c>
      <c r="G749" s="93">
        <v>19659.9</v>
      </c>
    </row>
    <row r="750" ht="16.5" customHeight="1" spans="6:7">
      <c r="F750" s="92">
        <v>45133</v>
      </c>
      <c r="G750" s="93">
        <v>19778.3</v>
      </c>
    </row>
    <row r="751" ht="16.5" customHeight="1" spans="6:7">
      <c r="F751" s="92">
        <v>45132</v>
      </c>
      <c r="G751" s="93">
        <v>19680.6</v>
      </c>
    </row>
    <row r="752" ht="16.5" customHeight="1" spans="6:7">
      <c r="F752" s="92">
        <v>45131</v>
      </c>
      <c r="G752" s="93">
        <v>19672.35</v>
      </c>
    </row>
    <row r="753" ht="16.5" customHeight="1" spans="6:7">
      <c r="F753" s="92">
        <v>45128</v>
      </c>
      <c r="G753" s="93">
        <v>19745</v>
      </c>
    </row>
    <row r="754" ht="16.5" customHeight="1" spans="6:7">
      <c r="F754" s="92">
        <v>45127</v>
      </c>
      <c r="G754" s="93">
        <v>19979.15</v>
      </c>
    </row>
    <row r="755" ht="16.5" customHeight="1" spans="6:7">
      <c r="F755" s="92">
        <v>45126</v>
      </c>
      <c r="G755" s="93">
        <v>19833.15</v>
      </c>
    </row>
    <row r="756" ht="16.5" customHeight="1" spans="6:7">
      <c r="F756" s="92">
        <v>45125</v>
      </c>
      <c r="G756" s="93">
        <v>19749.25</v>
      </c>
    </row>
    <row r="757" ht="16.5" customHeight="1" spans="6:7">
      <c r="F757" s="92">
        <v>45124</v>
      </c>
      <c r="G757" s="93">
        <v>19711.45</v>
      </c>
    </row>
    <row r="758" ht="16.5" customHeight="1" spans="6:7">
      <c r="F758" s="92">
        <v>45121</v>
      </c>
      <c r="G758" s="93">
        <v>19564.5</v>
      </c>
    </row>
    <row r="759" ht="16.5" customHeight="1" spans="6:7">
      <c r="F759" s="92">
        <v>45120</v>
      </c>
      <c r="G759" s="93">
        <v>19413.75</v>
      </c>
    </row>
    <row r="760" ht="16.5" customHeight="1" spans="6:7">
      <c r="F760" s="92">
        <v>45119</v>
      </c>
      <c r="G760" s="93">
        <v>19384.3</v>
      </c>
    </row>
    <row r="761" ht="16.5" customHeight="1" spans="6:7">
      <c r="F761" s="92">
        <v>45118</v>
      </c>
      <c r="G761" s="93">
        <v>19439.4</v>
      </c>
    </row>
    <row r="762" ht="16.5" customHeight="1" spans="6:7">
      <c r="F762" s="92">
        <v>45117</v>
      </c>
      <c r="G762" s="93">
        <v>19355.9</v>
      </c>
    </row>
    <row r="763" ht="16.5" customHeight="1" spans="6:7">
      <c r="F763" s="92">
        <v>45114</v>
      </c>
      <c r="G763" s="93">
        <v>19331.8</v>
      </c>
    </row>
    <row r="764" ht="16.5" customHeight="1" spans="6:7">
      <c r="F764" s="92">
        <v>45113</v>
      </c>
      <c r="G764" s="93">
        <v>19497.3</v>
      </c>
    </row>
    <row r="765" ht="16.5" customHeight="1" spans="6:7">
      <c r="F765" s="92">
        <v>45112</v>
      </c>
      <c r="G765" s="93">
        <v>19398.5</v>
      </c>
    </row>
    <row r="766" ht="16.5" customHeight="1" spans="6:7">
      <c r="F766" s="92">
        <v>45111</v>
      </c>
      <c r="G766" s="93">
        <v>19389</v>
      </c>
    </row>
    <row r="767" ht="16.5" customHeight="1" spans="6:7">
      <c r="F767" s="92">
        <v>45110</v>
      </c>
      <c r="G767" s="93">
        <v>19322.55</v>
      </c>
    </row>
    <row r="768" ht="16.5" customHeight="1" spans="6:7">
      <c r="F768" s="92">
        <v>45107</v>
      </c>
      <c r="G768" s="93">
        <v>19189.05</v>
      </c>
    </row>
    <row r="769" ht="16.5" customHeight="1" spans="6:7">
      <c r="F769" s="92">
        <v>45105</v>
      </c>
      <c r="G769" s="93">
        <v>18972.1</v>
      </c>
    </row>
    <row r="770" ht="16.5" customHeight="1" spans="6:7">
      <c r="F770" s="92">
        <v>45104</v>
      </c>
      <c r="G770" s="93">
        <v>18817.4</v>
      </c>
    </row>
    <row r="771" ht="16.5" customHeight="1" spans="6:7">
      <c r="F771" s="92">
        <v>45103</v>
      </c>
      <c r="G771" s="93">
        <v>18691.2</v>
      </c>
    </row>
    <row r="772" ht="16.5" customHeight="1" spans="6:7">
      <c r="F772" s="92">
        <v>45100</v>
      </c>
      <c r="G772" s="93">
        <v>18665.5</v>
      </c>
    </row>
    <row r="773" ht="16.5" customHeight="1" spans="6:7">
      <c r="F773" s="92">
        <v>45099</v>
      </c>
      <c r="G773" s="93">
        <v>18771.25</v>
      </c>
    </row>
    <row r="774" ht="16.5" customHeight="1" spans="6:7">
      <c r="F774" s="92">
        <v>45098</v>
      </c>
      <c r="G774" s="93">
        <v>18856.85</v>
      </c>
    </row>
    <row r="775" ht="16.5" customHeight="1" spans="6:7">
      <c r="F775" s="92">
        <v>45097</v>
      </c>
      <c r="G775" s="93">
        <v>18816.7</v>
      </c>
    </row>
    <row r="776" ht="16.5" customHeight="1" spans="6:7">
      <c r="F776" s="92">
        <v>45096</v>
      </c>
      <c r="G776" s="93">
        <v>18755.45</v>
      </c>
    </row>
    <row r="777" ht="16.5" customHeight="1" spans="6:7">
      <c r="F777" s="92">
        <v>45093</v>
      </c>
      <c r="G777" s="93">
        <v>18826</v>
      </c>
    </row>
    <row r="778" ht="16.5" customHeight="1" spans="6:7">
      <c r="F778" s="92">
        <v>45092</v>
      </c>
      <c r="G778" s="93">
        <v>18688.1</v>
      </c>
    </row>
    <row r="779" ht="16.5" customHeight="1" spans="6:7">
      <c r="F779" s="92">
        <v>45091</v>
      </c>
      <c r="G779" s="93">
        <v>18755.9</v>
      </c>
    </row>
    <row r="780" ht="16.5" customHeight="1" spans="6:7">
      <c r="F780" s="92">
        <v>45090</v>
      </c>
      <c r="G780" s="93">
        <v>18716.15</v>
      </c>
    </row>
    <row r="781" ht="16.5" customHeight="1" spans="6:7">
      <c r="F781" s="92">
        <v>45089</v>
      </c>
      <c r="G781" s="93">
        <v>18601.5</v>
      </c>
    </row>
    <row r="782" ht="16.5" customHeight="1" spans="6:7">
      <c r="F782" s="92">
        <v>45086</v>
      </c>
      <c r="G782" s="93">
        <v>18563.4</v>
      </c>
    </row>
    <row r="783" ht="16.5" customHeight="1" spans="6:7">
      <c r="F783" s="92">
        <v>45085</v>
      </c>
      <c r="G783" s="93">
        <v>18634.55</v>
      </c>
    </row>
    <row r="784" ht="16.5" customHeight="1" spans="6:7">
      <c r="F784" s="92">
        <v>45084</v>
      </c>
      <c r="G784" s="93">
        <v>18726.4</v>
      </c>
    </row>
    <row r="785" ht="16.5" customHeight="1" spans="6:7">
      <c r="F785" s="92">
        <v>45083</v>
      </c>
      <c r="G785" s="93">
        <v>18599</v>
      </c>
    </row>
    <row r="786" ht="16.5" customHeight="1" spans="6:7">
      <c r="F786" s="92">
        <v>45082</v>
      </c>
      <c r="G786" s="93">
        <v>18593.85</v>
      </c>
    </row>
    <row r="787" ht="16.5" customHeight="1" spans="6:7">
      <c r="F787" s="92">
        <v>45079</v>
      </c>
      <c r="G787" s="93">
        <v>18534.1</v>
      </c>
    </row>
    <row r="788" ht="16.5" customHeight="1" spans="6:7">
      <c r="F788" s="92">
        <v>45078</v>
      </c>
      <c r="G788" s="93">
        <v>18487.75</v>
      </c>
    </row>
    <row r="789" ht="16.5" customHeight="1" spans="6:7">
      <c r="F789" s="92">
        <v>45077</v>
      </c>
      <c r="G789" s="93">
        <v>18534.4</v>
      </c>
    </row>
    <row r="790" ht="16.5" customHeight="1" spans="6:7">
      <c r="F790" s="92">
        <v>45076</v>
      </c>
      <c r="G790" s="93">
        <v>18633.85</v>
      </c>
    </row>
    <row r="791" ht="16.5" customHeight="1" spans="6:7">
      <c r="F791" s="92">
        <v>45075</v>
      </c>
      <c r="G791" s="93">
        <v>18598.65</v>
      </c>
    </row>
    <row r="792" ht="16.5" customHeight="1" spans="6:7">
      <c r="F792" s="92">
        <v>45072</v>
      </c>
      <c r="G792" s="93">
        <v>18499.35</v>
      </c>
    </row>
    <row r="793" ht="16.5" customHeight="1" spans="6:7">
      <c r="F793" s="92">
        <v>45071</v>
      </c>
      <c r="G793" s="93">
        <v>18321.15</v>
      </c>
    </row>
    <row r="794" ht="16.5" customHeight="1" spans="6:7">
      <c r="F794" s="92">
        <v>45070</v>
      </c>
      <c r="G794" s="93">
        <v>18285.4</v>
      </c>
    </row>
    <row r="795" ht="16.5" customHeight="1" spans="6:7">
      <c r="F795" s="92">
        <v>45069</v>
      </c>
      <c r="G795" s="93">
        <v>18348</v>
      </c>
    </row>
    <row r="796" ht="16.5" customHeight="1" spans="6:7">
      <c r="F796" s="92">
        <v>45068</v>
      </c>
      <c r="G796" s="93">
        <v>18314.4</v>
      </c>
    </row>
    <row r="797" ht="16.5" customHeight="1" spans="6:7">
      <c r="F797" s="92">
        <v>45065</v>
      </c>
      <c r="G797" s="93">
        <v>18203.4</v>
      </c>
    </row>
    <row r="798" ht="16.5" customHeight="1" spans="6:7">
      <c r="F798" s="92">
        <v>45064</v>
      </c>
      <c r="G798" s="93">
        <v>18129.95</v>
      </c>
    </row>
    <row r="799" ht="16.5" customHeight="1" spans="6:7">
      <c r="F799" s="92">
        <v>45063</v>
      </c>
      <c r="G799" s="93">
        <v>18181.75</v>
      </c>
    </row>
    <row r="800" ht="16.5" customHeight="1" spans="6:7">
      <c r="F800" s="92">
        <v>45062</v>
      </c>
      <c r="G800" s="93">
        <v>18286.5</v>
      </c>
    </row>
    <row r="801" ht="16.5" customHeight="1" spans="6:7">
      <c r="F801" s="92">
        <v>45061</v>
      </c>
      <c r="G801" s="93">
        <v>18398.85</v>
      </c>
    </row>
    <row r="802" ht="16.5" customHeight="1" spans="6:7">
      <c r="F802" s="92">
        <v>45058</v>
      </c>
      <c r="G802" s="93">
        <v>18314.8</v>
      </c>
    </row>
    <row r="803" ht="16.5" customHeight="1" spans="6:7">
      <c r="F803" s="92">
        <v>45057</v>
      </c>
      <c r="G803" s="93">
        <v>18297</v>
      </c>
    </row>
    <row r="804" ht="16.5" customHeight="1" spans="6:7">
      <c r="F804" s="92">
        <v>45056</v>
      </c>
      <c r="G804" s="93">
        <v>18315.1</v>
      </c>
    </row>
    <row r="805" ht="16.5" customHeight="1" spans="6:7">
      <c r="F805" s="92">
        <v>45055</v>
      </c>
      <c r="G805" s="93">
        <v>18265.95</v>
      </c>
    </row>
    <row r="806" ht="16.5" customHeight="1" spans="6:7">
      <c r="F806" s="92">
        <v>45054</v>
      </c>
      <c r="G806" s="93">
        <v>18264.4</v>
      </c>
    </row>
    <row r="807" ht="16.5" customHeight="1" spans="6:7">
      <c r="F807" s="92">
        <v>45051</v>
      </c>
      <c r="G807" s="93">
        <v>18069</v>
      </c>
    </row>
    <row r="808" ht="16.5" customHeight="1" spans="6:7">
      <c r="F808" s="92">
        <v>45050</v>
      </c>
      <c r="G808" s="93">
        <v>18255.8</v>
      </c>
    </row>
    <row r="809" ht="16.5" customHeight="1" spans="6:7">
      <c r="F809" s="92">
        <v>45049</v>
      </c>
      <c r="G809" s="93">
        <v>18089.85</v>
      </c>
    </row>
    <row r="810" ht="16.5" customHeight="1" spans="6:7">
      <c r="F810" s="92">
        <v>45048</v>
      </c>
      <c r="G810" s="93">
        <v>18147.65</v>
      </c>
    </row>
    <row r="811" ht="16.5" customHeight="1" spans="6:7">
      <c r="F811" s="92">
        <v>45044</v>
      </c>
      <c r="G811" s="93">
        <v>18065</v>
      </c>
    </row>
    <row r="812" ht="16.5" customHeight="1" spans="6:7">
      <c r="F812" s="92">
        <v>45043</v>
      </c>
      <c r="G812" s="93">
        <v>17915.05</v>
      </c>
    </row>
    <row r="813" ht="16.5" customHeight="1" spans="6:7">
      <c r="F813" s="92">
        <v>45042</v>
      </c>
      <c r="G813" s="93">
        <v>17813.6</v>
      </c>
    </row>
    <row r="814" ht="16.5" customHeight="1" spans="6:7">
      <c r="F814" s="92">
        <v>45041</v>
      </c>
      <c r="G814" s="93">
        <v>17769.25</v>
      </c>
    </row>
    <row r="815" ht="16.5" customHeight="1" spans="6:7">
      <c r="F815" s="92">
        <v>45040</v>
      </c>
      <c r="G815" s="93">
        <v>17743.4</v>
      </c>
    </row>
    <row r="816" ht="16.5" customHeight="1" spans="6:7">
      <c r="F816" s="92">
        <v>45037</v>
      </c>
      <c r="G816" s="93">
        <v>17624.05</v>
      </c>
    </row>
    <row r="817" ht="16.5" customHeight="1" spans="6:7">
      <c r="F817" s="92">
        <v>45036</v>
      </c>
      <c r="G817" s="93">
        <v>17624.45</v>
      </c>
    </row>
    <row r="818" ht="16.5" customHeight="1" spans="6:7">
      <c r="F818" s="92">
        <v>45035</v>
      </c>
      <c r="G818" s="93">
        <v>17618.75</v>
      </c>
    </row>
    <row r="819" ht="16.5" customHeight="1" spans="6:7">
      <c r="F819" s="92">
        <v>45034</v>
      </c>
      <c r="G819" s="93">
        <v>17660.15</v>
      </c>
    </row>
    <row r="820" ht="16.5" customHeight="1" spans="6:7">
      <c r="F820" s="92">
        <v>45033</v>
      </c>
      <c r="G820" s="93">
        <v>17706.85</v>
      </c>
    </row>
    <row r="821" ht="16.5" customHeight="1" spans="6:7">
      <c r="F821" s="92">
        <v>45029</v>
      </c>
      <c r="G821" s="93">
        <v>17828</v>
      </c>
    </row>
    <row r="822" ht="16.5" customHeight="1" spans="6:7">
      <c r="F822" s="92">
        <v>45028</v>
      </c>
      <c r="G822" s="93">
        <v>17812.4</v>
      </c>
    </row>
    <row r="823" ht="16.5" customHeight="1" spans="6:7">
      <c r="F823" s="92">
        <v>45027</v>
      </c>
      <c r="G823" s="93">
        <v>17722.3</v>
      </c>
    </row>
    <row r="824" ht="16.5" customHeight="1" spans="6:7">
      <c r="F824" s="92">
        <v>45026</v>
      </c>
      <c r="G824" s="93">
        <v>17624.05</v>
      </c>
    </row>
    <row r="825" ht="16.5" customHeight="1" spans="6:7">
      <c r="F825" s="92">
        <v>45022</v>
      </c>
      <c r="G825" s="93">
        <v>17599.15</v>
      </c>
    </row>
    <row r="826" ht="16.5" customHeight="1" spans="6:7">
      <c r="F826" s="92">
        <v>45021</v>
      </c>
      <c r="G826" s="93">
        <v>17557.05</v>
      </c>
    </row>
    <row r="827" ht="16.5" customHeight="1" spans="6:7">
      <c r="F827" s="92">
        <v>45019</v>
      </c>
      <c r="G827" s="93">
        <v>17398.05</v>
      </c>
    </row>
    <row r="828" ht="16.5" customHeight="1" spans="6:7">
      <c r="F828" s="92">
        <v>45016</v>
      </c>
      <c r="G828" s="93">
        <v>17359.75</v>
      </c>
    </row>
    <row r="829" ht="16.5" customHeight="1" spans="6:7">
      <c r="F829" s="92">
        <v>45014</v>
      </c>
      <c r="G829" s="93">
        <v>17080.7</v>
      </c>
    </row>
    <row r="830" ht="16.5" customHeight="1" spans="6:7">
      <c r="F830" s="92">
        <v>45013</v>
      </c>
      <c r="G830" s="93">
        <v>16951.7</v>
      </c>
    </row>
    <row r="831" ht="16.5" customHeight="1" spans="6:7">
      <c r="F831" s="92">
        <v>45012</v>
      </c>
      <c r="G831" s="93">
        <v>16985.7</v>
      </c>
    </row>
    <row r="832" ht="16.5" customHeight="1" spans="6:7">
      <c r="F832" s="92">
        <v>45009</v>
      </c>
      <c r="G832" s="93">
        <v>16945.05</v>
      </c>
    </row>
    <row r="833" ht="16.5" customHeight="1" spans="6:7">
      <c r="F833" s="92">
        <v>45008</v>
      </c>
      <c r="G833" s="93">
        <v>17076.9</v>
      </c>
    </row>
    <row r="834" ht="16.5" customHeight="1" spans="6:7">
      <c r="F834" s="92">
        <v>45007</v>
      </c>
      <c r="G834" s="93">
        <v>17151.9</v>
      </c>
    </row>
    <row r="835" ht="16.5" customHeight="1" spans="6:7">
      <c r="F835" s="92">
        <v>45006</v>
      </c>
      <c r="G835" s="93">
        <v>17107.5</v>
      </c>
    </row>
    <row r="836" ht="16.5" customHeight="1" spans="6:7">
      <c r="F836" s="92">
        <v>45005</v>
      </c>
      <c r="G836" s="93">
        <v>16988.4</v>
      </c>
    </row>
    <row r="837" ht="16.5" customHeight="1" spans="6:7">
      <c r="F837" s="92">
        <v>45002</v>
      </c>
      <c r="G837" s="93">
        <v>17100.05</v>
      </c>
    </row>
    <row r="838" ht="16.5" customHeight="1" spans="6:7">
      <c r="F838" s="92">
        <v>45001</v>
      </c>
      <c r="G838" s="93">
        <v>16985.6</v>
      </c>
    </row>
    <row r="839" ht="16.5" customHeight="1" spans="6:7">
      <c r="F839" s="92">
        <v>45000</v>
      </c>
      <c r="G839" s="93">
        <v>16972.15</v>
      </c>
    </row>
    <row r="840" ht="16.5" customHeight="1" spans="6:7">
      <c r="F840" s="92">
        <v>44999</v>
      </c>
      <c r="G840" s="93">
        <v>17043.3</v>
      </c>
    </row>
    <row r="841" ht="16.5" customHeight="1" spans="6:7">
      <c r="F841" s="92">
        <v>44998</v>
      </c>
      <c r="G841" s="93">
        <v>17154.3</v>
      </c>
    </row>
    <row r="842" ht="16.5" customHeight="1" spans="6:7">
      <c r="F842" s="92">
        <v>44995</v>
      </c>
      <c r="G842" s="93">
        <v>17412.9</v>
      </c>
    </row>
    <row r="843" ht="16.5" customHeight="1" spans="6:7">
      <c r="F843" s="92">
        <v>44994</v>
      </c>
      <c r="G843" s="93">
        <v>17589.6</v>
      </c>
    </row>
    <row r="844" ht="16.5" customHeight="1" spans="6:7">
      <c r="F844" s="92">
        <v>44993</v>
      </c>
      <c r="G844" s="93">
        <v>17754.4</v>
      </c>
    </row>
    <row r="845" ht="16.5" customHeight="1" spans="6:7">
      <c r="F845" s="92">
        <v>44991</v>
      </c>
      <c r="G845" s="93">
        <v>17711.45</v>
      </c>
    </row>
    <row r="846" ht="16.5" customHeight="1" spans="6:7">
      <c r="F846" s="92">
        <v>44988</v>
      </c>
      <c r="G846" s="93">
        <v>17594.35</v>
      </c>
    </row>
    <row r="847" ht="16.5" customHeight="1" spans="6:7">
      <c r="F847" s="92">
        <v>44987</v>
      </c>
      <c r="G847" s="93">
        <v>17321.9</v>
      </c>
    </row>
    <row r="848" ht="16.5" customHeight="1" spans="6:7">
      <c r="F848" s="92">
        <v>44986</v>
      </c>
      <c r="G848" s="93">
        <v>17450.9</v>
      </c>
    </row>
    <row r="849" ht="16.5" customHeight="1" spans="6:7">
      <c r="F849" s="92">
        <v>44985</v>
      </c>
      <c r="G849" s="93">
        <v>17303.95</v>
      </c>
    </row>
    <row r="850" ht="16.5" customHeight="1" spans="6:7">
      <c r="F850" s="92">
        <v>44984</v>
      </c>
      <c r="G850" s="93">
        <v>17392.7</v>
      </c>
    </row>
    <row r="851" ht="16.5" customHeight="1" spans="6:7">
      <c r="F851" s="92">
        <v>44981</v>
      </c>
      <c r="G851" s="93">
        <v>17465.8</v>
      </c>
    </row>
    <row r="852" ht="16.5" customHeight="1" spans="6:7">
      <c r="F852" s="92">
        <v>44980</v>
      </c>
      <c r="G852" s="93">
        <v>17511.25</v>
      </c>
    </row>
    <row r="853" ht="16.5" customHeight="1" spans="6:7">
      <c r="F853" s="92">
        <v>44979</v>
      </c>
      <c r="G853" s="93">
        <v>17554.3</v>
      </c>
    </row>
    <row r="854" ht="16.5" customHeight="1" spans="6:7">
      <c r="F854" s="92">
        <v>44978</v>
      </c>
      <c r="G854" s="93">
        <v>17826.7</v>
      </c>
    </row>
    <row r="855" ht="16.5" customHeight="1" spans="6:7">
      <c r="F855" s="92">
        <v>44977</v>
      </c>
      <c r="G855" s="93">
        <v>17844.6</v>
      </c>
    </row>
    <row r="856" ht="16.5" customHeight="1" spans="6:7">
      <c r="F856" s="92">
        <v>44974</v>
      </c>
      <c r="G856" s="93">
        <v>17944.2</v>
      </c>
    </row>
    <row r="857" ht="16.5" customHeight="1" spans="6:7">
      <c r="F857" s="92">
        <v>44973</v>
      </c>
      <c r="G857" s="93">
        <v>18035.85</v>
      </c>
    </row>
    <row r="858" ht="16.5" customHeight="1" spans="6:7">
      <c r="F858" s="92">
        <v>44972</v>
      </c>
      <c r="G858" s="93">
        <v>18015.85</v>
      </c>
    </row>
    <row r="859" ht="16.5" customHeight="1" spans="6:7">
      <c r="F859" s="92">
        <v>44971</v>
      </c>
      <c r="G859" s="93">
        <v>17929.85</v>
      </c>
    </row>
    <row r="860" ht="16.5" customHeight="1" spans="6:7">
      <c r="F860" s="92">
        <v>44970</v>
      </c>
      <c r="G860" s="93">
        <v>17770.9</v>
      </c>
    </row>
    <row r="861" ht="16.5" customHeight="1" spans="6:7">
      <c r="F861" s="92">
        <v>44967</v>
      </c>
      <c r="G861" s="93">
        <v>17856.5</v>
      </c>
    </row>
    <row r="862" ht="16.5" customHeight="1" spans="6:7">
      <c r="F862" s="92">
        <v>44966</v>
      </c>
      <c r="G862" s="93">
        <v>17893.45</v>
      </c>
    </row>
    <row r="863" ht="16.5" customHeight="1" spans="6:7">
      <c r="F863" s="92">
        <v>44965</v>
      </c>
      <c r="G863" s="93">
        <v>17871.7</v>
      </c>
    </row>
    <row r="864" ht="16.5" customHeight="1" spans="6:7">
      <c r="F864" s="92">
        <v>44964</v>
      </c>
      <c r="G864" s="93">
        <v>17721.5</v>
      </c>
    </row>
    <row r="865" ht="16.5" customHeight="1" spans="6:7">
      <c r="F865" s="92">
        <v>44963</v>
      </c>
      <c r="G865" s="93">
        <v>17764.6</v>
      </c>
    </row>
    <row r="866" ht="16.5" customHeight="1" spans="6:7">
      <c r="F866" s="92">
        <v>44960</v>
      </c>
      <c r="G866" s="93">
        <v>17854.05</v>
      </c>
    </row>
    <row r="867" ht="16.5" customHeight="1" spans="6:7">
      <c r="F867" s="92">
        <v>44959</v>
      </c>
      <c r="G867" s="93">
        <v>17610.4</v>
      </c>
    </row>
    <row r="868" ht="16.5" customHeight="1" spans="6:7">
      <c r="F868" s="92">
        <v>44958</v>
      </c>
      <c r="G868" s="93">
        <v>17616.3</v>
      </c>
    </row>
    <row r="869" ht="16.5" customHeight="1" spans="6:7">
      <c r="F869" s="92">
        <v>44957</v>
      </c>
      <c r="G869" s="93">
        <v>17662.15</v>
      </c>
    </row>
    <row r="870" ht="16.5" customHeight="1" spans="6:7">
      <c r="F870" s="92">
        <v>44956</v>
      </c>
      <c r="G870" s="93">
        <v>17648.95</v>
      </c>
    </row>
    <row r="871" ht="16.5" customHeight="1" spans="6:7">
      <c r="F871" s="92">
        <v>44953</v>
      </c>
      <c r="G871" s="93">
        <v>17604.35</v>
      </c>
    </row>
    <row r="872" ht="16.5" customHeight="1" spans="6:7">
      <c r="F872" s="92">
        <v>44951</v>
      </c>
      <c r="G872" s="93">
        <v>17891.95</v>
      </c>
    </row>
    <row r="873" ht="16.5" customHeight="1" spans="6:7">
      <c r="F873" s="92">
        <v>44950</v>
      </c>
      <c r="G873" s="93">
        <v>18118.3</v>
      </c>
    </row>
    <row r="874" ht="16.5" customHeight="1" spans="6:7">
      <c r="F874" s="92">
        <v>44949</v>
      </c>
      <c r="G874" s="93">
        <v>18118.55</v>
      </c>
    </row>
    <row r="875" ht="16.5" customHeight="1" spans="6:7">
      <c r="F875" s="92">
        <v>44946</v>
      </c>
      <c r="G875" s="93">
        <v>18027.65</v>
      </c>
    </row>
    <row r="876" ht="16.5" customHeight="1" spans="6:7">
      <c r="F876" s="92">
        <v>44945</v>
      </c>
      <c r="G876" s="93">
        <v>18107.85</v>
      </c>
    </row>
    <row r="877" ht="16.5" customHeight="1" spans="6:7">
      <c r="F877" s="92">
        <v>44944</v>
      </c>
      <c r="G877" s="93">
        <v>18165.35</v>
      </c>
    </row>
    <row r="878" ht="16.5" customHeight="1" spans="6:7">
      <c r="F878" s="92">
        <v>44943</v>
      </c>
      <c r="G878" s="93">
        <v>18053.3</v>
      </c>
    </row>
    <row r="879" ht="16.5" customHeight="1" spans="6:7">
      <c r="F879" s="92">
        <v>44942</v>
      </c>
      <c r="G879" s="93">
        <v>17894.85</v>
      </c>
    </row>
    <row r="880" ht="16.5" customHeight="1" spans="6:7">
      <c r="F880" s="92">
        <v>44939</v>
      </c>
      <c r="G880" s="93">
        <v>17956.6</v>
      </c>
    </row>
    <row r="881" ht="16.5" customHeight="1" spans="6:7">
      <c r="F881" s="92">
        <v>44938</v>
      </c>
      <c r="G881" s="93">
        <v>17858.2</v>
      </c>
    </row>
    <row r="882" ht="16.5" customHeight="1" spans="6:7">
      <c r="F882" s="92">
        <v>44937</v>
      </c>
      <c r="G882" s="93">
        <v>17895.7</v>
      </c>
    </row>
    <row r="883" ht="16.5" customHeight="1" spans="6:7">
      <c r="F883" s="92">
        <v>44936</v>
      </c>
      <c r="G883" s="93">
        <v>17914.15</v>
      </c>
    </row>
    <row r="884" ht="16.5" customHeight="1" spans="6:7">
      <c r="F884" s="92">
        <v>44935</v>
      </c>
      <c r="G884" s="93">
        <v>18101.2</v>
      </c>
    </row>
    <row r="885" ht="16.5" customHeight="1" spans="6:7">
      <c r="F885" s="92">
        <v>44932</v>
      </c>
      <c r="G885" s="93">
        <v>17859.45</v>
      </c>
    </row>
    <row r="886" ht="16.5" customHeight="1" spans="6:7">
      <c r="F886" s="92">
        <v>44931</v>
      </c>
      <c r="G886" s="93">
        <v>17992.15</v>
      </c>
    </row>
    <row r="887" ht="16.5" customHeight="1" spans="6:7">
      <c r="F887" s="92">
        <v>44930</v>
      </c>
      <c r="G887" s="93">
        <v>18042.95</v>
      </c>
    </row>
    <row r="888" ht="16.5" customHeight="1" spans="6:7">
      <c r="F888" s="92">
        <v>44929</v>
      </c>
      <c r="G888" s="93">
        <v>18232.55</v>
      </c>
    </row>
    <row r="889" ht="16.5" customHeight="1" spans="6:7">
      <c r="F889" s="92">
        <v>44928</v>
      </c>
      <c r="G889" s="93">
        <v>18197.45</v>
      </c>
    </row>
    <row r="890" ht="16.5" customHeight="1" spans="6:7">
      <c r="F890" s="92">
        <v>44925</v>
      </c>
      <c r="G890" s="93">
        <v>18105.3</v>
      </c>
    </row>
    <row r="891" ht="16.5" customHeight="1" spans="6:7">
      <c r="F891" s="92">
        <v>44924</v>
      </c>
      <c r="G891" s="93">
        <v>18191</v>
      </c>
    </row>
    <row r="892" ht="16.5" customHeight="1" spans="6:7">
      <c r="F892" s="92">
        <v>44923</v>
      </c>
      <c r="G892" s="93">
        <v>18122.5</v>
      </c>
    </row>
    <row r="893" ht="16.5" customHeight="1" spans="6:7">
      <c r="F893" s="92">
        <v>44922</v>
      </c>
      <c r="G893" s="93">
        <v>18132.3</v>
      </c>
    </row>
    <row r="894" ht="16.5" customHeight="1" spans="6:7">
      <c r="F894" s="92">
        <v>44921</v>
      </c>
      <c r="G894" s="93">
        <v>18014.6</v>
      </c>
    </row>
    <row r="895" ht="16.5" customHeight="1" spans="6:7">
      <c r="F895" s="92">
        <v>44918</v>
      </c>
      <c r="G895" s="93">
        <v>17806.8</v>
      </c>
    </row>
    <row r="896" ht="16.5" customHeight="1" spans="6:7">
      <c r="F896" s="92">
        <v>44917</v>
      </c>
      <c r="G896" s="93">
        <v>18127.35</v>
      </c>
    </row>
    <row r="897" ht="16.5" customHeight="1" spans="6:7">
      <c r="F897" s="92">
        <v>44916</v>
      </c>
      <c r="G897" s="93">
        <v>18199.1</v>
      </c>
    </row>
    <row r="898" ht="16.5" customHeight="1" spans="6:7">
      <c r="F898" s="92">
        <v>44915</v>
      </c>
      <c r="G898" s="93">
        <v>18385.3</v>
      </c>
    </row>
    <row r="899" ht="16.5" customHeight="1" spans="6:7">
      <c r="F899" s="92">
        <v>44914</v>
      </c>
      <c r="G899" s="93">
        <v>18420.45</v>
      </c>
    </row>
    <row r="900" ht="16.5" customHeight="1" spans="6:7">
      <c r="F900" s="92">
        <v>44911</v>
      </c>
      <c r="G900" s="93">
        <v>18269</v>
      </c>
    </row>
    <row r="901" ht="16.5" customHeight="1" spans="6:7">
      <c r="F901" s="92">
        <v>44910</v>
      </c>
      <c r="G901" s="93">
        <v>18414.9</v>
      </c>
    </row>
    <row r="902" ht="16.5" customHeight="1" spans="6:7">
      <c r="F902" s="92">
        <v>44909</v>
      </c>
      <c r="G902" s="93">
        <v>18660.3</v>
      </c>
    </row>
    <row r="903" ht="16.5" customHeight="1" spans="6:7">
      <c r="F903" s="92">
        <v>44908</v>
      </c>
      <c r="G903" s="93">
        <v>18608</v>
      </c>
    </row>
    <row r="904" ht="16.5" customHeight="1" spans="6:7">
      <c r="F904" s="92">
        <v>44907</v>
      </c>
      <c r="G904" s="93">
        <v>18497.15</v>
      </c>
    </row>
    <row r="905" ht="16.5" customHeight="1" spans="6:7">
      <c r="F905" s="92">
        <v>44904</v>
      </c>
      <c r="G905" s="93">
        <v>18496.6</v>
      </c>
    </row>
    <row r="906" ht="16.5" customHeight="1" spans="6:7">
      <c r="F906" s="92">
        <v>44903</v>
      </c>
      <c r="G906" s="93">
        <v>18609.35</v>
      </c>
    </row>
    <row r="907" ht="16.5" customHeight="1" spans="6:7">
      <c r="F907" s="92">
        <v>44902</v>
      </c>
      <c r="G907" s="93">
        <v>18560.5</v>
      </c>
    </row>
    <row r="908" ht="16.5" customHeight="1" spans="6:7">
      <c r="F908" s="92">
        <v>44901</v>
      </c>
      <c r="G908" s="93">
        <v>18642.75</v>
      </c>
    </row>
    <row r="909" ht="16.5" customHeight="1" spans="6:7">
      <c r="F909" s="92">
        <v>44900</v>
      </c>
      <c r="G909" s="93">
        <v>18701.05</v>
      </c>
    </row>
    <row r="910" ht="16.5" customHeight="1" spans="6:7">
      <c r="F910" s="92">
        <v>44897</v>
      </c>
      <c r="G910" s="93">
        <v>18696.1</v>
      </c>
    </row>
    <row r="911" ht="16.5" customHeight="1" spans="6:7">
      <c r="F911" s="92">
        <v>44896</v>
      </c>
      <c r="G911" s="93">
        <v>18812.5</v>
      </c>
    </row>
    <row r="912" ht="16.5" customHeight="1" spans="6:7">
      <c r="F912" s="92">
        <v>44895</v>
      </c>
      <c r="G912" s="93">
        <v>18758.35</v>
      </c>
    </row>
    <row r="913" ht="16.5" customHeight="1" spans="6:7">
      <c r="F913" s="92">
        <v>44894</v>
      </c>
      <c r="G913" s="93">
        <v>18618.05</v>
      </c>
    </row>
    <row r="914" ht="16.5" customHeight="1" spans="6:7">
      <c r="F914" s="92">
        <v>44893</v>
      </c>
      <c r="G914" s="93">
        <v>18562.75</v>
      </c>
    </row>
    <row r="915" ht="16.5" customHeight="1" spans="6:7">
      <c r="F915" s="92">
        <v>44890</v>
      </c>
      <c r="G915" s="93">
        <v>18512.75</v>
      </c>
    </row>
    <row r="916" ht="16.5" customHeight="1" spans="6:7">
      <c r="F916" s="92">
        <v>44889</v>
      </c>
      <c r="G916" s="93">
        <v>18484.1</v>
      </c>
    </row>
    <row r="917" ht="16.5" customHeight="1" spans="6:7">
      <c r="F917" s="92">
        <v>44888</v>
      </c>
      <c r="G917" s="93">
        <v>18267.25</v>
      </c>
    </row>
    <row r="918" ht="16.5" customHeight="1" spans="6:7">
      <c r="F918" s="92">
        <v>44887</v>
      </c>
      <c r="G918" s="93">
        <v>18244.2</v>
      </c>
    </row>
    <row r="919" ht="16.5" customHeight="1" spans="6:7">
      <c r="F919" s="92">
        <v>44886</v>
      </c>
      <c r="G919" s="93">
        <v>18159.95</v>
      </c>
    </row>
    <row r="920" ht="16.5" customHeight="1" spans="6:7">
      <c r="F920" s="92">
        <v>44883</v>
      </c>
      <c r="G920" s="93">
        <v>18307.65</v>
      </c>
    </row>
    <row r="921" ht="16.5" customHeight="1" spans="6:7">
      <c r="F921" s="92">
        <v>44882</v>
      </c>
      <c r="G921" s="93">
        <v>18343.9</v>
      </c>
    </row>
    <row r="922" ht="16.5" customHeight="1" spans="6:7">
      <c r="F922" s="92">
        <v>44881</v>
      </c>
      <c r="G922" s="93">
        <v>18409.65</v>
      </c>
    </row>
    <row r="923" ht="16.5" customHeight="1" spans="6:7">
      <c r="F923" s="92">
        <v>44880</v>
      </c>
      <c r="G923" s="93">
        <v>18403.4</v>
      </c>
    </row>
    <row r="924" ht="16.5" customHeight="1" spans="6:7">
      <c r="F924" s="92">
        <v>44879</v>
      </c>
      <c r="G924" s="93">
        <v>18329.15</v>
      </c>
    </row>
    <row r="925" ht="16.5" customHeight="1" spans="6:7">
      <c r="F925" s="92">
        <v>44876</v>
      </c>
      <c r="G925" s="93">
        <v>18349.7</v>
      </c>
    </row>
    <row r="926" ht="16.5" customHeight="1" spans="6:7">
      <c r="F926" s="92">
        <v>44875</v>
      </c>
      <c r="G926" s="93">
        <v>18028.2</v>
      </c>
    </row>
    <row r="927" ht="16.5" customHeight="1" spans="6:7">
      <c r="F927" s="92">
        <v>44874</v>
      </c>
      <c r="G927" s="93">
        <v>18157</v>
      </c>
    </row>
    <row r="928" ht="16.5" customHeight="1" spans="6:7">
      <c r="F928" s="92">
        <v>44872</v>
      </c>
      <c r="G928" s="93">
        <v>18202.8</v>
      </c>
    </row>
    <row r="929" ht="16.5" customHeight="1" spans="6:7">
      <c r="F929" s="92">
        <v>44869</v>
      </c>
      <c r="G929" s="93">
        <v>18117.15</v>
      </c>
    </row>
    <row r="930" ht="16.5" customHeight="1" spans="6:7">
      <c r="F930" s="92">
        <v>44868</v>
      </c>
      <c r="G930" s="93">
        <v>18052.7</v>
      </c>
    </row>
    <row r="931" ht="16.5" customHeight="1" spans="6:7">
      <c r="F931" s="92">
        <v>44867</v>
      </c>
      <c r="G931" s="93">
        <v>18082.85</v>
      </c>
    </row>
    <row r="932" ht="16.5" customHeight="1" spans="6:7">
      <c r="F932" s="92">
        <v>44866</v>
      </c>
      <c r="G932" s="93">
        <v>18145.4</v>
      </c>
    </row>
    <row r="933" ht="16.5" customHeight="1" spans="6:7">
      <c r="F933" s="92">
        <v>44865</v>
      </c>
      <c r="G933" s="93">
        <v>18012.2</v>
      </c>
    </row>
    <row r="934" ht="16.5" customHeight="1" spans="6:7">
      <c r="F934" s="92">
        <v>44862</v>
      </c>
      <c r="G934" s="93">
        <v>17786.8</v>
      </c>
    </row>
    <row r="935" ht="16.5" customHeight="1" spans="6:7">
      <c r="F935" s="92">
        <v>44861</v>
      </c>
      <c r="G935" s="93">
        <v>17736.95</v>
      </c>
    </row>
    <row r="936" ht="16.5" customHeight="1" spans="6:7">
      <c r="F936" s="92">
        <v>44859</v>
      </c>
      <c r="G936" s="93">
        <v>17656.35</v>
      </c>
    </row>
    <row r="937" ht="16.5" customHeight="1" spans="6:7">
      <c r="F937" s="92">
        <v>44858</v>
      </c>
      <c r="G937" s="93">
        <v>17730.75</v>
      </c>
    </row>
    <row r="938" ht="16.5" customHeight="1" spans="6:7">
      <c r="F938" s="92">
        <v>44855</v>
      </c>
      <c r="G938" s="93">
        <v>17576.3</v>
      </c>
    </row>
    <row r="939" ht="16.5" customHeight="1" spans="6:7">
      <c r="F939" s="92">
        <v>44854</v>
      </c>
      <c r="G939" s="93">
        <v>17563.95</v>
      </c>
    </row>
    <row r="940" ht="16.5" customHeight="1" spans="6:7">
      <c r="F940" s="92">
        <v>44853</v>
      </c>
      <c r="G940" s="93">
        <v>17512.25</v>
      </c>
    </row>
    <row r="941" ht="16.5" customHeight="1" spans="6:7">
      <c r="F941" s="92">
        <v>44852</v>
      </c>
      <c r="G941" s="93">
        <v>17486.95</v>
      </c>
    </row>
    <row r="942" ht="16.5" customHeight="1" spans="6:7">
      <c r="F942" s="92">
        <v>44851</v>
      </c>
      <c r="G942" s="93">
        <v>17311.8</v>
      </c>
    </row>
    <row r="943" ht="16.5" customHeight="1" spans="6:7">
      <c r="F943" s="92">
        <v>44848</v>
      </c>
      <c r="G943" s="93">
        <v>17185.7</v>
      </c>
    </row>
    <row r="944" ht="16.5" customHeight="1" spans="6:7">
      <c r="F944" s="92">
        <v>44847</v>
      </c>
      <c r="G944" s="93">
        <v>17014.35</v>
      </c>
    </row>
    <row r="945" ht="16.5" customHeight="1" spans="6:7">
      <c r="F945" s="92">
        <v>44846</v>
      </c>
      <c r="G945" s="93">
        <v>17123.6</v>
      </c>
    </row>
    <row r="946" ht="16.5" customHeight="1" spans="6:7">
      <c r="F946" s="92">
        <v>44845</v>
      </c>
      <c r="G946" s="93">
        <v>16983.55</v>
      </c>
    </row>
    <row r="947" ht="16.5" customHeight="1" spans="6:7">
      <c r="F947" s="92">
        <v>44844</v>
      </c>
      <c r="G947" s="93">
        <v>17241</v>
      </c>
    </row>
    <row r="948" ht="16.5" customHeight="1" spans="6:7">
      <c r="F948" s="92">
        <v>44841</v>
      </c>
      <c r="G948" s="93">
        <v>17314.65</v>
      </c>
    </row>
    <row r="949" ht="16.5" customHeight="1" spans="6:7">
      <c r="F949" s="92">
        <v>44840</v>
      </c>
      <c r="G949" s="93">
        <v>17331.8</v>
      </c>
    </row>
    <row r="950" ht="16.5" customHeight="1" spans="6:7">
      <c r="F950" s="92">
        <v>44838</v>
      </c>
      <c r="G950" s="93">
        <v>17274.3</v>
      </c>
    </row>
    <row r="951" ht="16.5" customHeight="1" spans="6:7">
      <c r="F951" s="92">
        <v>44837</v>
      </c>
      <c r="G951" s="93">
        <v>16887.35</v>
      </c>
    </row>
    <row r="952" ht="16.5" customHeight="1" spans="6:7">
      <c r="F952" s="92">
        <v>44834</v>
      </c>
      <c r="G952" s="93">
        <v>17094.35</v>
      </c>
    </row>
    <row r="953" ht="16.5" customHeight="1" spans="6:7">
      <c r="F953" s="92">
        <v>44833</v>
      </c>
      <c r="G953" s="93">
        <v>16818.1</v>
      </c>
    </row>
    <row r="954" ht="16.5" customHeight="1" spans="6:7">
      <c r="F954" s="92">
        <v>44832</v>
      </c>
      <c r="G954" s="93">
        <v>16858.6</v>
      </c>
    </row>
    <row r="955" ht="16.5" customHeight="1" spans="6:7">
      <c r="F955" s="92">
        <v>44831</v>
      </c>
      <c r="G955" s="93">
        <v>17007.4</v>
      </c>
    </row>
    <row r="956" ht="16.5" customHeight="1" spans="6:7">
      <c r="F956" s="92">
        <v>44830</v>
      </c>
      <c r="G956" s="93">
        <v>17016.3</v>
      </c>
    </row>
    <row r="957" ht="16.5" customHeight="1" spans="6:7">
      <c r="F957" s="92">
        <v>44827</v>
      </c>
      <c r="G957" s="93">
        <v>17327.35</v>
      </c>
    </row>
    <row r="958" ht="16.5" customHeight="1" spans="6:7">
      <c r="F958" s="92">
        <v>44826</v>
      </c>
      <c r="G958" s="93">
        <v>17629.8</v>
      </c>
    </row>
    <row r="959" ht="16.5" customHeight="1" spans="6:7">
      <c r="F959" s="92">
        <v>44825</v>
      </c>
      <c r="G959" s="93">
        <v>17718.35</v>
      </c>
    </row>
    <row r="960" ht="16.5" customHeight="1" spans="6:7">
      <c r="F960" s="92">
        <v>44824</v>
      </c>
      <c r="G960" s="93">
        <v>17816.25</v>
      </c>
    </row>
    <row r="961" ht="16.5" customHeight="1" spans="6:7">
      <c r="F961" s="92">
        <v>44823</v>
      </c>
      <c r="G961" s="93">
        <v>17622.25</v>
      </c>
    </row>
    <row r="962" ht="16.5" customHeight="1" spans="6:7">
      <c r="F962" s="92">
        <v>44820</v>
      </c>
      <c r="G962" s="93">
        <v>17530.85</v>
      </c>
    </row>
    <row r="963" ht="16.5" customHeight="1" spans="6:7">
      <c r="F963" s="92">
        <v>44819</v>
      </c>
      <c r="G963" s="93">
        <v>17877.4</v>
      </c>
    </row>
    <row r="964" ht="16.5" customHeight="1" spans="6:7">
      <c r="F964" s="92">
        <v>44818</v>
      </c>
      <c r="G964" s="93">
        <v>18003.75</v>
      </c>
    </row>
    <row r="965" ht="16.5" customHeight="1" spans="6:7">
      <c r="F965" s="92">
        <v>44817</v>
      </c>
      <c r="G965" s="93">
        <v>18070.05</v>
      </c>
    </row>
    <row r="966" ht="16.5" customHeight="1" spans="6:7">
      <c r="F966" s="92">
        <v>44816</v>
      </c>
      <c r="G966" s="93">
        <v>17936.35</v>
      </c>
    </row>
    <row r="967" ht="16.5" customHeight="1" spans="6:7">
      <c r="F967" s="92">
        <v>44813</v>
      </c>
      <c r="G967" s="93">
        <v>17833.35</v>
      </c>
    </row>
    <row r="968" ht="16.5" customHeight="1" spans="6:7">
      <c r="F968" s="92">
        <v>44812</v>
      </c>
      <c r="G968" s="93">
        <v>17798.75</v>
      </c>
    </row>
    <row r="969" ht="16.5" customHeight="1" spans="6:7">
      <c r="F969" s="92">
        <v>44811</v>
      </c>
      <c r="G969" s="93">
        <v>17624.4</v>
      </c>
    </row>
    <row r="970" ht="16.5" customHeight="1" spans="6:7">
      <c r="F970" s="92">
        <v>44810</v>
      </c>
      <c r="G970" s="93">
        <v>17655.6</v>
      </c>
    </row>
    <row r="971" ht="16.5" customHeight="1" spans="6:7">
      <c r="F971" s="92">
        <v>44809</v>
      </c>
      <c r="G971" s="93">
        <v>17665.8</v>
      </c>
    </row>
    <row r="972" ht="16.5" customHeight="1" spans="6:7">
      <c r="F972" s="92">
        <v>44806</v>
      </c>
      <c r="G972" s="93">
        <v>17539.45</v>
      </c>
    </row>
    <row r="973" ht="16.5" customHeight="1" spans="6:7">
      <c r="F973" s="92">
        <v>44805</v>
      </c>
      <c r="G973" s="93">
        <v>17542.8</v>
      </c>
    </row>
    <row r="974" ht="16.5" customHeight="1" spans="6:7">
      <c r="F974" s="92">
        <v>44803</v>
      </c>
      <c r="G974" s="93">
        <v>17759.3</v>
      </c>
    </row>
    <row r="975" ht="16.5" customHeight="1" spans="6:7">
      <c r="F975" s="92">
        <v>44802</v>
      </c>
      <c r="G975" s="93">
        <v>17312.9</v>
      </c>
    </row>
    <row r="976" ht="16.5" customHeight="1" spans="6:7">
      <c r="F976" s="92">
        <v>44799</v>
      </c>
      <c r="G976" s="93">
        <v>17558.9</v>
      </c>
    </row>
    <row r="977" ht="16.5" customHeight="1" spans="6:7">
      <c r="F977" s="92">
        <v>44798</v>
      </c>
      <c r="G977" s="93">
        <v>17522.45</v>
      </c>
    </row>
    <row r="978" ht="16.5" customHeight="1" spans="6:7">
      <c r="F978" s="92">
        <v>44797</v>
      </c>
      <c r="G978" s="93">
        <v>17604.95</v>
      </c>
    </row>
    <row r="979" ht="16.5" customHeight="1" spans="6:7">
      <c r="F979" s="92">
        <v>44796</v>
      </c>
      <c r="G979" s="93">
        <v>17577.5</v>
      </c>
    </row>
    <row r="980" ht="16.5" customHeight="1" spans="6:7">
      <c r="F980" s="92">
        <v>44795</v>
      </c>
      <c r="G980" s="93">
        <v>17490.7</v>
      </c>
    </row>
    <row r="981" ht="16.5" customHeight="1" spans="6:7">
      <c r="F981" s="92">
        <v>44792</v>
      </c>
      <c r="G981" s="93">
        <v>17758.45</v>
      </c>
    </row>
    <row r="982" ht="16.5" customHeight="1" spans="6:7">
      <c r="F982" s="92">
        <v>44791</v>
      </c>
      <c r="G982" s="93">
        <v>17956.5</v>
      </c>
    </row>
    <row r="983" ht="16.5" customHeight="1" spans="6:7">
      <c r="F983" s="92">
        <v>44790</v>
      </c>
      <c r="G983" s="93">
        <v>17944.25</v>
      </c>
    </row>
    <row r="984" ht="16.5" customHeight="1" spans="6:7">
      <c r="F984" s="92">
        <v>44789</v>
      </c>
      <c r="G984" s="93">
        <v>17825.25</v>
      </c>
    </row>
    <row r="985" ht="16.5" customHeight="1" spans="6:7">
      <c r="F985" s="92">
        <v>44785</v>
      </c>
      <c r="G985" s="93">
        <v>17698.15</v>
      </c>
    </row>
    <row r="986" ht="16.5" customHeight="1" spans="6:7">
      <c r="F986" s="92">
        <v>44784</v>
      </c>
      <c r="G986" s="93">
        <v>17659</v>
      </c>
    </row>
    <row r="987" ht="16.5" customHeight="1" spans="6:7">
      <c r="F987" s="92">
        <v>44783</v>
      </c>
      <c r="G987" s="93">
        <v>17534.75</v>
      </c>
    </row>
    <row r="988" ht="16.5" customHeight="1" spans="6:7">
      <c r="F988" s="92">
        <v>44781</v>
      </c>
      <c r="G988" s="93">
        <v>17525.1</v>
      </c>
    </row>
    <row r="989" ht="16.5" customHeight="1" spans="6:7">
      <c r="F989" s="92">
        <v>44778</v>
      </c>
      <c r="G989" s="93">
        <v>17397.5</v>
      </c>
    </row>
    <row r="990" ht="16.5" customHeight="1" spans="6:7">
      <c r="F990" s="92">
        <v>44777</v>
      </c>
      <c r="G990" s="93">
        <v>17382</v>
      </c>
    </row>
    <row r="991" ht="16.5" customHeight="1" spans="6:7">
      <c r="F991" s="92">
        <v>44776</v>
      </c>
      <c r="G991" s="93">
        <v>17388.15</v>
      </c>
    </row>
    <row r="992" ht="16.5" customHeight="1" spans="6:7">
      <c r="F992" s="92">
        <v>44775</v>
      </c>
      <c r="G992" s="93">
        <v>17345.45</v>
      </c>
    </row>
    <row r="993" ht="16.5" customHeight="1" spans="6:7">
      <c r="F993" s="92">
        <v>44774</v>
      </c>
      <c r="G993" s="93">
        <v>17340.05</v>
      </c>
    </row>
    <row r="994" ht="16.5" customHeight="1" spans="6:7">
      <c r="F994" s="92">
        <v>44771</v>
      </c>
      <c r="G994" s="93">
        <v>17158.25</v>
      </c>
    </row>
    <row r="995" ht="16.5" customHeight="1" spans="6:7">
      <c r="F995" s="92">
        <v>44770</v>
      </c>
      <c r="G995" s="93">
        <v>16929.6</v>
      </c>
    </row>
    <row r="996" ht="16.5" customHeight="1" spans="6:7">
      <c r="F996" s="92">
        <v>44769</v>
      </c>
      <c r="G996" s="93">
        <v>16641.8</v>
      </c>
    </row>
    <row r="997" ht="16.5" customHeight="1" spans="6:7">
      <c r="F997" s="92">
        <v>44768</v>
      </c>
      <c r="G997" s="93">
        <v>16483.85</v>
      </c>
    </row>
    <row r="998" ht="16.5" customHeight="1" spans="6:7">
      <c r="F998" s="92">
        <v>44767</v>
      </c>
      <c r="G998" s="93">
        <v>16631</v>
      </c>
    </row>
    <row r="999" ht="16.5" customHeight="1" spans="6:7">
      <c r="F999" s="92">
        <v>44764</v>
      </c>
      <c r="G999" s="93">
        <v>16719.45</v>
      </c>
    </row>
    <row r="1000" ht="16.5" customHeight="1" spans="6:7">
      <c r="F1000" s="92">
        <v>44763</v>
      </c>
      <c r="G1000" s="93">
        <v>16605.25</v>
      </c>
    </row>
    <row r="1001" ht="16.5" customHeight="1" spans="6:7">
      <c r="F1001" s="92">
        <v>44762</v>
      </c>
      <c r="G1001" s="93">
        <v>16520.85</v>
      </c>
    </row>
    <row r="1002" ht="16.5" customHeight="1" spans="6:7">
      <c r="F1002" s="92">
        <v>44761</v>
      </c>
      <c r="G1002" s="93">
        <v>16340.55</v>
      </c>
    </row>
    <row r="1003" ht="16.5" customHeight="1" spans="6:7">
      <c r="F1003" s="92">
        <v>44760</v>
      </c>
      <c r="G1003" s="93">
        <v>16278.5</v>
      </c>
    </row>
    <row r="1004" ht="16.5" customHeight="1" spans="6:7">
      <c r="F1004" s="92">
        <v>44757</v>
      </c>
      <c r="G1004" s="93">
        <v>16049.2</v>
      </c>
    </row>
    <row r="1005" ht="16.5" customHeight="1" spans="6:7">
      <c r="F1005" s="92">
        <v>44756</v>
      </c>
      <c r="G1005" s="93">
        <v>15938.65</v>
      </c>
    </row>
    <row r="1006" ht="16.5" customHeight="1" spans="6:7">
      <c r="F1006" s="92">
        <v>44755</v>
      </c>
      <c r="G1006" s="93">
        <v>15966.65</v>
      </c>
    </row>
    <row r="1007" ht="16.5" customHeight="1" spans="6:7">
      <c r="F1007" s="92">
        <v>44754</v>
      </c>
      <c r="G1007" s="93">
        <v>16058.3</v>
      </c>
    </row>
    <row r="1008" ht="16.5" customHeight="1" spans="6:7">
      <c r="F1008" s="92">
        <v>44753</v>
      </c>
      <c r="G1008" s="93">
        <v>16216</v>
      </c>
    </row>
    <row r="1009" ht="16.5" customHeight="1" spans="6:7">
      <c r="F1009" s="92">
        <v>44750</v>
      </c>
      <c r="G1009" s="93">
        <v>16220.6</v>
      </c>
    </row>
    <row r="1010" ht="16.5" customHeight="1" spans="6:7">
      <c r="F1010" s="92">
        <v>44749</v>
      </c>
      <c r="G1010" s="93">
        <v>16132.9</v>
      </c>
    </row>
    <row r="1011" ht="16.5" customHeight="1" spans="6:7">
      <c r="F1011" s="92">
        <v>44748</v>
      </c>
      <c r="G1011" s="93">
        <v>15989.8</v>
      </c>
    </row>
    <row r="1012" ht="16.5" customHeight="1" spans="6:7">
      <c r="F1012" s="92">
        <v>44747</v>
      </c>
      <c r="G1012" s="93">
        <v>15810.85</v>
      </c>
    </row>
    <row r="1013" ht="16.5" customHeight="1" spans="6:7">
      <c r="F1013" s="92">
        <v>44746</v>
      </c>
      <c r="G1013" s="93">
        <v>15835.35</v>
      </c>
    </row>
    <row r="1014" ht="16.5" customHeight="1" spans="6:7">
      <c r="F1014" s="92">
        <v>44743</v>
      </c>
      <c r="G1014" s="93">
        <v>15752.05</v>
      </c>
    </row>
    <row r="1015" ht="16.5" customHeight="1" spans="6:7">
      <c r="F1015" s="92">
        <v>44742</v>
      </c>
      <c r="G1015" s="93">
        <v>15780.25</v>
      </c>
    </row>
    <row r="1016" ht="16.5" customHeight="1" spans="6:7">
      <c r="F1016" s="92">
        <v>44741</v>
      </c>
      <c r="G1016" s="93">
        <v>15799.1</v>
      </c>
    </row>
    <row r="1017" ht="16.5" customHeight="1" spans="6:7">
      <c r="F1017" s="92">
        <v>44740</v>
      </c>
      <c r="G1017" s="93">
        <v>15850.2</v>
      </c>
    </row>
    <row r="1018" ht="16.5" customHeight="1" spans="6:7">
      <c r="F1018" s="92">
        <v>44739</v>
      </c>
      <c r="G1018" s="93">
        <v>15832.05</v>
      </c>
    </row>
    <row r="1019" ht="16.5" customHeight="1" spans="6:7">
      <c r="F1019" s="92">
        <v>44736</v>
      </c>
      <c r="G1019" s="93">
        <v>15699.25</v>
      </c>
    </row>
    <row r="1020" ht="16.5" customHeight="1" spans="6:7">
      <c r="F1020" s="92">
        <v>44735</v>
      </c>
      <c r="G1020" s="93">
        <v>15556.65</v>
      </c>
    </row>
    <row r="1021" ht="16.5" customHeight="1" spans="6:7">
      <c r="F1021" s="92">
        <v>44734</v>
      </c>
      <c r="G1021" s="93">
        <v>15413.3</v>
      </c>
    </row>
    <row r="1022" ht="16.5" customHeight="1" spans="6:7">
      <c r="F1022" s="92">
        <v>44733</v>
      </c>
      <c r="G1022" s="93">
        <v>15638.8</v>
      </c>
    </row>
    <row r="1023" ht="16.5" customHeight="1" spans="6:7">
      <c r="F1023" s="92">
        <v>44732</v>
      </c>
      <c r="G1023" s="93">
        <v>15350.15</v>
      </c>
    </row>
    <row r="1024" ht="16.5" customHeight="1" spans="6:7">
      <c r="F1024" s="92">
        <v>44729</v>
      </c>
      <c r="G1024" s="93">
        <v>15293.5</v>
      </c>
    </row>
    <row r="1025" ht="16.5" customHeight="1" spans="6:7">
      <c r="F1025" s="92">
        <v>44728</v>
      </c>
      <c r="G1025" s="93">
        <v>15360.6</v>
      </c>
    </row>
    <row r="1026" ht="16.5" customHeight="1" spans="6:7">
      <c r="F1026" s="92">
        <v>44727</v>
      </c>
      <c r="G1026" s="93">
        <v>15692.15</v>
      </c>
    </row>
    <row r="1027" ht="16.5" customHeight="1" spans="6:7">
      <c r="F1027" s="92">
        <v>44726</v>
      </c>
      <c r="G1027" s="93">
        <v>15732.1</v>
      </c>
    </row>
    <row r="1028" ht="16.5" customHeight="1" spans="6:7">
      <c r="F1028" s="92">
        <v>44725</v>
      </c>
      <c r="G1028" s="93">
        <v>15774.4</v>
      </c>
    </row>
    <row r="1029" ht="16.5" customHeight="1" spans="6:7">
      <c r="F1029" s="92">
        <v>44722</v>
      </c>
      <c r="G1029" s="93">
        <v>16201.8</v>
      </c>
    </row>
    <row r="1030" ht="16.5" customHeight="1" spans="6:7">
      <c r="F1030" s="92">
        <v>44721</v>
      </c>
      <c r="G1030" s="93">
        <v>16478.1</v>
      </c>
    </row>
    <row r="1031" ht="16.5" customHeight="1" spans="6:7">
      <c r="F1031" s="92">
        <v>44720</v>
      </c>
      <c r="G1031" s="93">
        <v>16356.25</v>
      </c>
    </row>
    <row r="1032" ht="16.5" customHeight="1" spans="6:7">
      <c r="F1032" s="92">
        <v>44719</v>
      </c>
      <c r="G1032" s="93">
        <v>16416.35</v>
      </c>
    </row>
    <row r="1033" ht="16.5" customHeight="1" spans="6:7">
      <c r="F1033" s="92">
        <v>44718</v>
      </c>
      <c r="G1033" s="93">
        <v>16569.55</v>
      </c>
    </row>
    <row r="1034" ht="16.5" customHeight="1" spans="6:7">
      <c r="F1034" s="92">
        <v>44715</v>
      </c>
      <c r="G1034" s="93">
        <v>16584.3</v>
      </c>
    </row>
    <row r="1035" ht="16.5" customHeight="1" spans="6:7">
      <c r="F1035" s="92">
        <v>44714</v>
      </c>
      <c r="G1035" s="93">
        <v>16628</v>
      </c>
    </row>
    <row r="1036" ht="16.5" customHeight="1" spans="6:7">
      <c r="F1036" s="92">
        <v>44713</v>
      </c>
      <c r="G1036" s="93">
        <v>16522.75</v>
      </c>
    </row>
    <row r="1037" ht="16.5" customHeight="1" spans="6:7">
      <c r="F1037" s="92">
        <v>44712</v>
      </c>
      <c r="G1037" s="93">
        <v>16584.55</v>
      </c>
    </row>
    <row r="1038" ht="16.5" customHeight="1" spans="6:7">
      <c r="F1038" s="92">
        <v>44711</v>
      </c>
      <c r="G1038" s="93">
        <v>16661.4</v>
      </c>
    </row>
    <row r="1039" ht="16.5" customHeight="1" spans="6:7">
      <c r="F1039" s="92">
        <v>44708</v>
      </c>
      <c r="G1039" s="93">
        <v>16352.45</v>
      </c>
    </row>
    <row r="1040" ht="16.5" customHeight="1" spans="6:7">
      <c r="F1040" s="92">
        <v>44707</v>
      </c>
      <c r="G1040" s="93">
        <v>16170.15</v>
      </c>
    </row>
    <row r="1041" ht="16.5" customHeight="1" spans="6:7">
      <c r="F1041" s="92">
        <v>44706</v>
      </c>
      <c r="G1041" s="93">
        <v>16025.8</v>
      </c>
    </row>
    <row r="1042" ht="16.5" customHeight="1" spans="6:7">
      <c r="F1042" s="92">
        <v>44705</v>
      </c>
      <c r="G1042" s="93">
        <v>16125.15</v>
      </c>
    </row>
    <row r="1043" ht="16.5" customHeight="1" spans="6:7">
      <c r="F1043" s="92">
        <v>44704</v>
      </c>
      <c r="G1043" s="93">
        <v>16214.7</v>
      </c>
    </row>
    <row r="1044" ht="16.5" customHeight="1" spans="6:7">
      <c r="F1044" s="92">
        <v>44701</v>
      </c>
      <c r="G1044" s="93">
        <v>16266.15</v>
      </c>
    </row>
    <row r="1045" ht="16.5" customHeight="1" spans="6:7">
      <c r="F1045" s="92">
        <v>44700</v>
      </c>
      <c r="G1045" s="93">
        <v>15809.4</v>
      </c>
    </row>
    <row r="1046" ht="16.5" customHeight="1" spans="6:7">
      <c r="F1046" s="92">
        <v>44699</v>
      </c>
      <c r="G1046" s="93">
        <v>16240.3</v>
      </c>
    </row>
    <row r="1047" ht="16.5" customHeight="1" spans="6:7">
      <c r="F1047" s="92">
        <v>44698</v>
      </c>
      <c r="G1047" s="93">
        <v>16259.3</v>
      </c>
    </row>
    <row r="1048" ht="16.5" customHeight="1" spans="6:7">
      <c r="F1048" s="92">
        <v>44697</v>
      </c>
      <c r="G1048" s="93">
        <v>15842.3</v>
      </c>
    </row>
    <row r="1049" ht="16.5" customHeight="1" spans="6:7">
      <c r="F1049" s="92">
        <v>44694</v>
      </c>
      <c r="G1049" s="93">
        <v>15782.15</v>
      </c>
    </row>
    <row r="1050" ht="16.5" customHeight="1" spans="6:7">
      <c r="F1050" s="92">
        <v>44693</v>
      </c>
      <c r="G1050" s="93">
        <v>15808</v>
      </c>
    </row>
    <row r="1051" ht="16.5" customHeight="1" spans="6:7">
      <c r="F1051" s="92">
        <v>44692</v>
      </c>
      <c r="G1051" s="93">
        <v>16167.1</v>
      </c>
    </row>
    <row r="1052" ht="16.5" customHeight="1" spans="6:7">
      <c r="F1052" s="92">
        <v>44691</v>
      </c>
      <c r="G1052" s="93">
        <v>16240.05</v>
      </c>
    </row>
    <row r="1053" ht="16.5" customHeight="1" spans="6:7">
      <c r="F1053" s="92">
        <v>44690</v>
      </c>
      <c r="G1053" s="93">
        <v>16301.85</v>
      </c>
    </row>
    <row r="1054" ht="16.5" customHeight="1" spans="6:7">
      <c r="F1054" s="92">
        <v>44687</v>
      </c>
      <c r="G1054" s="93">
        <v>16411.25</v>
      </c>
    </row>
    <row r="1055" ht="16.5" customHeight="1" spans="6:7">
      <c r="F1055" s="92">
        <v>44686</v>
      </c>
      <c r="G1055" s="93">
        <v>16682.65</v>
      </c>
    </row>
    <row r="1056" ht="16.5" customHeight="1" spans="6:7">
      <c r="F1056" s="92">
        <v>44685</v>
      </c>
      <c r="G1056" s="93">
        <v>16677.6</v>
      </c>
    </row>
    <row r="1057" ht="16.5" customHeight="1" spans="6:7">
      <c r="F1057" s="92">
        <v>44683</v>
      </c>
      <c r="G1057" s="93">
        <v>17069.1</v>
      </c>
    </row>
    <row r="1058" ht="16.5" customHeight="1" spans="6:7">
      <c r="F1058" s="92">
        <v>44680</v>
      </c>
      <c r="G1058" s="93">
        <v>17102.55</v>
      </c>
    </row>
    <row r="1059" ht="16.5" customHeight="1" spans="6:7">
      <c r="F1059" s="92">
        <v>44679</v>
      </c>
      <c r="G1059" s="93">
        <v>17245.05</v>
      </c>
    </row>
    <row r="1060" ht="16.5" customHeight="1" spans="6:7">
      <c r="F1060" s="92">
        <v>44678</v>
      </c>
      <c r="G1060" s="93">
        <v>17038.4</v>
      </c>
    </row>
    <row r="1061" ht="16.5" customHeight="1" spans="6:7">
      <c r="F1061" s="92">
        <v>44677</v>
      </c>
      <c r="G1061" s="93">
        <v>17200.8</v>
      </c>
    </row>
    <row r="1062" ht="16.5" customHeight="1" spans="6:7">
      <c r="F1062" s="92">
        <v>44676</v>
      </c>
      <c r="G1062" s="93">
        <v>16953.95</v>
      </c>
    </row>
    <row r="1063" ht="16.5" customHeight="1" spans="6:7">
      <c r="F1063" s="92">
        <v>44673</v>
      </c>
      <c r="G1063" s="93">
        <v>17171.95</v>
      </c>
    </row>
    <row r="1064" ht="16.5" customHeight="1" spans="6:7">
      <c r="F1064" s="92">
        <v>44672</v>
      </c>
      <c r="G1064" s="93">
        <v>17392.6</v>
      </c>
    </row>
    <row r="1065" ht="16.5" customHeight="1" spans="6:7">
      <c r="F1065" s="92">
        <v>44671</v>
      </c>
      <c r="G1065" s="93">
        <v>17136.55</v>
      </c>
    </row>
    <row r="1066" ht="16.5" customHeight="1" spans="6:7">
      <c r="F1066" s="92">
        <v>44670</v>
      </c>
      <c r="G1066" s="93">
        <v>16958.65</v>
      </c>
    </row>
    <row r="1067" ht="16.5" customHeight="1" spans="6:7">
      <c r="F1067" s="92">
        <v>44669</v>
      </c>
      <c r="G1067" s="93">
        <v>17173.65</v>
      </c>
    </row>
    <row r="1068" ht="16.5" customHeight="1" spans="6:7">
      <c r="F1068" s="92">
        <v>44664</v>
      </c>
      <c r="G1068" s="93">
        <v>17475.65</v>
      </c>
    </row>
    <row r="1069" ht="16.5" customHeight="1" spans="6:7">
      <c r="F1069" s="92">
        <v>44663</v>
      </c>
      <c r="G1069" s="93">
        <v>17530.3</v>
      </c>
    </row>
    <row r="1070" ht="16.5" customHeight="1" spans="6:7">
      <c r="F1070" s="92">
        <v>44662</v>
      </c>
      <c r="G1070" s="93">
        <v>17674.95</v>
      </c>
    </row>
    <row r="1071" ht="16.5" customHeight="1" spans="6:7">
      <c r="F1071" s="92">
        <v>44659</v>
      </c>
      <c r="G1071" s="93">
        <v>17784.35</v>
      </c>
    </row>
    <row r="1072" ht="16.5" customHeight="1" spans="6:7">
      <c r="F1072" s="92">
        <v>44658</v>
      </c>
      <c r="G1072" s="93">
        <v>17639.55</v>
      </c>
    </row>
    <row r="1073" ht="16.5" customHeight="1" spans="6:7">
      <c r="F1073" s="92">
        <v>44657</v>
      </c>
      <c r="G1073" s="93">
        <v>17807.65</v>
      </c>
    </row>
    <row r="1074" ht="16.5" customHeight="1" spans="6:7">
      <c r="F1074" s="92">
        <v>44656</v>
      </c>
      <c r="G1074" s="93">
        <v>17957.4</v>
      </c>
    </row>
    <row r="1075" ht="16.5" customHeight="1" spans="6:7">
      <c r="F1075" s="92">
        <v>44655</v>
      </c>
      <c r="G1075" s="93">
        <v>18053.4</v>
      </c>
    </row>
    <row r="1076" ht="16.5" customHeight="1" spans="6:7">
      <c r="F1076" s="92">
        <v>44652</v>
      </c>
      <c r="G1076" s="93">
        <v>17670.45</v>
      </c>
    </row>
    <row r="1077" ht="16.5" customHeight="1" spans="6:7">
      <c r="F1077" s="92">
        <v>44651</v>
      </c>
      <c r="G1077" s="93">
        <v>17464.75</v>
      </c>
    </row>
    <row r="1078" ht="16.5" customHeight="1" spans="6:7">
      <c r="F1078" s="92">
        <v>44650</v>
      </c>
      <c r="G1078" s="93">
        <v>17498.25</v>
      </c>
    </row>
    <row r="1079" ht="16.5" customHeight="1" spans="6:7">
      <c r="F1079" s="92">
        <v>44649</v>
      </c>
      <c r="G1079" s="93">
        <v>17325.3</v>
      </c>
    </row>
    <row r="1080" ht="16.5" customHeight="1" spans="6:7">
      <c r="F1080" s="92">
        <v>44648</v>
      </c>
      <c r="G1080" s="93">
        <v>17222</v>
      </c>
    </row>
    <row r="1081" ht="16.5" customHeight="1" spans="6:7">
      <c r="F1081" s="92">
        <v>44645</v>
      </c>
      <c r="G1081" s="93">
        <v>17153</v>
      </c>
    </row>
    <row r="1082" ht="16.5" customHeight="1" spans="6:7">
      <c r="F1082" s="92">
        <v>44644</v>
      </c>
      <c r="G1082" s="93">
        <v>17222.75</v>
      </c>
    </row>
    <row r="1083" ht="16.5" customHeight="1" spans="6:7">
      <c r="F1083" s="92">
        <v>44643</v>
      </c>
      <c r="G1083" s="93">
        <v>17245.65</v>
      </c>
    </row>
    <row r="1084" ht="16.5" customHeight="1" spans="6:7">
      <c r="F1084" s="92">
        <v>44642</v>
      </c>
      <c r="G1084" s="93">
        <v>17315.5</v>
      </c>
    </row>
    <row r="1085" ht="16.5" customHeight="1" spans="6:7">
      <c r="F1085" s="92">
        <v>44641</v>
      </c>
      <c r="G1085" s="93">
        <v>17117.6</v>
      </c>
    </row>
    <row r="1086" ht="16.5" customHeight="1" spans="6:7">
      <c r="F1086" s="92">
        <v>44637</v>
      </c>
      <c r="G1086" s="93">
        <v>17287.05</v>
      </c>
    </row>
    <row r="1087" ht="16.5" customHeight="1" spans="6:7">
      <c r="F1087" s="92">
        <v>44636</v>
      </c>
      <c r="G1087" s="93">
        <v>16975.35</v>
      </c>
    </row>
    <row r="1088" ht="16.5" customHeight="1" spans="6:7">
      <c r="F1088" s="92">
        <v>44635</v>
      </c>
      <c r="G1088" s="93">
        <v>16663</v>
      </c>
    </row>
    <row r="1089" ht="16.5" customHeight="1" spans="6:7">
      <c r="F1089" s="92">
        <v>44634</v>
      </c>
      <c r="G1089" s="93">
        <v>16871.3</v>
      </c>
    </row>
    <row r="1090" ht="16.5" customHeight="1" spans="6:7">
      <c r="F1090" s="92">
        <v>44631</v>
      </c>
      <c r="G1090" s="93">
        <v>16630.45</v>
      </c>
    </row>
    <row r="1091" ht="16.5" customHeight="1" spans="6:7">
      <c r="F1091" s="92">
        <v>44630</v>
      </c>
      <c r="G1091" s="93">
        <v>16594.9</v>
      </c>
    </row>
    <row r="1092" ht="16.5" customHeight="1" spans="6:7">
      <c r="F1092" s="92">
        <v>44629</v>
      </c>
      <c r="G1092" s="93">
        <v>16345.35</v>
      </c>
    </row>
    <row r="1093" ht="16.5" customHeight="1" spans="6:7">
      <c r="F1093" s="92">
        <v>44628</v>
      </c>
      <c r="G1093" s="93">
        <v>16013.45</v>
      </c>
    </row>
    <row r="1094" ht="16.5" customHeight="1" spans="6:7">
      <c r="F1094" s="92">
        <v>44627</v>
      </c>
      <c r="G1094" s="93">
        <v>15863.15</v>
      </c>
    </row>
    <row r="1095" ht="16.5" customHeight="1" spans="6:7">
      <c r="F1095" s="92">
        <v>44624</v>
      </c>
      <c r="G1095" s="93">
        <v>16245.35</v>
      </c>
    </row>
    <row r="1096" ht="16.5" customHeight="1" spans="6:7">
      <c r="F1096" s="92">
        <v>44623</v>
      </c>
      <c r="G1096" s="93">
        <v>16498.05</v>
      </c>
    </row>
    <row r="1097" ht="16.5" customHeight="1" spans="6:7">
      <c r="F1097" s="92">
        <v>44622</v>
      </c>
      <c r="G1097" s="93">
        <v>16605.95</v>
      </c>
    </row>
    <row r="1098" ht="16.5" customHeight="1" spans="6:7">
      <c r="F1098" s="92">
        <v>44620</v>
      </c>
      <c r="G1098" s="93">
        <v>16793.9</v>
      </c>
    </row>
    <row r="1099" ht="16.5" customHeight="1" spans="6:7">
      <c r="F1099" s="92">
        <v>44617</v>
      </c>
      <c r="G1099" s="93">
        <v>16658.4</v>
      </c>
    </row>
    <row r="1100" ht="16.5" customHeight="1" spans="6:7">
      <c r="F1100" s="92">
        <v>44616</v>
      </c>
      <c r="G1100" s="93">
        <v>16247.95</v>
      </c>
    </row>
    <row r="1101" ht="16.5" customHeight="1" spans="6:7">
      <c r="F1101" s="92">
        <v>44615</v>
      </c>
      <c r="G1101" s="93">
        <v>17063.25</v>
      </c>
    </row>
    <row r="1102" ht="16.5" customHeight="1" spans="6:7">
      <c r="F1102" s="92">
        <v>44614</v>
      </c>
      <c r="G1102" s="93">
        <v>17092.2</v>
      </c>
    </row>
    <row r="1103" ht="16.5" customHeight="1" spans="6:7">
      <c r="F1103" s="92">
        <v>44613</v>
      </c>
      <c r="G1103" s="93">
        <v>17206.65</v>
      </c>
    </row>
    <row r="1104" ht="16.5" customHeight="1" spans="6:7">
      <c r="F1104" s="92">
        <v>44610</v>
      </c>
      <c r="G1104" s="93">
        <v>17276.3</v>
      </c>
    </row>
    <row r="1105" ht="16.5" customHeight="1" spans="6:7">
      <c r="F1105" s="92">
        <v>44609</v>
      </c>
      <c r="G1105" s="93">
        <v>17304.6</v>
      </c>
    </row>
    <row r="1106" ht="16.5" customHeight="1" spans="6:7">
      <c r="F1106" s="92">
        <v>44608</v>
      </c>
      <c r="G1106" s="93">
        <v>17322.2</v>
      </c>
    </row>
    <row r="1107" ht="16.5" customHeight="1" spans="6:7">
      <c r="F1107" s="92">
        <v>44607</v>
      </c>
      <c r="G1107" s="93">
        <v>17352.45</v>
      </c>
    </row>
    <row r="1108" ht="16.5" customHeight="1" spans="6:7">
      <c r="F1108" s="92">
        <v>44606</v>
      </c>
      <c r="G1108" s="93">
        <v>16842.8</v>
      </c>
    </row>
    <row r="1109" ht="16.5" customHeight="1" spans="6:7">
      <c r="F1109" s="92">
        <v>44603</v>
      </c>
      <c r="G1109" s="93">
        <v>17374.75</v>
      </c>
    </row>
    <row r="1110" ht="16.5" customHeight="1" spans="6:7">
      <c r="F1110" s="92">
        <v>44602</v>
      </c>
      <c r="G1110" s="93">
        <v>17605.85</v>
      </c>
    </row>
    <row r="1111" ht="16.5" customHeight="1" spans="6:7">
      <c r="F1111" s="92">
        <v>44601</v>
      </c>
      <c r="G1111" s="93">
        <v>17463.8</v>
      </c>
    </row>
    <row r="1112" ht="16.5" customHeight="1" spans="6:7">
      <c r="F1112" s="92">
        <v>44600</v>
      </c>
      <c r="G1112" s="93">
        <v>17266.75</v>
      </c>
    </row>
    <row r="1113" ht="16.5" customHeight="1" spans="6:7">
      <c r="F1113" s="92">
        <v>44599</v>
      </c>
      <c r="G1113" s="93">
        <v>17213.6</v>
      </c>
    </row>
    <row r="1114" ht="16.5" customHeight="1" spans="6:7">
      <c r="F1114" s="92">
        <v>44596</v>
      </c>
      <c r="G1114" s="93">
        <v>17516.3</v>
      </c>
    </row>
    <row r="1115" ht="16.5" customHeight="1" spans="6:7">
      <c r="F1115" s="92">
        <v>44595</v>
      </c>
      <c r="G1115" s="93">
        <v>17560.2</v>
      </c>
    </row>
    <row r="1116" ht="16.5" customHeight="1" spans="6:7">
      <c r="F1116" s="92">
        <v>44594</v>
      </c>
      <c r="G1116" s="93">
        <v>17780</v>
      </c>
    </row>
    <row r="1117" ht="16.5" customHeight="1" spans="6:7">
      <c r="F1117" s="92">
        <v>44593</v>
      </c>
      <c r="G1117" s="93">
        <v>17576.85</v>
      </c>
    </row>
    <row r="1118" ht="16.5" customHeight="1" spans="6:7">
      <c r="F1118" s="92">
        <v>44592</v>
      </c>
      <c r="G1118" s="93">
        <v>17339.85</v>
      </c>
    </row>
    <row r="1119" ht="16.5" customHeight="1" spans="6:7">
      <c r="F1119" s="92">
        <v>44589</v>
      </c>
      <c r="G1119" s="93">
        <v>17101.95</v>
      </c>
    </row>
    <row r="1120" ht="16.5" customHeight="1" spans="6:7">
      <c r="F1120" s="92">
        <v>44588</v>
      </c>
      <c r="G1120" s="93">
        <v>17110.15</v>
      </c>
    </row>
    <row r="1121" ht="16.5" customHeight="1" spans="6:7">
      <c r="F1121" s="92">
        <v>44586</v>
      </c>
      <c r="G1121" s="93">
        <v>17277.95</v>
      </c>
    </row>
    <row r="1122" ht="16.5" customHeight="1" spans="6:7">
      <c r="F1122" s="92">
        <v>44585</v>
      </c>
      <c r="G1122" s="93">
        <v>17149.1</v>
      </c>
    </row>
    <row r="1123" ht="16.5" customHeight="1" spans="6:7">
      <c r="F1123" s="92">
        <v>44582</v>
      </c>
      <c r="G1123" s="93">
        <v>17617.15</v>
      </c>
    </row>
    <row r="1124" ht="16.5" customHeight="1" spans="6:7">
      <c r="F1124" s="92">
        <v>44581</v>
      </c>
      <c r="G1124" s="93">
        <v>17757</v>
      </c>
    </row>
    <row r="1125" ht="16.5" customHeight="1" spans="6:7">
      <c r="F1125" s="92">
        <v>44580</v>
      </c>
      <c r="G1125" s="93">
        <v>17938.4</v>
      </c>
    </row>
    <row r="1126" ht="16.5" customHeight="1" spans="6:7">
      <c r="F1126" s="92">
        <v>44579</v>
      </c>
      <c r="G1126" s="93">
        <v>18113.05</v>
      </c>
    </row>
    <row r="1127" ht="16.5" customHeight="1" spans="6:7">
      <c r="F1127" s="92">
        <v>44578</v>
      </c>
      <c r="G1127" s="93">
        <v>18308.1</v>
      </c>
    </row>
    <row r="1128" ht="16.5" customHeight="1" spans="6:7">
      <c r="F1128" s="92">
        <v>44575</v>
      </c>
      <c r="G1128" s="93">
        <v>18255.75</v>
      </c>
    </row>
    <row r="1129" ht="16.5" customHeight="1" spans="6:7">
      <c r="F1129" s="92">
        <v>44574</v>
      </c>
      <c r="G1129" s="93">
        <v>18257.8</v>
      </c>
    </row>
    <row r="1130" ht="16.5" customHeight="1" spans="6:7">
      <c r="F1130" s="92">
        <v>44573</v>
      </c>
      <c r="G1130" s="93">
        <v>18212.35</v>
      </c>
    </row>
    <row r="1131" ht="16.5" customHeight="1" spans="6:7">
      <c r="F1131" s="92">
        <v>44572</v>
      </c>
      <c r="G1131" s="93">
        <v>18055.75</v>
      </c>
    </row>
    <row r="1132" ht="16.5" customHeight="1" spans="6:7">
      <c r="F1132" s="92">
        <v>44571</v>
      </c>
      <c r="G1132" s="93">
        <v>18003.3</v>
      </c>
    </row>
    <row r="1133" ht="16.5" customHeight="1" spans="6:7">
      <c r="F1133" s="92">
        <v>44568</v>
      </c>
      <c r="G1133" s="93">
        <v>17812.7</v>
      </c>
    </row>
    <row r="1134" ht="16.5" customHeight="1" spans="6:7">
      <c r="F1134" s="92">
        <v>44567</v>
      </c>
      <c r="G1134" s="93">
        <v>17745.9</v>
      </c>
    </row>
    <row r="1135" ht="16.5" customHeight="1" spans="6:7">
      <c r="F1135" s="92">
        <v>44566</v>
      </c>
      <c r="G1135" s="93">
        <v>17925.25</v>
      </c>
    </row>
    <row r="1136" ht="16.5" customHeight="1" spans="6:7">
      <c r="F1136" s="92">
        <v>44565</v>
      </c>
      <c r="G1136" s="93">
        <v>17805.25</v>
      </c>
    </row>
    <row r="1137" ht="16.5" customHeight="1" spans="6:7">
      <c r="F1137" s="92">
        <v>44564</v>
      </c>
      <c r="G1137" s="93">
        <v>17625.7</v>
      </c>
    </row>
    <row r="1138" ht="16.5" customHeight="1" spans="6:7">
      <c r="F1138" s="92">
        <v>44561</v>
      </c>
      <c r="G1138" s="93">
        <v>17354.05</v>
      </c>
    </row>
    <row r="1139" ht="16.5" customHeight="1" spans="6:7">
      <c r="F1139" s="92">
        <v>44560</v>
      </c>
      <c r="G1139" s="93">
        <v>17203.95</v>
      </c>
    </row>
    <row r="1140" ht="16.5" customHeight="1" spans="6:7">
      <c r="F1140" s="92">
        <v>44559</v>
      </c>
      <c r="G1140" s="93">
        <v>17213.6</v>
      </c>
    </row>
    <row r="1141" ht="16.5" customHeight="1" spans="6:7">
      <c r="F1141" s="92">
        <v>44558</v>
      </c>
      <c r="G1141" s="93">
        <v>17233.25</v>
      </c>
    </row>
    <row r="1142" ht="16.5" customHeight="1" spans="6:7">
      <c r="F1142" s="92">
        <v>44557</v>
      </c>
      <c r="G1142" s="93">
        <v>17086.25</v>
      </c>
    </row>
    <row r="1143" ht="16.5" customHeight="1" spans="6:7">
      <c r="F1143" s="92">
        <v>44554</v>
      </c>
      <c r="G1143" s="93">
        <v>17003.75</v>
      </c>
    </row>
    <row r="1144" ht="16.5" customHeight="1" spans="6:7">
      <c r="F1144" s="92">
        <v>44553</v>
      </c>
      <c r="G1144" s="93">
        <v>17072.6</v>
      </c>
    </row>
    <row r="1145" ht="16.5" customHeight="1" spans="6:7">
      <c r="F1145" s="92">
        <v>44552</v>
      </c>
      <c r="G1145" s="93">
        <v>16955.45</v>
      </c>
    </row>
    <row r="1146" ht="16.5" customHeight="1" spans="6:7">
      <c r="F1146" s="92">
        <v>44551</v>
      </c>
      <c r="G1146" s="93">
        <v>16770.85</v>
      </c>
    </row>
    <row r="1147" ht="16.5" customHeight="1" spans="6:7">
      <c r="F1147" s="92">
        <v>44550</v>
      </c>
      <c r="G1147" s="93">
        <v>16614.2</v>
      </c>
    </row>
    <row r="1148" ht="16.5" customHeight="1" spans="6:7">
      <c r="F1148" s="92">
        <v>44547</v>
      </c>
      <c r="G1148" s="93">
        <v>16985.2</v>
      </c>
    </row>
    <row r="1149" ht="16.5" customHeight="1" spans="6:7">
      <c r="F1149" s="92">
        <v>44546</v>
      </c>
      <c r="G1149" s="93">
        <v>17248.4</v>
      </c>
    </row>
    <row r="1150" ht="16.5" customHeight="1" spans="6:7">
      <c r="F1150" s="92">
        <v>44545</v>
      </c>
      <c r="G1150" s="93">
        <v>17221.4</v>
      </c>
    </row>
    <row r="1151" ht="16.5" customHeight="1" spans="6:7">
      <c r="F1151" s="92">
        <v>44544</v>
      </c>
      <c r="G1151" s="93">
        <v>17324.9</v>
      </c>
    </row>
    <row r="1152" ht="16.5" customHeight="1" spans="6:7">
      <c r="F1152" s="92">
        <v>44543</v>
      </c>
      <c r="G1152" s="93">
        <v>17368.25</v>
      </c>
    </row>
    <row r="1153" ht="16.5" customHeight="1" spans="6:7">
      <c r="F1153" s="92">
        <v>44540</v>
      </c>
      <c r="G1153" s="93">
        <v>17511.3</v>
      </c>
    </row>
    <row r="1154" ht="16.5" customHeight="1" spans="6:7">
      <c r="F1154" s="92">
        <v>44539</v>
      </c>
      <c r="G1154" s="93">
        <v>17516.85</v>
      </c>
    </row>
    <row r="1155" ht="16.5" customHeight="1" spans="6:7">
      <c r="F1155" s="92">
        <v>44538</v>
      </c>
      <c r="G1155" s="93">
        <v>17469.75</v>
      </c>
    </row>
    <row r="1156" ht="16.5" customHeight="1" spans="6:7">
      <c r="F1156" s="92">
        <v>44537</v>
      </c>
      <c r="G1156" s="93">
        <v>17176.7</v>
      </c>
    </row>
    <row r="1157" ht="16.5" customHeight="1" spans="6:7">
      <c r="F1157" s="92">
        <v>44536</v>
      </c>
      <c r="G1157" s="93">
        <v>16912.25</v>
      </c>
    </row>
    <row r="1158" ht="16.5" customHeight="1" spans="6:7">
      <c r="F1158" s="92">
        <v>44533</v>
      </c>
      <c r="G1158" s="93">
        <v>17196.7</v>
      </c>
    </row>
    <row r="1159" ht="16.5" customHeight="1" spans="6:7">
      <c r="F1159" s="92">
        <v>44532</v>
      </c>
      <c r="G1159" s="93">
        <v>17401.65</v>
      </c>
    </row>
    <row r="1160" ht="16.5" customHeight="1" spans="6:7">
      <c r="F1160" s="92">
        <v>44531</v>
      </c>
      <c r="G1160" s="93">
        <v>17166.9</v>
      </c>
    </row>
    <row r="1161" ht="16.5" customHeight="1" spans="6:7">
      <c r="F1161" s="92">
        <v>44530</v>
      </c>
      <c r="G1161" s="93">
        <v>16983.2</v>
      </c>
    </row>
    <row r="1162" ht="16.5" customHeight="1" spans="6:7">
      <c r="F1162" s="92">
        <v>44529</v>
      </c>
      <c r="G1162" s="93">
        <v>17053.95</v>
      </c>
    </row>
    <row r="1163" ht="16.5" customHeight="1" spans="6:7">
      <c r="F1163" s="92">
        <v>44526</v>
      </c>
      <c r="G1163" s="93">
        <v>17026.45</v>
      </c>
    </row>
    <row r="1164" ht="16.5" customHeight="1" spans="6:7">
      <c r="F1164" s="92">
        <v>44525</v>
      </c>
      <c r="G1164" s="93">
        <v>17536.25</v>
      </c>
    </row>
    <row r="1165" ht="16.5" customHeight="1" spans="6:7">
      <c r="F1165" s="92">
        <v>44524</v>
      </c>
      <c r="G1165" s="93">
        <v>17415.05</v>
      </c>
    </row>
    <row r="1166" ht="16.5" customHeight="1" spans="6:7">
      <c r="F1166" s="92">
        <v>44523</v>
      </c>
      <c r="G1166" s="93">
        <v>17503.35</v>
      </c>
    </row>
    <row r="1167" ht="16.5" customHeight="1" spans="6:7">
      <c r="F1167" s="92">
        <v>44522</v>
      </c>
      <c r="G1167" s="93">
        <v>17416.55</v>
      </c>
    </row>
    <row r="1168" ht="16.5" customHeight="1" spans="6:7">
      <c r="F1168" s="92">
        <v>44518</v>
      </c>
      <c r="G1168" s="93">
        <v>17764.8</v>
      </c>
    </row>
    <row r="1169" ht="16.5" customHeight="1" spans="6:7">
      <c r="F1169" s="92">
        <v>44517</v>
      </c>
      <c r="G1169" s="93">
        <v>17898.65</v>
      </c>
    </row>
    <row r="1170" ht="16.5" customHeight="1" spans="6:7">
      <c r="F1170" s="92">
        <v>44516</v>
      </c>
      <c r="G1170" s="93">
        <v>17999.2</v>
      </c>
    </row>
    <row r="1171" ht="16.5" customHeight="1" spans="6:7">
      <c r="F1171" s="92">
        <v>44515</v>
      </c>
      <c r="G1171" s="93">
        <v>18109.45</v>
      </c>
    </row>
    <row r="1172" ht="16.5" customHeight="1" spans="6:7">
      <c r="F1172" s="92">
        <v>44512</v>
      </c>
      <c r="G1172" s="93">
        <v>18102.75</v>
      </c>
    </row>
    <row r="1173" ht="16.5" customHeight="1" spans="6:7">
      <c r="F1173" s="92">
        <v>44511</v>
      </c>
      <c r="G1173" s="93">
        <v>17873.6</v>
      </c>
    </row>
    <row r="1174" ht="16.5" customHeight="1" spans="6:7">
      <c r="F1174" s="92">
        <v>44510</v>
      </c>
      <c r="G1174" s="93">
        <v>18017.2</v>
      </c>
    </row>
    <row r="1175" ht="16.5" customHeight="1" spans="6:7">
      <c r="F1175" s="92">
        <v>44509</v>
      </c>
      <c r="G1175" s="93">
        <v>18044.25</v>
      </c>
    </row>
    <row r="1176" ht="16.5" customHeight="1" spans="6:7">
      <c r="F1176" s="92">
        <v>44508</v>
      </c>
      <c r="G1176" s="93">
        <v>18068.55</v>
      </c>
    </row>
    <row r="1177" ht="16.5" customHeight="1" spans="6:7">
      <c r="F1177" s="92">
        <v>44504</v>
      </c>
      <c r="G1177" s="93">
        <v>17916.8</v>
      </c>
    </row>
    <row r="1178" ht="16.5" customHeight="1" spans="6:7">
      <c r="F1178" s="92">
        <v>44503</v>
      </c>
      <c r="G1178" s="93">
        <v>17829.2</v>
      </c>
    </row>
    <row r="1179" ht="16.5" customHeight="1" spans="6:7">
      <c r="F1179" s="92">
        <v>44502</v>
      </c>
      <c r="G1179" s="93">
        <v>17888.95</v>
      </c>
    </row>
    <row r="1180" ht="16.5" customHeight="1" spans="6:7">
      <c r="F1180" s="92">
        <v>44501</v>
      </c>
      <c r="G1180" s="93">
        <v>17929.65</v>
      </c>
    </row>
    <row r="1181" ht="16.5" customHeight="1" spans="6:7">
      <c r="F1181" s="92">
        <v>44498</v>
      </c>
      <c r="G1181" s="93">
        <v>17671.65</v>
      </c>
    </row>
    <row r="1182" ht="16.5" customHeight="1" spans="6:7">
      <c r="F1182" s="92">
        <v>44497</v>
      </c>
      <c r="G1182" s="93">
        <v>17857.25</v>
      </c>
    </row>
    <row r="1183" ht="16.5" customHeight="1" spans="6:7">
      <c r="F1183" s="92">
        <v>44496</v>
      </c>
      <c r="G1183" s="93">
        <v>18210.95</v>
      </c>
    </row>
    <row r="1184" ht="16.5" customHeight="1" spans="6:7">
      <c r="F1184" s="92">
        <v>44495</v>
      </c>
      <c r="G1184" s="93">
        <v>18268.4</v>
      </c>
    </row>
    <row r="1185" ht="16.5" customHeight="1" spans="6:7">
      <c r="F1185" s="92">
        <v>44494</v>
      </c>
      <c r="G1185" s="93">
        <v>18125.4</v>
      </c>
    </row>
    <row r="1186" ht="16.5" customHeight="1" spans="6:7">
      <c r="F1186" s="92">
        <v>44491</v>
      </c>
      <c r="G1186" s="93">
        <v>18114.9</v>
      </c>
    </row>
    <row r="1187" ht="16.5" customHeight="1" spans="6:7">
      <c r="F1187" s="92">
        <v>44490</v>
      </c>
      <c r="G1187" s="93">
        <v>18178.1</v>
      </c>
    </row>
    <row r="1188" ht="16.5" customHeight="1" spans="6:7">
      <c r="F1188" s="92">
        <v>44489</v>
      </c>
      <c r="G1188" s="93">
        <v>18266.6</v>
      </c>
    </row>
    <row r="1189" ht="16.5" customHeight="1" spans="6:7">
      <c r="F1189" s="92">
        <v>44488</v>
      </c>
      <c r="G1189" s="93">
        <v>18418.75</v>
      </c>
    </row>
    <row r="1190" ht="16.5" customHeight="1" spans="6:7">
      <c r="F1190" s="92">
        <v>44487</v>
      </c>
      <c r="G1190" s="93">
        <v>18477.05</v>
      </c>
    </row>
    <row r="1191" ht="16.5" customHeight="1" spans="6:7">
      <c r="F1191" s="92">
        <v>44483</v>
      </c>
      <c r="G1191" s="93">
        <v>18338.55</v>
      </c>
    </row>
    <row r="1192" ht="16.5" customHeight="1" spans="6:7">
      <c r="F1192" s="92">
        <v>44482</v>
      </c>
      <c r="G1192" s="93">
        <v>18161.75</v>
      </c>
    </row>
    <row r="1193" ht="16.5" customHeight="1" spans="6:7">
      <c r="F1193" s="92">
        <v>44481</v>
      </c>
      <c r="G1193" s="93">
        <v>17991.95</v>
      </c>
    </row>
    <row r="1194" ht="16.5" customHeight="1" spans="6:7">
      <c r="F1194" s="92">
        <v>44480</v>
      </c>
      <c r="G1194" s="93">
        <v>17945.95</v>
      </c>
    </row>
    <row r="1195" ht="16.5" customHeight="1" spans="6:7">
      <c r="F1195" s="92">
        <v>44477</v>
      </c>
      <c r="G1195" s="93">
        <v>17895.2</v>
      </c>
    </row>
    <row r="1196" ht="16.5" customHeight="1" spans="6:7">
      <c r="F1196" s="92">
        <v>44476</v>
      </c>
      <c r="G1196" s="93">
        <v>17790.35</v>
      </c>
    </row>
    <row r="1197" ht="16.5" customHeight="1" spans="6:7">
      <c r="F1197" s="92">
        <v>44475</v>
      </c>
      <c r="G1197" s="93">
        <v>17646</v>
      </c>
    </row>
    <row r="1198" ht="16.5" customHeight="1" spans="6:7">
      <c r="F1198" s="92">
        <v>44474</v>
      </c>
      <c r="G1198" s="93">
        <v>17822.3</v>
      </c>
    </row>
    <row r="1199" ht="16.5" customHeight="1" spans="6:7">
      <c r="F1199" s="92">
        <v>44473</v>
      </c>
      <c r="G1199" s="93">
        <v>17691.25</v>
      </c>
    </row>
    <row r="1200" ht="16.5" customHeight="1" spans="6:7">
      <c r="F1200" s="92">
        <v>44470</v>
      </c>
      <c r="G1200" s="93">
        <v>17532.05</v>
      </c>
    </row>
    <row r="1201" ht="16.5" customHeight="1" spans="6:7">
      <c r="F1201" s="92">
        <v>44469</v>
      </c>
      <c r="G1201" s="93">
        <v>17618.15</v>
      </c>
    </row>
    <row r="1202" ht="16.5" customHeight="1" spans="6:7">
      <c r="F1202" s="92">
        <v>44468</v>
      </c>
      <c r="G1202" s="93">
        <v>17711.3</v>
      </c>
    </row>
    <row r="1203" ht="16.5" customHeight="1" spans="6:7">
      <c r="F1203" s="92">
        <v>44467</v>
      </c>
      <c r="G1203" s="93">
        <v>17748.6</v>
      </c>
    </row>
    <row r="1204" ht="16.5" customHeight="1" spans="6:7">
      <c r="F1204" s="92">
        <v>44466</v>
      </c>
      <c r="G1204" s="93">
        <v>17855.1</v>
      </c>
    </row>
    <row r="1205" ht="16.5" customHeight="1" spans="6:7">
      <c r="F1205" s="92">
        <v>44463</v>
      </c>
      <c r="G1205" s="93">
        <v>17853.2</v>
      </c>
    </row>
    <row r="1206" ht="16.5" customHeight="1" spans="6:7">
      <c r="F1206" s="92">
        <v>44462</v>
      </c>
      <c r="G1206" s="93">
        <v>17822.95</v>
      </c>
    </row>
    <row r="1207" ht="16.5" customHeight="1" spans="6:7">
      <c r="F1207" s="92">
        <v>44461</v>
      </c>
      <c r="G1207" s="93">
        <v>17546.65</v>
      </c>
    </row>
    <row r="1208" ht="16.5" customHeight="1" spans="6:7">
      <c r="F1208" s="92">
        <v>44460</v>
      </c>
      <c r="G1208" s="93">
        <v>17562</v>
      </c>
    </row>
    <row r="1209" ht="16.5" customHeight="1" spans="6:7">
      <c r="F1209" s="92">
        <v>44459</v>
      </c>
      <c r="G1209" s="93">
        <v>17396.9</v>
      </c>
    </row>
    <row r="1210" ht="16.5" customHeight="1" spans="6:7">
      <c r="F1210" s="92">
        <v>44456</v>
      </c>
      <c r="G1210" s="93">
        <v>17585.15</v>
      </c>
    </row>
    <row r="1211" ht="16.5" customHeight="1" spans="6:7">
      <c r="F1211" s="92">
        <v>44455</v>
      </c>
      <c r="G1211" s="93">
        <v>17629.5</v>
      </c>
    </row>
    <row r="1212" ht="16.5" customHeight="1" spans="6:7">
      <c r="F1212" s="92">
        <v>44454</v>
      </c>
      <c r="G1212" s="93">
        <v>17519.45</v>
      </c>
    </row>
    <row r="1213" ht="16.5" customHeight="1" spans="6:7">
      <c r="F1213" s="92">
        <v>44453</v>
      </c>
      <c r="G1213" s="93">
        <v>17380</v>
      </c>
    </row>
    <row r="1214" ht="16.5" customHeight="1" spans="6:7">
      <c r="F1214" s="92">
        <v>44452</v>
      </c>
      <c r="G1214" s="93">
        <v>17355.3</v>
      </c>
    </row>
    <row r="1215" ht="16.5" customHeight="1" spans="6:7">
      <c r="F1215" s="92">
        <v>44448</v>
      </c>
      <c r="G1215" s="93">
        <v>17369.25</v>
      </c>
    </row>
    <row r="1216" ht="16.5" customHeight="1" spans="6:7">
      <c r="F1216" s="92">
        <v>44447</v>
      </c>
      <c r="G1216" s="93">
        <v>17353.5</v>
      </c>
    </row>
    <row r="1217" ht="16.5" customHeight="1" spans="6:7">
      <c r="F1217" s="92">
        <v>44446</v>
      </c>
      <c r="G1217" s="93">
        <v>17362.1</v>
      </c>
    </row>
    <row r="1218" ht="16.5" customHeight="1" spans="6:7">
      <c r="F1218" s="92">
        <v>44445</v>
      </c>
      <c r="G1218" s="93">
        <v>17377.8</v>
      </c>
    </row>
    <row r="1219" ht="16.5" customHeight="1" spans="6:7">
      <c r="F1219" s="92">
        <v>44442</v>
      </c>
      <c r="G1219" s="93">
        <v>17323.6</v>
      </c>
    </row>
    <row r="1220" ht="16.5" customHeight="1" spans="6:7">
      <c r="F1220" s="92">
        <v>44441</v>
      </c>
      <c r="G1220" s="93">
        <v>17234.15</v>
      </c>
    </row>
    <row r="1221" ht="16.5" customHeight="1" spans="6:7">
      <c r="F1221" s="92">
        <v>44440</v>
      </c>
      <c r="G1221" s="93">
        <v>17076.25</v>
      </c>
    </row>
    <row r="1222" ht="16.5" customHeight="1" spans="6:7">
      <c r="F1222" s="92">
        <v>44439</v>
      </c>
      <c r="G1222" s="93">
        <v>17132.2</v>
      </c>
    </row>
    <row r="1223" ht="16.5" customHeight="1" spans="6:7">
      <c r="F1223" s="92">
        <v>44438</v>
      </c>
      <c r="G1223" s="93">
        <v>16931.05</v>
      </c>
    </row>
    <row r="1224" ht="16.5" customHeight="1" spans="6:7">
      <c r="F1224" s="92">
        <v>44435</v>
      </c>
      <c r="G1224" s="93">
        <v>16705.2</v>
      </c>
    </row>
    <row r="1225" ht="16.5" customHeight="1" spans="6:7">
      <c r="F1225" s="92">
        <v>44434</v>
      </c>
      <c r="G1225" s="93">
        <v>16636.9</v>
      </c>
    </row>
    <row r="1226" ht="16.5" customHeight="1" spans="6:7">
      <c r="F1226" s="92">
        <v>44433</v>
      </c>
      <c r="G1226" s="93">
        <v>16634.65</v>
      </c>
    </row>
    <row r="1227" ht="16.5" customHeight="1" spans="6:7">
      <c r="F1227" s="92">
        <v>44432</v>
      </c>
      <c r="G1227" s="93">
        <v>16624.6</v>
      </c>
    </row>
    <row r="1228" ht="16.5" customHeight="1" spans="6:7">
      <c r="F1228" s="92">
        <v>44431</v>
      </c>
      <c r="G1228" s="93">
        <v>16496.45</v>
      </c>
    </row>
    <row r="1229" ht="16.5" customHeight="1" spans="6:7">
      <c r="F1229" s="92">
        <v>44428</v>
      </c>
      <c r="G1229" s="93">
        <v>16450.5</v>
      </c>
    </row>
    <row r="1230" ht="16.5" customHeight="1" spans="6:7">
      <c r="F1230" s="92">
        <v>44426</v>
      </c>
      <c r="G1230" s="93">
        <v>16568.85</v>
      </c>
    </row>
    <row r="1231" ht="16.5" customHeight="1" spans="6:7">
      <c r="F1231" s="92">
        <v>44425</v>
      </c>
      <c r="G1231" s="93">
        <v>16614.6</v>
      </c>
    </row>
    <row r="1232" ht="16.5" customHeight="1" spans="6:7">
      <c r="F1232" s="92">
        <v>44424</v>
      </c>
      <c r="G1232" s="93">
        <v>16563.05</v>
      </c>
    </row>
    <row r="1233" ht="16.5" customHeight="1" spans="6:7">
      <c r="F1233" s="92">
        <v>44421</v>
      </c>
      <c r="G1233" s="93">
        <v>16529.1</v>
      </c>
    </row>
    <row r="1234" ht="16.5" customHeight="1" spans="6:7">
      <c r="F1234" s="92">
        <v>44420</v>
      </c>
      <c r="G1234" s="93">
        <v>16364.4</v>
      </c>
    </row>
    <row r="1235" ht="16.5" customHeight="1" spans="6:7">
      <c r="F1235" s="92">
        <v>44419</v>
      </c>
      <c r="G1235" s="93">
        <v>16282.25</v>
      </c>
    </row>
    <row r="1236" ht="16.5" customHeight="1" spans="6:7">
      <c r="F1236" s="92">
        <v>44418</v>
      </c>
      <c r="G1236" s="93">
        <v>16280.1</v>
      </c>
    </row>
    <row r="1237" ht="16.5" customHeight="1" spans="6:7">
      <c r="F1237" s="92">
        <v>44417</v>
      </c>
      <c r="G1237" s="93">
        <v>16258.25</v>
      </c>
    </row>
    <row r="1238" ht="16.5" customHeight="1" spans="6:7">
      <c r="F1238" s="92">
        <v>44414</v>
      </c>
      <c r="G1238" s="93">
        <v>16238.2</v>
      </c>
    </row>
    <row r="1239" ht="16.5" customHeight="1" spans="6:7">
      <c r="F1239" s="92">
        <v>44413</v>
      </c>
      <c r="G1239" s="93">
        <v>16294.6</v>
      </c>
    </row>
    <row r="1240" ht="16.5" customHeight="1" spans="6:7">
      <c r="F1240" s="92">
        <v>44412</v>
      </c>
      <c r="G1240" s="93">
        <v>16258.8</v>
      </c>
    </row>
    <row r="1241" ht="16.5" customHeight="1" spans="6:7">
      <c r="F1241" s="92">
        <v>44411</v>
      </c>
      <c r="G1241" s="93">
        <v>16130.75</v>
      </c>
    </row>
    <row r="1242" ht="16.5" customHeight="1" spans="6:7">
      <c r="F1242" s="92">
        <v>44410</v>
      </c>
      <c r="G1242" s="93">
        <v>15885.15</v>
      </c>
    </row>
    <row r="1243" ht="16.5" customHeight="1" spans="6:7">
      <c r="F1243" s="92">
        <v>44407</v>
      </c>
      <c r="G1243" s="93">
        <v>15763.05</v>
      </c>
    </row>
    <row r="1244" ht="16.5" customHeight="1" spans="6:7">
      <c r="F1244" s="92">
        <v>44406</v>
      </c>
      <c r="G1244" s="93">
        <v>15778.45</v>
      </c>
    </row>
    <row r="1245" ht="16.5" customHeight="1" spans="6:7">
      <c r="F1245" s="92">
        <v>44405</v>
      </c>
      <c r="G1245" s="93">
        <v>15709.4</v>
      </c>
    </row>
    <row r="1246" ht="16.5" customHeight="1" spans="6:7">
      <c r="F1246" s="92">
        <v>44404</v>
      </c>
      <c r="G1246" s="93">
        <v>15746.45</v>
      </c>
    </row>
    <row r="1247" ht="16.5" customHeight="1" spans="6:7">
      <c r="F1247" s="92">
        <v>44403</v>
      </c>
      <c r="G1247" s="93">
        <v>15824.45</v>
      </c>
    </row>
    <row r="1248" ht="16.5" customHeight="1" spans="6:7">
      <c r="F1248" s="92">
        <v>44400</v>
      </c>
      <c r="G1248" s="93">
        <v>15856.05</v>
      </c>
    </row>
    <row r="1249" ht="16.5" customHeight="1" spans="6:7">
      <c r="F1249" s="92">
        <v>44399</v>
      </c>
      <c r="G1249" s="93">
        <v>15824.05</v>
      </c>
    </row>
    <row r="1250" ht="16.5" customHeight="1" spans="6:7">
      <c r="F1250" s="92">
        <v>44397</v>
      </c>
      <c r="G1250" s="93">
        <v>15632.1</v>
      </c>
    </row>
    <row r="1251" ht="16.5" customHeight="1" spans="6:7">
      <c r="F1251" s="92">
        <v>44396</v>
      </c>
      <c r="G1251" s="93">
        <v>15752.4</v>
      </c>
    </row>
    <row r="1252" ht="16.5" customHeight="1" spans="6:7">
      <c r="F1252" s="92">
        <v>44393</v>
      </c>
      <c r="G1252" s="93">
        <v>15923.4</v>
      </c>
    </row>
    <row r="1253" ht="16.5" customHeight="1" spans="6:7">
      <c r="F1253" s="92">
        <v>44392</v>
      </c>
      <c r="G1253" s="93">
        <v>15924.2</v>
      </c>
    </row>
    <row r="1254" ht="16.5" customHeight="1" spans="6:7">
      <c r="F1254" s="92">
        <v>44391</v>
      </c>
      <c r="G1254" s="93">
        <v>15853.95</v>
      </c>
    </row>
    <row r="1255" ht="16.5" customHeight="1" spans="6:7">
      <c r="F1255" s="92">
        <v>44390</v>
      </c>
      <c r="G1255" s="93">
        <v>15812.35</v>
      </c>
    </row>
    <row r="1256" ht="16.5" customHeight="1" spans="6:7">
      <c r="F1256" s="92">
        <v>44389</v>
      </c>
      <c r="G1256" s="93">
        <v>15692.6</v>
      </c>
    </row>
    <row r="1257" ht="16.5" customHeight="1" spans="6:7">
      <c r="F1257" s="92">
        <v>44386</v>
      </c>
      <c r="G1257" s="93">
        <v>15689.8</v>
      </c>
    </row>
    <row r="1258" ht="16.5" customHeight="1" spans="6:7">
      <c r="F1258" s="92">
        <v>44385</v>
      </c>
      <c r="G1258" s="93">
        <v>15727.9</v>
      </c>
    </row>
    <row r="1259" ht="16.5" customHeight="1" spans="6:7">
      <c r="F1259" s="92">
        <v>44384</v>
      </c>
      <c r="G1259" s="93">
        <v>15879.65</v>
      </c>
    </row>
    <row r="1260" ht="16.5" customHeight="1" spans="6:7">
      <c r="F1260" s="92">
        <v>44383</v>
      </c>
      <c r="G1260" s="93">
        <v>15818.25</v>
      </c>
    </row>
    <row r="1261" ht="16.5" customHeight="1" spans="6:7">
      <c r="F1261" s="92">
        <v>44382</v>
      </c>
      <c r="G1261" s="93">
        <v>15834.35</v>
      </c>
    </row>
    <row r="1262" ht="16.5" customHeight="1" spans="6:7">
      <c r="F1262" s="92">
        <v>44379</v>
      </c>
      <c r="G1262" s="93">
        <v>15722.2</v>
      </c>
    </row>
    <row r="1263" ht="16.5" customHeight="1" spans="6:7">
      <c r="F1263" s="92">
        <v>44378</v>
      </c>
      <c r="G1263" s="93">
        <v>15680</v>
      </c>
    </row>
    <row r="1264" ht="16.5" customHeight="1" spans="6:7">
      <c r="F1264" s="92">
        <v>44377</v>
      </c>
      <c r="G1264" s="93">
        <v>15721.5</v>
      </c>
    </row>
    <row r="1265" ht="16.5" customHeight="1" spans="6:7">
      <c r="F1265" s="92">
        <v>44376</v>
      </c>
      <c r="G1265" s="93">
        <v>15748.45</v>
      </c>
    </row>
    <row r="1266" ht="16.5" customHeight="1" spans="6:7">
      <c r="F1266" s="92">
        <v>44375</v>
      </c>
      <c r="G1266" s="93">
        <v>15814.7</v>
      </c>
    </row>
    <row r="1267" ht="16.5" customHeight="1" spans="6:7">
      <c r="F1267" s="92">
        <v>44372</v>
      </c>
      <c r="G1267" s="93">
        <v>15860.35</v>
      </c>
    </row>
    <row r="1268" ht="16.5" customHeight="1" spans="6:7">
      <c r="F1268" s="92">
        <v>44371</v>
      </c>
      <c r="G1268" s="93">
        <v>15790.45</v>
      </c>
    </row>
    <row r="1269" ht="16.5" customHeight="1" spans="6:7">
      <c r="F1269" s="92">
        <v>44370</v>
      </c>
      <c r="G1269" s="93">
        <v>15686.95</v>
      </c>
    </row>
    <row r="1270" ht="16.5" customHeight="1" spans="6:7">
      <c r="F1270" s="92">
        <v>44369</v>
      </c>
      <c r="G1270" s="93">
        <v>15772.75</v>
      </c>
    </row>
    <row r="1271" ht="16.5" customHeight="1" spans="6:7">
      <c r="F1271" s="92">
        <v>44368</v>
      </c>
      <c r="G1271" s="93">
        <v>15746.5</v>
      </c>
    </row>
    <row r="1272" ht="16.5" customHeight="1" spans="6:7">
      <c r="F1272" s="92">
        <v>44365</v>
      </c>
      <c r="G1272" s="93">
        <v>15683.35</v>
      </c>
    </row>
    <row r="1273" ht="16.5" customHeight="1" spans="6:7">
      <c r="F1273" s="92">
        <v>44364</v>
      </c>
      <c r="G1273" s="93">
        <v>15691.4</v>
      </c>
    </row>
    <row r="1274" ht="16.5" customHeight="1" spans="6:7">
      <c r="F1274" s="92">
        <v>44363</v>
      </c>
      <c r="G1274" s="93">
        <v>15767.55</v>
      </c>
    </row>
    <row r="1275" ht="16.5" customHeight="1" spans="6:7">
      <c r="F1275" s="92">
        <v>44362</v>
      </c>
      <c r="G1275" s="93">
        <v>15869.25</v>
      </c>
    </row>
    <row r="1276" ht="16.5" customHeight="1" spans="6:7">
      <c r="F1276" s="92">
        <v>44361</v>
      </c>
      <c r="G1276" s="93">
        <v>15811.85</v>
      </c>
    </row>
    <row r="1277" ht="16.5" customHeight="1" spans="6:7">
      <c r="F1277" s="92">
        <v>44358</v>
      </c>
      <c r="G1277" s="93">
        <v>15799.35</v>
      </c>
    </row>
    <row r="1278" ht="16.5" customHeight="1" spans="6:7">
      <c r="F1278" s="92">
        <v>44357</v>
      </c>
      <c r="G1278" s="93">
        <v>15737.75</v>
      </c>
    </row>
    <row r="1279" ht="16.5" customHeight="1" spans="6:7">
      <c r="F1279" s="92">
        <v>44356</v>
      </c>
      <c r="G1279" s="93">
        <v>15635.35</v>
      </c>
    </row>
    <row r="1280" ht="16.5" customHeight="1" spans="6:7">
      <c r="F1280" s="92">
        <v>44355</v>
      </c>
      <c r="G1280" s="93">
        <v>15740.1</v>
      </c>
    </row>
    <row r="1281" ht="16.5" customHeight="1" spans="6:7">
      <c r="F1281" s="92">
        <v>44354</v>
      </c>
      <c r="G1281" s="93">
        <v>15751.65</v>
      </c>
    </row>
    <row r="1282" ht="16.5" customHeight="1" spans="6:7">
      <c r="F1282" s="92">
        <v>44351</v>
      </c>
      <c r="G1282" s="93">
        <v>15670.25</v>
      </c>
    </row>
    <row r="1283" ht="16.5" customHeight="1" spans="6:7">
      <c r="F1283" s="92">
        <v>44350</v>
      </c>
      <c r="G1283" s="93">
        <v>15690.35</v>
      </c>
    </row>
    <row r="1284" ht="16.5" customHeight="1" spans="6:7">
      <c r="F1284" s="92">
        <v>44349</v>
      </c>
      <c r="G1284" s="93">
        <v>15576.2</v>
      </c>
    </row>
    <row r="1285" ht="16.5" customHeight="1" spans="6:7">
      <c r="F1285" s="92">
        <v>44348</v>
      </c>
      <c r="G1285" s="93">
        <v>15574.85</v>
      </c>
    </row>
    <row r="1286" ht="16.5" customHeight="1" spans="6:7">
      <c r="F1286" s="92">
        <v>44347</v>
      </c>
      <c r="G1286" s="93">
        <v>15582.8</v>
      </c>
    </row>
    <row r="1287" ht="16.5" customHeight="1" spans="6:7">
      <c r="F1287" s="92">
        <v>44344</v>
      </c>
      <c r="G1287" s="93">
        <v>15435.65</v>
      </c>
    </row>
    <row r="1288" ht="16.5" customHeight="1" spans="6:7">
      <c r="F1288" s="92">
        <v>44343</v>
      </c>
      <c r="G1288" s="93">
        <v>15337.85</v>
      </c>
    </row>
    <row r="1289" ht="16.5" customHeight="1" spans="6:7">
      <c r="F1289" s="92">
        <v>44342</v>
      </c>
      <c r="G1289" s="93">
        <v>15301.45</v>
      </c>
    </row>
    <row r="1290" ht="16.5" customHeight="1" spans="6:7">
      <c r="F1290" s="92">
        <v>44341</v>
      </c>
      <c r="G1290" s="93">
        <v>15208.45</v>
      </c>
    </row>
    <row r="1291" ht="16.5" customHeight="1" spans="6:7">
      <c r="F1291" s="92">
        <v>44340</v>
      </c>
      <c r="G1291" s="93">
        <v>15197.7</v>
      </c>
    </row>
    <row r="1292" ht="16.5" customHeight="1" spans="6:7">
      <c r="F1292" s="92">
        <v>44337</v>
      </c>
      <c r="G1292" s="93">
        <v>15175.3</v>
      </c>
    </row>
    <row r="1293" ht="16.5" customHeight="1" spans="6:7">
      <c r="F1293" s="92">
        <v>44336</v>
      </c>
      <c r="G1293" s="93">
        <v>14906.05</v>
      </c>
    </row>
    <row r="1294" ht="16.5" customHeight="1" spans="6:7">
      <c r="F1294" s="92">
        <v>44335</v>
      </c>
      <c r="G1294" s="93">
        <v>15030.15</v>
      </c>
    </row>
    <row r="1295" ht="16.5" customHeight="1" spans="6:7">
      <c r="F1295" s="92">
        <v>44334</v>
      </c>
      <c r="G1295" s="93">
        <v>15108.1</v>
      </c>
    </row>
    <row r="1296" ht="16.5" customHeight="1" spans="6:7">
      <c r="F1296" s="92">
        <v>44333</v>
      </c>
      <c r="G1296" s="93">
        <v>14923.15</v>
      </c>
    </row>
    <row r="1297" ht="16.5" customHeight="1" spans="6:7">
      <c r="F1297" s="92">
        <v>44330</v>
      </c>
      <c r="G1297" s="93">
        <v>14677.8</v>
      </c>
    </row>
    <row r="1298" ht="16.5" customHeight="1" spans="6:7">
      <c r="F1298" s="92">
        <v>44328</v>
      </c>
      <c r="G1298" s="93">
        <v>14696.5</v>
      </c>
    </row>
    <row r="1299" ht="16.5" customHeight="1" spans="6:7">
      <c r="F1299" s="92">
        <v>44327</v>
      </c>
      <c r="G1299" s="93">
        <v>14850.75</v>
      </c>
    </row>
    <row r="1300" ht="16.5" customHeight="1" spans="6:7">
      <c r="F1300" s="92">
        <v>44326</v>
      </c>
      <c r="G1300" s="93">
        <v>14942.35</v>
      </c>
    </row>
    <row r="1301" ht="16.5" customHeight="1" spans="6:7">
      <c r="F1301" s="92">
        <v>44323</v>
      </c>
      <c r="G1301" s="93">
        <v>14823.15</v>
      </c>
    </row>
    <row r="1302" ht="16.5" customHeight="1" spans="6:7">
      <c r="F1302" s="92">
        <v>44322</v>
      </c>
      <c r="G1302" s="93">
        <v>14724.8</v>
      </c>
    </row>
    <row r="1303" ht="16.5" customHeight="1" spans="6:7">
      <c r="F1303" s="92">
        <v>44321</v>
      </c>
      <c r="G1303" s="93">
        <v>14617.85</v>
      </c>
    </row>
    <row r="1304" ht="16.5" customHeight="1" spans="6:7">
      <c r="F1304" s="92">
        <v>44320</v>
      </c>
      <c r="G1304" s="93">
        <v>14496.5</v>
      </c>
    </row>
    <row r="1305" ht="16.5" customHeight="1" spans="6:7">
      <c r="F1305" s="92">
        <v>44319</v>
      </c>
      <c r="G1305" s="93">
        <v>14634.15</v>
      </c>
    </row>
    <row r="1306" ht="16.5" customHeight="1" spans="6:7">
      <c r="F1306" s="92">
        <v>44316</v>
      </c>
      <c r="G1306" s="93">
        <v>14631.1</v>
      </c>
    </row>
    <row r="1307" ht="16.5" customHeight="1" spans="6:7">
      <c r="F1307" s="92">
        <v>44315</v>
      </c>
      <c r="G1307" s="93">
        <v>14894.9</v>
      </c>
    </row>
    <row r="1308" ht="16.5" customHeight="1" spans="6:7">
      <c r="F1308" s="92">
        <v>44314</v>
      </c>
      <c r="G1308" s="93">
        <v>14864.55</v>
      </c>
    </row>
    <row r="1309" ht="16.5" customHeight="1" spans="6:7">
      <c r="F1309" s="92">
        <v>44313</v>
      </c>
      <c r="G1309" s="93">
        <v>14653.05</v>
      </c>
    </row>
    <row r="1310" ht="16.5" customHeight="1" spans="6:7">
      <c r="F1310" s="92">
        <v>44312</v>
      </c>
      <c r="G1310" s="93">
        <v>14485</v>
      </c>
    </row>
    <row r="1311" ht="16.5" customHeight="1" spans="6:7">
      <c r="F1311" s="92">
        <v>44309</v>
      </c>
      <c r="G1311" s="93">
        <v>14341.35</v>
      </c>
    </row>
    <row r="1312" ht="16.5" customHeight="1" spans="6:7">
      <c r="F1312" s="92">
        <v>44308</v>
      </c>
      <c r="G1312" s="93">
        <v>14406.15</v>
      </c>
    </row>
    <row r="1313" ht="16.5" customHeight="1" spans="6:7">
      <c r="F1313" s="92">
        <v>44306</v>
      </c>
      <c r="G1313" s="93">
        <v>14296.4</v>
      </c>
    </row>
    <row r="1314" ht="16.5" customHeight="1" spans="6:7">
      <c r="F1314" s="92">
        <v>44305</v>
      </c>
      <c r="G1314" s="93">
        <v>14359.45</v>
      </c>
    </row>
    <row r="1315" ht="16.5" customHeight="1" spans="6:7">
      <c r="F1315" s="92">
        <v>44302</v>
      </c>
      <c r="G1315" s="93">
        <v>14617.85</v>
      </c>
    </row>
    <row r="1316" ht="16.5" customHeight="1" spans="6:7">
      <c r="F1316" s="92">
        <v>44301</v>
      </c>
      <c r="G1316" s="93">
        <v>14581.45</v>
      </c>
    </row>
    <row r="1317" ht="16.5" customHeight="1" spans="6:7">
      <c r="F1317" s="92">
        <v>44299</v>
      </c>
      <c r="G1317" s="93">
        <v>14504.8</v>
      </c>
    </row>
    <row r="1318" ht="16.5" customHeight="1" spans="6:7">
      <c r="F1318" s="92">
        <v>44298</v>
      </c>
      <c r="G1318" s="93">
        <v>14310.8</v>
      </c>
    </row>
    <row r="1319" ht="16.5" customHeight="1" spans="6:7">
      <c r="F1319" s="92">
        <v>44295</v>
      </c>
      <c r="G1319" s="93">
        <v>14834.85</v>
      </c>
    </row>
    <row r="1320" ht="16.5" customHeight="1" spans="6:7">
      <c r="F1320" s="92">
        <v>44294</v>
      </c>
      <c r="G1320" s="93">
        <v>14873.8</v>
      </c>
    </row>
    <row r="1321" ht="16.5" customHeight="1" spans="6:7">
      <c r="F1321" s="92">
        <v>44293</v>
      </c>
      <c r="G1321" s="93">
        <v>14819.05</v>
      </c>
    </row>
    <row r="1322" ht="16.5" customHeight="1" spans="6:7">
      <c r="F1322" s="92">
        <v>44292</v>
      </c>
      <c r="G1322" s="93">
        <v>14683.5</v>
      </c>
    </row>
    <row r="1323" ht="16.5" customHeight="1" spans="6:7">
      <c r="F1323" s="92">
        <v>44291</v>
      </c>
      <c r="G1323" s="93">
        <v>14637.8</v>
      </c>
    </row>
    <row r="1324" ht="16.5" customHeight="1" spans="6:7">
      <c r="F1324" s="92">
        <v>44287</v>
      </c>
      <c r="G1324" s="93">
        <v>14867.35</v>
      </c>
    </row>
    <row r="1325" ht="16.5" customHeight="1" spans="6:7">
      <c r="F1325" s="92">
        <v>44286</v>
      </c>
      <c r="G1325" s="93">
        <v>14690.7</v>
      </c>
    </row>
    <row r="1326" ht="16.5" customHeight="1" spans="6:7">
      <c r="F1326" s="92">
        <v>44285</v>
      </c>
      <c r="G1326" s="93">
        <v>14845.1</v>
      </c>
    </row>
    <row r="1327" ht="16.5" customHeight="1" spans="6:7">
      <c r="F1327" s="92">
        <v>44281</v>
      </c>
      <c r="G1327" s="93">
        <v>14507.3</v>
      </c>
    </row>
    <row r="1328" ht="16.5" customHeight="1" spans="6:7">
      <c r="F1328" s="92">
        <v>44280</v>
      </c>
      <c r="G1328" s="93">
        <v>14324.9</v>
      </c>
    </row>
    <row r="1329" ht="16.5" customHeight="1" spans="6:7">
      <c r="F1329" s="92">
        <v>44279</v>
      </c>
      <c r="G1329" s="93">
        <v>14549.4</v>
      </c>
    </row>
    <row r="1330" ht="16.5" customHeight="1" spans="6:7">
      <c r="F1330" s="92">
        <v>44278</v>
      </c>
      <c r="G1330" s="93">
        <v>14814.75</v>
      </c>
    </row>
    <row r="1331" ht="16.5" customHeight="1" spans="6:7">
      <c r="F1331" s="92">
        <v>44277</v>
      </c>
      <c r="G1331" s="93">
        <v>14736.4</v>
      </c>
    </row>
    <row r="1332" ht="16.5" customHeight="1" spans="6:7">
      <c r="F1332" s="92">
        <v>44274</v>
      </c>
      <c r="G1332" s="93">
        <v>14744</v>
      </c>
    </row>
    <row r="1333" ht="16.5" customHeight="1" spans="6:7">
      <c r="F1333" s="92">
        <v>44273</v>
      </c>
      <c r="G1333" s="93">
        <v>14557.85</v>
      </c>
    </row>
    <row r="1334" ht="16.5" customHeight="1" spans="6:7">
      <c r="F1334" s="92">
        <v>44272</v>
      </c>
      <c r="G1334" s="93">
        <v>14721.3</v>
      </c>
    </row>
    <row r="1335" ht="16.5" customHeight="1" spans="6:7">
      <c r="F1335" s="92">
        <v>44271</v>
      </c>
      <c r="G1335" s="93">
        <v>14910.45</v>
      </c>
    </row>
    <row r="1336" ht="16.5" customHeight="1" spans="6:7">
      <c r="F1336" s="92">
        <v>44270</v>
      </c>
      <c r="G1336" s="93">
        <v>14929.5</v>
      </c>
    </row>
    <row r="1337" ht="16.5" customHeight="1" spans="6:7">
      <c r="F1337" s="92">
        <v>44267</v>
      </c>
      <c r="G1337" s="93">
        <v>15030.95</v>
      </c>
    </row>
    <row r="1338" ht="16.5" customHeight="1" spans="6:7">
      <c r="F1338" s="92">
        <v>44265</v>
      </c>
      <c r="G1338" s="93">
        <v>15174.8</v>
      </c>
    </row>
    <row r="1339" ht="16.5" customHeight="1" spans="6:7">
      <c r="F1339" s="92">
        <v>44264</v>
      </c>
      <c r="G1339" s="93">
        <v>15098.4</v>
      </c>
    </row>
    <row r="1340" ht="16.5" customHeight="1" spans="6:7">
      <c r="F1340" s="92">
        <v>44263</v>
      </c>
      <c r="G1340" s="93">
        <v>14956.2</v>
      </c>
    </row>
    <row r="1341" ht="16.5" customHeight="1" spans="6:7">
      <c r="F1341" s="92">
        <v>44260</v>
      </c>
      <c r="G1341" s="93">
        <v>14938.1</v>
      </c>
    </row>
    <row r="1342" ht="16.5" customHeight="1" spans="6:7">
      <c r="F1342" s="92">
        <v>44259</v>
      </c>
      <c r="G1342" s="93">
        <v>15080.75</v>
      </c>
    </row>
    <row r="1343" ht="16.5" customHeight="1" spans="6:7">
      <c r="F1343" s="92">
        <v>44258</v>
      </c>
      <c r="G1343" s="93">
        <v>15245.6</v>
      </c>
    </row>
    <row r="1344" ht="16.5" customHeight="1" spans="6:7">
      <c r="F1344" s="92">
        <v>44257</v>
      </c>
      <c r="G1344" s="93">
        <v>14919.1</v>
      </c>
    </row>
    <row r="1345" ht="16.5" customHeight="1" spans="6:7">
      <c r="F1345" s="92">
        <v>44256</v>
      </c>
      <c r="G1345" s="93">
        <v>14761.55</v>
      </c>
    </row>
    <row r="1346" ht="16.5" customHeight="1" spans="6:7">
      <c r="F1346" s="92">
        <v>44253</v>
      </c>
      <c r="G1346" s="93">
        <v>14529.15</v>
      </c>
    </row>
    <row r="1347" ht="16.5" customHeight="1" spans="6:7">
      <c r="F1347" s="92">
        <v>44252</v>
      </c>
      <c r="G1347" s="93">
        <v>15097.35</v>
      </c>
    </row>
    <row r="1348" ht="16.5" customHeight="1" spans="6:7">
      <c r="F1348" s="92">
        <v>44251</v>
      </c>
      <c r="G1348" s="93">
        <v>14982</v>
      </c>
    </row>
    <row r="1349" ht="16.5" customHeight="1" spans="6:7">
      <c r="F1349" s="92">
        <v>44250</v>
      </c>
      <c r="G1349" s="93">
        <v>14707.8</v>
      </c>
    </row>
    <row r="1350" ht="16.5" customHeight="1" spans="6:7">
      <c r="F1350" s="92">
        <v>44249</v>
      </c>
      <c r="G1350" s="93">
        <v>14675.7</v>
      </c>
    </row>
    <row r="1351" ht="16.5" customHeight="1" spans="6:7">
      <c r="F1351" s="92">
        <v>44246</v>
      </c>
      <c r="G1351" s="93">
        <v>14981.75</v>
      </c>
    </row>
    <row r="1352" ht="16.5" customHeight="1" spans="6:7">
      <c r="F1352" s="92">
        <v>44245</v>
      </c>
      <c r="G1352" s="93">
        <v>15118.95</v>
      </c>
    </row>
    <row r="1353" ht="16.5" customHeight="1" spans="6:7">
      <c r="F1353" s="92">
        <v>44244</v>
      </c>
      <c r="G1353" s="93">
        <v>15208.9</v>
      </c>
    </row>
    <row r="1354" ht="16.5" customHeight="1" spans="6:7">
      <c r="F1354" s="92">
        <v>44243</v>
      </c>
      <c r="G1354" s="93">
        <v>15313.45</v>
      </c>
    </row>
    <row r="1355" ht="16.5" customHeight="1" spans="6:7">
      <c r="F1355" s="92">
        <v>44242</v>
      </c>
      <c r="G1355" s="93">
        <v>15314.7</v>
      </c>
    </row>
    <row r="1356" ht="16.5" customHeight="1" spans="6:7">
      <c r="F1356" s="92">
        <v>44239</v>
      </c>
      <c r="G1356" s="93">
        <v>15163.3</v>
      </c>
    </row>
    <row r="1357" ht="16.5" customHeight="1" spans="6:7">
      <c r="F1357" s="92">
        <v>44238</v>
      </c>
      <c r="G1357" s="93">
        <v>15173.3</v>
      </c>
    </row>
    <row r="1358" ht="16.5" customHeight="1" spans="6:7">
      <c r="F1358" s="92">
        <v>44237</v>
      </c>
      <c r="G1358" s="93">
        <v>15106.5</v>
      </c>
    </row>
    <row r="1359" ht="16.5" customHeight="1" spans="6:7">
      <c r="F1359" s="92">
        <v>44236</v>
      </c>
      <c r="G1359" s="93">
        <v>15109.3</v>
      </c>
    </row>
    <row r="1360" ht="16.5" customHeight="1" spans="6:7">
      <c r="F1360" s="92">
        <v>44235</v>
      </c>
      <c r="G1360" s="93">
        <v>15115.8</v>
      </c>
    </row>
    <row r="1361" ht="16.5" customHeight="1" spans="6:7">
      <c r="F1361" s="92">
        <v>44232</v>
      </c>
      <c r="G1361" s="93">
        <v>14924.25</v>
      </c>
    </row>
    <row r="1362" ht="16.5" customHeight="1" spans="6:7">
      <c r="F1362" s="92">
        <v>44231</v>
      </c>
      <c r="G1362" s="93">
        <v>14895.65</v>
      </c>
    </row>
    <row r="1363" ht="16.5" customHeight="1" spans="6:7">
      <c r="F1363" s="92">
        <v>44230</v>
      </c>
      <c r="G1363" s="93">
        <v>14789.95</v>
      </c>
    </row>
    <row r="1364" ht="16.5" customHeight="1" spans="6:7">
      <c r="F1364" s="92">
        <v>44229</v>
      </c>
      <c r="G1364" s="93">
        <v>14647.85</v>
      </c>
    </row>
    <row r="1365" ht="16.5" customHeight="1" spans="6:7">
      <c r="F1365" s="92">
        <v>44228</v>
      </c>
      <c r="G1365" s="93">
        <v>14281.2</v>
      </c>
    </row>
    <row r="1366" ht="16.5" customHeight="1" spans="6:7">
      <c r="F1366" s="92">
        <v>44225</v>
      </c>
      <c r="G1366" s="93">
        <v>13634.6</v>
      </c>
    </row>
    <row r="1367" ht="16.5" customHeight="1" spans="6:7">
      <c r="F1367" s="92">
        <v>44224</v>
      </c>
      <c r="G1367" s="93">
        <v>13817.55</v>
      </c>
    </row>
    <row r="1368" ht="16.5" customHeight="1" spans="6:7">
      <c r="F1368" s="92">
        <v>44223</v>
      </c>
      <c r="G1368" s="93">
        <v>13967.5</v>
      </c>
    </row>
    <row r="1369" ht="16.5" customHeight="1" spans="6:7">
      <c r="F1369" s="92">
        <v>44221</v>
      </c>
      <c r="G1369" s="93">
        <v>14238.9</v>
      </c>
    </row>
    <row r="1370" ht="16.5" customHeight="1" spans="6:7">
      <c r="F1370" s="92">
        <v>44218</v>
      </c>
      <c r="G1370" s="93">
        <v>14371.9</v>
      </c>
    </row>
    <row r="1371" ht="16.5" customHeight="1" spans="6:7">
      <c r="F1371" s="92">
        <v>44217</v>
      </c>
      <c r="G1371" s="93">
        <v>14590.35</v>
      </c>
    </row>
    <row r="1372" ht="16.5" customHeight="1" spans="6:7">
      <c r="F1372" s="92">
        <v>44216</v>
      </c>
      <c r="G1372" s="93">
        <v>14644.7</v>
      </c>
    </row>
    <row r="1373" ht="16.5" customHeight="1" spans="6:7">
      <c r="F1373" s="92">
        <v>44215</v>
      </c>
      <c r="G1373" s="93">
        <v>14521.15</v>
      </c>
    </row>
    <row r="1374" ht="16.5" customHeight="1" spans="6:7">
      <c r="F1374" s="92">
        <v>44214</v>
      </c>
      <c r="G1374" s="93">
        <v>14281.3</v>
      </c>
    </row>
    <row r="1375" ht="16.5" customHeight="1" spans="6:7">
      <c r="F1375" s="92">
        <v>44211</v>
      </c>
      <c r="G1375" s="93">
        <v>14433.7</v>
      </c>
    </row>
    <row r="1376" ht="16.5" customHeight="1" spans="6:7">
      <c r="F1376" s="92">
        <v>44210</v>
      </c>
      <c r="G1376" s="93">
        <v>14595.6</v>
      </c>
    </row>
    <row r="1377" ht="16.5" customHeight="1" spans="6:7">
      <c r="F1377" s="92">
        <v>44209</v>
      </c>
      <c r="G1377" s="93">
        <v>14564.85</v>
      </c>
    </row>
    <row r="1378" ht="16.5" customHeight="1" spans="6:7">
      <c r="F1378" s="92">
        <v>44208</v>
      </c>
      <c r="G1378" s="93">
        <v>14563.45</v>
      </c>
    </row>
    <row r="1379" ht="16.5" customHeight="1" spans="6:7">
      <c r="F1379" s="92">
        <v>44207</v>
      </c>
      <c r="G1379" s="93">
        <v>14484.75</v>
      </c>
    </row>
    <row r="1380" ht="16.5" customHeight="1" spans="6:7">
      <c r="F1380" s="92">
        <v>44204</v>
      </c>
      <c r="G1380" s="93">
        <v>14347.25</v>
      </c>
    </row>
    <row r="1381" ht="16.5" customHeight="1" spans="6:7">
      <c r="F1381" s="92">
        <v>44203</v>
      </c>
      <c r="G1381" s="93">
        <v>14137.35</v>
      </c>
    </row>
    <row r="1382" ht="16.5" customHeight="1" spans="6:7">
      <c r="F1382" s="92">
        <v>44202</v>
      </c>
      <c r="G1382" s="93">
        <v>14146.25</v>
      </c>
    </row>
    <row r="1383" ht="16.5" customHeight="1" spans="6:7">
      <c r="F1383" s="92">
        <v>44201</v>
      </c>
      <c r="G1383" s="93">
        <v>14199.5</v>
      </c>
    </row>
    <row r="1384" ht="16.5" customHeight="1" spans="6:7">
      <c r="F1384" s="92">
        <v>44200</v>
      </c>
      <c r="G1384" s="93">
        <v>14132.9</v>
      </c>
    </row>
    <row r="1385" ht="16.5" customHeight="1" spans="6:7">
      <c r="F1385" s="92">
        <v>44197</v>
      </c>
      <c r="G1385" s="93">
        <v>14018.5</v>
      </c>
    </row>
    <row r="1386" ht="16.5" customHeight="1" spans="6:7">
      <c r="F1386" s="92">
        <v>44196</v>
      </c>
      <c r="G1386" s="93">
        <v>13981.75</v>
      </c>
    </row>
    <row r="1387" ht="16.5" customHeight="1" spans="6:7">
      <c r="F1387" s="92">
        <v>44195</v>
      </c>
      <c r="G1387" s="93">
        <v>13981.95</v>
      </c>
    </row>
    <row r="1388" ht="16.5" customHeight="1" spans="6:7">
      <c r="F1388" s="92">
        <v>44194</v>
      </c>
      <c r="G1388" s="93">
        <v>13932.6</v>
      </c>
    </row>
    <row r="1389" ht="16.5" customHeight="1" spans="6:7">
      <c r="F1389" s="92">
        <v>44193</v>
      </c>
      <c r="G1389" s="93">
        <v>13873.2</v>
      </c>
    </row>
    <row r="1390" ht="16.5" customHeight="1" spans="6:7">
      <c r="F1390" s="92">
        <v>44189</v>
      </c>
      <c r="G1390" s="93">
        <v>13749.25</v>
      </c>
    </row>
    <row r="1391" ht="16.5" customHeight="1" spans="6:7">
      <c r="F1391" s="92">
        <v>44188</v>
      </c>
      <c r="G1391" s="93">
        <v>13601.1</v>
      </c>
    </row>
    <row r="1392" ht="16.5" customHeight="1" spans="6:7">
      <c r="F1392" s="92">
        <v>44187</v>
      </c>
      <c r="G1392" s="93">
        <v>13466.3</v>
      </c>
    </row>
    <row r="1393" ht="16.5" customHeight="1" spans="6:7">
      <c r="F1393" s="92">
        <v>44186</v>
      </c>
      <c r="G1393" s="93">
        <v>13328.4</v>
      </c>
    </row>
    <row r="1394" ht="16.5" customHeight="1" spans="6:7">
      <c r="F1394" s="92">
        <v>44183</v>
      </c>
      <c r="G1394" s="93">
        <v>13760.55</v>
      </c>
    </row>
    <row r="1395" ht="16.5" customHeight="1" spans="6:7">
      <c r="F1395" s="92">
        <v>44182</v>
      </c>
      <c r="G1395" s="93">
        <v>13740.7</v>
      </c>
    </row>
    <row r="1396" ht="16.5" customHeight="1" spans="6:7">
      <c r="F1396" s="92">
        <v>44181</v>
      </c>
      <c r="G1396" s="93">
        <v>13682.7</v>
      </c>
    </row>
    <row r="1397" ht="16.5" customHeight="1" spans="6:7">
      <c r="F1397" s="92">
        <v>44180</v>
      </c>
      <c r="G1397" s="93">
        <v>13567.85</v>
      </c>
    </row>
    <row r="1398" ht="16.5" customHeight="1" spans="6:7">
      <c r="F1398" s="92">
        <v>44179</v>
      </c>
      <c r="G1398" s="93">
        <v>13558.15</v>
      </c>
    </row>
    <row r="1399" ht="16.5" customHeight="1" spans="6:7">
      <c r="F1399" s="92">
        <v>44176</v>
      </c>
      <c r="G1399" s="93">
        <v>13513.85</v>
      </c>
    </row>
    <row r="1400" ht="16.5" customHeight="1" spans="6:7">
      <c r="F1400" s="92">
        <v>44175</v>
      </c>
      <c r="G1400" s="93">
        <v>13478.3</v>
      </c>
    </row>
    <row r="1401" ht="16.5" customHeight="1" spans="6:7">
      <c r="F1401" s="92">
        <v>44174</v>
      </c>
      <c r="G1401" s="93">
        <v>13529.1</v>
      </c>
    </row>
    <row r="1402" ht="16.5" customHeight="1" spans="6:7">
      <c r="F1402" s="92">
        <v>44173</v>
      </c>
      <c r="G1402" s="93">
        <v>13392.95</v>
      </c>
    </row>
    <row r="1403" ht="16.5" customHeight="1" spans="6:7">
      <c r="F1403" s="92">
        <v>44172</v>
      </c>
      <c r="G1403" s="93">
        <v>13355.75</v>
      </c>
    </row>
    <row r="1404" ht="16.5" customHeight="1" spans="6:7">
      <c r="F1404" s="92">
        <v>44169</v>
      </c>
      <c r="G1404" s="93">
        <v>13258.55</v>
      </c>
    </row>
    <row r="1405" ht="16.5" customHeight="1" spans="6:7">
      <c r="F1405" s="92">
        <v>44168</v>
      </c>
      <c r="G1405" s="93">
        <v>13133.9</v>
      </c>
    </row>
    <row r="1406" ht="16.5" customHeight="1" spans="6:7">
      <c r="F1406" s="92">
        <v>44167</v>
      </c>
      <c r="G1406" s="93">
        <v>13113.75</v>
      </c>
    </row>
    <row r="1407" ht="16.5" customHeight="1" spans="6:7">
      <c r="F1407" s="92">
        <v>44166</v>
      </c>
      <c r="G1407" s="93">
        <v>13109.05</v>
      </c>
    </row>
    <row r="1408" ht="16.5" customHeight="1" spans="6:7">
      <c r="F1408" s="92">
        <v>44162</v>
      </c>
      <c r="G1408" s="93">
        <v>12968.95</v>
      </c>
    </row>
    <row r="1409" ht="16.5" customHeight="1" spans="6:7">
      <c r="F1409" s="92">
        <v>44161</v>
      </c>
      <c r="G1409" s="93">
        <v>12987</v>
      </c>
    </row>
    <row r="1410" ht="16.5" customHeight="1" spans="6:7">
      <c r="F1410" s="92">
        <v>44160</v>
      </c>
      <c r="G1410" s="93">
        <v>12858.4</v>
      </c>
    </row>
    <row r="1411" ht="16.5" customHeight="1" spans="6:7">
      <c r="F1411" s="92">
        <v>44159</v>
      </c>
      <c r="G1411" s="93">
        <v>13055.15</v>
      </c>
    </row>
    <row r="1412" ht="16.5" customHeight="1" spans="6:7">
      <c r="F1412" s="92">
        <v>44158</v>
      </c>
      <c r="G1412" s="93">
        <v>12926.45</v>
      </c>
    </row>
    <row r="1413" ht="16.5" customHeight="1" spans="6:7">
      <c r="F1413" s="92">
        <v>44155</v>
      </c>
      <c r="G1413" s="93">
        <v>12859.05</v>
      </c>
    </row>
    <row r="1414" ht="16.5" customHeight="1" spans="6:7">
      <c r="F1414" s="92">
        <v>44154</v>
      </c>
      <c r="G1414" s="93">
        <v>12771.7</v>
      </c>
    </row>
    <row r="1415" ht="16.5" customHeight="1" spans="6:7">
      <c r="F1415" s="92">
        <v>44153</v>
      </c>
      <c r="G1415" s="93">
        <v>12938.25</v>
      </c>
    </row>
    <row r="1416" ht="16.5" customHeight="1" spans="6:7">
      <c r="F1416" s="92">
        <v>44152</v>
      </c>
      <c r="G1416" s="93">
        <v>12874.2</v>
      </c>
    </row>
    <row r="1417" ht="16.5" customHeight="1" spans="6:7">
      <c r="F1417" s="92">
        <v>44149</v>
      </c>
      <c r="G1417" s="93">
        <v>12780.25</v>
      </c>
    </row>
    <row r="1418" ht="16.5" customHeight="1" spans="6:7">
      <c r="F1418" s="92">
        <v>44148</v>
      </c>
      <c r="G1418" s="93">
        <v>12719.95</v>
      </c>
    </row>
    <row r="1419" ht="16.5" customHeight="1" spans="6:7">
      <c r="F1419" s="92">
        <v>44147</v>
      </c>
      <c r="G1419" s="93">
        <v>12690.8</v>
      </c>
    </row>
    <row r="1420" ht="16.5" customHeight="1" spans="6:7">
      <c r="F1420" s="92">
        <v>44146</v>
      </c>
      <c r="G1420" s="93">
        <v>12749.15</v>
      </c>
    </row>
    <row r="1421" ht="16.5" customHeight="1" spans="6:7">
      <c r="F1421" s="92">
        <v>44145</v>
      </c>
      <c r="G1421" s="93">
        <v>12631.1</v>
      </c>
    </row>
    <row r="1422" ht="16.5" customHeight="1" spans="6:7">
      <c r="F1422" s="92">
        <v>44144</v>
      </c>
      <c r="G1422" s="93">
        <v>12461.05</v>
      </c>
    </row>
    <row r="1423" ht="16.5" customHeight="1" spans="6:7">
      <c r="F1423" s="92">
        <v>44141</v>
      </c>
      <c r="G1423" s="93">
        <v>12263.55</v>
      </c>
    </row>
    <row r="1424" ht="16.5" customHeight="1" spans="6:7">
      <c r="F1424" s="92">
        <v>44140</v>
      </c>
      <c r="G1424" s="93">
        <v>12120.3</v>
      </c>
    </row>
    <row r="1425" ht="16.5" customHeight="1" spans="6:7">
      <c r="F1425" s="92">
        <v>44139</v>
      </c>
      <c r="G1425" s="93">
        <v>11908.5</v>
      </c>
    </row>
    <row r="1426" ht="16.5" customHeight="1" spans="6:7">
      <c r="F1426" s="92">
        <v>44138</v>
      </c>
      <c r="G1426" s="93">
        <v>11813.5</v>
      </c>
    </row>
    <row r="1427" ht="16.5" customHeight="1" spans="6:7">
      <c r="F1427" s="92">
        <v>44137</v>
      </c>
      <c r="G1427" s="93">
        <v>11669.15</v>
      </c>
    </row>
    <row r="1428" ht="16.5" customHeight="1" spans="6:7">
      <c r="F1428" s="92">
        <v>44134</v>
      </c>
      <c r="G1428" s="93">
        <v>11642.4</v>
      </c>
    </row>
    <row r="1429" ht="16.5" customHeight="1" spans="6:7">
      <c r="F1429" s="92">
        <v>44133</v>
      </c>
      <c r="G1429" s="93">
        <v>11670.8</v>
      </c>
    </row>
    <row r="1430" ht="16.5" customHeight="1" spans="6:7">
      <c r="F1430" s="92">
        <v>44132</v>
      </c>
      <c r="G1430" s="93">
        <v>11729.6</v>
      </c>
    </row>
    <row r="1431" ht="16.5" customHeight="1" spans="6:7">
      <c r="F1431" s="92">
        <v>44131</v>
      </c>
      <c r="G1431" s="93">
        <v>11889.4</v>
      </c>
    </row>
    <row r="1432" ht="16.5" customHeight="1" spans="6:7">
      <c r="F1432" s="92">
        <v>44130</v>
      </c>
      <c r="G1432" s="93">
        <v>11767.75</v>
      </c>
    </row>
    <row r="1433" ht="16.5" customHeight="1" spans="6:7">
      <c r="F1433" s="92">
        <v>44127</v>
      </c>
      <c r="G1433" s="93">
        <v>11930.35</v>
      </c>
    </row>
    <row r="1434" ht="16.5" customHeight="1" spans="6:7">
      <c r="F1434" s="92">
        <v>44126</v>
      </c>
      <c r="G1434" s="93">
        <v>11896.45</v>
      </c>
    </row>
    <row r="1435" ht="16.5" customHeight="1" spans="6:7">
      <c r="F1435" s="92">
        <v>44125</v>
      </c>
      <c r="G1435" s="93">
        <v>11937.65</v>
      </c>
    </row>
    <row r="1436" ht="16.5" customHeight="1" spans="6:7">
      <c r="F1436" s="92">
        <v>44124</v>
      </c>
      <c r="G1436" s="93">
        <v>11896.8</v>
      </c>
    </row>
    <row r="1437" ht="16.5" customHeight="1" spans="6:7">
      <c r="F1437" s="92">
        <v>44123</v>
      </c>
      <c r="G1437" s="93">
        <v>11873.05</v>
      </c>
    </row>
    <row r="1438" ht="16.5" customHeight="1" spans="6:7">
      <c r="F1438" s="92">
        <v>44120</v>
      </c>
      <c r="G1438" s="93">
        <v>11762.45</v>
      </c>
    </row>
    <row r="1439" ht="16.5" customHeight="1" spans="6:7">
      <c r="F1439" s="92">
        <v>44119</v>
      </c>
      <c r="G1439" s="93">
        <v>11680.35</v>
      </c>
    </row>
    <row r="1440" ht="16.5" customHeight="1" spans="6:7">
      <c r="F1440" s="92">
        <v>44118</v>
      </c>
      <c r="G1440" s="93">
        <v>11971.05</v>
      </c>
    </row>
    <row r="1441" ht="16.5" customHeight="1" spans="6:7">
      <c r="F1441" s="92">
        <v>44117</v>
      </c>
      <c r="G1441" s="93">
        <v>11934.5</v>
      </c>
    </row>
    <row r="1442" ht="16.5" customHeight="1" spans="6:7">
      <c r="F1442" s="92">
        <v>44116</v>
      </c>
      <c r="G1442" s="93">
        <v>11930.95</v>
      </c>
    </row>
    <row r="1443" ht="16.5" customHeight="1" spans="6:7">
      <c r="F1443" s="92">
        <v>44113</v>
      </c>
      <c r="G1443" s="93">
        <v>11914.2</v>
      </c>
    </row>
    <row r="1444" ht="16.5" customHeight="1" spans="6:7">
      <c r="F1444" s="92">
        <v>44112</v>
      </c>
      <c r="G1444" s="93">
        <v>11834.6</v>
      </c>
    </row>
    <row r="1445" ht="16.5" customHeight="1" spans="6:7">
      <c r="F1445" s="92">
        <v>44111</v>
      </c>
      <c r="G1445" s="93">
        <v>11738.85</v>
      </c>
    </row>
    <row r="1446" ht="16.5" customHeight="1" spans="6:7">
      <c r="F1446" s="92">
        <v>44110</v>
      </c>
      <c r="G1446" s="93">
        <v>11662.4</v>
      </c>
    </row>
    <row r="1447" ht="16.5" customHeight="1" spans="6:7">
      <c r="F1447" s="92">
        <v>44109</v>
      </c>
      <c r="G1447" s="93">
        <v>11503.35</v>
      </c>
    </row>
    <row r="1448" ht="16.5" customHeight="1" spans="6:7">
      <c r="F1448" s="92">
        <v>44105</v>
      </c>
      <c r="G1448" s="93">
        <v>11416.95</v>
      </c>
    </row>
    <row r="1449" ht="16.5" customHeight="1" spans="6:7">
      <c r="F1449" s="92">
        <v>44104</v>
      </c>
      <c r="G1449" s="93">
        <v>11247.55</v>
      </c>
    </row>
    <row r="1450" ht="16.5" customHeight="1" spans="6:7">
      <c r="F1450" s="92">
        <v>44103</v>
      </c>
      <c r="G1450" s="93">
        <v>11222.4</v>
      </c>
    </row>
    <row r="1451" ht="16.5" customHeight="1" spans="6:7">
      <c r="F1451" s="92">
        <v>44102</v>
      </c>
      <c r="G1451" s="93">
        <v>11227.55</v>
      </c>
    </row>
    <row r="1452" ht="16.5" customHeight="1" spans="6:7">
      <c r="F1452" s="92">
        <v>44099</v>
      </c>
      <c r="G1452" s="93">
        <v>11050.25</v>
      </c>
    </row>
    <row r="1453" ht="16.5" customHeight="1" spans="6:7">
      <c r="F1453" s="92">
        <v>44098</v>
      </c>
      <c r="G1453" s="93">
        <v>10805.55</v>
      </c>
    </row>
    <row r="1454" ht="16.5" customHeight="1" spans="6:7">
      <c r="F1454" s="92">
        <v>44097</v>
      </c>
      <c r="G1454" s="93">
        <v>11131.85</v>
      </c>
    </row>
    <row r="1455" ht="16.5" customHeight="1" spans="6:7">
      <c r="F1455" s="92">
        <v>44096</v>
      </c>
      <c r="G1455" s="93">
        <v>11153.65</v>
      </c>
    </row>
    <row r="1456" ht="16.5" customHeight="1" spans="6:7">
      <c r="F1456" s="92">
        <v>44095</v>
      </c>
      <c r="G1456" s="93">
        <v>11250.55</v>
      </c>
    </row>
    <row r="1457" ht="16.5" customHeight="1" spans="6:7">
      <c r="F1457" s="92">
        <v>44092</v>
      </c>
      <c r="G1457" s="93">
        <v>11504.95</v>
      </c>
    </row>
    <row r="1458" ht="16.5" customHeight="1" spans="6:7">
      <c r="F1458" s="92">
        <v>44091</v>
      </c>
      <c r="G1458" s="93">
        <v>11516.1</v>
      </c>
    </row>
    <row r="1459" ht="16.5" customHeight="1" spans="6:7">
      <c r="F1459" s="92">
        <v>44090</v>
      </c>
      <c r="G1459" s="93">
        <v>11604.55</v>
      </c>
    </row>
    <row r="1460" ht="16.5" customHeight="1" spans="6:7">
      <c r="F1460" s="92">
        <v>44089</v>
      </c>
      <c r="G1460" s="93">
        <v>11521.8</v>
      </c>
    </row>
    <row r="1461" ht="16.5" customHeight="1" spans="6:7">
      <c r="F1461" s="92">
        <v>44088</v>
      </c>
      <c r="G1461" s="93">
        <v>11440.05</v>
      </c>
    </row>
    <row r="1462" ht="16.5" customHeight="1" spans="6:7">
      <c r="F1462" s="92">
        <v>44085</v>
      </c>
      <c r="G1462" s="93">
        <v>11464.45</v>
      </c>
    </row>
    <row r="1463" ht="16.5" customHeight="1" spans="6:7">
      <c r="F1463" s="92">
        <v>44084</v>
      </c>
      <c r="G1463" s="93">
        <v>11449.25</v>
      </c>
    </row>
    <row r="1464" ht="16.5" customHeight="1" spans="6:7">
      <c r="F1464" s="92">
        <v>44083</v>
      </c>
      <c r="G1464" s="93">
        <v>11278</v>
      </c>
    </row>
    <row r="1465" ht="16.5" customHeight="1" spans="6:7">
      <c r="F1465" s="92">
        <v>44082</v>
      </c>
      <c r="G1465" s="93">
        <v>11317.35</v>
      </c>
    </row>
    <row r="1466" ht="16.5" customHeight="1" spans="6:7">
      <c r="F1466" s="92">
        <v>44081</v>
      </c>
      <c r="G1466" s="93">
        <v>11355.05</v>
      </c>
    </row>
    <row r="1467" ht="16.5" customHeight="1" spans="6:7">
      <c r="F1467" s="92">
        <v>44078</v>
      </c>
      <c r="G1467" s="93">
        <v>11333.85</v>
      </c>
    </row>
    <row r="1468" ht="16.5" customHeight="1" spans="6:7">
      <c r="F1468" s="92">
        <v>44077</v>
      </c>
      <c r="G1468" s="93">
        <v>11527.45</v>
      </c>
    </row>
    <row r="1469" ht="16.5" customHeight="1" spans="6:7">
      <c r="F1469" s="92">
        <v>44076</v>
      </c>
      <c r="G1469" s="93">
        <v>11535</v>
      </c>
    </row>
    <row r="1470" ht="16.5" customHeight="1" spans="6:7">
      <c r="F1470" s="92">
        <v>44075</v>
      </c>
      <c r="G1470" s="93">
        <v>11470.25</v>
      </c>
    </row>
    <row r="1471" ht="16.5" customHeight="1" spans="6:7">
      <c r="F1471" s="92">
        <v>44074</v>
      </c>
      <c r="G1471" s="93">
        <v>11387.5</v>
      </c>
    </row>
    <row r="1472" ht="16.5" customHeight="1" spans="6:7">
      <c r="F1472" s="92">
        <v>44071</v>
      </c>
      <c r="G1472" s="93">
        <v>11647.6</v>
      </c>
    </row>
    <row r="1473" ht="16.5" customHeight="1" spans="6:7">
      <c r="F1473" s="92">
        <v>44070</v>
      </c>
      <c r="G1473" s="93">
        <v>11559.25</v>
      </c>
    </row>
    <row r="1474" ht="16.5" customHeight="1" spans="6:7">
      <c r="F1474" s="92">
        <v>44069</v>
      </c>
      <c r="G1474" s="93">
        <v>11549.6</v>
      </c>
    </row>
    <row r="1475" ht="16.5" customHeight="1" spans="6:7">
      <c r="F1475" s="92">
        <v>44068</v>
      </c>
      <c r="G1475" s="93">
        <v>11472.25</v>
      </c>
    </row>
    <row r="1476" ht="16.5" customHeight="1" spans="6:7">
      <c r="F1476" s="92">
        <v>44067</v>
      </c>
      <c r="G1476" s="93">
        <v>11466.45</v>
      </c>
    </row>
    <row r="1477" ht="16.5" customHeight="1" spans="6:7">
      <c r="F1477" s="92">
        <v>44064</v>
      </c>
      <c r="G1477" s="93">
        <v>11371.6</v>
      </c>
    </row>
    <row r="1478" ht="16.5" customHeight="1" spans="6:7">
      <c r="F1478" s="92">
        <v>44063</v>
      </c>
      <c r="G1478" s="93">
        <v>11312.2</v>
      </c>
    </row>
    <row r="1479" ht="16.5" customHeight="1" spans="6:7">
      <c r="F1479" s="92">
        <v>44062</v>
      </c>
      <c r="G1479" s="93">
        <v>11408.4</v>
      </c>
    </row>
    <row r="1480" ht="16.5" customHeight="1" spans="6:7">
      <c r="F1480" s="92">
        <v>44061</v>
      </c>
      <c r="G1480" s="93">
        <v>11385.35</v>
      </c>
    </row>
    <row r="1481" ht="16.5" customHeight="1" spans="6:7">
      <c r="F1481" s="92">
        <v>44060</v>
      </c>
      <c r="G1481" s="93">
        <v>11247.1</v>
      </c>
    </row>
    <row r="1482" ht="16.5" customHeight="1" spans="6:7">
      <c r="F1482" s="92">
        <v>44057</v>
      </c>
      <c r="G1482" s="93">
        <v>11178.4</v>
      </c>
    </row>
    <row r="1483" ht="16.5" customHeight="1" spans="6:7">
      <c r="F1483" s="92">
        <v>44056</v>
      </c>
      <c r="G1483" s="93">
        <v>11300.45</v>
      </c>
    </row>
    <row r="1484" ht="16.5" customHeight="1" spans="6:7">
      <c r="F1484" s="92">
        <v>44055</v>
      </c>
      <c r="G1484" s="93">
        <v>11308.4</v>
      </c>
    </row>
    <row r="1485" ht="16.5" customHeight="1" spans="6:7">
      <c r="F1485" s="92">
        <v>44054</v>
      </c>
      <c r="G1485" s="93">
        <v>11322.5</v>
      </c>
    </row>
    <row r="1486" ht="16.5" customHeight="1" spans="6:7">
      <c r="F1486" s="92">
        <v>44053</v>
      </c>
      <c r="G1486" s="93">
        <v>11270.15</v>
      </c>
    </row>
    <row r="1487" ht="16.5" customHeight="1" spans="6:7">
      <c r="F1487" s="92">
        <v>44050</v>
      </c>
      <c r="G1487" s="93">
        <v>11214.05</v>
      </c>
    </row>
    <row r="1488" ht="16.5" customHeight="1" spans="6:7">
      <c r="F1488" s="92">
        <v>44049</v>
      </c>
      <c r="G1488" s="93">
        <v>11200.15</v>
      </c>
    </row>
    <row r="1489" ht="16.5" customHeight="1" spans="6:7">
      <c r="F1489" s="92">
        <v>44048</v>
      </c>
      <c r="G1489" s="93">
        <v>11101.65</v>
      </c>
    </row>
    <row r="1490" ht="16.5" customHeight="1" spans="6:7">
      <c r="F1490" s="92">
        <v>44047</v>
      </c>
      <c r="G1490" s="93">
        <v>11095.25</v>
      </c>
    </row>
    <row r="1491" ht="16.5" customHeight="1" spans="6:7">
      <c r="F1491" s="92">
        <v>44046</v>
      </c>
      <c r="G1491" s="93">
        <v>10891.6</v>
      </c>
    </row>
    <row r="1492" ht="16.5" customHeight="1" spans="6:7">
      <c r="F1492" s="92">
        <v>44043</v>
      </c>
      <c r="G1492" s="93">
        <v>11073.45</v>
      </c>
    </row>
    <row r="1493" ht="16.5" customHeight="1" spans="6:7">
      <c r="F1493" s="92">
        <v>44042</v>
      </c>
      <c r="G1493" s="93">
        <v>11102.15</v>
      </c>
    </row>
    <row r="1494" ht="16.5" customHeight="1" spans="6:7">
      <c r="F1494" s="92">
        <v>44041</v>
      </c>
      <c r="G1494" s="93">
        <v>11202.85</v>
      </c>
    </row>
    <row r="1495" ht="16.5" customHeight="1" spans="6:7">
      <c r="F1495" s="92">
        <v>44040</v>
      </c>
      <c r="G1495" s="93">
        <v>11300.55</v>
      </c>
    </row>
    <row r="1496" ht="16.5" customHeight="1" spans="6:7">
      <c r="F1496" s="92">
        <v>44039</v>
      </c>
      <c r="G1496" s="93">
        <v>11131.8</v>
      </c>
    </row>
    <row r="1497" ht="16.5" customHeight="1" spans="6:7">
      <c r="F1497" s="92">
        <v>44036</v>
      </c>
      <c r="G1497" s="93">
        <v>11194.15</v>
      </c>
    </row>
    <row r="1498" ht="16.5" customHeight="1" spans="6:7">
      <c r="F1498" s="92">
        <v>44035</v>
      </c>
      <c r="G1498" s="93">
        <v>11215.45</v>
      </c>
    </row>
    <row r="1499" ht="16.5" customHeight="1" spans="6:7">
      <c r="F1499" s="92">
        <v>44034</v>
      </c>
      <c r="G1499" s="93">
        <v>11132.6</v>
      </c>
    </row>
    <row r="1500" ht="16.5" customHeight="1" spans="6:7">
      <c r="F1500" s="92">
        <v>44033</v>
      </c>
      <c r="G1500" s="93">
        <v>11162.25</v>
      </c>
    </row>
    <row r="1501" ht="16.5" customHeight="1" spans="6:7">
      <c r="F1501" s="92">
        <v>44032</v>
      </c>
      <c r="G1501" s="93">
        <v>11022.2</v>
      </c>
    </row>
    <row r="1502" ht="16.5" customHeight="1" spans="6:7">
      <c r="F1502" s="92">
        <v>44029</v>
      </c>
      <c r="G1502" s="93">
        <v>10901.7</v>
      </c>
    </row>
    <row r="1503" ht="16.5" customHeight="1" spans="6:7">
      <c r="F1503" s="92">
        <v>44028</v>
      </c>
      <c r="G1503" s="93">
        <v>10739.95</v>
      </c>
    </row>
    <row r="1504" ht="16.5" customHeight="1" spans="6:7">
      <c r="F1504" s="92">
        <v>44027</v>
      </c>
      <c r="G1504" s="93">
        <v>10618.2</v>
      </c>
    </row>
    <row r="1505" ht="16.5" customHeight="1" spans="6:7">
      <c r="F1505" s="92">
        <v>44026</v>
      </c>
      <c r="G1505" s="93">
        <v>10607.35</v>
      </c>
    </row>
    <row r="1506" ht="16.5" customHeight="1" spans="6:7">
      <c r="F1506" s="92">
        <v>44025</v>
      </c>
      <c r="G1506" s="93">
        <v>10802.7</v>
      </c>
    </row>
    <row r="1507" ht="16.5" customHeight="1" spans="6:7">
      <c r="F1507" s="92">
        <v>44022</v>
      </c>
      <c r="G1507" s="93">
        <v>10768.05</v>
      </c>
    </row>
    <row r="1508" ht="16.5" customHeight="1" spans="6:7">
      <c r="F1508" s="92">
        <v>44021</v>
      </c>
      <c r="G1508" s="93">
        <v>10813.45</v>
      </c>
    </row>
    <row r="1509" ht="16.5" customHeight="1" spans="6:7">
      <c r="F1509" s="92">
        <v>44020</v>
      </c>
      <c r="G1509" s="93">
        <v>10705.75</v>
      </c>
    </row>
    <row r="1510" ht="16.5" customHeight="1" spans="6:7">
      <c r="F1510" s="92">
        <v>44019</v>
      </c>
      <c r="G1510" s="93">
        <v>10799.65</v>
      </c>
    </row>
    <row r="1511" ht="16.5" customHeight="1" spans="6:7">
      <c r="F1511" s="92">
        <v>44018</v>
      </c>
      <c r="G1511" s="93">
        <v>10763.65</v>
      </c>
    </row>
    <row r="1512" ht="16.5" customHeight="1" spans="6:7">
      <c r="F1512" s="92">
        <v>44015</v>
      </c>
      <c r="G1512" s="93">
        <v>10607.35</v>
      </c>
    </row>
    <row r="1513" ht="16.5" customHeight="1" spans="6:7">
      <c r="F1513" s="92">
        <v>44014</v>
      </c>
      <c r="G1513" s="93">
        <v>10551.7</v>
      </c>
    </row>
    <row r="1514" ht="16.5" customHeight="1" spans="6:7">
      <c r="F1514" s="92">
        <v>44013</v>
      </c>
      <c r="G1514" s="93">
        <v>10430.05</v>
      </c>
    </row>
    <row r="1515" ht="16.5" customHeight="1" spans="6:7">
      <c r="F1515" s="92">
        <v>44012</v>
      </c>
      <c r="G1515" s="93">
        <v>10302.1</v>
      </c>
    </row>
    <row r="1516" ht="16.5" customHeight="1" spans="6:7">
      <c r="F1516" s="92">
        <v>44011</v>
      </c>
      <c r="G1516" s="93">
        <v>10312.4</v>
      </c>
    </row>
    <row r="1517" ht="16.5" customHeight="1" spans="6:7">
      <c r="F1517" s="92">
        <v>44008</v>
      </c>
      <c r="G1517" s="93">
        <v>10383</v>
      </c>
    </row>
    <row r="1518" ht="16.5" customHeight="1" spans="6:7">
      <c r="F1518" s="92">
        <v>44007</v>
      </c>
      <c r="G1518" s="93">
        <v>10288.9</v>
      </c>
    </row>
    <row r="1519" ht="16.5" customHeight="1" spans="6:7">
      <c r="F1519" s="92">
        <v>44006</v>
      </c>
      <c r="G1519" s="93">
        <v>10305.3</v>
      </c>
    </row>
    <row r="1520" ht="16.5" customHeight="1" spans="6:7">
      <c r="F1520" s="92">
        <v>44005</v>
      </c>
      <c r="G1520" s="93">
        <v>10471</v>
      </c>
    </row>
    <row r="1521" ht="16.5" customHeight="1" spans="6:7">
      <c r="F1521" s="92">
        <v>44004</v>
      </c>
      <c r="G1521" s="93">
        <v>10311.2</v>
      </c>
    </row>
    <row r="1522" ht="16.5" customHeight="1" spans="6:7">
      <c r="F1522" s="92">
        <v>44001</v>
      </c>
      <c r="G1522" s="93">
        <v>10244.4</v>
      </c>
    </row>
    <row r="1523" ht="16.5" customHeight="1" spans="6:7">
      <c r="F1523" s="92">
        <v>44000</v>
      </c>
      <c r="G1523" s="93">
        <v>10091.65</v>
      </c>
    </row>
    <row r="1524" ht="16.5" customHeight="1" spans="6:7">
      <c r="F1524" s="92">
        <v>43999</v>
      </c>
      <c r="G1524" s="93">
        <v>9881.15</v>
      </c>
    </row>
    <row r="1525" ht="16.5" customHeight="1" spans="6:7">
      <c r="F1525" s="92">
        <v>43998</v>
      </c>
      <c r="G1525" s="93">
        <v>9914</v>
      </c>
    </row>
    <row r="1526" ht="16.5" customHeight="1" spans="6:7">
      <c r="F1526" s="92">
        <v>43997</v>
      </c>
      <c r="G1526" s="93">
        <v>9813.7</v>
      </c>
    </row>
    <row r="1527" ht="16.5" customHeight="1" spans="6:7">
      <c r="F1527" s="92">
        <v>43994</v>
      </c>
      <c r="G1527" s="93">
        <v>9972.9</v>
      </c>
    </row>
    <row r="1528" ht="16.5" customHeight="1" spans="6:7">
      <c r="F1528" s="92">
        <v>43993</v>
      </c>
      <c r="G1528" s="93">
        <v>9902</v>
      </c>
    </row>
    <row r="1529" ht="16.5" customHeight="1" spans="6:7">
      <c r="F1529" s="92">
        <v>43992</v>
      </c>
      <c r="G1529" s="93">
        <v>10116.15</v>
      </c>
    </row>
    <row r="1530" ht="16.5" customHeight="1" spans="6:7">
      <c r="F1530" s="92">
        <v>43991</v>
      </c>
      <c r="G1530" s="93">
        <v>10046.65</v>
      </c>
    </row>
    <row r="1531" ht="16.5" customHeight="1" spans="6:7">
      <c r="F1531" s="92">
        <v>43990</v>
      </c>
      <c r="G1531" s="93">
        <v>10167.45</v>
      </c>
    </row>
    <row r="1532" ht="16.5" customHeight="1" spans="6:7">
      <c r="F1532" s="92">
        <v>43987</v>
      </c>
      <c r="G1532" s="93">
        <v>10142.15</v>
      </c>
    </row>
    <row r="1533" ht="16.5" customHeight="1" spans="6:7">
      <c r="F1533" s="92">
        <v>43986</v>
      </c>
      <c r="G1533" s="93">
        <v>10029.1</v>
      </c>
    </row>
    <row r="1534" ht="16.5" customHeight="1" spans="6:7">
      <c r="F1534" s="92">
        <v>43985</v>
      </c>
      <c r="G1534" s="93">
        <v>10061.55</v>
      </c>
    </row>
    <row r="1535" ht="16.5" customHeight="1" spans="6:7">
      <c r="F1535" s="92">
        <v>43984</v>
      </c>
      <c r="G1535" s="93">
        <v>9979.1</v>
      </c>
    </row>
    <row r="1536" ht="16.5" customHeight="1" spans="6:7">
      <c r="F1536" s="92">
        <v>43983</v>
      </c>
      <c r="G1536" s="93">
        <v>9826.15</v>
      </c>
    </row>
    <row r="1537" ht="16.5" customHeight="1" spans="6:7">
      <c r="F1537" s="92">
        <v>43980</v>
      </c>
      <c r="G1537" s="93">
        <v>9580.3</v>
      </c>
    </row>
    <row r="1538" ht="16.5" customHeight="1" spans="6:7">
      <c r="F1538" s="92">
        <v>43979</v>
      </c>
      <c r="G1538" s="93">
        <v>9490.1</v>
      </c>
    </row>
    <row r="1539" ht="16.5" customHeight="1" spans="6:7">
      <c r="F1539" s="92">
        <v>43978</v>
      </c>
      <c r="G1539" s="93">
        <v>9314.95</v>
      </c>
    </row>
    <row r="1540" ht="16.5" customHeight="1" spans="6:7">
      <c r="F1540" s="92">
        <v>43977</v>
      </c>
      <c r="G1540" s="93">
        <v>9029.05</v>
      </c>
    </row>
    <row r="1541" ht="16.5" customHeight="1" spans="6:7">
      <c r="F1541" s="92">
        <v>43973</v>
      </c>
      <c r="G1541" s="93">
        <v>9039.25</v>
      </c>
    </row>
    <row r="1542" ht="16.5" customHeight="1" spans="6:7">
      <c r="F1542" s="92">
        <v>43972</v>
      </c>
      <c r="G1542" s="93">
        <v>9106.25</v>
      </c>
    </row>
    <row r="1543" ht="16.5" customHeight="1" spans="6:7">
      <c r="F1543" s="92">
        <v>43971</v>
      </c>
      <c r="G1543" s="93">
        <v>9066.55</v>
      </c>
    </row>
    <row r="1544" ht="16.5" customHeight="1" spans="6:7">
      <c r="F1544" s="92">
        <v>43970</v>
      </c>
      <c r="G1544" s="93">
        <v>8879.1</v>
      </c>
    </row>
    <row r="1545" ht="16.5" customHeight="1" spans="6:7">
      <c r="F1545" s="92">
        <v>43969</v>
      </c>
      <c r="G1545" s="93">
        <v>8823.25</v>
      </c>
    </row>
    <row r="1546" ht="16.5" customHeight="1" spans="6:7">
      <c r="F1546" s="92">
        <v>43966</v>
      </c>
      <c r="G1546" s="93">
        <v>9136.85</v>
      </c>
    </row>
    <row r="1547" ht="16.5" customHeight="1" spans="6:7">
      <c r="F1547" s="92">
        <v>43965</v>
      </c>
      <c r="G1547" s="93">
        <v>9142.75</v>
      </c>
    </row>
    <row r="1548" ht="16.5" customHeight="1" spans="6:7">
      <c r="F1548" s="92">
        <v>43964</v>
      </c>
      <c r="G1548" s="93">
        <v>9383.55</v>
      </c>
    </row>
    <row r="1549" ht="16.5" customHeight="1" spans="6:7">
      <c r="F1549" s="92">
        <v>43963</v>
      </c>
      <c r="G1549" s="93">
        <v>9196.55</v>
      </c>
    </row>
    <row r="1550" ht="16.5" customHeight="1" spans="6:7">
      <c r="F1550" s="92">
        <v>43962</v>
      </c>
      <c r="G1550" s="93">
        <v>9239.2</v>
      </c>
    </row>
    <row r="1551" ht="16.5" customHeight="1" spans="6:7">
      <c r="F1551" s="92">
        <v>43959</v>
      </c>
      <c r="G1551" s="93">
        <v>9251.5</v>
      </c>
    </row>
    <row r="1552" ht="16.5" customHeight="1" spans="6:7">
      <c r="F1552" s="92">
        <v>43958</v>
      </c>
      <c r="G1552" s="93">
        <v>9199.05</v>
      </c>
    </row>
    <row r="1553" ht="16.5" customHeight="1" spans="6:7">
      <c r="F1553" s="92">
        <v>43957</v>
      </c>
      <c r="G1553" s="93">
        <v>9270.9</v>
      </c>
    </row>
    <row r="1554" ht="16.5" customHeight="1" spans="6:7">
      <c r="F1554" s="92">
        <v>43956</v>
      </c>
      <c r="G1554" s="93">
        <v>9205.6</v>
      </c>
    </row>
    <row r="1555" ht="16.5" customHeight="1" spans="6:7">
      <c r="F1555" s="92">
        <v>43955</v>
      </c>
      <c r="G1555" s="93">
        <v>9293.5</v>
      </c>
    </row>
    <row r="1556" ht="16.5" customHeight="1" spans="6:7">
      <c r="F1556" s="92">
        <v>43951</v>
      </c>
      <c r="G1556" s="93">
        <v>9859.9</v>
      </c>
    </row>
    <row r="1557" ht="16.5" customHeight="1" spans="6:7">
      <c r="F1557" s="92">
        <v>43950</v>
      </c>
      <c r="G1557" s="93">
        <v>9553.35</v>
      </c>
    </row>
    <row r="1558" ht="16.5" customHeight="1" spans="6:7">
      <c r="F1558" s="92">
        <v>43949</v>
      </c>
      <c r="G1558" s="93">
        <v>9380.9</v>
      </c>
    </row>
    <row r="1559" ht="16.5" customHeight="1" spans="6:7">
      <c r="F1559" s="92">
        <v>43948</v>
      </c>
      <c r="G1559" s="93">
        <v>9282.3</v>
      </c>
    </row>
    <row r="1560" ht="16.5" customHeight="1" spans="6:7">
      <c r="F1560" s="92">
        <v>43945</v>
      </c>
      <c r="G1560" s="93">
        <v>9154.4</v>
      </c>
    </row>
    <row r="1561" ht="16.5" customHeight="1" spans="6:7">
      <c r="F1561" s="92">
        <v>43944</v>
      </c>
      <c r="G1561" s="93">
        <v>9313.9</v>
      </c>
    </row>
    <row r="1562" ht="16.5" customHeight="1" spans="6:7">
      <c r="F1562" s="92">
        <v>43943</v>
      </c>
      <c r="G1562" s="93">
        <v>9187.3</v>
      </c>
    </row>
    <row r="1563" ht="16.5" customHeight="1" spans="6:7">
      <c r="F1563" s="92">
        <v>43942</v>
      </c>
      <c r="G1563" s="93">
        <v>8981.45</v>
      </c>
    </row>
    <row r="1564" ht="16.5" customHeight="1" spans="6:7">
      <c r="F1564" s="92">
        <v>43941</v>
      </c>
      <c r="G1564" s="93">
        <v>9261.85</v>
      </c>
    </row>
    <row r="1565" ht="16.5" customHeight="1" spans="6:7">
      <c r="F1565" s="92">
        <v>43938</v>
      </c>
      <c r="G1565" s="93">
        <v>9266.75</v>
      </c>
    </row>
    <row r="1566" ht="16.5" customHeight="1" spans="6:7">
      <c r="F1566" s="92">
        <v>43937</v>
      </c>
      <c r="G1566" s="93">
        <v>8992.8</v>
      </c>
    </row>
    <row r="1567" ht="16.5" customHeight="1" spans="6:7">
      <c r="F1567" s="92">
        <v>43936</v>
      </c>
      <c r="G1567" s="93">
        <v>8925.3</v>
      </c>
    </row>
    <row r="1568" ht="16.5" customHeight="1" spans="6:7">
      <c r="F1568" s="92">
        <v>43934</v>
      </c>
      <c r="G1568" s="93">
        <v>8993.85</v>
      </c>
    </row>
    <row r="1569" ht="16.5" customHeight="1" spans="6:7">
      <c r="F1569" s="92">
        <v>43930</v>
      </c>
      <c r="G1569" s="93">
        <v>9111.9</v>
      </c>
    </row>
    <row r="1570" ht="16.5" customHeight="1" spans="6:7">
      <c r="F1570" s="92">
        <v>43929</v>
      </c>
      <c r="G1570" s="93">
        <v>8748.75</v>
      </c>
    </row>
    <row r="1571" ht="16.5" customHeight="1" spans="6:7">
      <c r="F1571" s="92">
        <v>43928</v>
      </c>
      <c r="G1571" s="93">
        <v>8792.2</v>
      </c>
    </row>
    <row r="1572" ht="16.5" customHeight="1" spans="6:7">
      <c r="F1572" s="92">
        <v>43924</v>
      </c>
      <c r="G1572" s="93">
        <v>8083.8</v>
      </c>
    </row>
    <row r="1573" ht="16.5" customHeight="1" spans="6:7">
      <c r="F1573" s="92">
        <v>43922</v>
      </c>
      <c r="G1573" s="93">
        <v>8253.8</v>
      </c>
    </row>
    <row r="1574" ht="16.5" customHeight="1" spans="6:7">
      <c r="F1574" s="92">
        <v>43921</v>
      </c>
      <c r="G1574" s="93">
        <v>8597.75</v>
      </c>
    </row>
    <row r="1575" ht="16.5" customHeight="1" spans="6:7">
      <c r="F1575" s="92">
        <v>43920</v>
      </c>
      <c r="G1575" s="93">
        <v>8281.1</v>
      </c>
    </row>
    <row r="1576" ht="16.5" customHeight="1" spans="6:7">
      <c r="F1576" s="92">
        <v>43917</v>
      </c>
      <c r="G1576" s="93">
        <v>8660.25</v>
      </c>
    </row>
    <row r="1577" ht="16.5" customHeight="1" spans="6:7">
      <c r="F1577" s="92">
        <v>43916</v>
      </c>
      <c r="G1577" s="93">
        <v>8641.45</v>
      </c>
    </row>
    <row r="1578" ht="16.5" customHeight="1" spans="6:7">
      <c r="F1578" s="92">
        <v>43915</v>
      </c>
      <c r="G1578" s="93">
        <v>8317.85</v>
      </c>
    </row>
    <row r="1579" ht="16.5" customHeight="1" spans="6:7">
      <c r="F1579" s="92">
        <v>43914</v>
      </c>
      <c r="G1579" s="93">
        <v>7801.05</v>
      </c>
    </row>
    <row r="1580" ht="16.5" customHeight="1" spans="6:7">
      <c r="F1580" s="92">
        <v>43913</v>
      </c>
      <c r="G1580" s="93">
        <v>7610.25</v>
      </c>
    </row>
    <row r="1581" ht="16.5" customHeight="1" spans="6:7">
      <c r="F1581" s="92">
        <v>43910</v>
      </c>
      <c r="G1581" s="93">
        <v>8745.45</v>
      </c>
    </row>
    <row r="1582" ht="16.5" customHeight="1" spans="6:7">
      <c r="F1582" s="92">
        <v>43909</v>
      </c>
      <c r="G1582" s="93">
        <v>8263.45</v>
      </c>
    </row>
    <row r="1583" ht="16.5" customHeight="1" spans="6:7">
      <c r="F1583" s="92">
        <v>43908</v>
      </c>
      <c r="G1583" s="93">
        <v>8468.8</v>
      </c>
    </row>
    <row r="1584" ht="16.5" customHeight="1" spans="6:7">
      <c r="F1584" s="92">
        <v>43907</v>
      </c>
      <c r="G1584" s="93">
        <v>8967.05</v>
      </c>
    </row>
    <row r="1585" ht="16.5" customHeight="1" spans="6:7">
      <c r="F1585" s="92">
        <v>43906</v>
      </c>
      <c r="G1585" s="93">
        <v>9197.4</v>
      </c>
    </row>
    <row r="1586" ht="16.5" customHeight="1" spans="6:7">
      <c r="F1586" s="92">
        <v>43903</v>
      </c>
      <c r="G1586" s="93">
        <v>9955.2</v>
      </c>
    </row>
    <row r="1587" ht="16.5" customHeight="1" spans="6:7">
      <c r="F1587" s="92">
        <v>43902</v>
      </c>
      <c r="G1587" s="93">
        <v>9590.15</v>
      </c>
    </row>
    <row r="1588" ht="16.5" customHeight="1" spans="6:7">
      <c r="F1588" s="92">
        <v>43901</v>
      </c>
      <c r="G1588" s="93">
        <v>10458.4</v>
      </c>
    </row>
    <row r="1589" ht="16.5" customHeight="1" spans="6:7">
      <c r="F1589" s="92">
        <v>43899</v>
      </c>
      <c r="G1589" s="93">
        <v>10451.45</v>
      </c>
    </row>
    <row r="1590" ht="16.5" customHeight="1" spans="6:7">
      <c r="F1590" s="92">
        <v>43896</v>
      </c>
      <c r="G1590" s="93">
        <v>10989.45</v>
      </c>
    </row>
    <row r="1591" ht="16.5" customHeight="1" spans="6:7">
      <c r="F1591" s="92">
        <v>43895</v>
      </c>
      <c r="G1591" s="93">
        <v>11269</v>
      </c>
    </row>
    <row r="1592" ht="16.5" customHeight="1" spans="6:7">
      <c r="F1592" s="92">
        <v>43894</v>
      </c>
      <c r="G1592" s="93">
        <v>11251</v>
      </c>
    </row>
    <row r="1593" ht="16.5" customHeight="1" spans="6:7">
      <c r="F1593" s="92">
        <v>43893</v>
      </c>
      <c r="G1593" s="93">
        <v>11303.3</v>
      </c>
    </row>
    <row r="1594" ht="16.5" customHeight="1" spans="6:7">
      <c r="F1594" s="92">
        <v>43892</v>
      </c>
      <c r="G1594" s="93">
        <v>11132.75</v>
      </c>
    </row>
    <row r="1595" ht="16.5" customHeight="1" spans="6:7">
      <c r="F1595" s="92">
        <v>43889</v>
      </c>
      <c r="G1595" s="93">
        <v>11201.75</v>
      </c>
    </row>
    <row r="1596" ht="16.5" customHeight="1" spans="6:7">
      <c r="F1596" s="92">
        <v>43888</v>
      </c>
      <c r="G1596" s="93">
        <v>11633.3</v>
      </c>
    </row>
    <row r="1597" ht="16.5" customHeight="1" spans="6:7">
      <c r="F1597" s="92">
        <v>43887</v>
      </c>
      <c r="G1597" s="93">
        <v>11678.5</v>
      </c>
    </row>
    <row r="1598" ht="16.5" customHeight="1" spans="6:7">
      <c r="F1598" s="92">
        <v>43886</v>
      </c>
      <c r="G1598" s="93">
        <v>11797.9</v>
      </c>
    </row>
    <row r="1599" ht="16.5" customHeight="1" spans="6:7">
      <c r="F1599" s="92">
        <v>43885</v>
      </c>
      <c r="G1599" s="93">
        <v>11829.4</v>
      </c>
    </row>
    <row r="1600" ht="16.5" customHeight="1" spans="6:7">
      <c r="F1600" s="92">
        <v>43881</v>
      </c>
      <c r="G1600" s="93">
        <v>12080.85</v>
      </c>
    </row>
    <row r="1601" ht="16.5" customHeight="1" spans="6:7">
      <c r="F1601" s="92">
        <v>43880</v>
      </c>
      <c r="G1601" s="93">
        <v>12125.9</v>
      </c>
    </row>
    <row r="1602" ht="16.5" customHeight="1" spans="6:7">
      <c r="F1602" s="92">
        <v>43879</v>
      </c>
      <c r="G1602" s="93">
        <v>11992.5</v>
      </c>
    </row>
    <row r="1603" ht="16.5" customHeight="1" spans="6:7">
      <c r="F1603" s="92">
        <v>43878</v>
      </c>
      <c r="G1603" s="93">
        <v>12045.8</v>
      </c>
    </row>
    <row r="1604" ht="16.5" customHeight="1" spans="6:7">
      <c r="F1604" s="92">
        <v>43875</v>
      </c>
      <c r="G1604" s="93">
        <v>12113.45</v>
      </c>
    </row>
    <row r="1605" ht="16.5" customHeight="1" spans="6:7">
      <c r="F1605" s="92">
        <v>43874</v>
      </c>
      <c r="G1605" s="93">
        <v>12174.65</v>
      </c>
    </row>
    <row r="1606" ht="16.5" customHeight="1" spans="6:7">
      <c r="F1606" s="92">
        <v>43873</v>
      </c>
      <c r="G1606" s="93">
        <v>12201.2</v>
      </c>
    </row>
    <row r="1607" ht="16.5" customHeight="1" spans="6:7">
      <c r="F1607" s="92">
        <v>43872</v>
      </c>
      <c r="G1607" s="93">
        <v>12107.9</v>
      </c>
    </row>
    <row r="1608" ht="16.5" customHeight="1" spans="6:7">
      <c r="F1608" s="92">
        <v>43871</v>
      </c>
      <c r="G1608" s="93">
        <v>12031.5</v>
      </c>
    </row>
    <row r="1609" ht="16.5" customHeight="1" spans="6:7">
      <c r="F1609" s="92">
        <v>43868</v>
      </c>
      <c r="G1609" s="93">
        <v>12098.35</v>
      </c>
    </row>
    <row r="1610" ht="16.5" customHeight="1" spans="6:7">
      <c r="F1610" s="92">
        <v>43867</v>
      </c>
      <c r="G1610" s="93">
        <v>12137.95</v>
      </c>
    </row>
    <row r="1611" ht="16.5" customHeight="1" spans="6:7">
      <c r="F1611" s="92">
        <v>43866</v>
      </c>
      <c r="G1611" s="93">
        <v>12089.15</v>
      </c>
    </row>
    <row r="1612" ht="16.5" customHeight="1" spans="6:7">
      <c r="F1612" s="92">
        <v>43865</v>
      </c>
      <c r="G1612" s="93">
        <v>11979.65</v>
      </c>
    </row>
    <row r="1613" ht="16.5" customHeight="1" spans="6:7">
      <c r="F1613" s="92">
        <v>43864</v>
      </c>
      <c r="G1613" s="93">
        <v>11707.9</v>
      </c>
    </row>
    <row r="1614" ht="16.5" customHeight="1" spans="6:7">
      <c r="F1614" s="92">
        <v>43862</v>
      </c>
      <c r="G1614" s="93">
        <v>11661.85</v>
      </c>
    </row>
    <row r="1615" ht="16.5" customHeight="1" spans="6:7">
      <c r="F1615" s="92">
        <v>43861</v>
      </c>
      <c r="G1615" s="93">
        <v>11962.1</v>
      </c>
    </row>
    <row r="1616" ht="16.5" customHeight="1" spans="6:7">
      <c r="F1616" s="92">
        <v>43860</v>
      </c>
      <c r="G1616" s="93">
        <v>12035.8</v>
      </c>
    </row>
    <row r="1617" ht="16.5" customHeight="1" spans="6:7">
      <c r="F1617" s="92">
        <v>43859</v>
      </c>
      <c r="G1617" s="93">
        <v>12129.5</v>
      </c>
    </row>
    <row r="1618" ht="16.5" customHeight="1" spans="6:7">
      <c r="F1618" s="92">
        <v>43858</v>
      </c>
      <c r="G1618" s="93">
        <v>12055.8</v>
      </c>
    </row>
    <row r="1619" ht="16.5" customHeight="1" spans="6:7">
      <c r="F1619" s="92">
        <v>43857</v>
      </c>
      <c r="G1619" s="93">
        <v>12119</v>
      </c>
    </row>
    <row r="1620" ht="16.5" customHeight="1" spans="6:7">
      <c r="F1620" s="92">
        <v>43854</v>
      </c>
      <c r="G1620" s="93">
        <v>12248.25</v>
      </c>
    </row>
    <row r="1621" ht="16.5" customHeight="1" spans="6:7">
      <c r="F1621" s="92">
        <v>43853</v>
      </c>
      <c r="G1621" s="93">
        <v>12180.35</v>
      </c>
    </row>
    <row r="1622" ht="16.5" customHeight="1" spans="6:7">
      <c r="F1622" s="92">
        <v>43852</v>
      </c>
      <c r="G1622" s="93">
        <v>12106.9</v>
      </c>
    </row>
    <row r="1623" ht="16.5" customHeight="1" spans="6:7">
      <c r="F1623" s="92">
        <v>43851</v>
      </c>
      <c r="G1623" s="93">
        <v>12169.85</v>
      </c>
    </row>
    <row r="1624" ht="16.5" customHeight="1" spans="6:7">
      <c r="F1624" s="92">
        <v>43850</v>
      </c>
      <c r="G1624" s="93">
        <v>12224.55</v>
      </c>
    </row>
    <row r="1625" ht="16.5" customHeight="1" spans="6:7">
      <c r="F1625" s="92">
        <v>43847</v>
      </c>
      <c r="G1625" s="93">
        <v>12352.35</v>
      </c>
    </row>
    <row r="1626" ht="16.5" customHeight="1" spans="6:7">
      <c r="F1626" s="92">
        <v>43846</v>
      </c>
      <c r="G1626" s="93">
        <v>12355.5</v>
      </c>
    </row>
    <row r="1627" ht="16.5" customHeight="1" spans="6:7">
      <c r="F1627" s="92">
        <v>43845</v>
      </c>
      <c r="G1627" s="93">
        <v>12343.3</v>
      </c>
    </row>
    <row r="1628" ht="16.5" customHeight="1" spans="6:7">
      <c r="F1628" s="92">
        <v>43844</v>
      </c>
      <c r="G1628" s="93">
        <v>12362.3</v>
      </c>
    </row>
    <row r="1629" ht="16.5" customHeight="1" spans="6:7">
      <c r="F1629" s="92">
        <v>43843</v>
      </c>
      <c r="G1629" s="93">
        <v>12329.55</v>
      </c>
    </row>
    <row r="1630" ht="16.5" customHeight="1" spans="6:7">
      <c r="F1630" s="92">
        <v>43840</v>
      </c>
      <c r="G1630" s="93">
        <v>12256.8</v>
      </c>
    </row>
    <row r="1631" ht="16.5" customHeight="1" spans="6:7">
      <c r="F1631" s="92">
        <v>43839</v>
      </c>
      <c r="G1631" s="93">
        <v>12215.9</v>
      </c>
    </row>
    <row r="1632" ht="16.5" customHeight="1" spans="6:7">
      <c r="F1632" s="92">
        <v>43838</v>
      </c>
      <c r="G1632" s="93">
        <v>12025.35</v>
      </c>
    </row>
    <row r="1633" ht="16.5" customHeight="1" spans="6:7">
      <c r="F1633" s="92">
        <v>43837</v>
      </c>
      <c r="G1633" s="93">
        <v>12052.95</v>
      </c>
    </row>
    <row r="1634" ht="16.5" customHeight="1" spans="6:7">
      <c r="F1634" s="92">
        <v>43836</v>
      </c>
      <c r="G1634" s="93">
        <v>11993.05</v>
      </c>
    </row>
    <row r="1635" ht="16.5" customHeight="1" spans="6:7">
      <c r="F1635" s="92">
        <v>43833</v>
      </c>
      <c r="G1635" s="93">
        <v>12226.65</v>
      </c>
    </row>
    <row r="1636" ht="16.5" customHeight="1" spans="6:7">
      <c r="F1636" s="92">
        <v>43832</v>
      </c>
      <c r="G1636" s="93">
        <v>12282.2</v>
      </c>
    </row>
    <row r="1637" ht="16.5" customHeight="1" spans="6:7">
      <c r="F1637" s="92">
        <v>43831</v>
      </c>
      <c r="G1637" s="93">
        <v>12182.5</v>
      </c>
    </row>
    <row r="1638" ht="16.5" customHeight="1" spans="6:7">
      <c r="F1638" s="92">
        <v>43830</v>
      </c>
      <c r="G1638" s="93">
        <v>12168.45</v>
      </c>
    </row>
    <row r="1639" ht="16.5" customHeight="1" spans="6:7">
      <c r="F1639" s="92">
        <v>43829</v>
      </c>
      <c r="G1639" s="93">
        <v>12255.85</v>
      </c>
    </row>
    <row r="1640" ht="16.5" customHeight="1" spans="6:7">
      <c r="F1640" s="92">
        <v>43826</v>
      </c>
      <c r="G1640" s="93">
        <v>12245.8</v>
      </c>
    </row>
    <row r="1641" ht="16.5" customHeight="1" spans="6:7">
      <c r="F1641" s="92">
        <v>43825</v>
      </c>
      <c r="G1641" s="93">
        <v>12126.55</v>
      </c>
    </row>
    <row r="1642" ht="16.5" customHeight="1" spans="6:7">
      <c r="F1642" s="92">
        <v>43823</v>
      </c>
      <c r="G1642" s="93">
        <v>12214.55</v>
      </c>
    </row>
    <row r="1643" ht="16.5" customHeight="1" spans="6:7">
      <c r="F1643" s="92">
        <v>43822</v>
      </c>
      <c r="G1643" s="93">
        <v>12262.75</v>
      </c>
    </row>
    <row r="1644" ht="16.5" customHeight="1" spans="6:7">
      <c r="F1644" s="92">
        <v>43819</v>
      </c>
      <c r="G1644" s="93">
        <v>12271.8</v>
      </c>
    </row>
    <row r="1645" ht="16.5" customHeight="1" spans="6:7">
      <c r="F1645" s="92">
        <v>43818</v>
      </c>
      <c r="G1645" s="93">
        <v>12259.7</v>
      </c>
    </row>
    <row r="1646" ht="16.5" customHeight="1" spans="6:7">
      <c r="F1646" s="92">
        <v>43817</v>
      </c>
      <c r="G1646" s="93">
        <v>12221.65</v>
      </c>
    </row>
    <row r="1647" ht="16.5" customHeight="1" spans="6:7">
      <c r="F1647" s="92">
        <v>43816</v>
      </c>
      <c r="G1647" s="93">
        <v>12165</v>
      </c>
    </row>
    <row r="1648" ht="16.5" customHeight="1" spans="6:7">
      <c r="F1648" s="92">
        <v>43815</v>
      </c>
      <c r="G1648" s="93">
        <v>12053.95</v>
      </c>
    </row>
    <row r="1649" ht="16.5" customHeight="1" spans="6:7">
      <c r="F1649" s="92">
        <v>43812</v>
      </c>
      <c r="G1649" s="93">
        <v>12086.7</v>
      </c>
    </row>
    <row r="1650" ht="16.5" customHeight="1" spans="6:7">
      <c r="F1650" s="92">
        <v>43811</v>
      </c>
      <c r="G1650" s="93">
        <v>11971.8</v>
      </c>
    </row>
    <row r="1651" ht="16.5" customHeight="1" spans="6:7">
      <c r="F1651" s="92">
        <v>43810</v>
      </c>
      <c r="G1651" s="93">
        <v>11910.15</v>
      </c>
    </row>
    <row r="1652" ht="16.5" customHeight="1" spans="6:7">
      <c r="F1652" s="92">
        <v>43809</v>
      </c>
      <c r="G1652" s="93">
        <v>11856.8</v>
      </c>
    </row>
    <row r="1653" ht="16.5" customHeight="1" spans="6:7">
      <c r="F1653" s="92">
        <v>43808</v>
      </c>
      <c r="G1653" s="93">
        <v>11937.5</v>
      </c>
    </row>
    <row r="1654" ht="16.5" customHeight="1" spans="6:7">
      <c r="F1654" s="92">
        <v>43805</v>
      </c>
      <c r="G1654" s="93">
        <v>11921.5</v>
      </c>
    </row>
    <row r="1655" ht="16.5" customHeight="1" spans="6:7">
      <c r="F1655" s="92">
        <v>43804</v>
      </c>
      <c r="G1655" s="93">
        <v>12018.4</v>
      </c>
    </row>
    <row r="1656" ht="16.5" customHeight="1" spans="6:7">
      <c r="F1656" s="92">
        <v>43803</v>
      </c>
      <c r="G1656" s="93">
        <v>12043.2</v>
      </c>
    </row>
    <row r="1657" ht="16.5" customHeight="1" spans="6:7">
      <c r="F1657" s="92">
        <v>43802</v>
      </c>
      <c r="G1657" s="93">
        <v>11994.2</v>
      </c>
    </row>
    <row r="1658" ht="16.5" customHeight="1" spans="6:7">
      <c r="F1658" s="92">
        <v>43801</v>
      </c>
      <c r="G1658" s="93">
        <v>12048.2</v>
      </c>
    </row>
    <row r="1659" ht="16.5" customHeight="1" spans="6:7">
      <c r="F1659" s="92">
        <v>43798</v>
      </c>
      <c r="G1659" s="93">
        <v>12056.05</v>
      </c>
    </row>
    <row r="1660" ht="16.5" customHeight="1" spans="6:7">
      <c r="F1660" s="92">
        <v>43797</v>
      </c>
      <c r="G1660" s="93">
        <v>12151.15</v>
      </c>
    </row>
    <row r="1661" ht="16.5" customHeight="1" spans="6:7">
      <c r="F1661" s="92">
        <v>43796</v>
      </c>
      <c r="G1661" s="93">
        <v>12100.7</v>
      </c>
    </row>
    <row r="1662" ht="16.5" customHeight="1" spans="6:7">
      <c r="F1662" s="92">
        <v>43795</v>
      </c>
      <c r="G1662" s="93">
        <v>12037.7</v>
      </c>
    </row>
    <row r="1663" ht="16.5" customHeight="1" spans="6:7">
      <c r="F1663" s="92">
        <v>43794</v>
      </c>
      <c r="G1663" s="93">
        <v>12073.75</v>
      </c>
    </row>
    <row r="1664" ht="16.5" customHeight="1" spans="6:7">
      <c r="F1664" s="92">
        <v>43791</v>
      </c>
      <c r="G1664" s="93">
        <v>11914.4</v>
      </c>
    </row>
    <row r="1665" ht="16.5" customHeight="1" spans="6:7">
      <c r="F1665" s="92">
        <v>43790</v>
      </c>
      <c r="G1665" s="93">
        <v>11968.4</v>
      </c>
    </row>
    <row r="1666" ht="16.5" customHeight="1" spans="6:7">
      <c r="F1666" s="92">
        <v>43789</v>
      </c>
      <c r="G1666" s="93">
        <v>11999.1</v>
      </c>
    </row>
    <row r="1667" ht="16.5" customHeight="1" spans="6:7">
      <c r="F1667" s="92">
        <v>43788</v>
      </c>
      <c r="G1667" s="93">
        <v>11940.1</v>
      </c>
    </row>
    <row r="1668" ht="16.5" customHeight="1" spans="6:7">
      <c r="F1668" s="92">
        <v>43787</v>
      </c>
      <c r="G1668" s="93">
        <v>11884.5</v>
      </c>
    </row>
    <row r="1669" ht="16.5" customHeight="1" spans="6:7">
      <c r="F1669" s="92">
        <v>43784</v>
      </c>
      <c r="G1669" s="93">
        <v>11895.45</v>
      </c>
    </row>
    <row r="1670" ht="16.5" customHeight="1" spans="6:7">
      <c r="F1670" s="92">
        <v>43783</v>
      </c>
      <c r="G1670" s="93">
        <v>11872.1</v>
      </c>
    </row>
    <row r="1671" ht="16.5" customHeight="1" spans="6:7">
      <c r="F1671" s="92">
        <v>43782</v>
      </c>
      <c r="G1671" s="93">
        <v>11840.45</v>
      </c>
    </row>
    <row r="1672" ht="16.5" customHeight="1" spans="6:7">
      <c r="F1672" s="92">
        <v>43780</v>
      </c>
      <c r="G1672" s="93">
        <v>11913.45</v>
      </c>
    </row>
    <row r="1673" ht="16.5" customHeight="1" spans="6:7">
      <c r="F1673" s="92">
        <v>43777</v>
      </c>
      <c r="G1673" s="93">
        <v>11908.15</v>
      </c>
    </row>
    <row r="1674" ht="16.5" customHeight="1" spans="6:7">
      <c r="F1674" s="92">
        <v>43776</v>
      </c>
      <c r="G1674" s="93">
        <v>12012.05</v>
      </c>
    </row>
    <row r="1675" ht="16.5" customHeight="1" spans="6:7">
      <c r="F1675" s="92">
        <v>43775</v>
      </c>
      <c r="G1675" s="93">
        <v>11966.05</v>
      </c>
    </row>
    <row r="1676" ht="16.5" customHeight="1" spans="6:7">
      <c r="F1676" s="92">
        <v>43774</v>
      </c>
      <c r="G1676" s="93">
        <v>11917.2</v>
      </c>
    </row>
    <row r="1677" ht="16.5" customHeight="1" spans="6:7">
      <c r="F1677" s="92">
        <v>43773</v>
      </c>
      <c r="G1677" s="93">
        <v>11941.3</v>
      </c>
    </row>
    <row r="1678" ht="16.5" customHeight="1" spans="6:7">
      <c r="F1678" s="92">
        <v>43770</v>
      </c>
      <c r="G1678" s="93">
        <v>11890.6</v>
      </c>
    </row>
    <row r="1679" ht="16.5" customHeight="1" spans="6:7">
      <c r="F1679" s="92">
        <v>43769</v>
      </c>
      <c r="G1679" s="93">
        <v>11877.45</v>
      </c>
    </row>
    <row r="1680" ht="16.5" customHeight="1" spans="6:7">
      <c r="F1680" s="92">
        <v>43768</v>
      </c>
      <c r="G1680" s="93">
        <v>11844.1</v>
      </c>
    </row>
    <row r="1681" ht="16.5" customHeight="1" spans="6:7">
      <c r="F1681" s="92">
        <v>43767</v>
      </c>
      <c r="G1681" s="93">
        <v>11786.85</v>
      </c>
    </row>
    <row r="1682" ht="16.5" customHeight="1" spans="6:7">
      <c r="F1682" s="92">
        <v>43765</v>
      </c>
      <c r="G1682" s="93">
        <v>11627.15</v>
      </c>
    </row>
    <row r="1683" ht="16.5" customHeight="1" spans="6:7">
      <c r="F1683" s="92">
        <v>43763</v>
      </c>
      <c r="G1683" s="93">
        <v>11583.9</v>
      </c>
    </row>
    <row r="1684" ht="16.5" customHeight="1" spans="6:7">
      <c r="F1684" s="92">
        <v>43762</v>
      </c>
      <c r="G1684" s="93">
        <v>11582.6</v>
      </c>
    </row>
    <row r="1685" ht="16.5" customHeight="1" spans="6:7">
      <c r="F1685" s="92">
        <v>43761</v>
      </c>
      <c r="G1685" s="93">
        <v>11604.1</v>
      </c>
    </row>
    <row r="1686" ht="16.5" customHeight="1" spans="6:7">
      <c r="F1686" s="92">
        <v>43760</v>
      </c>
      <c r="G1686" s="93">
        <v>11588.35</v>
      </c>
    </row>
    <row r="1687" ht="16.5" customHeight="1" spans="6:7">
      <c r="F1687" s="92">
        <v>43756</v>
      </c>
      <c r="G1687" s="93">
        <v>11661.85</v>
      </c>
    </row>
    <row r="1688" ht="16.5" customHeight="1" spans="6:7">
      <c r="F1688" s="92">
        <v>43755</v>
      </c>
      <c r="G1688" s="93">
        <v>11586.35</v>
      </c>
    </row>
    <row r="1689" ht="16.5" customHeight="1" spans="6:7">
      <c r="F1689" s="92">
        <v>43754</v>
      </c>
      <c r="G1689" s="93">
        <v>11464</v>
      </c>
    </row>
    <row r="1690" ht="16.5" customHeight="1" spans="6:7">
      <c r="F1690" s="92">
        <v>43753</v>
      </c>
      <c r="G1690" s="93">
        <v>11428.3</v>
      </c>
    </row>
    <row r="1691" ht="16.5" customHeight="1" spans="6:7">
      <c r="F1691" s="92">
        <v>43752</v>
      </c>
      <c r="G1691" s="93">
        <v>11341.15</v>
      </c>
    </row>
    <row r="1692" ht="16.5" customHeight="1" spans="6:7">
      <c r="F1692" s="92">
        <v>43749</v>
      </c>
      <c r="G1692" s="93">
        <v>11305.05</v>
      </c>
    </row>
    <row r="1693" ht="16.5" customHeight="1" spans="6:7">
      <c r="F1693" s="92">
        <v>43748</v>
      </c>
      <c r="G1693" s="93">
        <v>11234.55</v>
      </c>
    </row>
    <row r="1694" ht="16.5" customHeight="1" spans="6:7">
      <c r="F1694" s="92">
        <v>43747</v>
      </c>
      <c r="G1694" s="93">
        <v>11313.3</v>
      </c>
    </row>
    <row r="1695" ht="16.5" customHeight="1" spans="6:7">
      <c r="F1695" s="92">
        <v>43745</v>
      </c>
      <c r="G1695" s="93">
        <v>11126.4</v>
      </c>
    </row>
    <row r="1696" ht="16.5" customHeight="1" spans="6:7">
      <c r="F1696" s="92">
        <v>43742</v>
      </c>
      <c r="G1696" s="93">
        <v>11174.75</v>
      </c>
    </row>
    <row r="1697" ht="16.5" customHeight="1" spans="6:7">
      <c r="F1697" s="92">
        <v>43741</v>
      </c>
      <c r="G1697" s="93">
        <v>11314</v>
      </c>
    </row>
    <row r="1698" ht="16.5" customHeight="1" spans="6:7">
      <c r="F1698" s="92">
        <v>43739</v>
      </c>
      <c r="G1698" s="93">
        <v>11359.9</v>
      </c>
    </row>
    <row r="1699" ht="16.5" customHeight="1" spans="6:7">
      <c r="F1699" s="92">
        <v>43738</v>
      </c>
      <c r="G1699" s="93">
        <v>11474.45</v>
      </c>
    </row>
    <row r="1700" ht="16.5" customHeight="1" spans="6:7">
      <c r="F1700" s="92">
        <v>43735</v>
      </c>
      <c r="G1700" s="93">
        <v>11512.4</v>
      </c>
    </row>
    <row r="1701" ht="16.5" customHeight="1" spans="6:7">
      <c r="F1701" s="92">
        <v>43734</v>
      </c>
      <c r="G1701" s="93">
        <v>11571.2</v>
      </c>
    </row>
    <row r="1702" ht="16.5" customHeight="1" spans="6:7">
      <c r="F1702" s="92">
        <v>43733</v>
      </c>
      <c r="G1702" s="93">
        <v>11440.2</v>
      </c>
    </row>
    <row r="1703" ht="16.5" customHeight="1" spans="6:7">
      <c r="F1703" s="92">
        <v>43732</v>
      </c>
      <c r="G1703" s="93">
        <v>11588.2</v>
      </c>
    </row>
    <row r="1704" ht="16.5" customHeight="1" spans="6:7">
      <c r="F1704" s="92">
        <v>43731</v>
      </c>
      <c r="G1704" s="93">
        <v>11600.2</v>
      </c>
    </row>
    <row r="1705" ht="16.5" customHeight="1" spans="6:7">
      <c r="F1705" s="92">
        <v>43728</v>
      </c>
      <c r="G1705" s="93">
        <v>11274.2</v>
      </c>
    </row>
    <row r="1706" ht="16.5" customHeight="1" spans="6:7">
      <c r="F1706" s="92">
        <v>43727</v>
      </c>
      <c r="G1706" s="93">
        <v>10704.8</v>
      </c>
    </row>
    <row r="1707" ht="16.5" customHeight="1" spans="6:7">
      <c r="F1707" s="92">
        <v>43726</v>
      </c>
      <c r="G1707" s="93">
        <v>10840.65</v>
      </c>
    </row>
    <row r="1708" ht="16.5" customHeight="1" spans="6:7">
      <c r="F1708" s="92">
        <v>43725</v>
      </c>
      <c r="G1708" s="93">
        <v>10817.6</v>
      </c>
    </row>
    <row r="1709" ht="16.5" customHeight="1" spans="6:7">
      <c r="F1709" s="92">
        <v>43724</v>
      </c>
      <c r="G1709" s="93">
        <v>11003.5</v>
      </c>
    </row>
    <row r="1710" ht="16.5" customHeight="1" spans="6:7">
      <c r="F1710" s="92">
        <v>43721</v>
      </c>
      <c r="G1710" s="93">
        <v>11075.9</v>
      </c>
    </row>
    <row r="1711" ht="16.5" customHeight="1" spans="6:7">
      <c r="F1711" s="92">
        <v>43720</v>
      </c>
      <c r="G1711" s="93">
        <v>10982.8</v>
      </c>
    </row>
    <row r="1712" ht="16.5" customHeight="1" spans="6:7">
      <c r="F1712" s="92">
        <v>43719</v>
      </c>
      <c r="G1712" s="93">
        <v>11035.7</v>
      </c>
    </row>
    <row r="1713" ht="16.5" customHeight="1" spans="6:7">
      <c r="F1713" s="92">
        <v>43717</v>
      </c>
      <c r="G1713" s="93">
        <v>11003.05</v>
      </c>
    </row>
    <row r="1714" ht="16.5" customHeight="1" spans="6:7">
      <c r="F1714" s="92">
        <v>43714</v>
      </c>
      <c r="G1714" s="93">
        <v>10946.2</v>
      </c>
    </row>
    <row r="1715" ht="16.5" customHeight="1" spans="6:7">
      <c r="F1715" s="92">
        <v>43713</v>
      </c>
      <c r="G1715" s="93">
        <v>10847.9</v>
      </c>
    </row>
    <row r="1716" ht="16.5" customHeight="1" spans="6:7">
      <c r="F1716" s="92">
        <v>43712</v>
      </c>
      <c r="G1716" s="93">
        <v>10844.65</v>
      </c>
    </row>
    <row r="1717" ht="16.5" customHeight="1" spans="6:7">
      <c r="F1717" s="92">
        <v>43711</v>
      </c>
      <c r="G1717" s="93">
        <v>10797.9</v>
      </c>
    </row>
    <row r="1718" ht="16.5" customHeight="1" spans="6:7">
      <c r="F1718" s="92">
        <v>43707</v>
      </c>
      <c r="G1718" s="93">
        <v>11023.25</v>
      </c>
    </row>
    <row r="1719" ht="16.5" customHeight="1" spans="6:7">
      <c r="F1719" s="92">
        <v>43706</v>
      </c>
      <c r="G1719" s="93">
        <v>10948.3</v>
      </c>
    </row>
    <row r="1720" ht="16.5" customHeight="1" spans="6:7">
      <c r="F1720" s="92">
        <v>43705</v>
      </c>
      <c r="G1720" s="93">
        <v>11046.1</v>
      </c>
    </row>
    <row r="1721" ht="16.5" customHeight="1" spans="6:7">
      <c r="F1721" s="92">
        <v>43704</v>
      </c>
      <c r="G1721" s="93">
        <v>11105.35</v>
      </c>
    </row>
    <row r="1722" ht="16.5" customHeight="1" spans="6:7">
      <c r="F1722" s="92">
        <v>43703</v>
      </c>
      <c r="G1722" s="93">
        <v>11057.85</v>
      </c>
    </row>
    <row r="1723" ht="16.5" customHeight="1" spans="6:7">
      <c r="F1723" s="92">
        <v>43700</v>
      </c>
      <c r="G1723" s="93">
        <v>10829.35</v>
      </c>
    </row>
    <row r="1724" ht="16.5" customHeight="1" spans="6:7">
      <c r="F1724" s="92">
        <v>43699</v>
      </c>
      <c r="G1724" s="93">
        <v>10741.35</v>
      </c>
    </row>
    <row r="1725" ht="16.5" customHeight="1" spans="6:7">
      <c r="F1725" s="92">
        <v>43698</v>
      </c>
      <c r="G1725" s="93">
        <v>10918.7</v>
      </c>
    </row>
    <row r="1726" ht="16.5" customHeight="1" spans="6:7">
      <c r="F1726" s="92">
        <v>43697</v>
      </c>
      <c r="G1726" s="93">
        <v>11017</v>
      </c>
    </row>
    <row r="1727" ht="16.5" customHeight="1" spans="6:7">
      <c r="F1727" s="92">
        <v>43696</v>
      </c>
      <c r="G1727" s="93">
        <v>11053.9</v>
      </c>
    </row>
    <row r="1728" ht="16.5" customHeight="1" spans="6:7">
      <c r="F1728" s="92">
        <v>43693</v>
      </c>
      <c r="G1728" s="93">
        <v>11047.8</v>
      </c>
    </row>
    <row r="1729" ht="16.5" customHeight="1" spans="6:7">
      <c r="F1729" s="92">
        <v>43691</v>
      </c>
      <c r="G1729" s="93">
        <v>11029.4</v>
      </c>
    </row>
    <row r="1730" ht="16.5" customHeight="1" spans="6:7">
      <c r="F1730" s="92">
        <v>43690</v>
      </c>
      <c r="G1730" s="93">
        <v>10925.85</v>
      </c>
    </row>
    <row r="1731" ht="16.5" customHeight="1" spans="6:7">
      <c r="F1731" s="92">
        <v>43686</v>
      </c>
      <c r="G1731" s="93">
        <v>11109.65</v>
      </c>
    </row>
    <row r="1732" ht="16.5" customHeight="1" spans="6:7">
      <c r="F1732" s="92">
        <v>43685</v>
      </c>
      <c r="G1732" s="93">
        <v>11032.45</v>
      </c>
    </row>
    <row r="1733" ht="16.5" customHeight="1" spans="6:7">
      <c r="F1733" s="92">
        <v>43684</v>
      </c>
      <c r="G1733" s="93">
        <v>10855.5</v>
      </c>
    </row>
    <row r="1734" ht="16.5" customHeight="1" spans="6:7">
      <c r="F1734" s="92">
        <v>43683</v>
      </c>
      <c r="G1734" s="93">
        <v>10948.25</v>
      </c>
    </row>
    <row r="1735" ht="16.5" customHeight="1" spans="6:7">
      <c r="F1735" s="92">
        <v>43682</v>
      </c>
      <c r="G1735" s="93">
        <v>10862.6</v>
      </c>
    </row>
    <row r="1736" ht="16.5" customHeight="1" spans="6:7">
      <c r="F1736" s="92">
        <v>43679</v>
      </c>
      <c r="G1736" s="93">
        <v>10997.35</v>
      </c>
    </row>
    <row r="1737" ht="16.5" customHeight="1" spans="6:7">
      <c r="F1737" s="92">
        <v>43678</v>
      </c>
      <c r="G1737" s="93">
        <v>10980</v>
      </c>
    </row>
    <row r="1738" ht="16.5" customHeight="1" spans="6:7">
      <c r="F1738" s="92">
        <v>43677</v>
      </c>
      <c r="G1738" s="93">
        <v>11118</v>
      </c>
    </row>
    <row r="1739" ht="16.5" customHeight="1" spans="6:7">
      <c r="F1739" s="92">
        <v>43676</v>
      </c>
      <c r="G1739" s="93">
        <v>11085.4</v>
      </c>
    </row>
    <row r="1740" ht="16.5" customHeight="1" spans="6:7">
      <c r="F1740" s="92">
        <v>43675</v>
      </c>
      <c r="G1740" s="93">
        <v>11189.2</v>
      </c>
    </row>
    <row r="1741" ht="16.5" customHeight="1" spans="6:7">
      <c r="F1741" s="92">
        <v>43672</v>
      </c>
      <c r="G1741" s="93">
        <v>11284.3</v>
      </c>
    </row>
    <row r="1742" ht="16.5" customHeight="1" spans="6:7">
      <c r="F1742" s="92">
        <v>43671</v>
      </c>
      <c r="G1742" s="93">
        <v>11252.15</v>
      </c>
    </row>
    <row r="1743" ht="16.5" customHeight="1" spans="6:7">
      <c r="F1743" s="92">
        <v>43670</v>
      </c>
      <c r="G1743" s="93">
        <v>11271.3</v>
      </c>
    </row>
    <row r="1744" ht="16.5" customHeight="1" spans="6:7">
      <c r="F1744" s="92">
        <v>43669</v>
      </c>
      <c r="G1744" s="93">
        <v>11331.05</v>
      </c>
    </row>
    <row r="1745" ht="16.5" customHeight="1" spans="6:7">
      <c r="F1745" s="92">
        <v>43668</v>
      </c>
      <c r="G1745" s="93">
        <v>11346.2</v>
      </c>
    </row>
    <row r="1746" ht="16.5" customHeight="1" spans="6:7">
      <c r="F1746" s="92">
        <v>43665</v>
      </c>
      <c r="G1746" s="93">
        <v>11419.25</v>
      </c>
    </row>
    <row r="1747" ht="16.5" customHeight="1" spans="6:7">
      <c r="F1747" s="92">
        <v>43664</v>
      </c>
      <c r="G1747" s="93">
        <v>11596.9</v>
      </c>
    </row>
    <row r="1748" ht="16.5" customHeight="1" spans="6:7">
      <c r="F1748" s="92">
        <v>43663</v>
      </c>
      <c r="G1748" s="93">
        <v>11687.5</v>
      </c>
    </row>
    <row r="1749" ht="16.5" customHeight="1" spans="6:7">
      <c r="F1749" s="92">
        <v>43662</v>
      </c>
      <c r="G1749" s="93">
        <v>11662.6</v>
      </c>
    </row>
    <row r="1750" ht="16.5" customHeight="1" spans="6:7">
      <c r="F1750" s="92">
        <v>43661</v>
      </c>
      <c r="G1750" s="93">
        <v>11588.35</v>
      </c>
    </row>
    <row r="1751" ht="16.5" customHeight="1" spans="6:7">
      <c r="F1751" s="92">
        <v>43658</v>
      </c>
      <c r="G1751" s="93">
        <v>11552.5</v>
      </c>
    </row>
    <row r="1752" ht="16.5" customHeight="1" spans="6:7">
      <c r="F1752" s="92">
        <v>43657</v>
      </c>
      <c r="G1752" s="93">
        <v>11582.9</v>
      </c>
    </row>
    <row r="1753" ht="16.5" customHeight="1" spans="6:7">
      <c r="F1753" s="92">
        <v>43656</v>
      </c>
      <c r="G1753" s="93">
        <v>11498.9</v>
      </c>
    </row>
    <row r="1754" ht="16.5" customHeight="1" spans="6:7">
      <c r="F1754" s="92">
        <v>43655</v>
      </c>
      <c r="G1754" s="93">
        <v>11555.9</v>
      </c>
    </row>
    <row r="1755" ht="16.5" customHeight="1" spans="6:7">
      <c r="F1755" s="92">
        <v>43654</v>
      </c>
      <c r="G1755" s="93">
        <v>11558.6</v>
      </c>
    </row>
    <row r="1756" ht="16.5" customHeight="1" spans="6:7">
      <c r="F1756" s="92">
        <v>43651</v>
      </c>
      <c r="G1756" s="93">
        <v>11811.15</v>
      </c>
    </row>
    <row r="1757" ht="16.5" customHeight="1" spans="6:7">
      <c r="F1757" s="92">
        <v>43650</v>
      </c>
      <c r="G1757" s="93">
        <v>11946.75</v>
      </c>
    </row>
    <row r="1758" ht="16.5" customHeight="1" spans="6:7">
      <c r="F1758" s="92">
        <v>43649</v>
      </c>
      <c r="G1758" s="93">
        <v>11916.75</v>
      </c>
    </row>
    <row r="1759" ht="16.5" customHeight="1" spans="6:7">
      <c r="F1759" s="92">
        <v>43648</v>
      </c>
      <c r="G1759" s="93">
        <v>11910.3</v>
      </c>
    </row>
    <row r="1760" ht="16.5" customHeight="1" spans="6:7">
      <c r="F1760" s="92">
        <v>43647</v>
      </c>
      <c r="G1760" s="93">
        <v>11865.6</v>
      </c>
    </row>
    <row r="1761" ht="16.5" customHeight="1" spans="6:7">
      <c r="F1761" s="92">
        <v>43644</v>
      </c>
      <c r="G1761" s="93">
        <v>11788.85</v>
      </c>
    </row>
    <row r="1762" ht="16.5" customHeight="1" spans="6:7">
      <c r="F1762" s="92">
        <v>43643</v>
      </c>
      <c r="G1762" s="93">
        <v>11841.55</v>
      </c>
    </row>
    <row r="1763" ht="16.5" customHeight="1" spans="6:7">
      <c r="F1763" s="92">
        <v>43642</v>
      </c>
      <c r="G1763" s="93">
        <v>11847.55</v>
      </c>
    </row>
    <row r="1764" ht="16.5" customHeight="1" spans="6:7">
      <c r="F1764" s="92">
        <v>43641</v>
      </c>
      <c r="G1764" s="93">
        <v>11796.45</v>
      </c>
    </row>
    <row r="1765" ht="16.5" customHeight="1" spans="6:7">
      <c r="F1765" s="92">
        <v>43640</v>
      </c>
      <c r="G1765" s="93">
        <v>11699.65</v>
      </c>
    </row>
    <row r="1766" ht="16.5" customHeight="1" spans="6:7">
      <c r="F1766" s="92">
        <v>43637</v>
      </c>
      <c r="G1766" s="93">
        <v>11724.1</v>
      </c>
    </row>
    <row r="1767" ht="16.5" customHeight="1" spans="6:7">
      <c r="F1767" s="92">
        <v>43636</v>
      </c>
      <c r="G1767" s="93">
        <v>11831.75</v>
      </c>
    </row>
    <row r="1768" ht="16.5" customHeight="1" spans="6:7">
      <c r="F1768" s="92">
        <v>43635</v>
      </c>
      <c r="G1768" s="93">
        <v>11691.45</v>
      </c>
    </row>
    <row r="1769" ht="16.5" customHeight="1" spans="6:7">
      <c r="F1769" s="92">
        <v>43634</v>
      </c>
      <c r="G1769" s="93">
        <v>11691.5</v>
      </c>
    </row>
    <row r="1770" ht="16.5" customHeight="1" spans="6:7">
      <c r="F1770" s="92">
        <v>43633</v>
      </c>
      <c r="G1770" s="93">
        <v>11672.15</v>
      </c>
    </row>
    <row r="1771" ht="16.5" customHeight="1" spans="6:7">
      <c r="F1771" s="92">
        <v>43630</v>
      </c>
      <c r="G1771" s="93">
        <v>11823.3</v>
      </c>
    </row>
    <row r="1772" ht="16.5" customHeight="1" spans="6:7">
      <c r="F1772" s="92">
        <v>43629</v>
      </c>
      <c r="G1772" s="93">
        <v>11914.05</v>
      </c>
    </row>
    <row r="1773" ht="16.5" customHeight="1" spans="6:7">
      <c r="F1773" s="92">
        <v>43628</v>
      </c>
      <c r="G1773" s="93">
        <v>11906.2</v>
      </c>
    </row>
    <row r="1774" ht="16.5" customHeight="1" spans="6:7">
      <c r="F1774" s="92">
        <v>43627</v>
      </c>
      <c r="G1774" s="93">
        <v>11965.6</v>
      </c>
    </row>
    <row r="1775" ht="16.5" customHeight="1" spans="6:7">
      <c r="F1775" s="92">
        <v>43626</v>
      </c>
      <c r="G1775" s="93">
        <v>11922.7</v>
      </c>
    </row>
    <row r="1776" ht="16.5" customHeight="1" spans="6:7">
      <c r="F1776" s="92">
        <v>43623</v>
      </c>
      <c r="G1776" s="93">
        <v>11870.65</v>
      </c>
    </row>
    <row r="1777" ht="16.5" customHeight="1" spans="6:7">
      <c r="F1777" s="92">
        <v>43622</v>
      </c>
      <c r="G1777" s="93">
        <v>11843.75</v>
      </c>
    </row>
    <row r="1778" ht="16.5" customHeight="1" spans="6:7">
      <c r="F1778" s="92">
        <v>43620</v>
      </c>
      <c r="G1778" s="93">
        <v>12021.65</v>
      </c>
    </row>
    <row r="1779" ht="16.5" customHeight="1" spans="6:7">
      <c r="F1779" s="92">
        <v>43619</v>
      </c>
      <c r="G1779" s="93">
        <v>12088.55</v>
      </c>
    </row>
    <row r="1780" ht="16.5" customHeight="1" spans="6:7">
      <c r="F1780" s="92">
        <v>43616</v>
      </c>
      <c r="G1780" s="93">
        <v>11922.8</v>
      </c>
    </row>
    <row r="1781" ht="16.5" customHeight="1" spans="6:7">
      <c r="F1781" s="92">
        <v>43615</v>
      </c>
      <c r="G1781" s="93">
        <v>11945.9</v>
      </c>
    </row>
    <row r="1782" ht="16.5" customHeight="1" spans="6:7">
      <c r="F1782" s="92">
        <v>43614</v>
      </c>
      <c r="G1782" s="93">
        <v>11861.1</v>
      </c>
    </row>
    <row r="1783" ht="16.5" customHeight="1" spans="6:7">
      <c r="F1783" s="92">
        <v>43613</v>
      </c>
      <c r="G1783" s="93">
        <v>11928.75</v>
      </c>
    </row>
    <row r="1784" ht="16.5" customHeight="1" spans="6:7">
      <c r="F1784" s="92">
        <v>43612</v>
      </c>
      <c r="G1784" s="93">
        <v>11924.75</v>
      </c>
    </row>
    <row r="1785" ht="16.5" customHeight="1" spans="6:7">
      <c r="F1785" s="92">
        <v>43609</v>
      </c>
      <c r="G1785" s="93">
        <v>11844.1</v>
      </c>
    </row>
    <row r="1786" ht="16.5" customHeight="1" spans="6:7">
      <c r="F1786" s="92">
        <v>43608</v>
      </c>
      <c r="G1786" s="93">
        <v>11657.05</v>
      </c>
    </row>
    <row r="1787" ht="16.5" customHeight="1" spans="6:7">
      <c r="F1787" s="92">
        <v>43607</v>
      </c>
      <c r="G1787" s="93">
        <v>11737.9</v>
      </c>
    </row>
    <row r="1788" ht="16.5" customHeight="1" spans="6:7">
      <c r="F1788" s="92">
        <v>43606</v>
      </c>
      <c r="G1788" s="93">
        <v>11709.1</v>
      </c>
    </row>
    <row r="1789" ht="16.5" customHeight="1" spans="6:7">
      <c r="F1789" s="92">
        <v>43605</v>
      </c>
      <c r="G1789" s="93">
        <v>11828.25</v>
      </c>
    </row>
    <row r="1790" ht="16.5" customHeight="1" spans="6:7">
      <c r="F1790" s="92">
        <v>43602</v>
      </c>
      <c r="G1790" s="93">
        <v>11407.15</v>
      </c>
    </row>
    <row r="1791" ht="16.5" customHeight="1" spans="6:7">
      <c r="F1791" s="92">
        <v>43601</v>
      </c>
      <c r="G1791" s="93">
        <v>11257.1</v>
      </c>
    </row>
    <row r="1792" ht="16.5" customHeight="1" spans="6:7">
      <c r="F1792" s="92">
        <v>43600</v>
      </c>
      <c r="G1792" s="93">
        <v>11157</v>
      </c>
    </row>
    <row r="1793" ht="16.5" customHeight="1" spans="6:7">
      <c r="F1793" s="92">
        <v>43599</v>
      </c>
      <c r="G1793" s="93">
        <v>11222.05</v>
      </c>
    </row>
    <row r="1794" ht="16.5" customHeight="1" spans="6:7">
      <c r="F1794" s="92">
        <v>43598</v>
      </c>
      <c r="G1794" s="93">
        <v>11148.2</v>
      </c>
    </row>
    <row r="1795" ht="16.5" customHeight="1" spans="6:7">
      <c r="F1795" s="92">
        <v>43595</v>
      </c>
      <c r="G1795" s="93">
        <v>11278.9</v>
      </c>
    </row>
    <row r="1796" ht="16.5" customHeight="1" spans="6:7">
      <c r="F1796" s="92">
        <v>43594</v>
      </c>
      <c r="G1796" s="93">
        <v>11301.8</v>
      </c>
    </row>
    <row r="1797" ht="16.5" customHeight="1" spans="6:7">
      <c r="F1797" s="92">
        <v>43593</v>
      </c>
      <c r="G1797" s="93">
        <v>11359.45</v>
      </c>
    </row>
    <row r="1798" ht="16.5" customHeight="1" spans="6:7">
      <c r="F1798" s="92">
        <v>43592</v>
      </c>
      <c r="G1798" s="93">
        <v>11497.9</v>
      </c>
    </row>
    <row r="1799" ht="16.5" customHeight="1" spans="6:7">
      <c r="F1799" s="92">
        <v>43591</v>
      </c>
      <c r="G1799" s="93">
        <v>11598.25</v>
      </c>
    </row>
    <row r="1800" ht="16.5" customHeight="1" spans="6:7">
      <c r="F1800" s="92">
        <v>43588</v>
      </c>
      <c r="G1800" s="93">
        <v>11712.25</v>
      </c>
    </row>
    <row r="1801" ht="16.5" customHeight="1" spans="6:7">
      <c r="F1801" s="92">
        <v>43587</v>
      </c>
      <c r="G1801" s="93">
        <v>11724.75</v>
      </c>
    </row>
    <row r="1802" ht="16.5" customHeight="1" spans="6:7">
      <c r="F1802" s="92">
        <v>43585</v>
      </c>
      <c r="G1802" s="93">
        <v>11748.15</v>
      </c>
    </row>
    <row r="1803" ht="16.5" customHeight="1" spans="6:7">
      <c r="F1803" s="92">
        <v>43581</v>
      </c>
      <c r="G1803" s="93">
        <v>11754.65</v>
      </c>
    </row>
    <row r="1804" ht="16.5" customHeight="1" spans="6:7">
      <c r="F1804" s="92">
        <v>43580</v>
      </c>
      <c r="G1804" s="93">
        <v>11641.8</v>
      </c>
    </row>
    <row r="1805" ht="16.5" customHeight="1" spans="6:7">
      <c r="F1805" s="92">
        <v>43579</v>
      </c>
      <c r="G1805" s="93">
        <v>11726.15</v>
      </c>
    </row>
    <row r="1806" ht="16.5" customHeight="1" spans="6:7">
      <c r="F1806" s="92">
        <v>43578</v>
      </c>
      <c r="G1806" s="93">
        <v>11575.95</v>
      </c>
    </row>
    <row r="1807" ht="16.5" customHeight="1" spans="6:7">
      <c r="F1807" s="92">
        <v>43577</v>
      </c>
      <c r="G1807" s="93">
        <v>11594.45</v>
      </c>
    </row>
    <row r="1808" ht="16.5" customHeight="1" spans="6:7">
      <c r="F1808" s="92">
        <v>43573</v>
      </c>
      <c r="G1808" s="93">
        <v>11752.8</v>
      </c>
    </row>
    <row r="1809" ht="16.5" customHeight="1" spans="6:7">
      <c r="F1809" s="92">
        <v>43571</v>
      </c>
      <c r="G1809" s="93">
        <v>11787.15</v>
      </c>
    </row>
    <row r="1810" ht="16.5" customHeight="1" spans="6:7">
      <c r="F1810" s="92">
        <v>43570</v>
      </c>
      <c r="G1810" s="93">
        <v>11690.35</v>
      </c>
    </row>
    <row r="1811" ht="16.5" customHeight="1" spans="6:7">
      <c r="F1811" s="92">
        <v>43567</v>
      </c>
      <c r="G1811" s="93">
        <v>11643.45</v>
      </c>
    </row>
    <row r="1812" ht="16.5" customHeight="1" spans="6:7">
      <c r="F1812" s="92">
        <v>43566</v>
      </c>
      <c r="G1812" s="93">
        <v>11596.7</v>
      </c>
    </row>
    <row r="1813" ht="16.5" customHeight="1" spans="6:7">
      <c r="F1813" s="92">
        <v>43565</v>
      </c>
      <c r="G1813" s="93">
        <v>11584.3</v>
      </c>
    </row>
    <row r="1814" ht="16.5" customHeight="1" spans="6:7">
      <c r="F1814" s="92">
        <v>43564</v>
      </c>
      <c r="G1814" s="93">
        <v>11671.95</v>
      </c>
    </row>
    <row r="1815" ht="16.5" customHeight="1" spans="6:7">
      <c r="F1815" s="92">
        <v>43563</v>
      </c>
      <c r="G1815" s="93">
        <v>11604.5</v>
      </c>
    </row>
    <row r="1816" ht="16.5" customHeight="1" spans="6:7">
      <c r="F1816" s="92">
        <v>43560</v>
      </c>
      <c r="G1816" s="93">
        <v>11665.95</v>
      </c>
    </row>
    <row r="1817" ht="16.5" customHeight="1" spans="6:7">
      <c r="F1817" s="92">
        <v>43559</v>
      </c>
      <c r="G1817" s="93">
        <v>11598</v>
      </c>
    </row>
    <row r="1818" ht="16.5" customHeight="1" spans="6:7">
      <c r="F1818" s="92">
        <v>43558</v>
      </c>
      <c r="G1818" s="93">
        <v>11643.95</v>
      </c>
    </row>
    <row r="1819" ht="16.5" customHeight="1" spans="6:7">
      <c r="F1819" s="92">
        <v>43557</v>
      </c>
      <c r="G1819" s="93">
        <v>11713.2</v>
      </c>
    </row>
    <row r="1820" ht="16.5" customHeight="1" spans="6:7">
      <c r="F1820" s="92">
        <v>43556</v>
      </c>
      <c r="G1820" s="93">
        <v>11669.15</v>
      </c>
    </row>
    <row r="1821" ht="16.5" customHeight="1" spans="6:7">
      <c r="F1821" s="92">
        <v>43553</v>
      </c>
      <c r="G1821" s="93">
        <v>11623.9</v>
      </c>
    </row>
    <row r="1822" ht="16.5" customHeight="1" spans="6:7">
      <c r="F1822" s="92">
        <v>43552</v>
      </c>
      <c r="G1822" s="93">
        <v>11570</v>
      </c>
    </row>
    <row r="1823" ht="16.5" customHeight="1" spans="6:7">
      <c r="F1823" s="92">
        <v>43551</v>
      </c>
      <c r="G1823" s="93">
        <v>11445.05</v>
      </c>
    </row>
    <row r="1824" ht="16.5" customHeight="1" spans="6:7">
      <c r="F1824" s="92">
        <v>43550</v>
      </c>
      <c r="G1824" s="93">
        <v>11483.25</v>
      </c>
    </row>
    <row r="1825" ht="16.5" customHeight="1" spans="6:7">
      <c r="F1825" s="92">
        <v>43549</v>
      </c>
      <c r="G1825" s="93">
        <v>11354.25</v>
      </c>
    </row>
    <row r="1826" ht="16.5" customHeight="1" spans="6:7">
      <c r="F1826" s="92">
        <v>43546</v>
      </c>
      <c r="G1826" s="93">
        <v>11456.9</v>
      </c>
    </row>
    <row r="1827" ht="16.5" customHeight="1" spans="6:7">
      <c r="F1827" s="92">
        <v>43544</v>
      </c>
      <c r="G1827" s="93">
        <v>11521.05</v>
      </c>
    </row>
    <row r="1828" ht="16.5" customHeight="1" spans="6:7">
      <c r="F1828" s="92">
        <v>43543</v>
      </c>
      <c r="G1828" s="93">
        <v>11532.4</v>
      </c>
    </row>
    <row r="1829" ht="16.5" customHeight="1" spans="6:7">
      <c r="F1829" s="92">
        <v>43542</v>
      </c>
      <c r="G1829" s="93">
        <v>11462.2</v>
      </c>
    </row>
    <row r="1830" ht="16.5" customHeight="1" spans="6:7">
      <c r="F1830" s="92">
        <v>43539</v>
      </c>
      <c r="G1830" s="93">
        <v>11426.85</v>
      </c>
    </row>
    <row r="1831" ht="16.5" customHeight="1" spans="6:7">
      <c r="F1831" s="92">
        <v>43538</v>
      </c>
      <c r="G1831" s="93">
        <v>11343.25</v>
      </c>
    </row>
    <row r="1832" ht="16.5" customHeight="1" spans="6:7">
      <c r="F1832" s="92">
        <v>43537</v>
      </c>
      <c r="G1832" s="93">
        <v>11341.7</v>
      </c>
    </row>
    <row r="1833" ht="16.5" customHeight="1" spans="6:7">
      <c r="F1833" s="92">
        <v>43536</v>
      </c>
      <c r="G1833" s="93">
        <v>11301.2</v>
      </c>
    </row>
    <row r="1834" ht="16.5" customHeight="1" spans="6:7">
      <c r="F1834" s="92">
        <v>43535</v>
      </c>
      <c r="G1834" s="93">
        <v>11168.05</v>
      </c>
    </row>
    <row r="1835" ht="16.5" customHeight="1" spans="6:7">
      <c r="F1835" s="92">
        <v>43532</v>
      </c>
      <c r="G1835" s="93">
        <v>11035.4</v>
      </c>
    </row>
    <row r="1836" ht="16.5" customHeight="1" spans="6:7">
      <c r="F1836" s="92">
        <v>43531</v>
      </c>
      <c r="G1836" s="93">
        <v>11058.2</v>
      </c>
    </row>
    <row r="1837" ht="16.5" customHeight="1" spans="6:7">
      <c r="F1837" s="92">
        <v>43530</v>
      </c>
      <c r="G1837" s="93">
        <v>11053</v>
      </c>
    </row>
    <row r="1838" ht="16.5" customHeight="1" spans="6:7">
      <c r="F1838" s="92">
        <v>43529</v>
      </c>
      <c r="G1838" s="93">
        <v>10987.45</v>
      </c>
    </row>
    <row r="1839" ht="16.5" customHeight="1" spans="6:7">
      <c r="F1839" s="92">
        <v>43525</v>
      </c>
      <c r="G1839" s="93">
        <v>10863.5</v>
      </c>
    </row>
    <row r="1840" ht="16.5" customHeight="1" spans="6:7">
      <c r="F1840" s="92">
        <v>43524</v>
      </c>
      <c r="G1840" s="93">
        <v>10792.5</v>
      </c>
    </row>
    <row r="1841" ht="16.5" customHeight="1" spans="6:7">
      <c r="F1841" s="92">
        <v>43523</v>
      </c>
      <c r="G1841" s="93">
        <v>10806.65</v>
      </c>
    </row>
    <row r="1842" ht="16.5" customHeight="1" spans="6:7">
      <c r="F1842" s="92">
        <v>43522</v>
      </c>
      <c r="G1842" s="93">
        <v>10835.3</v>
      </c>
    </row>
    <row r="1843" ht="16.5" customHeight="1" spans="6:7">
      <c r="F1843" s="92">
        <v>43521</v>
      </c>
      <c r="G1843" s="93">
        <v>10880.1</v>
      </c>
    </row>
    <row r="1844" ht="16.5" customHeight="1" spans="6:7">
      <c r="F1844" s="92">
        <v>43518</v>
      </c>
      <c r="G1844" s="93">
        <v>10791.65</v>
      </c>
    </row>
    <row r="1845" ht="16.5" customHeight="1" spans="6:7">
      <c r="F1845" s="92">
        <v>43517</v>
      </c>
      <c r="G1845" s="93">
        <v>10789.85</v>
      </c>
    </row>
    <row r="1846" ht="16.5" customHeight="1" spans="6:7">
      <c r="F1846" s="92">
        <v>43516</v>
      </c>
      <c r="G1846" s="93">
        <v>10735.45</v>
      </c>
    </row>
    <row r="1847" ht="16.5" customHeight="1" spans="6:7">
      <c r="F1847" s="92">
        <v>43515</v>
      </c>
      <c r="G1847" s="93">
        <v>10604.35</v>
      </c>
    </row>
    <row r="1848" ht="16.5" customHeight="1" spans="6:7">
      <c r="F1848" s="92">
        <v>43514</v>
      </c>
      <c r="G1848" s="93">
        <v>10640.95</v>
      </c>
    </row>
    <row r="1849" ht="16.5" customHeight="1" spans="6:7">
      <c r="F1849" s="92">
        <v>43511</v>
      </c>
      <c r="G1849" s="93">
        <v>10724.4</v>
      </c>
    </row>
    <row r="1850" ht="16.5" customHeight="1" spans="6:7">
      <c r="F1850" s="92">
        <v>43510</v>
      </c>
      <c r="G1850" s="93">
        <v>10746.05</v>
      </c>
    </row>
    <row r="1851" ht="16.5" customHeight="1" spans="6:7">
      <c r="F1851" s="92">
        <v>43509</v>
      </c>
      <c r="G1851" s="93">
        <v>10793.65</v>
      </c>
    </row>
    <row r="1852" ht="16.5" customHeight="1" spans="6:7">
      <c r="F1852" s="92">
        <v>43508</v>
      </c>
      <c r="G1852" s="93">
        <v>10831.4</v>
      </c>
    </row>
    <row r="1853" ht="16.5" customHeight="1" spans="6:7">
      <c r="F1853" s="92">
        <v>43507</v>
      </c>
      <c r="G1853" s="93">
        <v>10888.8</v>
      </c>
    </row>
    <row r="1854" ht="16.5" customHeight="1" spans="6:7">
      <c r="F1854" s="92">
        <v>43504</v>
      </c>
      <c r="G1854" s="93">
        <v>10943.6</v>
      </c>
    </row>
    <row r="1855" ht="16.5" customHeight="1" spans="6:7">
      <c r="F1855" s="92">
        <v>43503</v>
      </c>
      <c r="G1855" s="93">
        <v>11069.4</v>
      </c>
    </row>
    <row r="1856" ht="16.5" customHeight="1" spans="6:7">
      <c r="F1856" s="92">
        <v>43502</v>
      </c>
      <c r="G1856" s="93">
        <v>11062.45</v>
      </c>
    </row>
    <row r="1857" ht="16.5" customHeight="1" spans="6:7">
      <c r="F1857" s="92">
        <v>43501</v>
      </c>
      <c r="G1857" s="93">
        <v>10934.35</v>
      </c>
    </row>
    <row r="1858" ht="16.5" customHeight="1" spans="6:7">
      <c r="F1858" s="92">
        <v>43500</v>
      </c>
      <c r="G1858" s="93">
        <v>10912.25</v>
      </c>
    </row>
    <row r="1859" ht="16.5" customHeight="1" spans="6:7">
      <c r="F1859" s="92">
        <v>43497</v>
      </c>
      <c r="G1859" s="93">
        <v>10893.65</v>
      </c>
    </row>
    <row r="1860" ht="16.5" customHeight="1" spans="6:7">
      <c r="F1860" s="92">
        <v>43496</v>
      </c>
      <c r="G1860" s="93">
        <v>10830.95</v>
      </c>
    </row>
    <row r="1861" ht="16.5" customHeight="1" spans="6:7">
      <c r="F1861" s="92">
        <v>43495</v>
      </c>
      <c r="G1861" s="93">
        <v>10651.8</v>
      </c>
    </row>
    <row r="1862" ht="16.5" customHeight="1" spans="6:7">
      <c r="F1862" s="92">
        <v>43494</v>
      </c>
      <c r="G1862" s="93">
        <v>10652.2</v>
      </c>
    </row>
    <row r="1863" ht="16.5" customHeight="1" spans="6:7">
      <c r="F1863" s="92">
        <v>43493</v>
      </c>
      <c r="G1863" s="93">
        <v>10661.55</v>
      </c>
    </row>
    <row r="1864" ht="16.5" customHeight="1" spans="6:7">
      <c r="F1864" s="92">
        <v>43490</v>
      </c>
      <c r="G1864" s="93">
        <v>10780.55</v>
      </c>
    </row>
    <row r="1865" ht="16.5" customHeight="1" spans="6:7">
      <c r="F1865" s="92">
        <v>43489</v>
      </c>
      <c r="G1865" s="93">
        <v>10849.8</v>
      </c>
    </row>
    <row r="1866" ht="16.5" customHeight="1" spans="6:7">
      <c r="F1866" s="92">
        <v>43488</v>
      </c>
      <c r="G1866" s="93">
        <v>10831.5</v>
      </c>
    </row>
    <row r="1867" ht="16.5" customHeight="1" spans="6:7">
      <c r="F1867" s="92">
        <v>43487</v>
      </c>
      <c r="G1867" s="93">
        <v>10922.75</v>
      </c>
    </row>
    <row r="1868" ht="16.5" customHeight="1" spans="6:7">
      <c r="F1868" s="92">
        <v>43486</v>
      </c>
      <c r="G1868" s="93">
        <v>10961.85</v>
      </c>
    </row>
    <row r="1869" ht="16.5" customHeight="1" spans="6:7">
      <c r="F1869" s="92">
        <v>43483</v>
      </c>
      <c r="G1869" s="93">
        <v>10906.95</v>
      </c>
    </row>
    <row r="1870" ht="16.5" customHeight="1" spans="6:7">
      <c r="F1870" s="92">
        <v>43482</v>
      </c>
      <c r="G1870" s="93">
        <v>10905.2</v>
      </c>
    </row>
    <row r="1871" ht="16.5" customHeight="1" spans="6:7">
      <c r="F1871" s="92">
        <v>43481</v>
      </c>
      <c r="G1871" s="93">
        <v>10890.3</v>
      </c>
    </row>
    <row r="1872" ht="16.5" customHeight="1" spans="6:7">
      <c r="F1872" s="92">
        <v>43480</v>
      </c>
      <c r="G1872" s="93">
        <v>10886.8</v>
      </c>
    </row>
    <row r="1873" ht="16.5" customHeight="1" spans="6:7">
      <c r="F1873" s="92">
        <v>43479</v>
      </c>
      <c r="G1873" s="93">
        <v>10737.6</v>
      </c>
    </row>
    <row r="1874" ht="16.5" customHeight="1" spans="6:7">
      <c r="F1874" s="92">
        <v>43476</v>
      </c>
      <c r="G1874" s="93">
        <v>10794.95</v>
      </c>
    </row>
    <row r="1875" ht="16.5" customHeight="1" spans="6:7">
      <c r="F1875" s="92">
        <v>43475</v>
      </c>
      <c r="G1875" s="93">
        <v>10821.6</v>
      </c>
    </row>
    <row r="1876" ht="16.5" customHeight="1" spans="6:7">
      <c r="F1876" s="92">
        <v>43474</v>
      </c>
      <c r="G1876" s="93">
        <v>10855.15</v>
      </c>
    </row>
    <row r="1877" ht="16.5" customHeight="1" spans="6:7">
      <c r="F1877" s="92">
        <v>43473</v>
      </c>
      <c r="G1877" s="93">
        <v>10802.15</v>
      </c>
    </row>
    <row r="1878" ht="16.5" customHeight="1" spans="6:7">
      <c r="F1878" s="92">
        <v>43472</v>
      </c>
      <c r="G1878" s="93">
        <v>10771.8</v>
      </c>
    </row>
    <row r="1879" ht="16.5" customHeight="1" spans="6:7">
      <c r="F1879" s="92">
        <v>43469</v>
      </c>
      <c r="G1879" s="93">
        <v>10727.35</v>
      </c>
    </row>
    <row r="1880" ht="16.5" customHeight="1" spans="6:7">
      <c r="F1880" s="92">
        <v>43468</v>
      </c>
      <c r="G1880" s="93">
        <v>10672.25</v>
      </c>
    </row>
    <row r="1881" ht="16.5" customHeight="1" spans="6:7">
      <c r="F1881" s="92">
        <v>43467</v>
      </c>
      <c r="G1881" s="93">
        <v>10792.5</v>
      </c>
    </row>
    <row r="1882" ht="16.5" customHeight="1" spans="6:7">
      <c r="F1882" s="92">
        <v>43466</v>
      </c>
      <c r="G1882" s="93">
        <v>10910.1</v>
      </c>
    </row>
    <row r="1883" ht="16.5" customHeight="1" spans="6:7">
      <c r="F1883" s="92">
        <v>43465</v>
      </c>
      <c r="G1883" s="93">
        <v>10862.55</v>
      </c>
    </row>
    <row r="1884" ht="16.5" customHeight="1" spans="6:7">
      <c r="F1884" s="92">
        <v>43462</v>
      </c>
      <c r="G1884" s="93">
        <v>10859.9</v>
      </c>
    </row>
    <row r="1885" ht="16.5" customHeight="1" spans="6:7">
      <c r="F1885" s="92">
        <v>43461</v>
      </c>
      <c r="G1885" s="93">
        <v>10779.8</v>
      </c>
    </row>
    <row r="1886" ht="16.5" customHeight="1" spans="6:7">
      <c r="F1886" s="92">
        <v>43460</v>
      </c>
      <c r="G1886" s="93">
        <v>10729.85</v>
      </c>
    </row>
    <row r="1887" ht="16.5" customHeight="1" spans="6:7">
      <c r="F1887" s="92">
        <v>43458</v>
      </c>
      <c r="G1887" s="93">
        <v>10663.5</v>
      </c>
    </row>
    <row r="1888" ht="16.5" customHeight="1" spans="6:7">
      <c r="F1888" s="92">
        <v>43455</v>
      </c>
      <c r="G1888" s="93">
        <v>10754</v>
      </c>
    </row>
    <row r="1889" ht="16.5" customHeight="1" spans="6:7">
      <c r="F1889" s="92">
        <v>43454</v>
      </c>
      <c r="G1889" s="93">
        <v>10951.7</v>
      </c>
    </row>
    <row r="1890" ht="16.5" customHeight="1" spans="6:7">
      <c r="F1890" s="92">
        <v>43453</v>
      </c>
      <c r="G1890" s="93">
        <v>10967.3</v>
      </c>
    </row>
    <row r="1891" ht="16.5" customHeight="1" spans="6:7">
      <c r="F1891" s="92">
        <v>43452</v>
      </c>
      <c r="G1891" s="93">
        <v>10908.7</v>
      </c>
    </row>
    <row r="1892" ht="16.5" customHeight="1" spans="6:7">
      <c r="F1892" s="92">
        <v>43451</v>
      </c>
      <c r="G1892" s="93">
        <v>10888.35</v>
      </c>
    </row>
    <row r="1893" ht="16.5" customHeight="1" spans="6:7">
      <c r="F1893" s="92">
        <v>43448</v>
      </c>
      <c r="G1893" s="93">
        <v>10805.45</v>
      </c>
    </row>
    <row r="1894" ht="16.5" customHeight="1" spans="6:7">
      <c r="F1894" s="92">
        <v>43447</v>
      </c>
      <c r="G1894" s="93">
        <v>10791.55</v>
      </c>
    </row>
    <row r="1895" ht="16.5" customHeight="1" spans="6:7">
      <c r="F1895" s="92">
        <v>43446</v>
      </c>
      <c r="G1895" s="93">
        <v>10737.6</v>
      </c>
    </row>
    <row r="1896" ht="16.5" customHeight="1" spans="6:7">
      <c r="F1896" s="92">
        <v>43445</v>
      </c>
      <c r="G1896" s="93">
        <v>10549.15</v>
      </c>
    </row>
    <row r="1897" ht="16.5" customHeight="1" spans="6:7">
      <c r="F1897" s="92">
        <v>43444</v>
      </c>
      <c r="G1897" s="93">
        <v>10488.45</v>
      </c>
    </row>
    <row r="1898" ht="16.5" customHeight="1" spans="6:7">
      <c r="F1898" s="92">
        <v>43441</v>
      </c>
      <c r="G1898" s="93">
        <v>10693.7</v>
      </c>
    </row>
    <row r="1899" ht="16.5" customHeight="1" spans="6:7">
      <c r="F1899" s="92">
        <v>43440</v>
      </c>
      <c r="G1899" s="93">
        <v>10601.15</v>
      </c>
    </row>
    <row r="1900" ht="16.5" customHeight="1" spans="6:7">
      <c r="F1900" s="92">
        <v>43439</v>
      </c>
      <c r="G1900" s="93">
        <v>10782.9</v>
      </c>
    </row>
    <row r="1901" ht="16.5" customHeight="1" spans="6:7">
      <c r="F1901" s="92">
        <v>43438</v>
      </c>
      <c r="G1901" s="93">
        <v>10869.5</v>
      </c>
    </row>
    <row r="1902" ht="16.5" customHeight="1" spans="6:7">
      <c r="F1902" s="92">
        <v>43437</v>
      </c>
      <c r="G1902" s="93">
        <v>10883.75</v>
      </c>
    </row>
    <row r="1903" ht="16.5" customHeight="1" spans="6:7">
      <c r="F1903" s="92">
        <v>43434</v>
      </c>
      <c r="G1903" s="93">
        <v>10876.75</v>
      </c>
    </row>
    <row r="1904" ht="16.5" customHeight="1" spans="6:7">
      <c r="F1904" s="92">
        <v>43433</v>
      </c>
      <c r="G1904" s="93">
        <v>10858.7</v>
      </c>
    </row>
    <row r="1905" ht="16.5" customHeight="1" spans="6:7">
      <c r="F1905" s="92">
        <v>43432</v>
      </c>
      <c r="G1905" s="93">
        <v>10728.85</v>
      </c>
    </row>
    <row r="1906" ht="16.5" customHeight="1" spans="6:7">
      <c r="F1906" s="92">
        <v>43431</v>
      </c>
      <c r="G1906" s="93">
        <v>10685.6</v>
      </c>
    </row>
    <row r="1907" ht="16.5" customHeight="1" spans="6:7">
      <c r="F1907" s="92">
        <v>43430</v>
      </c>
      <c r="G1907" s="93">
        <v>10628.6</v>
      </c>
    </row>
    <row r="1908" ht="16.5" customHeight="1" spans="6:7">
      <c r="F1908" s="92">
        <v>43426</v>
      </c>
      <c r="G1908" s="93">
        <v>10526.75</v>
      </c>
    </row>
    <row r="1909" ht="16.5" customHeight="1" spans="6:7">
      <c r="F1909" s="92">
        <v>43425</v>
      </c>
      <c r="G1909" s="93">
        <v>10600.05</v>
      </c>
    </row>
    <row r="1910" ht="16.5" customHeight="1" spans="6:7">
      <c r="F1910" s="92">
        <v>43424</v>
      </c>
      <c r="G1910" s="93">
        <v>10656.2</v>
      </c>
    </row>
    <row r="1911" ht="16.5" customHeight="1" spans="6:7">
      <c r="F1911" s="92">
        <v>43423</v>
      </c>
      <c r="G1911" s="93">
        <v>10763.4</v>
      </c>
    </row>
    <row r="1912" ht="16.5" customHeight="1" spans="6:7">
      <c r="F1912" s="92">
        <v>43420</v>
      </c>
      <c r="G1912" s="93">
        <v>10682.2</v>
      </c>
    </row>
    <row r="1913" ht="16.5" customHeight="1" spans="6:7">
      <c r="F1913" s="92">
        <v>43419</v>
      </c>
      <c r="G1913" s="93">
        <v>10616.7</v>
      </c>
    </row>
    <row r="1914" ht="16.5" customHeight="1" spans="6:7">
      <c r="F1914" s="92">
        <v>43418</v>
      </c>
      <c r="G1914" s="93">
        <v>10576.3</v>
      </c>
    </row>
    <row r="1915" ht="16.5" customHeight="1" spans="6:7">
      <c r="F1915" s="92">
        <v>43417</v>
      </c>
      <c r="G1915" s="93">
        <v>10582.5</v>
      </c>
    </row>
    <row r="1916" ht="16.5" customHeight="1" spans="6:7">
      <c r="F1916" s="92">
        <v>43416</v>
      </c>
      <c r="G1916" s="93">
        <v>10482.2</v>
      </c>
    </row>
    <row r="1917" ht="16.5" customHeight="1" spans="6:7">
      <c r="F1917" s="92">
        <v>43413</v>
      </c>
      <c r="G1917" s="93">
        <v>10585.2</v>
      </c>
    </row>
    <row r="1918" ht="16.5" customHeight="1" spans="6:7">
      <c r="F1918" s="92">
        <v>43411</v>
      </c>
      <c r="G1918" s="93">
        <v>10598.4</v>
      </c>
    </row>
    <row r="1919" ht="16.5" customHeight="1" spans="6:7">
      <c r="F1919" s="92">
        <v>43410</v>
      </c>
      <c r="G1919" s="93">
        <v>10530</v>
      </c>
    </row>
    <row r="1920" ht="16.5" customHeight="1" spans="6:7">
      <c r="F1920" s="92">
        <v>43409</v>
      </c>
      <c r="G1920" s="93">
        <v>10524</v>
      </c>
    </row>
    <row r="1921" ht="16.5" customHeight="1" spans="6:7">
      <c r="F1921" s="92">
        <v>43406</v>
      </c>
      <c r="G1921" s="93">
        <v>10553</v>
      </c>
    </row>
    <row r="1922" ht="16.5" customHeight="1" spans="6:7">
      <c r="F1922" s="92">
        <v>43405</v>
      </c>
      <c r="G1922" s="93">
        <v>10380.45</v>
      </c>
    </row>
    <row r="1923" ht="16.5" customHeight="1" spans="6:7">
      <c r="F1923" s="92">
        <v>43404</v>
      </c>
      <c r="G1923" s="93">
        <v>10386.6</v>
      </c>
    </row>
    <row r="1924" ht="16.5" customHeight="1" spans="6:7">
      <c r="F1924" s="92">
        <v>43403</v>
      </c>
      <c r="G1924" s="93">
        <v>10198.4</v>
      </c>
    </row>
    <row r="1925" ht="16.5" customHeight="1" spans="6:7">
      <c r="F1925" s="92">
        <v>43402</v>
      </c>
      <c r="G1925" s="93">
        <v>10250.85</v>
      </c>
    </row>
    <row r="1926" ht="16.5" customHeight="1" spans="6:7">
      <c r="F1926" s="92">
        <v>43399</v>
      </c>
      <c r="G1926" s="93">
        <v>10030</v>
      </c>
    </row>
    <row r="1927" ht="16.5" customHeight="1" spans="6:7">
      <c r="F1927" s="92">
        <v>43398</v>
      </c>
      <c r="G1927" s="93">
        <v>10124.9</v>
      </c>
    </row>
    <row r="1928" ht="16.5" customHeight="1" spans="6:7">
      <c r="F1928" s="92">
        <v>43397</v>
      </c>
      <c r="G1928" s="93">
        <v>10224.75</v>
      </c>
    </row>
    <row r="1929" ht="16.5" customHeight="1" spans="6:7">
      <c r="F1929" s="92">
        <v>43396</v>
      </c>
      <c r="G1929" s="93">
        <v>10146.8</v>
      </c>
    </row>
    <row r="1930" ht="16.5" customHeight="1" spans="6:7">
      <c r="F1930" s="92">
        <v>43395</v>
      </c>
      <c r="G1930" s="93">
        <v>10245.25</v>
      </c>
    </row>
    <row r="1931" ht="16.5" customHeight="1" spans="6:7">
      <c r="F1931" s="92">
        <v>43392</v>
      </c>
      <c r="G1931" s="93">
        <v>10303.55</v>
      </c>
    </row>
    <row r="1932" ht="16.5" customHeight="1" spans="6:7">
      <c r="F1932" s="92">
        <v>43390</v>
      </c>
      <c r="G1932" s="93">
        <v>10453.05</v>
      </c>
    </row>
    <row r="1933" ht="16.5" customHeight="1" spans="6:7">
      <c r="F1933" s="92">
        <v>43389</v>
      </c>
      <c r="G1933" s="93">
        <v>10584.75</v>
      </c>
    </row>
    <row r="1934" ht="16.5" customHeight="1" spans="6:7">
      <c r="F1934" s="92">
        <v>43388</v>
      </c>
      <c r="G1934" s="93">
        <v>10512.5</v>
      </c>
    </row>
    <row r="1935" ht="16.5" customHeight="1" spans="6:7">
      <c r="F1935" s="92">
        <v>43385</v>
      </c>
      <c r="G1935" s="93">
        <v>10472.5</v>
      </c>
    </row>
    <row r="1936" ht="16.5" customHeight="1" spans="6:7">
      <c r="F1936" s="92">
        <v>43384</v>
      </c>
      <c r="G1936" s="93">
        <v>10234.65</v>
      </c>
    </row>
    <row r="1937" ht="16.5" customHeight="1" spans="6:7">
      <c r="F1937" s="92">
        <v>43383</v>
      </c>
      <c r="G1937" s="93">
        <v>10460.1</v>
      </c>
    </row>
    <row r="1938" ht="16.5" customHeight="1" spans="6:7">
      <c r="F1938" s="92">
        <v>43382</v>
      </c>
      <c r="G1938" s="93">
        <v>10301.05</v>
      </c>
    </row>
    <row r="1939" ht="16.5" customHeight="1" spans="6:7">
      <c r="F1939" s="92">
        <v>43381</v>
      </c>
      <c r="G1939" s="93">
        <v>10348.05</v>
      </c>
    </row>
    <row r="1940" ht="16.5" customHeight="1" spans="6:7">
      <c r="F1940" s="92">
        <v>43378</v>
      </c>
      <c r="G1940" s="93">
        <v>10316.45</v>
      </c>
    </row>
    <row r="1941" ht="16.5" customHeight="1" spans="6:7">
      <c r="F1941" s="92">
        <v>43377</v>
      </c>
      <c r="G1941" s="93">
        <v>10599.25</v>
      </c>
    </row>
    <row r="1942" ht="16.5" customHeight="1" spans="6:7">
      <c r="F1942" s="92">
        <v>43376</v>
      </c>
      <c r="G1942" s="93">
        <v>10858.25</v>
      </c>
    </row>
    <row r="1943" ht="16.5" customHeight="1" spans="6:7">
      <c r="F1943" s="92">
        <v>43374</v>
      </c>
      <c r="G1943" s="93">
        <v>11008.3</v>
      </c>
    </row>
    <row r="1944" ht="16.5" customHeight="1" spans="6:7">
      <c r="F1944" s="92">
        <v>43371</v>
      </c>
      <c r="G1944" s="93">
        <v>10930.45</v>
      </c>
    </row>
    <row r="1945" ht="16.5" customHeight="1" spans="6:7">
      <c r="F1945" s="92">
        <v>43370</v>
      </c>
      <c r="G1945" s="93">
        <v>10977.55</v>
      </c>
    </row>
    <row r="1946" ht="16.5" customHeight="1" spans="6:7">
      <c r="F1946" s="92">
        <v>43369</v>
      </c>
      <c r="G1946" s="93">
        <v>11053.8</v>
      </c>
    </row>
    <row r="1947" ht="16.5" customHeight="1" spans="6:7">
      <c r="F1947" s="92">
        <v>43368</v>
      </c>
      <c r="G1947" s="93">
        <v>11067.45</v>
      </c>
    </row>
    <row r="1948" ht="16.5" customHeight="1" spans="6:7">
      <c r="F1948" s="92">
        <v>43367</v>
      </c>
      <c r="G1948" s="93">
        <v>10967.4</v>
      </c>
    </row>
    <row r="1949" ht="16.5" customHeight="1" spans="6:7">
      <c r="F1949" s="92">
        <v>43364</v>
      </c>
      <c r="G1949" s="93">
        <v>11143.1</v>
      </c>
    </row>
    <row r="1950" ht="16.5" customHeight="1" spans="6:7">
      <c r="F1950" s="92">
        <v>43362</v>
      </c>
      <c r="G1950" s="93">
        <v>11234.35</v>
      </c>
    </row>
    <row r="1951" ht="16.5" customHeight="1" spans="6:7">
      <c r="F1951" s="92">
        <v>43361</v>
      </c>
      <c r="G1951" s="93">
        <v>11278.9</v>
      </c>
    </row>
    <row r="1952" ht="16.5" customHeight="1" spans="6:7">
      <c r="F1952" s="92">
        <v>43360</v>
      </c>
      <c r="G1952" s="93">
        <v>11377.75</v>
      </c>
    </row>
    <row r="1953" ht="16.5" customHeight="1" spans="6:7">
      <c r="F1953" s="92">
        <v>43357</v>
      </c>
      <c r="G1953" s="93">
        <v>11515.2</v>
      </c>
    </row>
    <row r="1954" ht="16.5" customHeight="1" spans="6:7">
      <c r="F1954" s="92">
        <v>43355</v>
      </c>
      <c r="G1954" s="93">
        <v>11369.9</v>
      </c>
    </row>
    <row r="1955" ht="16.5" customHeight="1" spans="6:7">
      <c r="F1955" s="92">
        <v>43354</v>
      </c>
      <c r="G1955" s="93">
        <v>11287.5</v>
      </c>
    </row>
    <row r="1956" ht="16.5" customHeight="1" spans="6:7">
      <c r="F1956" s="92">
        <v>43353</v>
      </c>
      <c r="G1956" s="93">
        <v>11438.1</v>
      </c>
    </row>
    <row r="1957" ht="16.5" customHeight="1" spans="6:7">
      <c r="F1957" s="92">
        <v>43350</v>
      </c>
      <c r="G1957" s="93">
        <v>11589.1</v>
      </c>
    </row>
    <row r="1958" ht="16.5" customHeight="1" spans="6:7">
      <c r="F1958" s="92">
        <v>43349</v>
      </c>
      <c r="G1958" s="93">
        <v>11536.9</v>
      </c>
    </row>
    <row r="1959" ht="16.5" customHeight="1" spans="6:7">
      <c r="F1959" s="92">
        <v>43348</v>
      </c>
      <c r="G1959" s="93">
        <v>11476.95</v>
      </c>
    </row>
    <row r="1960" ht="16.5" customHeight="1" spans="6:7">
      <c r="F1960" s="92">
        <v>43347</v>
      </c>
      <c r="G1960" s="93">
        <v>11520.3</v>
      </c>
    </row>
    <row r="1961" ht="16.5" customHeight="1" spans="6:7">
      <c r="F1961" s="92">
        <v>43346</v>
      </c>
      <c r="G1961" s="93">
        <v>11582.35</v>
      </c>
    </row>
    <row r="1962" ht="16.5" customHeight="1" spans="6:7">
      <c r="F1962" s="92">
        <v>43343</v>
      </c>
      <c r="G1962" s="93">
        <v>11680.5</v>
      </c>
    </row>
    <row r="1963" ht="16.5" customHeight="1" spans="6:7">
      <c r="F1963" s="92">
        <v>43342</v>
      </c>
      <c r="G1963" s="93">
        <v>11676.8</v>
      </c>
    </row>
    <row r="1964" ht="16.5" customHeight="1" spans="6:7">
      <c r="F1964" s="92">
        <v>43341</v>
      </c>
      <c r="G1964" s="93">
        <v>11691.9</v>
      </c>
    </row>
    <row r="1965" ht="16.5" customHeight="1" spans="6:7">
      <c r="F1965" s="92">
        <v>43340</v>
      </c>
      <c r="G1965" s="93">
        <v>11738.5</v>
      </c>
    </row>
    <row r="1966" ht="16.5" customHeight="1" spans="6:7">
      <c r="F1966" s="92">
        <v>43339</v>
      </c>
      <c r="G1966" s="93">
        <v>11691.95</v>
      </c>
    </row>
    <row r="1967" ht="16.5" customHeight="1" spans="6:7">
      <c r="F1967" s="92">
        <v>43336</v>
      </c>
      <c r="G1967" s="93">
        <v>11557.1</v>
      </c>
    </row>
    <row r="1968" ht="16.5" customHeight="1" spans="6:7">
      <c r="F1968" s="92">
        <v>43335</v>
      </c>
      <c r="G1968" s="93">
        <v>11582.75</v>
      </c>
    </row>
    <row r="1969" ht="16.5" customHeight="1" spans="6:7">
      <c r="F1969" s="92">
        <v>43333</v>
      </c>
      <c r="G1969" s="93">
        <v>11570.9</v>
      </c>
    </row>
    <row r="1970" ht="16.5" customHeight="1" spans="6:7">
      <c r="F1970" s="92">
        <v>43332</v>
      </c>
      <c r="G1970" s="93">
        <v>11551.75</v>
      </c>
    </row>
    <row r="1971" ht="16.5" customHeight="1" spans="6:7">
      <c r="F1971" s="92">
        <v>43329</v>
      </c>
      <c r="G1971" s="93">
        <v>11470.75</v>
      </c>
    </row>
    <row r="1972" ht="16.5" customHeight="1" spans="6:7">
      <c r="F1972" s="92">
        <v>43328</v>
      </c>
      <c r="G1972" s="93">
        <v>11385.05</v>
      </c>
    </row>
    <row r="1973" ht="16.5" customHeight="1" spans="6:7">
      <c r="F1973" s="92">
        <v>43326</v>
      </c>
      <c r="G1973" s="93">
        <v>11435.1</v>
      </c>
    </row>
    <row r="1974" ht="16.5" customHeight="1" spans="6:7">
      <c r="F1974" s="92">
        <v>43325</v>
      </c>
      <c r="G1974" s="93">
        <v>11355.75</v>
      </c>
    </row>
    <row r="1975" ht="16.5" customHeight="1" spans="6:7">
      <c r="F1975" s="92">
        <v>43322</v>
      </c>
      <c r="G1975" s="93">
        <v>11429.5</v>
      </c>
    </row>
    <row r="1976" ht="16.5" customHeight="1" spans="6:7">
      <c r="F1976" s="92">
        <v>43321</v>
      </c>
      <c r="G1976" s="93">
        <v>11470.7</v>
      </c>
    </row>
    <row r="1977" ht="16.5" customHeight="1" spans="6:7">
      <c r="F1977" s="92">
        <v>43320</v>
      </c>
      <c r="G1977" s="93">
        <v>11450</v>
      </c>
    </row>
    <row r="1978" ht="16.5" customHeight="1" spans="6:7">
      <c r="F1978" s="92">
        <v>43319</v>
      </c>
      <c r="G1978" s="93">
        <v>11389.45</v>
      </c>
    </row>
    <row r="1979" ht="16.5" customHeight="1" spans="6:7">
      <c r="F1979" s="92">
        <v>43318</v>
      </c>
      <c r="G1979" s="93">
        <v>11387.1</v>
      </c>
    </row>
    <row r="1980" ht="16.5" customHeight="1" spans="6:7">
      <c r="F1980" s="92">
        <v>43315</v>
      </c>
      <c r="G1980" s="93">
        <v>11360.8</v>
      </c>
    </row>
    <row r="1981" ht="16.5" customHeight="1" spans="6:7">
      <c r="F1981" s="92">
        <v>43314</v>
      </c>
      <c r="G1981" s="93">
        <v>11244.7</v>
      </c>
    </row>
    <row r="1982" ht="16.5" customHeight="1" spans="6:7">
      <c r="F1982" s="92">
        <v>43313</v>
      </c>
      <c r="G1982" s="93">
        <v>11346.2</v>
      </c>
    </row>
    <row r="1983" ht="16.5" customHeight="1" spans="6:7">
      <c r="F1983" s="92">
        <v>43312</v>
      </c>
      <c r="G1983" s="93">
        <v>11356.5</v>
      </c>
    </row>
    <row r="1984" ht="16.5" customHeight="1" spans="6:7">
      <c r="F1984" s="92">
        <v>43311</v>
      </c>
      <c r="G1984" s="93">
        <v>11319.55</v>
      </c>
    </row>
    <row r="1985" ht="16.5" customHeight="1" spans="6:7">
      <c r="F1985" s="92">
        <v>43308</v>
      </c>
      <c r="G1985" s="93">
        <v>11278.35</v>
      </c>
    </row>
    <row r="1986" ht="16.5" customHeight="1" spans="6:7">
      <c r="F1986" s="92">
        <v>43307</v>
      </c>
      <c r="G1986" s="93">
        <v>11167.3</v>
      </c>
    </row>
    <row r="1987" ht="16.5" customHeight="1" spans="6:7">
      <c r="F1987" s="92">
        <v>43306</v>
      </c>
      <c r="G1987" s="93">
        <v>11132</v>
      </c>
    </row>
    <row r="1988" ht="16.5" customHeight="1" spans="6:7">
      <c r="F1988" s="92">
        <v>43305</v>
      </c>
      <c r="G1988" s="93">
        <v>11134.3</v>
      </c>
    </row>
    <row r="1989" ht="16.5" customHeight="1" spans="6:7">
      <c r="F1989" s="92">
        <v>43304</v>
      </c>
      <c r="G1989" s="93">
        <v>11084.75</v>
      </c>
    </row>
    <row r="1990" ht="16.5" customHeight="1" spans="6:7">
      <c r="F1990" s="92">
        <v>43301</v>
      </c>
      <c r="G1990" s="93">
        <v>11010.2</v>
      </c>
    </row>
    <row r="1991" ht="16.5" customHeight="1" spans="6:7">
      <c r="F1991" s="92">
        <v>43300</v>
      </c>
      <c r="G1991" s="93">
        <v>10957.1</v>
      </c>
    </row>
    <row r="1992" ht="16.5" customHeight="1" spans="6:7">
      <c r="F1992" s="92">
        <v>43299</v>
      </c>
      <c r="G1992" s="93">
        <v>10980.45</v>
      </c>
    </row>
    <row r="1993" ht="16.5" customHeight="1" spans="6:7">
      <c r="F1993" s="92">
        <v>43298</v>
      </c>
      <c r="G1993" s="93">
        <v>11008.05</v>
      </c>
    </row>
    <row r="1994" ht="16.5" customHeight="1" spans="6:7">
      <c r="F1994" s="92">
        <v>43297</v>
      </c>
      <c r="G1994" s="93">
        <v>10936.85</v>
      </c>
    </row>
    <row r="1995" ht="16.5" customHeight="1" spans="6:7">
      <c r="F1995" s="92">
        <v>43294</v>
      </c>
      <c r="G1995" s="93">
        <v>11018.9</v>
      </c>
    </row>
    <row r="1996" ht="16.5" customHeight="1" spans="6:7">
      <c r="F1996" s="92">
        <v>43293</v>
      </c>
      <c r="G1996" s="93">
        <v>11023.2</v>
      </c>
    </row>
    <row r="1997" ht="16.5" customHeight="1" spans="6:7">
      <c r="F1997" s="92">
        <v>43292</v>
      </c>
      <c r="G1997" s="93">
        <v>10948.3</v>
      </c>
    </row>
    <row r="1998" ht="16.5" customHeight="1" spans="6:7">
      <c r="F1998" s="92">
        <v>43291</v>
      </c>
      <c r="G1998" s="93">
        <v>10947.25</v>
      </c>
    </row>
    <row r="1999" ht="16.5" customHeight="1" spans="6:7">
      <c r="F1999" s="92">
        <v>43290</v>
      </c>
      <c r="G1999" s="93">
        <v>10852.9</v>
      </c>
    </row>
    <row r="2000" ht="16.5" customHeight="1" spans="6:7">
      <c r="F2000" s="92">
        <v>43287</v>
      </c>
      <c r="G2000" s="93">
        <v>10772.65</v>
      </c>
    </row>
    <row r="2001" ht="16.5" customHeight="1" spans="6:7">
      <c r="F2001" s="92">
        <v>43286</v>
      </c>
      <c r="G2001" s="93">
        <v>10749.75</v>
      </c>
    </row>
    <row r="2002" ht="16.5" customHeight="1" spans="6:7">
      <c r="F2002" s="92">
        <v>43285</v>
      </c>
      <c r="G2002" s="93">
        <v>10769.9</v>
      </c>
    </row>
    <row r="2003" ht="16.5" customHeight="1" spans="6:7">
      <c r="F2003" s="92">
        <v>43284</v>
      </c>
      <c r="G2003" s="93">
        <v>10699.9</v>
      </c>
    </row>
    <row r="2004" ht="16.5" customHeight="1" spans="6:7">
      <c r="F2004" s="92">
        <v>43283</v>
      </c>
      <c r="G2004" s="93">
        <v>10657.3</v>
      </c>
    </row>
    <row r="2005" ht="16.5" customHeight="1" spans="6:7">
      <c r="F2005" s="92">
        <v>43280</v>
      </c>
      <c r="G2005" s="93">
        <v>10714.3</v>
      </c>
    </row>
    <row r="2006" ht="16.5" customHeight="1" spans="6:7">
      <c r="F2006" s="92">
        <v>43279</v>
      </c>
      <c r="G2006" s="93">
        <v>10589.1</v>
      </c>
    </row>
    <row r="2007" ht="16.5" customHeight="1" spans="6:7">
      <c r="F2007" s="92">
        <v>43278</v>
      </c>
      <c r="G2007" s="93">
        <v>10671.4</v>
      </c>
    </row>
    <row r="2008" ht="16.5" customHeight="1" spans="6:7">
      <c r="F2008" s="92">
        <v>43277</v>
      </c>
      <c r="G2008" s="93">
        <v>10769.15</v>
      </c>
    </row>
    <row r="2009" ht="16.5" customHeight="1" spans="6:7">
      <c r="F2009" s="92">
        <v>43276</v>
      </c>
      <c r="G2009" s="93">
        <v>10762.45</v>
      </c>
    </row>
    <row r="2010" ht="16.5" customHeight="1" spans="6:7">
      <c r="F2010" s="92">
        <v>43273</v>
      </c>
      <c r="G2010" s="93">
        <v>10821.85</v>
      </c>
    </row>
    <row r="2011" ht="16.5" customHeight="1" spans="6:7">
      <c r="F2011" s="92">
        <v>43272</v>
      </c>
      <c r="G2011" s="93">
        <v>10741.1</v>
      </c>
    </row>
    <row r="2012" ht="16.5" customHeight="1" spans="6:7">
      <c r="F2012" s="92">
        <v>43271</v>
      </c>
      <c r="G2012" s="93">
        <v>10772.05</v>
      </c>
    </row>
    <row r="2013" ht="16.5" customHeight="1" spans="6:7">
      <c r="F2013" s="92">
        <v>43270</v>
      </c>
      <c r="G2013" s="93">
        <v>10710.45</v>
      </c>
    </row>
    <row r="2014" ht="16.5" customHeight="1" spans="6:7">
      <c r="F2014" s="92">
        <v>43269</v>
      </c>
      <c r="G2014" s="93">
        <v>10799.85</v>
      </c>
    </row>
    <row r="2015" ht="16.5" customHeight="1" spans="6:7">
      <c r="F2015" s="92">
        <v>43266</v>
      </c>
      <c r="G2015" s="93">
        <v>10817.7</v>
      </c>
    </row>
    <row r="2016" ht="16.5" customHeight="1" spans="6:7">
      <c r="F2016" s="92">
        <v>43265</v>
      </c>
      <c r="G2016" s="93">
        <v>10808.05</v>
      </c>
    </row>
    <row r="2017" ht="16.5" customHeight="1" spans="6:7">
      <c r="F2017" s="92">
        <v>43264</v>
      </c>
      <c r="G2017" s="93">
        <v>10856.7</v>
      </c>
    </row>
    <row r="2018" ht="16.5" customHeight="1" spans="6:7">
      <c r="F2018" s="92">
        <v>43263</v>
      </c>
      <c r="G2018" s="93">
        <v>10842.85</v>
      </c>
    </row>
    <row r="2019" ht="16.5" customHeight="1" spans="6:7">
      <c r="F2019" s="92">
        <v>43262</v>
      </c>
      <c r="G2019" s="93">
        <v>10786.95</v>
      </c>
    </row>
    <row r="2020" ht="16.5" customHeight="1" spans="6:7">
      <c r="F2020" s="92">
        <v>43259</v>
      </c>
      <c r="G2020" s="93">
        <v>10767.65</v>
      </c>
    </row>
    <row r="2021" ht="16.5" customHeight="1" spans="6:7">
      <c r="F2021" s="92">
        <v>43258</v>
      </c>
      <c r="G2021" s="93">
        <v>10768.35</v>
      </c>
    </row>
    <row r="2022" ht="16.5" customHeight="1" spans="6:7">
      <c r="F2022" s="92">
        <v>43257</v>
      </c>
      <c r="G2022" s="93">
        <v>10684.65</v>
      </c>
    </row>
    <row r="2023" ht="16.5" customHeight="1" spans="6:7">
      <c r="F2023" s="92">
        <v>43256</v>
      </c>
      <c r="G2023" s="93">
        <v>10593.15</v>
      </c>
    </row>
    <row r="2024" ht="16.5" customHeight="1" spans="6:7">
      <c r="F2024" s="92">
        <v>43255</v>
      </c>
      <c r="G2024" s="93">
        <v>10628.5</v>
      </c>
    </row>
    <row r="2025" ht="16.5" customHeight="1" spans="6:7">
      <c r="F2025" s="92">
        <v>43252</v>
      </c>
      <c r="G2025" s="93">
        <v>10696.2</v>
      </c>
    </row>
    <row r="2026" ht="16.5" customHeight="1" spans="6:7">
      <c r="F2026" s="92">
        <v>43251</v>
      </c>
      <c r="G2026" s="93">
        <v>10736.15</v>
      </c>
    </row>
    <row r="2027" ht="16.5" customHeight="1" spans="6:7">
      <c r="F2027" s="92">
        <v>43250</v>
      </c>
      <c r="G2027" s="93">
        <v>10614.35</v>
      </c>
    </row>
    <row r="2028" ht="16.5" customHeight="1" spans="6:7">
      <c r="F2028" s="92">
        <v>43249</v>
      </c>
      <c r="G2028" s="93">
        <v>10633.3</v>
      </c>
    </row>
    <row r="2029" ht="16.5" customHeight="1" spans="6:7">
      <c r="F2029" s="92">
        <v>43248</v>
      </c>
      <c r="G2029" s="93">
        <v>10688.65</v>
      </c>
    </row>
    <row r="2030" ht="16.5" customHeight="1" spans="6:7">
      <c r="F2030" s="92">
        <v>43245</v>
      </c>
      <c r="G2030" s="93">
        <v>10605.15</v>
      </c>
    </row>
    <row r="2031" ht="16.5" customHeight="1" spans="6:7">
      <c r="F2031" s="92">
        <v>43244</v>
      </c>
      <c r="G2031" s="93">
        <v>10513.85</v>
      </c>
    </row>
    <row r="2032" ht="16.5" customHeight="1" spans="6:7">
      <c r="F2032" s="92">
        <v>43243</v>
      </c>
      <c r="G2032" s="93">
        <v>10430.35</v>
      </c>
    </row>
    <row r="2033" ht="16.5" customHeight="1" spans="6:7">
      <c r="F2033" s="92">
        <v>43242</v>
      </c>
      <c r="G2033" s="93">
        <v>10536.7</v>
      </c>
    </row>
    <row r="2034" ht="16.5" customHeight="1" spans="6:7">
      <c r="F2034" s="92">
        <v>43241</v>
      </c>
      <c r="G2034" s="93">
        <v>10516.7</v>
      </c>
    </row>
    <row r="2035" ht="16.5" customHeight="1" spans="6:7">
      <c r="F2035" s="92">
        <v>43238</v>
      </c>
      <c r="G2035" s="93">
        <v>10596.4</v>
      </c>
    </row>
    <row r="2036" ht="16.5" customHeight="1" spans="6:7">
      <c r="F2036" s="92">
        <v>43237</v>
      </c>
      <c r="G2036" s="93">
        <v>10682.7</v>
      </c>
    </row>
    <row r="2037" ht="16.5" customHeight="1" spans="6:7">
      <c r="F2037" s="92">
        <v>43236</v>
      </c>
      <c r="G2037" s="93">
        <v>10741.1</v>
      </c>
    </row>
    <row r="2038" ht="16.5" customHeight="1" spans="6:7">
      <c r="F2038" s="92">
        <v>43235</v>
      </c>
      <c r="G2038" s="93">
        <v>10801.85</v>
      </c>
    </row>
    <row r="2039" ht="16.5" customHeight="1" spans="6:7">
      <c r="F2039" s="92">
        <v>43234</v>
      </c>
      <c r="G2039" s="93">
        <v>10806.6</v>
      </c>
    </row>
    <row r="2040" ht="16.5" customHeight="1" spans="6:7">
      <c r="F2040" s="92">
        <v>43231</v>
      </c>
      <c r="G2040" s="93">
        <v>10806.5</v>
      </c>
    </row>
    <row r="2041" ht="16.5" customHeight="1" spans="6:7">
      <c r="F2041" s="92">
        <v>43230</v>
      </c>
      <c r="G2041" s="93">
        <v>10716.55</v>
      </c>
    </row>
    <row r="2042" ht="16.5" customHeight="1" spans="6:7">
      <c r="F2042" s="92">
        <v>43229</v>
      </c>
      <c r="G2042" s="93">
        <v>10741.7</v>
      </c>
    </row>
    <row r="2043" ht="16.5" customHeight="1" spans="6:7">
      <c r="F2043" s="92">
        <v>43228</v>
      </c>
      <c r="G2043" s="93">
        <v>10717.8</v>
      </c>
    </row>
    <row r="2044" ht="16.5" customHeight="1" spans="6:7">
      <c r="F2044" s="92">
        <v>43227</v>
      </c>
      <c r="G2044" s="93">
        <v>10715.5</v>
      </c>
    </row>
    <row r="2045" ht="16.5" customHeight="1" spans="6:7">
      <c r="F2045" s="92">
        <v>43224</v>
      </c>
      <c r="G2045" s="93">
        <v>10618.25</v>
      </c>
    </row>
    <row r="2046" ht="16.5" customHeight="1" spans="6:7">
      <c r="F2046" s="92">
        <v>43223</v>
      </c>
      <c r="G2046" s="93">
        <v>10679.65</v>
      </c>
    </row>
    <row r="2047" ht="16.5" customHeight="1" spans="6:7">
      <c r="F2047" s="92">
        <v>43222</v>
      </c>
      <c r="G2047" s="93">
        <v>10718.05</v>
      </c>
    </row>
    <row r="2048" ht="16.5" customHeight="1" spans="6:7">
      <c r="F2048" s="92">
        <v>43220</v>
      </c>
      <c r="G2048" s="93">
        <v>10739.35</v>
      </c>
    </row>
    <row r="2049" ht="16.5" customHeight="1" spans="6:7">
      <c r="F2049" s="92">
        <v>43217</v>
      </c>
      <c r="G2049" s="93">
        <v>10692.3</v>
      </c>
    </row>
    <row r="2050" ht="16.5" customHeight="1" spans="6:7">
      <c r="F2050" s="92">
        <v>43216</v>
      </c>
      <c r="G2050" s="93">
        <v>10617.8</v>
      </c>
    </row>
    <row r="2051" ht="16.5" customHeight="1" spans="6:7">
      <c r="F2051" s="92">
        <v>43215</v>
      </c>
      <c r="G2051" s="93">
        <v>10570.55</v>
      </c>
    </row>
    <row r="2052" ht="16.5" customHeight="1" spans="6:7">
      <c r="F2052" s="92">
        <v>43214</v>
      </c>
      <c r="G2052" s="93">
        <v>10614.35</v>
      </c>
    </row>
    <row r="2053" ht="16.5" customHeight="1" spans="6:7">
      <c r="F2053" s="92">
        <v>43213</v>
      </c>
      <c r="G2053" s="93">
        <v>10584.7</v>
      </c>
    </row>
    <row r="2054" ht="16.5" customHeight="1" spans="6:7">
      <c r="F2054" s="92">
        <v>43210</v>
      </c>
      <c r="G2054" s="93">
        <v>10564.05</v>
      </c>
    </row>
    <row r="2055" ht="16.5" customHeight="1" spans="6:7">
      <c r="F2055" s="92">
        <v>43209</v>
      </c>
      <c r="G2055" s="93">
        <v>10565.3</v>
      </c>
    </row>
    <row r="2056" ht="16.5" customHeight="1" spans="6:7">
      <c r="F2056" s="92">
        <v>43208</v>
      </c>
      <c r="G2056" s="93">
        <v>10526.2</v>
      </c>
    </row>
    <row r="2057" ht="16.5" customHeight="1" spans="6:7">
      <c r="F2057" s="92">
        <v>43207</v>
      </c>
      <c r="G2057" s="93">
        <v>10548.7</v>
      </c>
    </row>
    <row r="2058" ht="16.5" customHeight="1" spans="6:7">
      <c r="F2058" s="92">
        <v>43206</v>
      </c>
      <c r="G2058" s="93">
        <v>10528.35</v>
      </c>
    </row>
    <row r="2059" ht="16.5" customHeight="1" spans="6:7">
      <c r="F2059" s="92">
        <v>43203</v>
      </c>
      <c r="G2059" s="93">
        <v>10480.6</v>
      </c>
    </row>
    <row r="2060" ht="16.5" customHeight="1" spans="6:7">
      <c r="F2060" s="92">
        <v>43202</v>
      </c>
      <c r="G2060" s="93">
        <v>10458.65</v>
      </c>
    </row>
    <row r="2061" ht="16.5" customHeight="1" spans="6:7">
      <c r="F2061" s="92">
        <v>43201</v>
      </c>
      <c r="G2061" s="93">
        <v>10417.15</v>
      </c>
    </row>
    <row r="2062" ht="16.5" customHeight="1" spans="6:7">
      <c r="F2062" s="92">
        <v>43200</v>
      </c>
      <c r="G2062" s="93">
        <v>10402.25</v>
      </c>
    </row>
    <row r="2063" ht="16.5" customHeight="1" spans="6:7">
      <c r="F2063" s="92">
        <v>43199</v>
      </c>
      <c r="G2063" s="93">
        <v>10379.35</v>
      </c>
    </row>
    <row r="2064" ht="16.5" customHeight="1" spans="6:7">
      <c r="F2064" s="92">
        <v>43196</v>
      </c>
      <c r="G2064" s="93">
        <v>10331.6</v>
      </c>
    </row>
    <row r="2065" ht="16.5" customHeight="1" spans="6:7">
      <c r="F2065" s="92">
        <v>43195</v>
      </c>
      <c r="G2065" s="93">
        <v>10325.15</v>
      </c>
    </row>
    <row r="2066" ht="16.5" customHeight="1" spans="6:7">
      <c r="F2066" s="92">
        <v>43194</v>
      </c>
      <c r="G2066" s="93">
        <v>10128.4</v>
      </c>
    </row>
    <row r="2067" ht="16.5" customHeight="1" spans="6:7">
      <c r="F2067" s="92">
        <v>43193</v>
      </c>
      <c r="G2067" s="93">
        <v>10245</v>
      </c>
    </row>
    <row r="2068" ht="16.5" customHeight="1" spans="6:7">
      <c r="F2068" s="92">
        <v>43192</v>
      </c>
      <c r="G2068" s="93">
        <v>10211.8</v>
      </c>
    </row>
    <row r="2069" ht="16.5" customHeight="1" spans="6:7">
      <c r="F2069" s="92">
        <v>43187</v>
      </c>
      <c r="G2069" s="93">
        <v>10113.7</v>
      </c>
    </row>
    <row r="2070" ht="16.5" customHeight="1" spans="6:7">
      <c r="F2070" s="92">
        <v>43186</v>
      </c>
      <c r="G2070" s="93">
        <v>10184.15</v>
      </c>
    </row>
    <row r="2071" ht="16.5" customHeight="1" spans="6:7">
      <c r="F2071" s="92">
        <v>43185</v>
      </c>
      <c r="G2071" s="93">
        <v>10130.65</v>
      </c>
    </row>
    <row r="2072" ht="16.5" customHeight="1" spans="6:7">
      <c r="F2072" s="92">
        <v>43182</v>
      </c>
      <c r="G2072" s="93">
        <v>9998.05</v>
      </c>
    </row>
    <row r="2073" ht="16.5" customHeight="1" spans="6:7">
      <c r="F2073" s="92">
        <v>43181</v>
      </c>
      <c r="G2073" s="93">
        <v>10114.75</v>
      </c>
    </row>
    <row r="2074" ht="16.5" customHeight="1" spans="6:7">
      <c r="F2074" s="92">
        <v>43180</v>
      </c>
      <c r="G2074" s="93">
        <v>10155.25</v>
      </c>
    </row>
    <row r="2075" ht="16.5" customHeight="1" spans="6:7">
      <c r="F2075" s="92">
        <v>43179</v>
      </c>
      <c r="G2075" s="93">
        <v>10124.35</v>
      </c>
    </row>
    <row r="2076" ht="16.5" customHeight="1" spans="6:7">
      <c r="F2076" s="92">
        <v>43178</v>
      </c>
      <c r="G2076" s="93">
        <v>10094.25</v>
      </c>
    </row>
    <row r="2077" ht="16.5" customHeight="1" spans="6:7">
      <c r="F2077" s="92">
        <v>43175</v>
      </c>
      <c r="G2077" s="93">
        <v>10195.15</v>
      </c>
    </row>
    <row r="2078" ht="16.5" customHeight="1" spans="6:7">
      <c r="F2078" s="92">
        <v>43174</v>
      </c>
      <c r="G2078" s="93">
        <v>10360.15</v>
      </c>
    </row>
    <row r="2079" ht="16.5" customHeight="1" spans="6:7">
      <c r="F2079" s="92">
        <v>43173</v>
      </c>
      <c r="G2079" s="93">
        <v>10410.9</v>
      </c>
    </row>
    <row r="2080" ht="16.5" customHeight="1" spans="6:7">
      <c r="F2080" s="92">
        <v>43172</v>
      </c>
      <c r="G2080" s="93">
        <v>10426.85</v>
      </c>
    </row>
    <row r="2081" ht="16.5" customHeight="1" spans="6:7">
      <c r="F2081" s="92">
        <v>43171</v>
      </c>
      <c r="G2081" s="93">
        <v>10421.4</v>
      </c>
    </row>
    <row r="2082" ht="16.5" customHeight="1" spans="6:7">
      <c r="F2082" s="92">
        <v>43168</v>
      </c>
      <c r="G2082" s="93">
        <v>10226.85</v>
      </c>
    </row>
    <row r="2083" ht="16.5" customHeight="1" spans="6:7">
      <c r="F2083" s="92">
        <v>43167</v>
      </c>
      <c r="G2083" s="93">
        <v>10242.65</v>
      </c>
    </row>
    <row r="2084" ht="16.5" customHeight="1" spans="6:7">
      <c r="F2084" s="92">
        <v>43166</v>
      </c>
      <c r="G2084" s="93">
        <v>10154.2</v>
      </c>
    </row>
    <row r="2085" ht="16.5" customHeight="1" spans="6:7">
      <c r="F2085" s="92">
        <v>43165</v>
      </c>
      <c r="G2085" s="93">
        <v>10249.25</v>
      </c>
    </row>
    <row r="2086" ht="16.5" customHeight="1" spans="6:7">
      <c r="F2086" s="92">
        <v>43164</v>
      </c>
      <c r="G2086" s="93">
        <v>10358.85</v>
      </c>
    </row>
    <row r="2087" ht="16.5" customHeight="1" spans="6:7">
      <c r="F2087" s="92">
        <v>43160</v>
      </c>
      <c r="G2087" s="93">
        <v>10458.35</v>
      </c>
    </row>
    <row r="2088" ht="16.5" customHeight="1" spans="6:7">
      <c r="F2088" s="92">
        <v>43159</v>
      </c>
      <c r="G2088" s="93">
        <v>10492.85</v>
      </c>
    </row>
    <row r="2089" ht="16.5" customHeight="1" spans="6:7">
      <c r="F2089" s="92">
        <v>43158</v>
      </c>
      <c r="G2089" s="93">
        <v>10554.3</v>
      </c>
    </row>
    <row r="2090" ht="16.5" customHeight="1" spans="6:7">
      <c r="F2090" s="92">
        <v>43157</v>
      </c>
      <c r="G2090" s="93">
        <v>10582.6</v>
      </c>
    </row>
    <row r="2091" ht="16.5" customHeight="1" spans="6:7">
      <c r="F2091" s="92">
        <v>43154</v>
      </c>
      <c r="G2091" s="93">
        <v>10491.05</v>
      </c>
    </row>
    <row r="2092" ht="16.5" customHeight="1" spans="6:7">
      <c r="F2092" s="92">
        <v>43153</v>
      </c>
      <c r="G2092" s="93">
        <v>10382.7</v>
      </c>
    </row>
    <row r="2093" ht="16.5" customHeight="1" spans="6:7">
      <c r="F2093" s="92">
        <v>43152</v>
      </c>
      <c r="G2093" s="93">
        <v>10397.45</v>
      </c>
    </row>
    <row r="2094" ht="16.5" customHeight="1" spans="6:7">
      <c r="F2094" s="92">
        <v>43151</v>
      </c>
      <c r="G2094" s="93">
        <v>10360.4</v>
      </c>
    </row>
    <row r="2095" ht="16.5" customHeight="1" spans="6:7">
      <c r="F2095" s="92">
        <v>43150</v>
      </c>
      <c r="G2095" s="93">
        <v>10378.4</v>
      </c>
    </row>
    <row r="2096" ht="16.5" customHeight="1" spans="6:7">
      <c r="F2096" s="92">
        <v>43147</v>
      </c>
      <c r="G2096" s="93">
        <v>10452.3</v>
      </c>
    </row>
    <row r="2097" ht="16.5" customHeight="1" spans="6:7">
      <c r="F2097" s="92">
        <v>43146</v>
      </c>
      <c r="G2097" s="93">
        <v>10545.5</v>
      </c>
    </row>
    <row r="2098" ht="16.5" customHeight="1" spans="6:7">
      <c r="F2098" s="92">
        <v>43145</v>
      </c>
      <c r="G2098" s="93">
        <v>10500.9</v>
      </c>
    </row>
    <row r="2099" ht="16.5" customHeight="1" spans="6:7">
      <c r="F2099" s="92">
        <v>43143</v>
      </c>
      <c r="G2099" s="93">
        <v>10539.75</v>
      </c>
    </row>
    <row r="2100" ht="16.5" customHeight="1" spans="6:7">
      <c r="F2100" s="92">
        <v>43140</v>
      </c>
      <c r="G2100" s="93">
        <v>10454.95</v>
      </c>
    </row>
    <row r="2101" ht="16.5" customHeight="1" spans="6:7">
      <c r="F2101" s="92">
        <v>43139</v>
      </c>
      <c r="G2101" s="93">
        <v>10576.85</v>
      </c>
    </row>
    <row r="2102" ht="16.5" customHeight="1" spans="6:7">
      <c r="F2102" s="92">
        <v>43138</v>
      </c>
      <c r="G2102" s="93">
        <v>10476.7</v>
      </c>
    </row>
    <row r="2103" ht="16.5" customHeight="1" spans="6:7">
      <c r="F2103" s="92">
        <v>43137</v>
      </c>
      <c r="G2103" s="93">
        <v>10498.25</v>
      </c>
    </row>
    <row r="2104" ht="16.5" customHeight="1" spans="6:7">
      <c r="F2104" s="92">
        <v>43136</v>
      </c>
      <c r="G2104" s="93">
        <v>10666.55</v>
      </c>
    </row>
    <row r="2105" ht="16.5" customHeight="1" spans="6:7">
      <c r="F2105" s="92">
        <v>43133</v>
      </c>
      <c r="G2105" s="93">
        <v>10760.6</v>
      </c>
    </row>
    <row r="2106" ht="16.5" customHeight="1" spans="6:7">
      <c r="F2106" s="92">
        <v>43132</v>
      </c>
      <c r="G2106" s="93">
        <v>11016.9</v>
      </c>
    </row>
    <row r="2107" ht="16.5" customHeight="1" spans="6:7">
      <c r="F2107" s="92">
        <v>43131</v>
      </c>
      <c r="G2107" s="93">
        <v>11027.7</v>
      </c>
    </row>
    <row r="2108" ht="16.5" customHeight="1" spans="6:7">
      <c r="F2108" s="92">
        <v>43130</v>
      </c>
      <c r="G2108" s="93">
        <v>11049.65</v>
      </c>
    </row>
    <row r="2109" ht="16.5" customHeight="1" spans="6:7">
      <c r="F2109" s="92">
        <v>43129</v>
      </c>
      <c r="G2109" s="93">
        <v>11130.4</v>
      </c>
    </row>
    <row r="2110" ht="16.5" customHeight="1" spans="6:7">
      <c r="F2110" s="92">
        <v>43125</v>
      </c>
      <c r="G2110" s="93">
        <v>11069.65</v>
      </c>
    </row>
    <row r="2111" ht="16.5" customHeight="1" spans="6:7">
      <c r="F2111" s="92">
        <v>43124</v>
      </c>
      <c r="G2111" s="93">
        <v>11086</v>
      </c>
    </row>
    <row r="2112" ht="16.5" customHeight="1" spans="6:7">
      <c r="F2112" s="92">
        <v>43123</v>
      </c>
      <c r="G2112" s="93">
        <v>11083.7</v>
      </c>
    </row>
    <row r="2113" ht="16.5" customHeight="1" spans="6:7">
      <c r="F2113" s="92">
        <v>43122</v>
      </c>
      <c r="G2113" s="93">
        <v>10966.2</v>
      </c>
    </row>
    <row r="2114" ht="16.5" customHeight="1" spans="6:7">
      <c r="F2114" s="92">
        <v>43119</v>
      </c>
      <c r="G2114" s="93">
        <v>10894.7</v>
      </c>
    </row>
    <row r="2115" ht="16.5" customHeight="1" spans="6:7">
      <c r="F2115" s="92">
        <v>43118</v>
      </c>
      <c r="G2115" s="93">
        <v>10817</v>
      </c>
    </row>
    <row r="2116" ht="16.5" customHeight="1" spans="6:7">
      <c r="F2116" s="92">
        <v>43117</v>
      </c>
      <c r="G2116" s="93">
        <v>10788.55</v>
      </c>
    </row>
    <row r="2117" ht="16.5" customHeight="1" spans="6:7">
      <c r="F2117" s="92">
        <v>43116</v>
      </c>
      <c r="G2117" s="93">
        <v>10700.45</v>
      </c>
    </row>
    <row r="2118" ht="16.5" customHeight="1" spans="6:7">
      <c r="F2118" s="92">
        <v>43115</v>
      </c>
      <c r="G2118" s="93">
        <v>10741.55</v>
      </c>
    </row>
    <row r="2119" ht="16.5" customHeight="1" spans="6:7">
      <c r="F2119" s="92">
        <v>43112</v>
      </c>
      <c r="G2119" s="93">
        <v>10681.25</v>
      </c>
    </row>
    <row r="2120" ht="16.5" customHeight="1" spans="6:7">
      <c r="F2120" s="92">
        <v>43111</v>
      </c>
      <c r="G2120" s="93">
        <v>10651.2</v>
      </c>
    </row>
    <row r="2121" ht="16.5" customHeight="1" spans="6:7">
      <c r="F2121" s="92">
        <v>43110</v>
      </c>
      <c r="G2121" s="93">
        <v>10632.2</v>
      </c>
    </row>
    <row r="2122" ht="16.5" customHeight="1" spans="6:7">
      <c r="F2122" s="92">
        <v>43109</v>
      </c>
      <c r="G2122" s="93">
        <v>10637</v>
      </c>
    </row>
    <row r="2123" ht="16.5" customHeight="1" spans="6:7">
      <c r="F2123" s="92">
        <v>43108</v>
      </c>
      <c r="G2123" s="93">
        <v>10623.6</v>
      </c>
    </row>
    <row r="2124" ht="16.5" customHeight="1" spans="6:7">
      <c r="F2124" s="92">
        <v>43105</v>
      </c>
      <c r="G2124" s="93">
        <v>10558.85</v>
      </c>
    </row>
    <row r="2125" ht="16.5" customHeight="1" spans="6:7">
      <c r="F2125" s="92">
        <v>43104</v>
      </c>
      <c r="G2125" s="93">
        <v>10504.8</v>
      </c>
    </row>
    <row r="2126" ht="16.5" customHeight="1" spans="6:7">
      <c r="F2126" s="92">
        <v>43103</v>
      </c>
      <c r="G2126" s="93">
        <v>10443.2</v>
      </c>
    </row>
    <row r="2127" ht="16.5" customHeight="1" spans="6:7">
      <c r="F2127" s="92">
        <v>43102</v>
      </c>
      <c r="G2127" s="93">
        <v>10442.2</v>
      </c>
    </row>
    <row r="2128" ht="16.5" customHeight="1" spans="6:7">
      <c r="F2128" s="92">
        <v>43101</v>
      </c>
      <c r="G2128" s="93">
        <v>10435.55</v>
      </c>
    </row>
    <row r="2129" ht="16.5" customHeight="1" spans="6:7">
      <c r="F2129" s="92">
        <v>43098</v>
      </c>
      <c r="G2129" s="93">
        <v>10530.7</v>
      </c>
    </row>
    <row r="2130" ht="16.5" customHeight="1" spans="6:7">
      <c r="F2130" s="92">
        <v>43097</v>
      </c>
      <c r="G2130" s="93">
        <v>10477.9</v>
      </c>
    </row>
    <row r="2131" ht="16.5" customHeight="1" spans="6:7">
      <c r="F2131" s="92">
        <v>43096</v>
      </c>
      <c r="G2131" s="93">
        <v>10490.75</v>
      </c>
    </row>
    <row r="2132" ht="16.5" customHeight="1" spans="6:7">
      <c r="F2132" s="92">
        <v>43095</v>
      </c>
      <c r="G2132" s="93">
        <v>10531.5</v>
      </c>
    </row>
    <row r="2133" ht="16.5" customHeight="1" spans="6:7">
      <c r="F2133" s="92">
        <v>43091</v>
      </c>
      <c r="G2133" s="93">
        <v>10493</v>
      </c>
    </row>
    <row r="2134" ht="16.5" customHeight="1" spans="6:7">
      <c r="F2134" s="92">
        <v>43090</v>
      </c>
      <c r="G2134" s="93">
        <v>10440.3</v>
      </c>
    </row>
    <row r="2135" ht="16.5" customHeight="1" spans="6:7">
      <c r="F2135" s="92">
        <v>43089</v>
      </c>
      <c r="G2135" s="93">
        <v>10444.2</v>
      </c>
    </row>
    <row r="2136" ht="16.5" customHeight="1" spans="6:7">
      <c r="F2136" s="92">
        <v>43088</v>
      </c>
      <c r="G2136" s="93">
        <v>10463.2</v>
      </c>
    </row>
    <row r="2137" ht="16.5" customHeight="1" spans="6:7">
      <c r="F2137" s="92">
        <v>43087</v>
      </c>
      <c r="G2137" s="93">
        <v>10388.75</v>
      </c>
    </row>
    <row r="2138" ht="16.5" customHeight="1" spans="6:7">
      <c r="F2138" s="92">
        <v>43084</v>
      </c>
      <c r="G2138" s="93">
        <v>10333.25</v>
      </c>
    </row>
    <row r="2139" ht="16.5" customHeight="1" spans="6:7">
      <c r="F2139" s="92">
        <v>43083</v>
      </c>
      <c r="G2139" s="93">
        <v>10252.1</v>
      </c>
    </row>
    <row r="2140" ht="16.5" customHeight="1" spans="6:7">
      <c r="F2140" s="92">
        <v>43082</v>
      </c>
      <c r="G2140" s="93">
        <v>10192.95</v>
      </c>
    </row>
    <row r="2141" ht="16.5" customHeight="1" spans="6:7">
      <c r="F2141" s="92">
        <v>43081</v>
      </c>
      <c r="G2141" s="93">
        <v>10240.15</v>
      </c>
    </row>
    <row r="2142" ht="16.5" customHeight="1" spans="6:7">
      <c r="F2142" s="92">
        <v>43080</v>
      </c>
      <c r="G2142" s="93">
        <v>10322.25</v>
      </c>
    </row>
    <row r="2143" ht="16.5" customHeight="1" spans="6:7">
      <c r="F2143" s="92">
        <v>43077</v>
      </c>
      <c r="G2143" s="93">
        <v>10265.65</v>
      </c>
    </row>
    <row r="2144" ht="16.5" customHeight="1" spans="6:7">
      <c r="F2144" s="92">
        <v>43076</v>
      </c>
      <c r="G2144" s="93">
        <v>10166.7</v>
      </c>
    </row>
    <row r="2145" ht="16.5" customHeight="1" spans="6:7">
      <c r="F2145" s="92">
        <v>43075</v>
      </c>
      <c r="G2145" s="93">
        <v>10044.1</v>
      </c>
    </row>
    <row r="2146" ht="16.5" customHeight="1" spans="6:7">
      <c r="F2146" s="92">
        <v>43074</v>
      </c>
      <c r="G2146" s="93">
        <v>10118.25</v>
      </c>
    </row>
    <row r="2147" ht="16.5" customHeight="1" spans="6:7">
      <c r="F2147" s="92">
        <v>43073</v>
      </c>
      <c r="G2147" s="93">
        <v>10127.75</v>
      </c>
    </row>
    <row r="2148" ht="16.5" customHeight="1" spans="6:7">
      <c r="F2148" s="92">
        <v>43070</v>
      </c>
      <c r="G2148" s="93">
        <v>10121.8</v>
      </c>
    </row>
    <row r="2149" ht="16.5" customHeight="1" spans="6:7">
      <c r="F2149" s="92">
        <v>43069</v>
      </c>
      <c r="G2149" s="93">
        <v>10226.55</v>
      </c>
    </row>
    <row r="2150" ht="16.5" customHeight="1" spans="6:7">
      <c r="F2150" s="92">
        <v>43068</v>
      </c>
      <c r="G2150" s="93">
        <v>10361.3</v>
      </c>
    </row>
    <row r="2151" ht="16.5" customHeight="1" spans="6:7">
      <c r="F2151" s="92">
        <v>43067</v>
      </c>
      <c r="G2151" s="93">
        <v>10370.25</v>
      </c>
    </row>
    <row r="2152" ht="16.5" customHeight="1" spans="6:7">
      <c r="F2152" s="92">
        <v>43066</v>
      </c>
      <c r="G2152" s="93">
        <v>10399.55</v>
      </c>
    </row>
    <row r="2153" ht="16.5" customHeight="1" spans="6:7">
      <c r="F2153" s="92">
        <v>43063</v>
      </c>
      <c r="G2153" s="93">
        <v>10389.7</v>
      </c>
    </row>
    <row r="2154" ht="16.5" customHeight="1" spans="6:7">
      <c r="F2154" s="92">
        <v>43062</v>
      </c>
      <c r="G2154" s="93">
        <v>10348.75</v>
      </c>
    </row>
    <row r="2155" ht="16.5" customHeight="1" spans="6:7">
      <c r="F2155" s="92">
        <v>43061</v>
      </c>
      <c r="G2155" s="93">
        <v>10342.3</v>
      </c>
    </row>
    <row r="2156" ht="16.5" customHeight="1" spans="6:7">
      <c r="F2156" s="92">
        <v>43060</v>
      </c>
      <c r="G2156" s="93">
        <v>10326.9</v>
      </c>
    </row>
    <row r="2157" ht="16.5" customHeight="1" spans="6:7">
      <c r="F2157" s="92">
        <v>43059</v>
      </c>
      <c r="G2157" s="93">
        <v>10298.75</v>
      </c>
    </row>
    <row r="2158" ht="16.5" customHeight="1" spans="6:7">
      <c r="F2158" s="92">
        <v>43056</v>
      </c>
      <c r="G2158" s="93">
        <v>10283.6</v>
      </c>
    </row>
    <row r="2159" ht="16.5" customHeight="1" spans="6:7">
      <c r="F2159" s="92">
        <v>43055</v>
      </c>
      <c r="G2159" s="93">
        <v>10214.75</v>
      </c>
    </row>
    <row r="2160" ht="16.5" customHeight="1" spans="6:7">
      <c r="F2160" s="92">
        <v>43054</v>
      </c>
      <c r="G2160" s="93">
        <v>10118.05</v>
      </c>
    </row>
    <row r="2161" ht="16.5" customHeight="1" spans="6:7">
      <c r="F2161" s="92">
        <v>43053</v>
      </c>
      <c r="G2161" s="93">
        <v>10186.6</v>
      </c>
    </row>
    <row r="2162" ht="16.5" customHeight="1" spans="6:7">
      <c r="F2162" s="92">
        <v>43052</v>
      </c>
      <c r="G2162" s="93">
        <v>10224.95</v>
      </c>
    </row>
    <row r="2163" ht="16.5" customHeight="1" spans="6:7">
      <c r="F2163" s="92">
        <v>43049</v>
      </c>
      <c r="G2163" s="93">
        <v>10321.75</v>
      </c>
    </row>
    <row r="2164" ht="16.5" customHeight="1" spans="6:7">
      <c r="F2164" s="92">
        <v>43048</v>
      </c>
      <c r="G2164" s="93">
        <v>10308.95</v>
      </c>
    </row>
    <row r="2165" ht="16.5" customHeight="1" spans="6:7">
      <c r="F2165" s="92">
        <v>43047</v>
      </c>
      <c r="G2165" s="93">
        <v>10303.15</v>
      </c>
    </row>
    <row r="2166" ht="16.5" customHeight="1" spans="6:7">
      <c r="F2166" s="92">
        <v>43046</v>
      </c>
      <c r="G2166" s="93">
        <v>10350.15</v>
      </c>
    </row>
    <row r="2167" ht="16.5" customHeight="1" spans="6:7">
      <c r="F2167" s="92">
        <v>43045</v>
      </c>
      <c r="G2167" s="93">
        <v>10451.8</v>
      </c>
    </row>
    <row r="2168" ht="16.5" customHeight="1" spans="6:7">
      <c r="F2168" s="92">
        <v>43042</v>
      </c>
      <c r="G2168" s="93">
        <v>10452.5</v>
      </c>
    </row>
    <row r="2169" ht="16.5" customHeight="1" spans="6:7">
      <c r="F2169" s="92">
        <v>43041</v>
      </c>
      <c r="G2169" s="93">
        <v>10423.8</v>
      </c>
    </row>
    <row r="2170" ht="16.5" customHeight="1" spans="6:7">
      <c r="F2170" s="92">
        <v>43040</v>
      </c>
      <c r="G2170" s="93">
        <v>10440.5</v>
      </c>
    </row>
    <row r="2171" ht="16.5" customHeight="1" spans="6:7">
      <c r="F2171" s="92">
        <v>43039</v>
      </c>
      <c r="G2171" s="93">
        <v>10335.3</v>
      </c>
    </row>
    <row r="2172" ht="16.5" customHeight="1" spans="6:7">
      <c r="F2172" s="92">
        <v>43038</v>
      </c>
      <c r="G2172" s="93">
        <v>10363.65</v>
      </c>
    </row>
    <row r="2173" ht="16.5" customHeight="1" spans="6:7">
      <c r="F2173" s="92">
        <v>43035</v>
      </c>
      <c r="G2173" s="93">
        <v>10323.05</v>
      </c>
    </row>
    <row r="2174" ht="16.5" customHeight="1" spans="6:7">
      <c r="F2174" s="92">
        <v>43034</v>
      </c>
      <c r="G2174" s="93">
        <v>10343.8</v>
      </c>
    </row>
    <row r="2175" ht="16.5" customHeight="1" spans="6:7">
      <c r="F2175" s="92">
        <v>43033</v>
      </c>
      <c r="G2175" s="93">
        <v>10295.35</v>
      </c>
    </row>
    <row r="2176" ht="16.5" customHeight="1" spans="6:7">
      <c r="F2176" s="92">
        <v>43032</v>
      </c>
      <c r="G2176" s="93">
        <v>10207.7</v>
      </c>
    </row>
    <row r="2177" ht="16.5" customHeight="1" spans="6:7">
      <c r="F2177" s="92">
        <v>43031</v>
      </c>
      <c r="G2177" s="93">
        <v>10184.85</v>
      </c>
    </row>
    <row r="2178" ht="16.5" customHeight="1" spans="6:7">
      <c r="F2178" s="92">
        <v>43027</v>
      </c>
      <c r="G2178" s="93">
        <v>10146.55</v>
      </c>
    </row>
    <row r="2179" ht="16.5" customHeight="1" spans="6:7">
      <c r="F2179" s="92">
        <v>43026</v>
      </c>
      <c r="G2179" s="93">
        <v>10210.85</v>
      </c>
    </row>
    <row r="2180" ht="16.5" customHeight="1" spans="6:7">
      <c r="F2180" s="92">
        <v>43025</v>
      </c>
      <c r="G2180" s="93">
        <v>10234.45</v>
      </c>
    </row>
    <row r="2181" ht="16.5" customHeight="1" spans="6:7">
      <c r="F2181" s="92">
        <v>43024</v>
      </c>
      <c r="G2181" s="93">
        <v>10230.85</v>
      </c>
    </row>
    <row r="2182" ht="16.5" customHeight="1" spans="6:7">
      <c r="F2182" s="92">
        <v>43021</v>
      </c>
      <c r="G2182" s="93">
        <v>10167.45</v>
      </c>
    </row>
    <row r="2183" ht="16.5" customHeight="1" spans="6:7">
      <c r="F2183" s="92">
        <v>43020</v>
      </c>
      <c r="G2183" s="93">
        <v>10096.4</v>
      </c>
    </row>
    <row r="2184" ht="16.5" customHeight="1" spans="6:7">
      <c r="F2184" s="92">
        <v>43019</v>
      </c>
      <c r="G2184" s="93">
        <v>9984.8</v>
      </c>
    </row>
    <row r="2185" ht="16.5" customHeight="1" spans="6:7">
      <c r="F2185" s="92">
        <v>43018</v>
      </c>
      <c r="G2185" s="93">
        <v>10016.95</v>
      </c>
    </row>
    <row r="2186" ht="16.5" customHeight="1" spans="6:7">
      <c r="F2186" s="92">
        <v>43017</v>
      </c>
      <c r="G2186" s="93">
        <v>9988.75</v>
      </c>
    </row>
    <row r="2187" ht="16.5" customHeight="1" spans="6:7">
      <c r="F2187" s="92">
        <v>43014</v>
      </c>
      <c r="G2187" s="93">
        <v>9979.7</v>
      </c>
    </row>
    <row r="2188" ht="16.5" customHeight="1" spans="6:7">
      <c r="F2188" s="92">
        <v>43013</v>
      </c>
      <c r="G2188" s="93">
        <v>9888.7</v>
      </c>
    </row>
    <row r="2189" ht="16.5" customHeight="1" spans="6:7">
      <c r="F2189" s="92">
        <v>43012</v>
      </c>
      <c r="G2189" s="93">
        <v>9914.9</v>
      </c>
    </row>
    <row r="2190" ht="16.5" customHeight="1" spans="6:7">
      <c r="F2190" s="92">
        <v>43011</v>
      </c>
      <c r="G2190" s="93">
        <v>9859.5</v>
      </c>
    </row>
    <row r="2191" ht="16.5" customHeight="1" spans="6:7">
      <c r="F2191" s="92">
        <v>43007</v>
      </c>
      <c r="G2191" s="93">
        <v>9788.6</v>
      </c>
    </row>
    <row r="2192" ht="16.5" customHeight="1" spans="6:7">
      <c r="F2192" s="92">
        <v>43006</v>
      </c>
      <c r="G2192" s="93">
        <v>9768.95</v>
      </c>
    </row>
    <row r="2193" ht="16.5" customHeight="1" spans="6:7">
      <c r="F2193" s="92">
        <v>43005</v>
      </c>
      <c r="G2193" s="93">
        <v>9735.75</v>
      </c>
    </row>
    <row r="2194" ht="16.5" customHeight="1" spans="6:7">
      <c r="F2194" s="92">
        <v>43004</v>
      </c>
      <c r="G2194" s="93">
        <v>9871.5</v>
      </c>
    </row>
    <row r="2195" ht="16.5" customHeight="1" spans="6:7">
      <c r="F2195" s="92">
        <v>43003</v>
      </c>
      <c r="G2195" s="93">
        <v>9872.6</v>
      </c>
    </row>
    <row r="2196" ht="16.5" customHeight="1" spans="6:7">
      <c r="F2196" s="92">
        <v>43000</v>
      </c>
      <c r="G2196" s="93">
        <v>9964.4</v>
      </c>
    </row>
    <row r="2197" ht="16.5" customHeight="1" spans="6:7">
      <c r="F2197" s="92">
        <v>42999</v>
      </c>
      <c r="G2197" s="93">
        <v>10121.9</v>
      </c>
    </row>
    <row r="2198" ht="16.5" customHeight="1" spans="6:7">
      <c r="F2198" s="92">
        <v>42998</v>
      </c>
      <c r="G2198" s="93">
        <v>10141.15</v>
      </c>
    </row>
    <row r="2199" ht="16.5" customHeight="1" spans="6:7">
      <c r="F2199" s="92">
        <v>42997</v>
      </c>
      <c r="G2199" s="93">
        <v>10147.55</v>
      </c>
    </row>
    <row r="2200" ht="16.5" customHeight="1" spans="6:7">
      <c r="F2200" s="92">
        <v>42996</v>
      </c>
      <c r="G2200" s="93">
        <v>10153.1</v>
      </c>
    </row>
    <row r="2201" ht="16.5" customHeight="1" spans="6:7">
      <c r="F2201" s="92">
        <v>42993</v>
      </c>
      <c r="G2201" s="93">
        <v>10085.4</v>
      </c>
    </row>
    <row r="2202" ht="16.5" customHeight="1" spans="6:7">
      <c r="F2202" s="92">
        <v>42992</v>
      </c>
      <c r="G2202" s="93">
        <v>10086.6</v>
      </c>
    </row>
    <row r="2203" ht="16.5" customHeight="1" spans="6:7">
      <c r="F2203" s="92">
        <v>42991</v>
      </c>
      <c r="G2203" s="93">
        <v>10079.3</v>
      </c>
    </row>
    <row r="2204" ht="16.5" customHeight="1" spans="6:7">
      <c r="F2204" s="92">
        <v>42990</v>
      </c>
      <c r="G2204" s="93">
        <v>10093.05</v>
      </c>
    </row>
    <row r="2205" ht="16.5" customHeight="1" spans="6:7">
      <c r="F2205" s="92">
        <v>42989</v>
      </c>
      <c r="G2205" s="93">
        <v>10006.05</v>
      </c>
    </row>
    <row r="2206" ht="16.5" customHeight="1" spans="6:7">
      <c r="F2206" s="92">
        <v>42986</v>
      </c>
      <c r="G2206" s="93">
        <v>9934.8</v>
      </c>
    </row>
    <row r="2207" ht="16.5" customHeight="1" spans="6:7">
      <c r="F2207" s="92">
        <v>42985</v>
      </c>
      <c r="G2207" s="93">
        <v>9929.9</v>
      </c>
    </row>
    <row r="2208" ht="16.5" customHeight="1" spans="6:7">
      <c r="F2208" s="92">
        <v>42984</v>
      </c>
      <c r="G2208" s="93">
        <v>9916.2</v>
      </c>
    </row>
    <row r="2209" ht="16.5" customHeight="1" spans="6:7">
      <c r="F2209" s="92">
        <v>42983</v>
      </c>
      <c r="G2209" s="93">
        <v>9952.2</v>
      </c>
    </row>
    <row r="2210" ht="16.5" customHeight="1" spans="6:7">
      <c r="F2210" s="92">
        <v>42982</v>
      </c>
      <c r="G2210" s="93">
        <v>9912.85</v>
      </c>
    </row>
    <row r="2211" ht="16.5" customHeight="1" spans="6:7">
      <c r="F2211" s="92">
        <v>42979</v>
      </c>
      <c r="G2211" s="93">
        <v>9974.4</v>
      </c>
    </row>
    <row r="2212" ht="16.5" customHeight="1" spans="6:7">
      <c r="F2212" s="92">
        <v>42978</v>
      </c>
      <c r="G2212" s="93">
        <v>9917.9</v>
      </c>
    </row>
    <row r="2213" ht="16.5" customHeight="1" spans="6:7">
      <c r="F2213" s="92">
        <v>42977</v>
      </c>
      <c r="G2213" s="93">
        <v>9884.4</v>
      </c>
    </row>
    <row r="2214" ht="16.5" customHeight="1" spans="6:7">
      <c r="F2214" s="92">
        <v>42976</v>
      </c>
      <c r="G2214" s="93">
        <v>9796.05</v>
      </c>
    </row>
    <row r="2215" ht="16.5" customHeight="1" spans="6:7">
      <c r="F2215" s="92">
        <v>42975</v>
      </c>
      <c r="G2215" s="93">
        <v>9912.8</v>
      </c>
    </row>
    <row r="2216" ht="16.5" customHeight="1" spans="6:7">
      <c r="F2216" s="92">
        <v>42971</v>
      </c>
      <c r="G2216" s="93">
        <v>9857.05</v>
      </c>
    </row>
    <row r="2217" ht="16.5" customHeight="1" spans="6:7">
      <c r="F2217" s="92">
        <v>42970</v>
      </c>
      <c r="G2217" s="93">
        <v>9852.5</v>
      </c>
    </row>
    <row r="2218" ht="16.5" customHeight="1" spans="6:7">
      <c r="F2218" s="92">
        <v>42969</v>
      </c>
      <c r="G2218" s="93">
        <v>9765.55</v>
      </c>
    </row>
    <row r="2219" ht="16.5" customHeight="1" spans="6:7">
      <c r="F2219" s="92">
        <v>42968</v>
      </c>
      <c r="G2219" s="93">
        <v>9754.35</v>
      </c>
    </row>
    <row r="2220" ht="16.5" customHeight="1" spans="6:7">
      <c r="F2220" s="92">
        <v>42965</v>
      </c>
      <c r="G2220" s="93">
        <v>9837.4</v>
      </c>
    </row>
    <row r="2221" ht="16.5" customHeight="1" spans="6:7">
      <c r="F2221" s="92">
        <v>42964</v>
      </c>
      <c r="G2221" s="93">
        <v>9904.15</v>
      </c>
    </row>
    <row r="2222" ht="16.5" customHeight="1" spans="6:7">
      <c r="F2222" s="92">
        <v>42963</v>
      </c>
      <c r="G2222" s="93">
        <v>9897.3</v>
      </c>
    </row>
    <row r="2223" ht="16.5" customHeight="1" spans="6:7">
      <c r="F2223" s="92">
        <v>42961</v>
      </c>
      <c r="G2223" s="93">
        <v>9794.15</v>
      </c>
    </row>
    <row r="2224" ht="16.5" customHeight="1" spans="6:7">
      <c r="F2224" s="92">
        <v>42958</v>
      </c>
      <c r="G2224" s="93">
        <v>9710.8</v>
      </c>
    </row>
    <row r="2225" ht="16.5" customHeight="1" spans="6:7">
      <c r="F2225" s="92">
        <v>42957</v>
      </c>
      <c r="G2225" s="93">
        <v>9820.25</v>
      </c>
    </row>
    <row r="2226" ht="16.5" customHeight="1" spans="6:7">
      <c r="F2226" s="92">
        <v>42956</v>
      </c>
      <c r="G2226" s="93">
        <v>9908.05</v>
      </c>
    </row>
    <row r="2227" ht="16.5" customHeight="1" spans="6:7">
      <c r="F2227" s="92">
        <v>42955</v>
      </c>
      <c r="G2227" s="93">
        <v>9978.55</v>
      </c>
    </row>
    <row r="2228" ht="16.5" customHeight="1" spans="6:7">
      <c r="F2228" s="92">
        <v>42954</v>
      </c>
      <c r="G2228" s="93">
        <v>10057.4</v>
      </c>
    </row>
    <row r="2229" ht="16.5" customHeight="1" spans="6:7">
      <c r="F2229" s="92">
        <v>42951</v>
      </c>
      <c r="G2229" s="93">
        <v>10066.4</v>
      </c>
    </row>
    <row r="2230" ht="16.5" customHeight="1" spans="6:7">
      <c r="F2230" s="92">
        <v>42950</v>
      </c>
      <c r="G2230" s="93">
        <v>10013.65</v>
      </c>
    </row>
    <row r="2231" ht="16.5" customHeight="1" spans="6:7">
      <c r="F2231" s="92">
        <v>42949</v>
      </c>
      <c r="G2231" s="93">
        <v>10081.5</v>
      </c>
    </row>
    <row r="2232" ht="16.5" customHeight="1" spans="6:7">
      <c r="F2232" s="92">
        <v>42948</v>
      </c>
      <c r="G2232" s="93">
        <v>10114.65</v>
      </c>
    </row>
    <row r="2233" ht="16.5" customHeight="1" spans="6:7">
      <c r="F2233" s="92">
        <v>42947</v>
      </c>
      <c r="G2233" s="93">
        <v>10077.1</v>
      </c>
    </row>
    <row r="2234" ht="16.5" customHeight="1" spans="6:7">
      <c r="F2234" s="92">
        <v>42944</v>
      </c>
      <c r="G2234" s="93">
        <v>10014.5</v>
      </c>
    </row>
    <row r="2235" ht="16.5" customHeight="1" spans="6:7">
      <c r="F2235" s="92">
        <v>42943</v>
      </c>
      <c r="G2235" s="93">
        <v>10020.55</v>
      </c>
    </row>
    <row r="2236" ht="16.5" customHeight="1" spans="6:7">
      <c r="F2236" s="92">
        <v>42942</v>
      </c>
      <c r="G2236" s="93">
        <v>10020.65</v>
      </c>
    </row>
    <row r="2237" ht="16.5" customHeight="1" spans="6:7">
      <c r="F2237" s="92">
        <v>42941</v>
      </c>
      <c r="G2237" s="93">
        <v>9964.55</v>
      </c>
    </row>
    <row r="2238" ht="16.5" customHeight="1" spans="6:7">
      <c r="F2238" s="92">
        <v>42940</v>
      </c>
      <c r="G2238" s="93">
        <v>9966.4</v>
      </c>
    </row>
    <row r="2239" ht="16.5" customHeight="1" spans="6:7">
      <c r="F2239" s="92">
        <v>42937</v>
      </c>
      <c r="G2239" s="93">
        <v>9915.25</v>
      </c>
    </row>
    <row r="2240" ht="16.5" customHeight="1" spans="6:7">
      <c r="F2240" s="92">
        <v>42936</v>
      </c>
      <c r="G2240" s="93">
        <v>9873.3</v>
      </c>
    </row>
    <row r="2241" ht="16.5" customHeight="1" spans="6:7">
      <c r="F2241" s="92">
        <v>42935</v>
      </c>
      <c r="G2241" s="93">
        <v>9899.6</v>
      </c>
    </row>
    <row r="2242" ht="16.5" customHeight="1" spans="6:7">
      <c r="F2242" s="92">
        <v>42934</v>
      </c>
      <c r="G2242" s="93">
        <v>9827.15</v>
      </c>
    </row>
    <row r="2243" ht="16.5" customHeight="1" spans="6:7">
      <c r="F2243" s="92">
        <v>42933</v>
      </c>
      <c r="G2243" s="93">
        <v>9915.95</v>
      </c>
    </row>
    <row r="2244" ht="16.5" customHeight="1" spans="6:7">
      <c r="F2244" s="92">
        <v>42930</v>
      </c>
      <c r="G2244" s="93">
        <v>9886.35</v>
      </c>
    </row>
    <row r="2245" ht="16.5" customHeight="1" spans="6:7">
      <c r="F2245" s="92">
        <v>42929</v>
      </c>
      <c r="G2245" s="93">
        <v>9891.7</v>
      </c>
    </row>
    <row r="2246" ht="16.5" customHeight="1" spans="6:7">
      <c r="F2246" s="92">
        <v>42928</v>
      </c>
      <c r="G2246" s="93">
        <v>9816.1</v>
      </c>
    </row>
    <row r="2247" ht="16.5" customHeight="1" spans="6:7">
      <c r="F2247" s="92">
        <v>42927</v>
      </c>
      <c r="G2247" s="93">
        <v>9786.05</v>
      </c>
    </row>
    <row r="2248" ht="16.5" customHeight="1" spans="6:7">
      <c r="F2248" s="92">
        <v>42926</v>
      </c>
      <c r="G2248" s="93">
        <v>9771.05</v>
      </c>
    </row>
    <row r="2249" ht="16.5" customHeight="1" spans="6:7">
      <c r="F2249" s="92">
        <v>42923</v>
      </c>
      <c r="G2249" s="93">
        <v>9665.8</v>
      </c>
    </row>
    <row r="2250" ht="16.5" customHeight="1" spans="6:7">
      <c r="F2250" s="92">
        <v>42922</v>
      </c>
      <c r="G2250" s="93">
        <v>9674.55</v>
      </c>
    </row>
    <row r="2251" ht="16.5" customHeight="1" spans="6:7">
      <c r="F2251" s="92">
        <v>42921</v>
      </c>
      <c r="G2251" s="93">
        <v>9637.6</v>
      </c>
    </row>
    <row r="2252" ht="16.5" customHeight="1" spans="6:7">
      <c r="F2252" s="92">
        <v>42920</v>
      </c>
      <c r="G2252" s="93">
        <v>9613.3</v>
      </c>
    </row>
    <row r="2253" ht="16.5" customHeight="1" spans="6:7">
      <c r="F2253" s="92">
        <v>42919</v>
      </c>
      <c r="G2253" s="93">
        <v>9615</v>
      </c>
    </row>
    <row r="2254" ht="16.5" customHeight="1" spans="6:7">
      <c r="F2254" s="92">
        <v>42916</v>
      </c>
      <c r="G2254" s="93">
        <v>9520.9</v>
      </c>
    </row>
    <row r="2255" ht="16.5" customHeight="1" spans="6:7">
      <c r="F2255" s="92">
        <v>42915</v>
      </c>
      <c r="G2255" s="93">
        <v>9504.1</v>
      </c>
    </row>
    <row r="2256" ht="16.5" customHeight="1" spans="6:7">
      <c r="F2256" s="92">
        <v>42914</v>
      </c>
      <c r="G2256" s="93">
        <v>9491.25</v>
      </c>
    </row>
    <row r="2257" ht="16.5" customHeight="1" spans="6:7">
      <c r="F2257" s="92">
        <v>42913</v>
      </c>
      <c r="G2257" s="93">
        <v>9511.4</v>
      </c>
    </row>
    <row r="2258" ht="16.5" customHeight="1" spans="6:7">
      <c r="F2258" s="92">
        <v>42909</v>
      </c>
      <c r="G2258" s="93">
        <v>9574.95</v>
      </c>
    </row>
    <row r="2259" ht="16.5" customHeight="1" spans="6:7">
      <c r="F2259" s="92">
        <v>42908</v>
      </c>
      <c r="G2259" s="93">
        <v>9630</v>
      </c>
    </row>
    <row r="2260" ht="16.5" customHeight="1" spans="6:7">
      <c r="F2260" s="92">
        <v>42907</v>
      </c>
      <c r="G2260" s="93">
        <v>9633.6</v>
      </c>
    </row>
    <row r="2261" ht="16.5" customHeight="1" spans="6:7">
      <c r="F2261" s="92">
        <v>42906</v>
      </c>
      <c r="G2261" s="93">
        <v>9653.5</v>
      </c>
    </row>
    <row r="2262" ht="16.5" customHeight="1" spans="6:7">
      <c r="F2262" s="92">
        <v>42905</v>
      </c>
      <c r="G2262" s="93">
        <v>9657.55</v>
      </c>
    </row>
    <row r="2263" ht="16.5" customHeight="1" spans="6:7">
      <c r="F2263" s="92">
        <v>42902</v>
      </c>
      <c r="G2263" s="93">
        <v>9588.05</v>
      </c>
    </row>
    <row r="2264" ht="16.5" customHeight="1" spans="6:7">
      <c r="F2264" s="92">
        <v>42901</v>
      </c>
      <c r="G2264" s="93">
        <v>9578.05</v>
      </c>
    </row>
    <row r="2265" ht="16.5" customHeight="1" spans="6:7">
      <c r="F2265" s="92">
        <v>42900</v>
      </c>
      <c r="G2265" s="93">
        <v>9618.15</v>
      </c>
    </row>
    <row r="2266" ht="16.5" customHeight="1" spans="6:7">
      <c r="F2266" s="92">
        <v>42899</v>
      </c>
      <c r="G2266" s="93">
        <v>9606.9</v>
      </c>
    </row>
    <row r="2267" ht="16.5" customHeight="1" spans="6:7">
      <c r="F2267" s="92">
        <v>42898</v>
      </c>
      <c r="G2267" s="93">
        <v>9616.4</v>
      </c>
    </row>
    <row r="2268" ht="16.5" customHeight="1" spans="6:7">
      <c r="F2268" s="92">
        <v>42895</v>
      </c>
      <c r="G2268" s="93">
        <v>9668.25</v>
      </c>
    </row>
    <row r="2269" ht="16.5" customHeight="1" spans="6:7">
      <c r="F2269" s="92">
        <v>42894</v>
      </c>
      <c r="G2269" s="93">
        <v>9647.25</v>
      </c>
    </row>
    <row r="2270" ht="16.5" customHeight="1" spans="6:7">
      <c r="F2270" s="92">
        <v>42893</v>
      </c>
      <c r="G2270" s="93">
        <v>9663.9</v>
      </c>
    </row>
    <row r="2271" ht="16.5" customHeight="1" spans="6:7">
      <c r="F2271" s="92">
        <v>42892</v>
      </c>
      <c r="G2271" s="93">
        <v>9637.15</v>
      </c>
    </row>
    <row r="2272" ht="16.5" customHeight="1" spans="6:7">
      <c r="F2272" s="92">
        <v>42891</v>
      </c>
      <c r="G2272" s="93">
        <v>9675.1</v>
      </c>
    </row>
    <row r="2273" ht="16.5" customHeight="1" spans="6:7">
      <c r="F2273" s="92">
        <v>42888</v>
      </c>
      <c r="G2273" s="93">
        <v>9653.5</v>
      </c>
    </row>
    <row r="2274" ht="16.5" customHeight="1" spans="6:7">
      <c r="F2274" s="92">
        <v>42887</v>
      </c>
      <c r="G2274" s="93">
        <v>9616.1</v>
      </c>
    </row>
    <row r="2275" ht="16.5" customHeight="1" spans="6:7">
      <c r="F2275" s="92">
        <v>42886</v>
      </c>
      <c r="G2275" s="93">
        <v>9621.25</v>
      </c>
    </row>
    <row r="2276" ht="16.5" customHeight="1" spans="6:7">
      <c r="F2276" s="92">
        <v>42885</v>
      </c>
      <c r="G2276" s="93">
        <v>9624.55</v>
      </c>
    </row>
    <row r="2277" ht="16.5" customHeight="1" spans="6:7">
      <c r="F2277" s="92">
        <v>42884</v>
      </c>
      <c r="G2277" s="93">
        <v>9604.9</v>
      </c>
    </row>
    <row r="2278" ht="16.5" customHeight="1" spans="6:7">
      <c r="F2278" s="92">
        <v>42881</v>
      </c>
      <c r="G2278" s="93">
        <v>9595.1</v>
      </c>
    </row>
    <row r="2279" ht="16.5" customHeight="1" spans="6:7">
      <c r="F2279" s="92">
        <v>42880</v>
      </c>
      <c r="G2279" s="93">
        <v>9509.75</v>
      </c>
    </row>
    <row r="2280" ht="16.5" customHeight="1" spans="6:7">
      <c r="F2280" s="92">
        <v>42879</v>
      </c>
      <c r="G2280" s="93">
        <v>9360.55</v>
      </c>
    </row>
    <row r="2281" ht="16.5" customHeight="1" spans="6:7">
      <c r="F2281" s="92">
        <v>42878</v>
      </c>
      <c r="G2281" s="93">
        <v>9386.15</v>
      </c>
    </row>
    <row r="2282" ht="16.5" customHeight="1" spans="6:7">
      <c r="F2282" s="92">
        <v>42877</v>
      </c>
      <c r="G2282" s="93">
        <v>9438.25</v>
      </c>
    </row>
    <row r="2283" ht="16.5" customHeight="1" spans="6:7">
      <c r="F2283" s="92">
        <v>42874</v>
      </c>
      <c r="G2283" s="93">
        <v>9427.9</v>
      </c>
    </row>
    <row r="2284" ht="16.5" customHeight="1" spans="6:7">
      <c r="F2284" s="92">
        <v>42873</v>
      </c>
      <c r="G2284" s="93">
        <v>9429.45</v>
      </c>
    </row>
    <row r="2285" ht="16.5" customHeight="1" spans="6:7">
      <c r="F2285" s="92">
        <v>42872</v>
      </c>
      <c r="G2285" s="93">
        <v>9525.75</v>
      </c>
    </row>
    <row r="2286" ht="16.5" customHeight="1" spans="6:7">
      <c r="F2286" s="92">
        <v>42871</v>
      </c>
      <c r="G2286" s="93">
        <v>9512.25</v>
      </c>
    </row>
    <row r="2287" ht="16.5" customHeight="1" spans="6:7">
      <c r="F2287" s="92">
        <v>42870</v>
      </c>
      <c r="G2287" s="93">
        <v>9445.4</v>
      </c>
    </row>
    <row r="2288" ht="16.5" customHeight="1" spans="6:7">
      <c r="F2288" s="92">
        <v>42867</v>
      </c>
      <c r="G2288" s="93">
        <v>9400.9</v>
      </c>
    </row>
    <row r="2289" ht="16.5" customHeight="1" spans="6:7">
      <c r="F2289" s="92">
        <v>42866</v>
      </c>
      <c r="G2289" s="93">
        <v>9422.4</v>
      </c>
    </row>
    <row r="2290" ht="16.5" customHeight="1" spans="6:7">
      <c r="F2290" s="92">
        <v>42865</v>
      </c>
      <c r="G2290" s="93">
        <v>9407.3</v>
      </c>
    </row>
    <row r="2291" ht="16.5" customHeight="1" spans="6:7">
      <c r="F2291" s="92">
        <v>42864</v>
      </c>
      <c r="G2291" s="93">
        <v>9316.85</v>
      </c>
    </row>
    <row r="2292" ht="16.5" customHeight="1" spans="6:7">
      <c r="F2292" s="92">
        <v>42863</v>
      </c>
      <c r="G2292" s="93">
        <v>9314.05</v>
      </c>
    </row>
    <row r="2293" ht="16.5" customHeight="1" spans="6:7">
      <c r="F2293" s="92">
        <v>42860</v>
      </c>
      <c r="G2293" s="93">
        <v>9285.3</v>
      </c>
    </row>
    <row r="2294" ht="16.5" customHeight="1" spans="6:7">
      <c r="F2294" s="92">
        <v>42859</v>
      </c>
      <c r="G2294" s="93">
        <v>9359.9</v>
      </c>
    </row>
    <row r="2295" ht="16.5" customHeight="1" spans="6:7">
      <c r="F2295" s="92">
        <v>42858</v>
      </c>
      <c r="G2295" s="93">
        <v>9311.95</v>
      </c>
    </row>
    <row r="2296" ht="16.5" customHeight="1" spans="6:7">
      <c r="F2296" s="92">
        <v>42857</v>
      </c>
      <c r="G2296" s="93">
        <v>9313.8</v>
      </c>
    </row>
    <row r="2297" ht="16.5" customHeight="1" spans="6:7">
      <c r="F2297" s="92">
        <v>42853</v>
      </c>
      <c r="G2297" s="93">
        <v>9304.05</v>
      </c>
    </row>
    <row r="2298" ht="16.5" customHeight="1" spans="6:7">
      <c r="F2298" s="92">
        <v>42852</v>
      </c>
      <c r="G2298" s="93">
        <v>9342.15</v>
      </c>
    </row>
    <row r="2299" ht="16.5" customHeight="1" spans="6:7">
      <c r="F2299" s="92">
        <v>42851</v>
      </c>
      <c r="G2299" s="93">
        <v>9351.85</v>
      </c>
    </row>
    <row r="2300" ht="16.5" customHeight="1" spans="6:7">
      <c r="F2300" s="92">
        <v>42850</v>
      </c>
      <c r="G2300" s="93">
        <v>9306.6</v>
      </c>
    </row>
    <row r="2301" ht="16.5" customHeight="1" spans="6:7">
      <c r="F2301" s="92">
        <v>42849</v>
      </c>
      <c r="G2301" s="93">
        <v>9217.95</v>
      </c>
    </row>
    <row r="2302" ht="16.5" customHeight="1" spans="6:7">
      <c r="F2302" s="92">
        <v>42846</v>
      </c>
      <c r="G2302" s="93">
        <v>9119.4</v>
      </c>
    </row>
    <row r="2303" ht="16.5" customHeight="1" spans="6:7">
      <c r="F2303" s="92">
        <v>42845</v>
      </c>
      <c r="G2303" s="93">
        <v>9136.4</v>
      </c>
    </row>
    <row r="2304" ht="16.5" customHeight="1" spans="6:7">
      <c r="F2304" s="92">
        <v>42844</v>
      </c>
      <c r="G2304" s="93">
        <v>9103.5</v>
      </c>
    </row>
    <row r="2305" ht="16.5" customHeight="1" spans="6:7">
      <c r="F2305" s="92">
        <v>42843</v>
      </c>
      <c r="G2305" s="93">
        <v>9105.15</v>
      </c>
    </row>
    <row r="2306" ht="16.5" customHeight="1" spans="6:7">
      <c r="F2306" s="92">
        <v>42842</v>
      </c>
      <c r="G2306" s="93">
        <v>9139.3</v>
      </c>
    </row>
    <row r="2307" ht="16.5" customHeight="1" spans="6:7">
      <c r="F2307" s="92">
        <v>42838</v>
      </c>
      <c r="G2307" s="93">
        <v>9150.8</v>
      </c>
    </row>
    <row r="2308" ht="16.5" customHeight="1" spans="6:7">
      <c r="F2308" s="92">
        <v>42837</v>
      </c>
      <c r="G2308" s="93">
        <v>9203.45</v>
      </c>
    </row>
    <row r="2309" ht="16.5" customHeight="1" spans="6:7">
      <c r="F2309" s="92">
        <v>42836</v>
      </c>
      <c r="G2309" s="93">
        <v>9237</v>
      </c>
    </row>
    <row r="2310" ht="16.5" customHeight="1" spans="6:7">
      <c r="F2310" s="92">
        <v>42835</v>
      </c>
      <c r="G2310" s="93">
        <v>9181.45</v>
      </c>
    </row>
    <row r="2311" ht="16.5" customHeight="1" spans="6:7">
      <c r="F2311" s="92">
        <v>42832</v>
      </c>
      <c r="G2311" s="93">
        <v>9198.3</v>
      </c>
    </row>
    <row r="2312" ht="16.5" customHeight="1" spans="6:7">
      <c r="F2312" s="92">
        <v>42831</v>
      </c>
      <c r="G2312" s="93">
        <v>9261.95</v>
      </c>
    </row>
    <row r="2313" ht="16.5" customHeight="1" spans="6:7">
      <c r="F2313" s="92">
        <v>42830</v>
      </c>
      <c r="G2313" s="93">
        <v>9265.15</v>
      </c>
    </row>
    <row r="2314" ht="16.5" customHeight="1" spans="6:7">
      <c r="F2314" s="92">
        <v>42828</v>
      </c>
      <c r="G2314" s="93">
        <v>9237.85</v>
      </c>
    </row>
    <row r="2315" ht="16.5" customHeight="1" spans="6:7">
      <c r="F2315" s="92">
        <v>42825</v>
      </c>
      <c r="G2315" s="93">
        <v>9173.75</v>
      </c>
    </row>
    <row r="2316" ht="16.5" customHeight="1" spans="6:7">
      <c r="F2316" s="92">
        <v>42824</v>
      </c>
      <c r="G2316" s="93">
        <v>9173.75</v>
      </c>
    </row>
    <row r="2317" ht="16.5" customHeight="1" spans="6:7">
      <c r="F2317" s="92">
        <v>42823</v>
      </c>
      <c r="G2317" s="93">
        <v>9143.8</v>
      </c>
    </row>
    <row r="2318" ht="16.5" customHeight="1" spans="6:7">
      <c r="F2318" s="92">
        <v>42822</v>
      </c>
      <c r="G2318" s="93">
        <v>9100.8</v>
      </c>
    </row>
    <row r="2319" ht="16.5" customHeight="1" spans="6:7">
      <c r="F2319" s="92">
        <v>42821</v>
      </c>
      <c r="G2319" s="93">
        <v>9045.2</v>
      </c>
    </row>
    <row r="2320" ht="16.5" customHeight="1" spans="6:7">
      <c r="F2320" s="92">
        <v>42818</v>
      </c>
      <c r="G2320" s="93">
        <v>9108</v>
      </c>
    </row>
    <row r="2321" ht="16.5" customHeight="1" spans="6:7">
      <c r="F2321" s="92">
        <v>42817</v>
      </c>
      <c r="G2321" s="93">
        <v>9086.3</v>
      </c>
    </row>
    <row r="2322" ht="16.5" customHeight="1" spans="6:7">
      <c r="F2322" s="92">
        <v>42816</v>
      </c>
      <c r="G2322" s="93">
        <v>9030.45</v>
      </c>
    </row>
    <row r="2323" ht="16.5" customHeight="1" spans="6:7">
      <c r="F2323" s="92">
        <v>42815</v>
      </c>
      <c r="G2323" s="93">
        <v>9121.5</v>
      </c>
    </row>
    <row r="2324" ht="16.5" customHeight="1" spans="6:7">
      <c r="F2324" s="92">
        <v>42814</v>
      </c>
      <c r="G2324" s="93">
        <v>9126.85</v>
      </c>
    </row>
    <row r="2325" ht="16.5" customHeight="1" spans="6:7">
      <c r="F2325" s="92">
        <v>42811</v>
      </c>
      <c r="G2325" s="93">
        <v>9160.05</v>
      </c>
    </row>
    <row r="2326" ht="16.5" customHeight="1" spans="6:7">
      <c r="F2326" s="92">
        <v>42810</v>
      </c>
      <c r="G2326" s="93">
        <v>9153.7</v>
      </c>
    </row>
    <row r="2327" ht="16.5" customHeight="1" spans="6:7">
      <c r="F2327" s="92">
        <v>42809</v>
      </c>
      <c r="G2327" s="93">
        <v>9084.8</v>
      </c>
    </row>
    <row r="2328" ht="16.5" customHeight="1" spans="6:7">
      <c r="F2328" s="92">
        <v>42808</v>
      </c>
      <c r="G2328" s="93">
        <v>9087</v>
      </c>
    </row>
    <row r="2329" ht="16.5" customHeight="1" spans="6:7">
      <c r="F2329" s="92">
        <v>42804</v>
      </c>
      <c r="G2329" s="93">
        <v>8934.55</v>
      </c>
    </row>
    <row r="2330" ht="16.5" customHeight="1" spans="6:7">
      <c r="F2330" s="92">
        <v>42803</v>
      </c>
      <c r="G2330" s="93">
        <v>8927</v>
      </c>
    </row>
    <row r="2331" ht="16.5" customHeight="1" spans="6:7">
      <c r="F2331" s="92">
        <v>42802</v>
      </c>
      <c r="G2331" s="93">
        <v>8924.3</v>
      </c>
    </row>
    <row r="2332" ht="16.5" customHeight="1" spans="6:7">
      <c r="F2332" s="92">
        <v>42801</v>
      </c>
      <c r="G2332" s="93">
        <v>8946.9</v>
      </c>
    </row>
    <row r="2333" ht="16.5" customHeight="1" spans="6:7">
      <c r="F2333" s="92">
        <v>42800</v>
      </c>
      <c r="G2333" s="93">
        <v>8963.45</v>
      </c>
    </row>
    <row r="2334" ht="16.5" customHeight="1" spans="6:7">
      <c r="F2334" s="92">
        <v>42797</v>
      </c>
      <c r="G2334" s="93">
        <v>8897.55</v>
      </c>
    </row>
    <row r="2335" ht="16.5" customHeight="1" spans="6:7">
      <c r="F2335" s="92">
        <v>42796</v>
      </c>
      <c r="G2335" s="93">
        <v>8899.75</v>
      </c>
    </row>
    <row r="2336" ht="16.5" customHeight="1" spans="6:7">
      <c r="F2336" s="92">
        <v>42795</v>
      </c>
      <c r="G2336" s="93">
        <v>8945.8</v>
      </c>
    </row>
    <row r="2337" ht="16.5" customHeight="1" spans="6:7">
      <c r="F2337" s="92">
        <v>42794</v>
      </c>
      <c r="G2337" s="93">
        <v>8879.6</v>
      </c>
    </row>
    <row r="2338" ht="16.5" customHeight="1" spans="6:7">
      <c r="F2338" s="92">
        <v>42793</v>
      </c>
      <c r="G2338" s="93">
        <v>8896.7</v>
      </c>
    </row>
    <row r="2339" ht="16.5" customHeight="1" spans="6:7">
      <c r="F2339" s="92">
        <v>42789</v>
      </c>
      <c r="G2339" s="93">
        <v>8939.5</v>
      </c>
    </row>
    <row r="2340" ht="16.5" customHeight="1" spans="6:7">
      <c r="F2340" s="92">
        <v>42788</v>
      </c>
      <c r="G2340" s="93">
        <v>8926.9</v>
      </c>
    </row>
    <row r="2341" ht="16.5" customHeight="1" spans="6:7">
      <c r="F2341" s="92">
        <v>42787</v>
      </c>
      <c r="G2341" s="93">
        <v>8907.85</v>
      </c>
    </row>
    <row r="2342" ht="16.5" customHeight="1" spans="6:7">
      <c r="F2342" s="92">
        <v>42786</v>
      </c>
      <c r="G2342" s="93">
        <v>8879.2</v>
      </c>
    </row>
    <row r="2343" ht="16.5" customHeight="1" spans="6:7">
      <c r="F2343" s="92">
        <v>42783</v>
      </c>
      <c r="G2343" s="93">
        <v>8821.7</v>
      </c>
    </row>
    <row r="2344" ht="16.5" customHeight="1" spans="6:7">
      <c r="F2344" s="92">
        <v>42782</v>
      </c>
      <c r="G2344" s="93">
        <v>8778</v>
      </c>
    </row>
    <row r="2345" ht="16.5" customHeight="1" spans="6:7">
      <c r="F2345" s="92">
        <v>42781</v>
      </c>
      <c r="G2345" s="93">
        <v>8724.7</v>
      </c>
    </row>
    <row r="2346" ht="16.5" customHeight="1" spans="6:7">
      <c r="F2346" s="92">
        <v>42780</v>
      </c>
      <c r="G2346" s="93">
        <v>8792.3</v>
      </c>
    </row>
    <row r="2347" ht="16.5" customHeight="1" spans="6:7">
      <c r="F2347" s="92">
        <v>42779</v>
      </c>
      <c r="G2347" s="93">
        <v>8805.05</v>
      </c>
    </row>
    <row r="2348" ht="16.5" customHeight="1" spans="6:7">
      <c r="F2348" s="92">
        <v>42776</v>
      </c>
      <c r="G2348" s="93">
        <v>8793.55</v>
      </c>
    </row>
    <row r="2349" ht="16.5" customHeight="1" spans="6:7">
      <c r="F2349" s="92">
        <v>42775</v>
      </c>
      <c r="G2349" s="93">
        <v>8778.4</v>
      </c>
    </row>
    <row r="2350" ht="16.5" customHeight="1" spans="6:7">
      <c r="F2350" s="92">
        <v>42774</v>
      </c>
      <c r="G2350" s="93">
        <v>8769.05</v>
      </c>
    </row>
    <row r="2351" ht="16.5" customHeight="1" spans="6:7">
      <c r="F2351" s="92">
        <v>42773</v>
      </c>
      <c r="G2351" s="93">
        <v>8768.3</v>
      </c>
    </row>
    <row r="2352" ht="16.5" customHeight="1" spans="6:7">
      <c r="F2352" s="92">
        <v>42772</v>
      </c>
      <c r="G2352" s="93">
        <v>8801.05</v>
      </c>
    </row>
    <row r="2353" ht="16.5" customHeight="1" spans="6:7">
      <c r="F2353" s="92">
        <v>42769</v>
      </c>
      <c r="G2353" s="93">
        <v>8740.95</v>
      </c>
    </row>
    <row r="2354" ht="16.5" customHeight="1" spans="6:7">
      <c r="F2354" s="92">
        <v>42768</v>
      </c>
      <c r="G2354" s="93">
        <v>8734.25</v>
      </c>
    </row>
    <row r="2355" ht="16.5" customHeight="1" spans="6:7">
      <c r="F2355" s="92">
        <v>42767</v>
      </c>
      <c r="G2355" s="93">
        <v>8716.4</v>
      </c>
    </row>
    <row r="2356" ht="16.5" customHeight="1" spans="6:7">
      <c r="F2356" s="92">
        <v>42766</v>
      </c>
      <c r="G2356" s="93">
        <v>8561.3</v>
      </c>
    </row>
    <row r="2357" ht="16.5" customHeight="1" spans="6:7">
      <c r="F2357" s="92">
        <v>42765</v>
      </c>
      <c r="G2357" s="93">
        <v>8632.75</v>
      </c>
    </row>
    <row r="2358" ht="16.5" customHeight="1" spans="6:7">
      <c r="F2358" s="92">
        <v>42762</v>
      </c>
      <c r="G2358" s="93">
        <v>8641.25</v>
      </c>
    </row>
    <row r="2359" ht="16.5" customHeight="1" spans="6:7">
      <c r="F2359" s="92">
        <v>42760</v>
      </c>
      <c r="G2359" s="93">
        <v>8602.75</v>
      </c>
    </row>
    <row r="2360" ht="16.5" customHeight="1" spans="6:7">
      <c r="F2360" s="92">
        <v>42759</v>
      </c>
      <c r="G2360" s="93">
        <v>8475.8</v>
      </c>
    </row>
    <row r="2361" ht="16.5" customHeight="1" spans="6:7">
      <c r="F2361" s="92">
        <v>42758</v>
      </c>
      <c r="G2361" s="93">
        <v>8391.5</v>
      </c>
    </row>
    <row r="2362" ht="16.5" customHeight="1" spans="6:7">
      <c r="F2362" s="92">
        <v>42755</v>
      </c>
      <c r="G2362" s="93">
        <v>8349.35</v>
      </c>
    </row>
    <row r="2363" ht="16.5" customHeight="1" spans="6:7">
      <c r="F2363" s="92">
        <v>42754</v>
      </c>
      <c r="G2363" s="93">
        <v>8435.1</v>
      </c>
    </row>
    <row r="2364" ht="16.5" customHeight="1" spans="6:7">
      <c r="F2364" s="92">
        <v>42753</v>
      </c>
      <c r="G2364" s="93">
        <v>8417</v>
      </c>
    </row>
    <row r="2365" ht="16.5" customHeight="1" spans="6:7">
      <c r="F2365" s="92">
        <v>42752</v>
      </c>
      <c r="G2365" s="93">
        <v>8398</v>
      </c>
    </row>
    <row r="2366" ht="16.5" customHeight="1" spans="6:7">
      <c r="F2366" s="92">
        <v>42751</v>
      </c>
      <c r="G2366" s="93">
        <v>8412.8</v>
      </c>
    </row>
    <row r="2367" ht="16.5" customHeight="1" spans="6:7">
      <c r="F2367" s="92">
        <v>42748</v>
      </c>
      <c r="G2367" s="93">
        <v>8400.35</v>
      </c>
    </row>
    <row r="2368" ht="16.5" customHeight="1" spans="6:7">
      <c r="F2368" s="92">
        <v>42747</v>
      </c>
      <c r="G2368" s="93">
        <v>8407.2</v>
      </c>
    </row>
    <row r="2369" ht="16.5" customHeight="1" spans="6:7">
      <c r="F2369" s="92">
        <v>42746</v>
      </c>
      <c r="G2369" s="93">
        <v>8380.65</v>
      </c>
    </row>
    <row r="2370" ht="16.5" customHeight="1" spans="6:7">
      <c r="F2370" s="92">
        <v>42745</v>
      </c>
      <c r="G2370" s="93">
        <v>8288.6</v>
      </c>
    </row>
    <row r="2371" ht="16.5" customHeight="1" spans="6:7">
      <c r="F2371" s="92">
        <v>42744</v>
      </c>
      <c r="G2371" s="93">
        <v>8236.05</v>
      </c>
    </row>
    <row r="2372" ht="16.5" customHeight="1" spans="6:7">
      <c r="F2372" s="92">
        <v>42741</v>
      </c>
      <c r="G2372" s="93">
        <v>8243.8</v>
      </c>
    </row>
    <row r="2373" ht="16.5" customHeight="1" spans="6:7">
      <c r="F2373" s="92">
        <v>42740</v>
      </c>
      <c r="G2373" s="93">
        <v>8273.8</v>
      </c>
    </row>
    <row r="2374" ht="16.5" customHeight="1" spans="6:7">
      <c r="F2374" s="92">
        <v>42739</v>
      </c>
      <c r="G2374" s="93">
        <v>8190.5</v>
      </c>
    </row>
    <row r="2375" ht="16.5" customHeight="1" spans="6:7">
      <c r="F2375" s="92">
        <v>42738</v>
      </c>
      <c r="G2375" s="93">
        <v>8192.25</v>
      </c>
    </row>
    <row r="2376" ht="16.5" customHeight="1" spans="6:7">
      <c r="F2376" s="92">
        <v>42737</v>
      </c>
      <c r="G2376" s="93">
        <v>8179.5</v>
      </c>
    </row>
    <row r="2377" ht="16.5" customHeight="1" spans="6:7">
      <c r="F2377" s="92">
        <v>42734</v>
      </c>
      <c r="G2377" s="93">
        <v>8185.8</v>
      </c>
    </row>
    <row r="2378" ht="16.5" customHeight="1" spans="6:7">
      <c r="F2378" s="92">
        <v>42733</v>
      </c>
      <c r="G2378" s="93">
        <v>8103.6</v>
      </c>
    </row>
    <row r="2379" ht="16.5" customHeight="1" spans="6:7">
      <c r="F2379" s="92">
        <v>42732</v>
      </c>
      <c r="G2379" s="93">
        <v>8034.85</v>
      </c>
    </row>
    <row r="2380" ht="16.5" customHeight="1" spans="6:7">
      <c r="F2380" s="92">
        <v>42731</v>
      </c>
      <c r="G2380" s="93">
        <v>8032.85</v>
      </c>
    </row>
    <row r="2381" ht="16.5" customHeight="1" spans="6:7">
      <c r="F2381" s="92">
        <v>42730</v>
      </c>
      <c r="G2381" s="93">
        <v>7908.25</v>
      </c>
    </row>
    <row r="2382" ht="16.5" customHeight="1" spans="6:7">
      <c r="F2382" s="92">
        <v>42727</v>
      </c>
      <c r="G2382" s="93">
        <v>7985.75</v>
      </c>
    </row>
    <row r="2383" ht="16.5" customHeight="1" spans="6:7">
      <c r="F2383" s="92">
        <v>42726</v>
      </c>
      <c r="G2383" s="93">
        <v>7979.1</v>
      </c>
    </row>
    <row r="2384" ht="16.5" customHeight="1" spans="6:7">
      <c r="F2384" s="92">
        <v>42725</v>
      </c>
      <c r="G2384" s="93">
        <v>8061.3</v>
      </c>
    </row>
    <row r="2385" ht="16.5" customHeight="1" spans="6:7">
      <c r="F2385" s="92">
        <v>42724</v>
      </c>
      <c r="G2385" s="93">
        <v>8082.4</v>
      </c>
    </row>
    <row r="2386" ht="16.5" customHeight="1" spans="6:7">
      <c r="F2386" s="92">
        <v>42723</v>
      </c>
      <c r="G2386" s="93">
        <v>8104.35</v>
      </c>
    </row>
    <row r="2387" ht="16.5" customHeight="1" spans="6:7">
      <c r="F2387" s="92">
        <v>42720</v>
      </c>
      <c r="G2387" s="93">
        <v>8139.45</v>
      </c>
    </row>
    <row r="2388" ht="16.5" customHeight="1" spans="6:7">
      <c r="F2388" s="92">
        <v>42719</v>
      </c>
      <c r="G2388" s="93">
        <v>8153.6</v>
      </c>
    </row>
    <row r="2389" ht="16.5" customHeight="1" spans="6:7">
      <c r="F2389" s="92">
        <v>42718</v>
      </c>
      <c r="G2389" s="93">
        <v>8182.45</v>
      </c>
    </row>
    <row r="2390" ht="16.5" customHeight="1" spans="6:7">
      <c r="F2390" s="92">
        <v>42717</v>
      </c>
      <c r="G2390" s="93">
        <v>8221.8</v>
      </c>
    </row>
    <row r="2391" ht="16.5" customHeight="1" spans="6:7">
      <c r="F2391" s="92">
        <v>42716</v>
      </c>
      <c r="G2391" s="93">
        <v>8170.8</v>
      </c>
    </row>
    <row r="2392" ht="16.5" customHeight="1" spans="6:7">
      <c r="F2392" s="92">
        <v>42713</v>
      </c>
      <c r="G2392" s="93">
        <v>8261.75</v>
      </c>
    </row>
    <row r="2393" ht="16.5" customHeight="1" spans="6:7">
      <c r="F2393" s="92">
        <v>42712</v>
      </c>
      <c r="G2393" s="93">
        <v>8246.85</v>
      </c>
    </row>
    <row r="2394" ht="16.5" customHeight="1" spans="6:7">
      <c r="F2394" s="92">
        <v>42711</v>
      </c>
      <c r="G2394" s="93">
        <v>8102.05</v>
      </c>
    </row>
    <row r="2395" ht="16.5" customHeight="1" spans="6:7">
      <c r="F2395" s="92">
        <v>42710</v>
      </c>
      <c r="G2395" s="93">
        <v>8143.15</v>
      </c>
    </row>
    <row r="2396" ht="16.5" customHeight="1" spans="6:7">
      <c r="F2396" s="92">
        <v>42709</v>
      </c>
      <c r="G2396" s="93">
        <v>8128.75</v>
      </c>
    </row>
    <row r="2397" ht="16.5" customHeight="1" spans="6:7">
      <c r="F2397" s="92">
        <v>42706</v>
      </c>
      <c r="G2397" s="93">
        <v>8086.8</v>
      </c>
    </row>
    <row r="2398" ht="16.5" customHeight="1" spans="6:7">
      <c r="F2398" s="92">
        <v>42705</v>
      </c>
      <c r="G2398" s="93">
        <v>8192.9</v>
      </c>
    </row>
    <row r="2399" ht="16.5" customHeight="1" spans="6:7">
      <c r="F2399" s="92">
        <v>42704</v>
      </c>
      <c r="G2399" s="93">
        <v>8224.5</v>
      </c>
    </row>
    <row r="2400" ht="16.5" customHeight="1" spans="6:7">
      <c r="F2400" s="92">
        <v>42703</v>
      </c>
      <c r="G2400" s="93">
        <v>8142.15</v>
      </c>
    </row>
    <row r="2401" ht="16.5" customHeight="1" spans="6:7">
      <c r="F2401" s="92">
        <v>42702</v>
      </c>
      <c r="G2401" s="93">
        <v>8126.9</v>
      </c>
    </row>
    <row r="2402" ht="16.5" customHeight="1" spans="6:7">
      <c r="F2402" s="92">
        <v>42699</v>
      </c>
      <c r="G2402" s="93">
        <v>8114.3</v>
      </c>
    </row>
    <row r="2403" ht="16.5" customHeight="1" spans="6:7">
      <c r="F2403" s="92">
        <v>42698</v>
      </c>
      <c r="G2403" s="93">
        <v>7965.5</v>
      </c>
    </row>
    <row r="2404" ht="16.5" customHeight="1" spans="6:7">
      <c r="F2404" s="92">
        <v>42697</v>
      </c>
      <c r="G2404" s="93">
        <v>8033.3</v>
      </c>
    </row>
    <row r="2405" ht="16.5" customHeight="1" spans="6:7">
      <c r="F2405" s="92">
        <v>42696</v>
      </c>
      <c r="G2405" s="93">
        <v>8002.3</v>
      </c>
    </row>
    <row r="2406" ht="16.5" customHeight="1" spans="6:7">
      <c r="F2406" s="92">
        <v>42695</v>
      </c>
      <c r="G2406" s="93">
        <v>7929.1</v>
      </c>
    </row>
    <row r="2407" ht="16.5" customHeight="1" spans="6:7">
      <c r="F2407" s="92">
        <v>42692</v>
      </c>
      <c r="G2407" s="93">
        <v>8074.1</v>
      </c>
    </row>
    <row r="2408" ht="16.5" customHeight="1" spans="6:7">
      <c r="F2408" s="92">
        <v>42691</v>
      </c>
      <c r="G2408" s="93">
        <v>8079.95</v>
      </c>
    </row>
    <row r="2409" ht="16.5" customHeight="1" spans="6:7">
      <c r="F2409" s="92">
        <v>42690</v>
      </c>
      <c r="G2409" s="93">
        <v>8111.6</v>
      </c>
    </row>
    <row r="2410" ht="16.5" customHeight="1" spans="6:7">
      <c r="F2410" s="92">
        <v>42689</v>
      </c>
      <c r="G2410" s="93">
        <v>8108.45</v>
      </c>
    </row>
    <row r="2411" ht="16.5" customHeight="1" spans="6:7">
      <c r="F2411" s="92">
        <v>42685</v>
      </c>
      <c r="G2411" s="93">
        <v>8296.3</v>
      </c>
    </row>
    <row r="2412" ht="16.5" customHeight="1" spans="6:7">
      <c r="F2412" s="92">
        <v>42684</v>
      </c>
      <c r="G2412" s="93">
        <v>8525.75</v>
      </c>
    </row>
    <row r="2413" ht="16.5" customHeight="1" spans="6:7">
      <c r="F2413" s="92">
        <v>42683</v>
      </c>
      <c r="G2413" s="93">
        <v>8432</v>
      </c>
    </row>
    <row r="2414" ht="16.5" customHeight="1" spans="6:7">
      <c r="F2414" s="92">
        <v>42682</v>
      </c>
      <c r="G2414" s="93">
        <v>8543.55</v>
      </c>
    </row>
    <row r="2415" ht="16.5" customHeight="1" spans="6:7">
      <c r="F2415" s="92">
        <v>42681</v>
      </c>
      <c r="G2415" s="93">
        <v>8497.05</v>
      </c>
    </row>
    <row r="2416" ht="16.5" customHeight="1" spans="6:7">
      <c r="F2416" s="92">
        <v>42678</v>
      </c>
      <c r="G2416" s="93">
        <v>8433.75</v>
      </c>
    </row>
    <row r="2417" ht="16.5" customHeight="1" spans="6:7">
      <c r="F2417" s="92">
        <v>42677</v>
      </c>
      <c r="G2417" s="93">
        <v>8484.95</v>
      </c>
    </row>
    <row r="2418" ht="16.5" customHeight="1" spans="6:7">
      <c r="F2418" s="92">
        <v>42676</v>
      </c>
      <c r="G2418" s="93">
        <v>8514</v>
      </c>
    </row>
    <row r="2419" ht="16.5" customHeight="1" spans="6:7">
      <c r="F2419" s="92">
        <v>42675</v>
      </c>
      <c r="G2419" s="93">
        <v>8626.25</v>
      </c>
    </row>
    <row r="2420" ht="16.5" customHeight="1" spans="6:7">
      <c r="F2420" s="92">
        <v>42673</v>
      </c>
      <c r="G2420" s="93">
        <v>8625.7</v>
      </c>
    </row>
    <row r="2421" ht="16.5" customHeight="1" spans="6:7">
      <c r="F2421" s="92">
        <v>42671</v>
      </c>
      <c r="G2421" s="93">
        <v>8638</v>
      </c>
    </row>
    <row r="2422" ht="16.5" customHeight="1" spans="6:7">
      <c r="F2422" s="92">
        <v>42670</v>
      </c>
      <c r="G2422" s="93">
        <v>8615.25</v>
      </c>
    </row>
    <row r="2423" ht="16.5" customHeight="1" spans="6:7">
      <c r="F2423" s="92">
        <v>42669</v>
      </c>
      <c r="G2423" s="93">
        <v>8615.25</v>
      </c>
    </row>
    <row r="2424" ht="16.5" customHeight="1" spans="6:7">
      <c r="F2424" s="92">
        <v>42668</v>
      </c>
      <c r="G2424" s="93">
        <v>8691.3</v>
      </c>
    </row>
    <row r="2425" ht="16.5" customHeight="1" spans="6:7">
      <c r="F2425" s="92">
        <v>42667</v>
      </c>
      <c r="G2425" s="93">
        <v>8708.95</v>
      </c>
    </row>
    <row r="2426" ht="16.5" customHeight="1" spans="6:7">
      <c r="F2426" s="92">
        <v>42664</v>
      </c>
      <c r="G2426" s="93">
        <v>8693.05</v>
      </c>
    </row>
    <row r="2427" ht="16.5" customHeight="1" spans="6:7">
      <c r="F2427" s="92">
        <v>42663</v>
      </c>
      <c r="G2427" s="93">
        <v>8699.4</v>
      </c>
    </row>
    <row r="2428" ht="16.5" customHeight="1" spans="6:7">
      <c r="F2428" s="92">
        <v>42662</v>
      </c>
      <c r="G2428" s="93">
        <v>8659.1</v>
      </c>
    </row>
    <row r="2429" ht="16.5" customHeight="1" spans="6:7">
      <c r="F2429" s="92">
        <v>42661</v>
      </c>
      <c r="G2429" s="93">
        <v>8677.9</v>
      </c>
    </row>
    <row r="2430" ht="16.5" customHeight="1" spans="6:7">
      <c r="F2430" s="92">
        <v>42660</v>
      </c>
      <c r="G2430" s="93">
        <v>8520.4</v>
      </c>
    </row>
    <row r="2431" ht="16.5" customHeight="1" spans="6:7">
      <c r="F2431" s="92">
        <v>42657</v>
      </c>
      <c r="G2431" s="93">
        <v>8583.4</v>
      </c>
    </row>
    <row r="2432" ht="16.5" customHeight="1" spans="6:7">
      <c r="F2432" s="92">
        <v>42656</v>
      </c>
      <c r="G2432" s="93">
        <v>8573.35</v>
      </c>
    </row>
    <row r="2433" ht="16.5" customHeight="1" spans="6:7">
      <c r="F2433" s="92">
        <v>42653</v>
      </c>
      <c r="G2433" s="93">
        <v>8708.8</v>
      </c>
    </row>
    <row r="2434" ht="16.5" customHeight="1" spans="6:7">
      <c r="F2434" s="92">
        <v>42650</v>
      </c>
      <c r="G2434" s="93">
        <v>8697.6</v>
      </c>
    </row>
    <row r="2435" ht="16.5" customHeight="1" spans="6:7">
      <c r="F2435" s="92">
        <v>42649</v>
      </c>
      <c r="G2435" s="93">
        <v>8709.55</v>
      </c>
    </row>
    <row r="2436" ht="16.5" customHeight="1" spans="6:7">
      <c r="F2436" s="92">
        <v>42648</v>
      </c>
      <c r="G2436" s="93">
        <v>8743.95</v>
      </c>
    </row>
    <row r="2437" ht="16.5" customHeight="1" spans="6:7">
      <c r="F2437" s="92">
        <v>42647</v>
      </c>
      <c r="G2437" s="93">
        <v>8769.15</v>
      </c>
    </row>
    <row r="2438" ht="16.5" customHeight="1" spans="6:7">
      <c r="F2438" s="92">
        <v>42646</v>
      </c>
      <c r="G2438" s="93">
        <v>8738.1</v>
      </c>
    </row>
    <row r="2439" ht="16.5" customHeight="1" spans="6:7">
      <c r="F2439" s="92">
        <v>42643</v>
      </c>
      <c r="G2439" s="93">
        <v>8611.15</v>
      </c>
    </row>
    <row r="2440" ht="16.5" customHeight="1" spans="6:7">
      <c r="F2440" s="92">
        <v>42642</v>
      </c>
      <c r="G2440" s="93">
        <v>8591.25</v>
      </c>
    </row>
    <row r="2441" ht="16.5" customHeight="1" spans="6:7">
      <c r="F2441" s="92">
        <v>42641</v>
      </c>
      <c r="G2441" s="93">
        <v>8745.15</v>
      </c>
    </row>
    <row r="2442" ht="16.5" customHeight="1" spans="6:7">
      <c r="F2442" s="92">
        <v>42640</v>
      </c>
      <c r="G2442" s="93">
        <v>8706.4</v>
      </c>
    </row>
    <row r="2443" ht="16.5" customHeight="1" spans="6:7">
      <c r="F2443" s="92">
        <v>42639</v>
      </c>
      <c r="G2443" s="93">
        <v>8723.05</v>
      </c>
    </row>
    <row r="2444" ht="16.5" customHeight="1" spans="6:7">
      <c r="F2444" s="92">
        <v>42636</v>
      </c>
      <c r="G2444" s="93">
        <v>8831.55</v>
      </c>
    </row>
    <row r="2445" ht="16.5" customHeight="1" spans="6:7">
      <c r="F2445" s="92">
        <v>42635</v>
      </c>
      <c r="G2445" s="93">
        <v>8867.45</v>
      </c>
    </row>
    <row r="2446" ht="16.5" customHeight="1" spans="6:7">
      <c r="F2446" s="92">
        <v>42634</v>
      </c>
      <c r="G2446" s="93">
        <v>8777.15</v>
      </c>
    </row>
    <row r="2447" ht="16.5" customHeight="1" spans="6:7">
      <c r="F2447" s="92">
        <v>42633</v>
      </c>
      <c r="G2447" s="93">
        <v>8775.9</v>
      </c>
    </row>
    <row r="2448" ht="16.5" customHeight="1" spans="6:7">
      <c r="F2448" s="92">
        <v>42632</v>
      </c>
      <c r="G2448" s="93">
        <v>8808.4</v>
      </c>
    </row>
    <row r="2449" ht="16.5" customHeight="1" spans="6:7">
      <c r="F2449" s="92">
        <v>42629</v>
      </c>
      <c r="G2449" s="93">
        <v>8779.85</v>
      </c>
    </row>
    <row r="2450" ht="16.5" customHeight="1" spans="6:7">
      <c r="F2450" s="92">
        <v>42628</v>
      </c>
      <c r="G2450" s="93">
        <v>8742.55</v>
      </c>
    </row>
    <row r="2451" ht="16.5" customHeight="1" spans="6:7">
      <c r="F2451" s="92">
        <v>42627</v>
      </c>
      <c r="G2451" s="93">
        <v>8726.6</v>
      </c>
    </row>
    <row r="2452" ht="16.5" customHeight="1" spans="6:7">
      <c r="F2452" s="92">
        <v>42625</v>
      </c>
      <c r="G2452" s="93">
        <v>8715.6</v>
      </c>
    </row>
    <row r="2453" ht="16.5" customHeight="1" spans="6:7">
      <c r="F2453" s="92">
        <v>42622</v>
      </c>
      <c r="G2453" s="93">
        <v>8866.7</v>
      </c>
    </row>
    <row r="2454" ht="16.5" customHeight="1" spans="6:7">
      <c r="F2454" s="92">
        <v>42621</v>
      </c>
      <c r="G2454" s="93">
        <v>8952.5</v>
      </c>
    </row>
    <row r="2455" ht="16.5" customHeight="1" spans="6:7">
      <c r="F2455" s="92">
        <v>42620</v>
      </c>
      <c r="G2455" s="93">
        <v>8917.95</v>
      </c>
    </row>
    <row r="2456" ht="16.5" customHeight="1" spans="6:7">
      <c r="F2456" s="92">
        <v>42619</v>
      </c>
      <c r="G2456" s="93">
        <v>8943</v>
      </c>
    </row>
    <row r="2457" ht="16.5" customHeight="1" spans="6:7">
      <c r="F2457" s="92">
        <v>42615</v>
      </c>
      <c r="G2457" s="93">
        <v>8809.65</v>
      </c>
    </row>
    <row r="2458" ht="16.5" customHeight="1" spans="6:7">
      <c r="F2458" s="92">
        <v>42614</v>
      </c>
      <c r="G2458" s="93">
        <v>8774.65</v>
      </c>
    </row>
    <row r="2459" ht="16.5" customHeight="1" spans="6:7">
      <c r="F2459" s="92">
        <v>42613</v>
      </c>
      <c r="G2459" s="93">
        <v>8786.2</v>
      </c>
    </row>
    <row r="2460" ht="16.5" customHeight="1" spans="6:7">
      <c r="F2460" s="92">
        <v>42612</v>
      </c>
      <c r="G2460" s="93">
        <v>8744.35</v>
      </c>
    </row>
    <row r="2461" ht="16.5" customHeight="1" spans="6:7">
      <c r="F2461" s="92">
        <v>42611</v>
      </c>
      <c r="G2461" s="93">
        <v>8607.45</v>
      </c>
    </row>
    <row r="2462" ht="16.5" customHeight="1" spans="6:7">
      <c r="F2462" s="92">
        <v>42608</v>
      </c>
      <c r="G2462" s="93">
        <v>8572.55</v>
      </c>
    </row>
    <row r="2463" ht="16.5" customHeight="1" spans="6:7">
      <c r="F2463" s="92">
        <v>42607</v>
      </c>
      <c r="G2463" s="93">
        <v>8592.2</v>
      </c>
    </row>
    <row r="2464" ht="16.5" customHeight="1" spans="6:7">
      <c r="F2464" s="92">
        <v>42606</v>
      </c>
      <c r="G2464" s="93">
        <v>8650.3</v>
      </c>
    </row>
    <row r="2465" ht="16.5" customHeight="1" spans="6:7">
      <c r="F2465" s="92">
        <v>42605</v>
      </c>
      <c r="G2465" s="93">
        <v>8632.6</v>
      </c>
    </row>
    <row r="2466" ht="16.5" customHeight="1" spans="6:7">
      <c r="F2466" s="92">
        <v>42604</v>
      </c>
      <c r="G2466" s="93">
        <v>8629.15</v>
      </c>
    </row>
    <row r="2467" ht="16.5" customHeight="1" spans="6:7">
      <c r="F2467" s="92">
        <v>42601</v>
      </c>
      <c r="G2467" s="93">
        <v>8666.9</v>
      </c>
    </row>
    <row r="2468" ht="16.5" customHeight="1" spans="6:7">
      <c r="F2468" s="92">
        <v>42600</v>
      </c>
      <c r="G2468" s="93">
        <v>8673.25</v>
      </c>
    </row>
    <row r="2469" ht="16.5" customHeight="1" spans="6:7">
      <c r="F2469" s="92">
        <v>42599</v>
      </c>
      <c r="G2469" s="93">
        <v>8624.05</v>
      </c>
    </row>
    <row r="2470" ht="16.5" customHeight="1" spans="6:7">
      <c r="F2470" s="92">
        <v>42598</v>
      </c>
      <c r="G2470" s="93">
        <v>8642.55</v>
      </c>
    </row>
    <row r="2471" ht="16.5" customHeight="1" spans="6:7">
      <c r="F2471" s="92">
        <v>42594</v>
      </c>
      <c r="G2471" s="93">
        <v>8672.15</v>
      </c>
    </row>
    <row r="2472" ht="16.5" customHeight="1" spans="6:7">
      <c r="F2472" s="92">
        <v>42593</v>
      </c>
      <c r="G2472" s="93">
        <v>8592.15</v>
      </c>
    </row>
    <row r="2473" ht="16.5" customHeight="1" spans="6:7">
      <c r="F2473" s="92">
        <v>42592</v>
      </c>
      <c r="G2473" s="93">
        <v>8575.3</v>
      </c>
    </row>
    <row r="2474" ht="16.5" customHeight="1" spans="6:7">
      <c r="F2474" s="92">
        <v>42591</v>
      </c>
      <c r="G2474" s="93">
        <v>8678.25</v>
      </c>
    </row>
    <row r="2475" ht="16.5" customHeight="1" spans="6:7">
      <c r="F2475" s="92">
        <v>42590</v>
      </c>
      <c r="G2475" s="93">
        <v>8711.35</v>
      </c>
    </row>
    <row r="2476" ht="16.5" customHeight="1" spans="6:7">
      <c r="F2476" s="92">
        <v>42587</v>
      </c>
      <c r="G2476" s="93">
        <v>8683.15</v>
      </c>
    </row>
    <row r="2477" ht="16.5" customHeight="1" spans="6:7">
      <c r="F2477" s="92">
        <v>42586</v>
      </c>
      <c r="G2477" s="93">
        <v>8551.1</v>
      </c>
    </row>
    <row r="2478" ht="16.5" customHeight="1" spans="6:7">
      <c r="F2478" s="92">
        <v>42585</v>
      </c>
      <c r="G2478" s="93">
        <v>8544.85</v>
      </c>
    </row>
    <row r="2479" ht="16.5" customHeight="1" spans="6:7">
      <c r="F2479" s="92">
        <v>42584</v>
      </c>
      <c r="G2479" s="93">
        <v>8622.9</v>
      </c>
    </row>
    <row r="2480" ht="16.5" customHeight="1" spans="6:7">
      <c r="F2480" s="92">
        <v>42583</v>
      </c>
      <c r="G2480" s="93">
        <v>8636.55</v>
      </c>
    </row>
    <row r="2481" ht="16.5" customHeight="1" spans="6:7">
      <c r="F2481" s="92">
        <v>42580</v>
      </c>
      <c r="G2481" s="93">
        <v>8638.5</v>
      </c>
    </row>
    <row r="2482" ht="16.5" customHeight="1" spans="6:7">
      <c r="F2482" s="92">
        <v>42579</v>
      </c>
      <c r="G2482" s="93">
        <v>8666.3</v>
      </c>
    </row>
    <row r="2483" ht="16.5" customHeight="1" spans="6:7">
      <c r="F2483" s="92">
        <v>42578</v>
      </c>
      <c r="G2483" s="93">
        <v>8615.8</v>
      </c>
    </row>
    <row r="2484" ht="16.5" customHeight="1" spans="6:7">
      <c r="F2484" s="92">
        <v>42577</v>
      </c>
      <c r="G2484" s="93">
        <v>8590.65</v>
      </c>
    </row>
    <row r="2485" ht="16.5" customHeight="1" spans="6:7">
      <c r="F2485" s="92">
        <v>42576</v>
      </c>
      <c r="G2485" s="93">
        <v>8635.65</v>
      </c>
    </row>
    <row r="2486" ht="16.5" customHeight="1" spans="6:7">
      <c r="F2486" s="92">
        <v>42573</v>
      </c>
      <c r="G2486" s="93">
        <v>8541.2</v>
      </c>
    </row>
    <row r="2487" ht="16.5" customHeight="1" spans="6:7">
      <c r="F2487" s="92">
        <v>42572</v>
      </c>
      <c r="G2487" s="93">
        <v>8510.1</v>
      </c>
    </row>
    <row r="2488" ht="16.5" customHeight="1" spans="6:7">
      <c r="F2488" s="92">
        <v>42571</v>
      </c>
      <c r="G2488" s="93">
        <v>8565.85</v>
      </c>
    </row>
    <row r="2489" ht="16.5" customHeight="1" spans="6:7">
      <c r="F2489" s="92">
        <v>42570</v>
      </c>
      <c r="G2489" s="93">
        <v>8528.55</v>
      </c>
    </row>
    <row r="2490" ht="16.5" customHeight="1" spans="6:7">
      <c r="F2490" s="92">
        <v>42569</v>
      </c>
      <c r="G2490" s="93">
        <v>8508.7</v>
      </c>
    </row>
    <row r="2491" ht="16.5" customHeight="1" spans="6:7">
      <c r="F2491" s="92">
        <v>42566</v>
      </c>
      <c r="G2491" s="93">
        <v>8541.4</v>
      </c>
    </row>
    <row r="2492" ht="16.5" customHeight="1" spans="6:7">
      <c r="F2492" s="92">
        <v>42565</v>
      </c>
      <c r="G2492" s="93">
        <v>8565</v>
      </c>
    </row>
    <row r="2493" ht="16.5" customHeight="1" spans="6:7">
      <c r="F2493" s="92">
        <v>42564</v>
      </c>
      <c r="G2493" s="93">
        <v>8519.5</v>
      </c>
    </row>
    <row r="2494" ht="16.5" customHeight="1" spans="6:7">
      <c r="F2494" s="92">
        <v>42563</v>
      </c>
      <c r="G2494" s="93">
        <v>8521.05</v>
      </c>
    </row>
    <row r="2495" ht="16.5" customHeight="1" spans="6:7">
      <c r="F2495" s="92">
        <v>42562</v>
      </c>
      <c r="G2495" s="93">
        <v>8467.9</v>
      </c>
    </row>
    <row r="2496" ht="16.5" customHeight="1" spans="6:7">
      <c r="F2496" s="92">
        <v>42559</v>
      </c>
      <c r="G2496" s="93">
        <v>8323.2</v>
      </c>
    </row>
    <row r="2497" ht="16.5" customHeight="1" spans="6:7">
      <c r="F2497" s="92">
        <v>42558</v>
      </c>
      <c r="G2497" s="93">
        <v>8337.9</v>
      </c>
    </row>
    <row r="2498" ht="16.5" customHeight="1" spans="6:7">
      <c r="F2498" s="92">
        <v>42556</v>
      </c>
      <c r="G2498" s="93">
        <v>8335.95</v>
      </c>
    </row>
    <row r="2499" ht="16.5" customHeight="1" spans="6:7">
      <c r="F2499" s="92">
        <v>42555</v>
      </c>
      <c r="G2499" s="93">
        <v>8370.7</v>
      </c>
    </row>
    <row r="2500" ht="16.5" customHeight="1" spans="6:7">
      <c r="F2500" s="92">
        <v>42552</v>
      </c>
      <c r="G2500" s="93">
        <v>8328.35</v>
      </c>
    </row>
    <row r="2501" ht="16.5" customHeight="1" spans="6:7">
      <c r="F2501" s="92">
        <v>42551</v>
      </c>
      <c r="G2501" s="93">
        <v>8287.75</v>
      </c>
    </row>
    <row r="2502" ht="16.5" customHeight="1" spans="6:7">
      <c r="F2502" s="92">
        <v>42550</v>
      </c>
      <c r="G2502" s="93">
        <v>8204</v>
      </c>
    </row>
    <row r="2503" ht="16.5" customHeight="1" spans="6:7">
      <c r="F2503" s="92">
        <v>42549</v>
      </c>
      <c r="G2503" s="93">
        <v>8127.85</v>
      </c>
    </row>
    <row r="2504" ht="16.5" customHeight="1" spans="6:7">
      <c r="F2504" s="92">
        <v>42548</v>
      </c>
      <c r="G2504" s="93">
        <v>8094.7</v>
      </c>
    </row>
    <row r="2505" ht="16.5" customHeight="1" spans="6:7">
      <c r="F2505" s="92">
        <v>42545</v>
      </c>
      <c r="G2505" s="93">
        <v>8088.6</v>
      </c>
    </row>
    <row r="2506" ht="16.5" customHeight="1" spans="6:7">
      <c r="F2506" s="92">
        <v>42544</v>
      </c>
      <c r="G2506" s="93">
        <v>8270.45</v>
      </c>
    </row>
    <row r="2507" ht="16.5" customHeight="1" spans="6:7">
      <c r="F2507" s="92">
        <v>42543</v>
      </c>
      <c r="G2507" s="93">
        <v>8203.7</v>
      </c>
    </row>
    <row r="2508" ht="16.5" customHeight="1" spans="6:7">
      <c r="F2508" s="92">
        <v>42542</v>
      </c>
      <c r="G2508" s="93">
        <v>8219.9</v>
      </c>
    </row>
    <row r="2509" ht="16.5" customHeight="1" spans="6:7">
      <c r="F2509" s="92">
        <v>42541</v>
      </c>
      <c r="G2509" s="93">
        <v>8238.5</v>
      </c>
    </row>
    <row r="2510" ht="16.5" customHeight="1" spans="6:7">
      <c r="F2510" s="92">
        <v>42538</v>
      </c>
      <c r="G2510" s="93">
        <v>8170.2</v>
      </c>
    </row>
    <row r="2511" ht="16.5" customHeight="1" spans="6:7">
      <c r="F2511" s="92">
        <v>42537</v>
      </c>
      <c r="G2511" s="93">
        <v>8140.75</v>
      </c>
    </row>
    <row r="2512" ht="16.5" customHeight="1" spans="6:7">
      <c r="F2512" s="92">
        <v>42536</v>
      </c>
      <c r="G2512" s="93">
        <v>8206.6</v>
      </c>
    </row>
    <row r="2513" ht="16.5" customHeight="1" spans="6:7">
      <c r="F2513" s="92">
        <v>42535</v>
      </c>
      <c r="G2513" s="93">
        <v>8108.85</v>
      </c>
    </row>
    <row r="2514" ht="16.5" customHeight="1" spans="6:7">
      <c r="F2514" s="92">
        <v>42534</v>
      </c>
      <c r="G2514" s="93">
        <v>8110.6</v>
      </c>
    </row>
    <row r="2515" ht="16.5" customHeight="1" spans="6:7">
      <c r="F2515" s="92">
        <v>42531</v>
      </c>
      <c r="G2515" s="93">
        <v>8170.05</v>
      </c>
    </row>
    <row r="2516" ht="16.5" customHeight="1" spans="6:7">
      <c r="F2516" s="92">
        <v>42530</v>
      </c>
      <c r="G2516" s="93">
        <v>8203.6</v>
      </c>
    </row>
    <row r="2517" ht="16.5" customHeight="1" spans="6:7">
      <c r="F2517" s="92">
        <v>42529</v>
      </c>
      <c r="G2517" s="93">
        <v>8273.05</v>
      </c>
    </row>
    <row r="2518" ht="16.5" customHeight="1" spans="6:7">
      <c r="F2518" s="92">
        <v>42528</v>
      </c>
      <c r="G2518" s="93">
        <v>8266.45</v>
      </c>
    </row>
    <row r="2519" ht="16.5" customHeight="1" spans="6:7">
      <c r="F2519" s="92">
        <v>42527</v>
      </c>
      <c r="G2519" s="93">
        <v>8201.05</v>
      </c>
    </row>
    <row r="2520" ht="16.5" customHeight="1" spans="6:7">
      <c r="F2520" s="92">
        <v>42524</v>
      </c>
      <c r="G2520" s="93">
        <v>8220.8</v>
      </c>
    </row>
    <row r="2521" ht="16.5" customHeight="1" spans="6:7">
      <c r="F2521" s="92">
        <v>42523</v>
      </c>
      <c r="G2521" s="93">
        <v>8218.95</v>
      </c>
    </row>
    <row r="2522" ht="16.5" customHeight="1" spans="6:7">
      <c r="F2522" s="92">
        <v>42522</v>
      </c>
      <c r="G2522" s="93">
        <v>8179.95</v>
      </c>
    </row>
    <row r="2523" ht="16.5" customHeight="1" spans="6:7">
      <c r="F2523" s="92">
        <v>42521</v>
      </c>
      <c r="G2523" s="93">
        <v>8160.1</v>
      </c>
    </row>
    <row r="2524" ht="16.5" customHeight="1" spans="6:7">
      <c r="F2524" s="92">
        <v>42520</v>
      </c>
      <c r="G2524" s="93">
        <v>8178.5</v>
      </c>
    </row>
    <row r="2525" ht="16.5" customHeight="1" spans="6:7">
      <c r="F2525" s="92">
        <v>42517</v>
      </c>
      <c r="G2525" s="93">
        <v>8156.65</v>
      </c>
    </row>
    <row r="2526" ht="16.5" customHeight="1" spans="6:7">
      <c r="F2526" s="92">
        <v>42516</v>
      </c>
      <c r="G2526" s="93">
        <v>8069.65</v>
      </c>
    </row>
    <row r="2527" ht="16.5" customHeight="1" spans="6:7">
      <c r="F2527" s="92">
        <v>42515</v>
      </c>
      <c r="G2527" s="93">
        <v>7934.9</v>
      </c>
    </row>
    <row r="2528" ht="16.5" customHeight="1" spans="6:7">
      <c r="F2528" s="92">
        <v>42514</v>
      </c>
      <c r="G2528" s="93">
        <v>7748.85</v>
      </c>
    </row>
    <row r="2529" ht="16.5" customHeight="1" spans="6:7">
      <c r="F2529" s="92">
        <v>42513</v>
      </c>
      <c r="G2529" s="93">
        <v>7731.05</v>
      </c>
    </row>
    <row r="2530" ht="16.5" customHeight="1" spans="6:7">
      <c r="F2530" s="92">
        <v>42510</v>
      </c>
      <c r="G2530" s="93">
        <v>7749.7</v>
      </c>
    </row>
    <row r="2531" ht="16.5" customHeight="1" spans="6:7">
      <c r="F2531" s="92">
        <v>42509</v>
      </c>
      <c r="G2531" s="93">
        <v>7783.4</v>
      </c>
    </row>
    <row r="2532" ht="16.5" customHeight="1" spans="6:7">
      <c r="F2532" s="92">
        <v>42508</v>
      </c>
      <c r="G2532" s="93">
        <v>7870.15</v>
      </c>
    </row>
    <row r="2533" ht="16.5" customHeight="1" spans="6:7">
      <c r="F2533" s="92">
        <v>42507</v>
      </c>
      <c r="G2533" s="93">
        <v>7890.75</v>
      </c>
    </row>
    <row r="2534" ht="16.5" customHeight="1" spans="6:7">
      <c r="F2534" s="92">
        <v>42506</v>
      </c>
      <c r="G2534" s="93">
        <v>7860.75</v>
      </c>
    </row>
    <row r="2535" ht="16.5" customHeight="1" spans="6:7">
      <c r="F2535" s="92">
        <v>42503</v>
      </c>
      <c r="G2535" s="93">
        <v>7814.9</v>
      </c>
    </row>
    <row r="2536" ht="16.5" customHeight="1" spans="6:7">
      <c r="F2536" s="92">
        <v>42502</v>
      </c>
      <c r="G2536" s="93">
        <v>7900.4</v>
      </c>
    </row>
    <row r="2537" ht="16.5" customHeight="1" spans="6:7">
      <c r="F2537" s="92">
        <v>42501</v>
      </c>
      <c r="G2537" s="93">
        <v>7848.85</v>
      </c>
    </row>
    <row r="2538" ht="16.5" customHeight="1" spans="6:7">
      <c r="F2538" s="92">
        <v>42500</v>
      </c>
      <c r="G2538" s="93">
        <v>7887.8</v>
      </c>
    </row>
    <row r="2539" ht="16.5" customHeight="1" spans="6:7">
      <c r="F2539" s="92">
        <v>42499</v>
      </c>
      <c r="G2539" s="93">
        <v>7866.05</v>
      </c>
    </row>
    <row r="2540" ht="16.5" customHeight="1" spans="6:7">
      <c r="F2540" s="92">
        <v>42496</v>
      </c>
      <c r="G2540" s="93">
        <v>7733.45</v>
      </c>
    </row>
    <row r="2541" ht="16.5" customHeight="1" spans="6:7">
      <c r="F2541" s="92">
        <v>42495</v>
      </c>
      <c r="G2541" s="93">
        <v>7735.5</v>
      </c>
    </row>
    <row r="2542" ht="16.5" customHeight="1" spans="6:7">
      <c r="F2542" s="92">
        <v>42494</v>
      </c>
      <c r="G2542" s="93">
        <v>7706.55</v>
      </c>
    </row>
    <row r="2543" ht="16.5" customHeight="1" spans="6:7">
      <c r="F2543" s="92">
        <v>42493</v>
      </c>
      <c r="G2543" s="93">
        <v>7747</v>
      </c>
    </row>
    <row r="2544" ht="16.5" customHeight="1" spans="6:7">
      <c r="F2544" s="92">
        <v>42492</v>
      </c>
      <c r="G2544" s="93">
        <v>7805.9</v>
      </c>
    </row>
    <row r="2545" ht="16.5" customHeight="1" spans="6:7">
      <c r="F2545" s="92">
        <v>42489</v>
      </c>
      <c r="G2545" s="93">
        <v>7849.8</v>
      </c>
    </row>
    <row r="2546" ht="16.5" customHeight="1" spans="6:7">
      <c r="F2546" s="92">
        <v>42488</v>
      </c>
      <c r="G2546" s="93">
        <v>7847.25</v>
      </c>
    </row>
    <row r="2547" ht="16.5" customHeight="1" spans="6:7">
      <c r="F2547" s="92">
        <v>42487</v>
      </c>
      <c r="G2547" s="93">
        <v>7979.9</v>
      </c>
    </row>
    <row r="2548" ht="16.5" customHeight="1" spans="6:7">
      <c r="F2548" s="92">
        <v>42486</v>
      </c>
      <c r="G2548" s="93">
        <v>7962.65</v>
      </c>
    </row>
    <row r="2549" ht="16.5" customHeight="1" spans="6:7">
      <c r="F2549" s="92">
        <v>42485</v>
      </c>
      <c r="G2549" s="93">
        <v>7855.05</v>
      </c>
    </row>
    <row r="2550" ht="16.5" customHeight="1" spans="6:7">
      <c r="F2550" s="92">
        <v>42482</v>
      </c>
      <c r="G2550" s="93">
        <v>7899.3</v>
      </c>
    </row>
    <row r="2551" ht="16.5" customHeight="1" spans="6:7">
      <c r="F2551" s="92">
        <v>42481</v>
      </c>
      <c r="G2551" s="93">
        <v>7912.05</v>
      </c>
    </row>
    <row r="2552" ht="16.5" customHeight="1" spans="6:7">
      <c r="F2552" s="92">
        <v>42480</v>
      </c>
      <c r="G2552" s="93">
        <v>7914.75</v>
      </c>
    </row>
    <row r="2553" ht="16.5" customHeight="1" spans="6:7">
      <c r="F2553" s="92">
        <v>42478</v>
      </c>
      <c r="G2553" s="93">
        <v>7914.7</v>
      </c>
    </row>
    <row r="2554" ht="16.5" customHeight="1" spans="6:7">
      <c r="F2554" s="92">
        <v>42473</v>
      </c>
      <c r="G2554" s="93">
        <v>7850.45</v>
      </c>
    </row>
    <row r="2555" ht="16.5" customHeight="1" spans="6:7">
      <c r="F2555" s="92">
        <v>42472</v>
      </c>
      <c r="G2555" s="93">
        <v>7708.95</v>
      </c>
    </row>
    <row r="2556" ht="16.5" customHeight="1" spans="6:7">
      <c r="F2556" s="92">
        <v>42471</v>
      </c>
      <c r="G2556" s="93">
        <v>7671.4</v>
      </c>
    </row>
    <row r="2557" ht="16.5" customHeight="1" spans="6:7">
      <c r="F2557" s="92">
        <v>42468</v>
      </c>
      <c r="G2557" s="93">
        <v>7555.2</v>
      </c>
    </row>
    <row r="2558" ht="16.5" customHeight="1" spans="6:7">
      <c r="F2558" s="92">
        <v>42467</v>
      </c>
      <c r="G2558" s="93">
        <v>7546.45</v>
      </c>
    </row>
    <row r="2559" ht="16.5" customHeight="1" spans="6:7">
      <c r="F2559" s="92">
        <v>42466</v>
      </c>
      <c r="G2559" s="93">
        <v>7614.35</v>
      </c>
    </row>
    <row r="2560" ht="16.5" customHeight="1" spans="6:7">
      <c r="F2560" s="92">
        <v>42465</v>
      </c>
      <c r="G2560" s="93">
        <v>7603.2</v>
      </c>
    </row>
    <row r="2561" ht="16.5" customHeight="1" spans="6:7">
      <c r="F2561" s="92">
        <v>42464</v>
      </c>
      <c r="G2561" s="93">
        <v>7758.8</v>
      </c>
    </row>
    <row r="2562" ht="16.5" customHeight="1" spans="6:7">
      <c r="F2562" s="92">
        <v>42461</v>
      </c>
      <c r="G2562" s="93">
        <v>7713.05</v>
      </c>
    </row>
    <row r="2563" ht="16.5" customHeight="1" spans="6:7">
      <c r="F2563" s="92">
        <v>42460</v>
      </c>
      <c r="G2563" s="93">
        <v>7738.4</v>
      </c>
    </row>
    <row r="2564" ht="16.5" customHeight="1" spans="6:7">
      <c r="F2564" s="92">
        <v>42459</v>
      </c>
      <c r="G2564" s="93">
        <v>7735.2</v>
      </c>
    </row>
    <row r="2565" ht="16.5" customHeight="1" spans="6:7">
      <c r="F2565" s="92">
        <v>42458</v>
      </c>
      <c r="G2565" s="93">
        <v>7597</v>
      </c>
    </row>
    <row r="2566" ht="16.5" customHeight="1" spans="6:7">
      <c r="F2566" s="92">
        <v>42457</v>
      </c>
      <c r="G2566" s="93">
        <v>7615.1</v>
      </c>
    </row>
    <row r="2567" ht="16.5" customHeight="1" spans="6:7">
      <c r="F2567" s="92">
        <v>42452</v>
      </c>
      <c r="G2567" s="93">
        <v>7716.5</v>
      </c>
    </row>
    <row r="2568" ht="16.5" customHeight="1" spans="6:7">
      <c r="F2568" s="92">
        <v>42451</v>
      </c>
      <c r="G2568" s="93">
        <v>7714.9</v>
      </c>
    </row>
    <row r="2569" ht="16.5" customHeight="1" spans="6:7">
      <c r="F2569" s="92">
        <v>42450</v>
      </c>
      <c r="G2569" s="93">
        <v>7704.25</v>
      </c>
    </row>
    <row r="2570" ht="16.5" customHeight="1" spans="6:7">
      <c r="F2570" s="92">
        <v>42447</v>
      </c>
      <c r="G2570" s="93">
        <v>7604.35</v>
      </c>
    </row>
    <row r="2571" ht="16.5" customHeight="1" spans="6:7">
      <c r="F2571" s="92">
        <v>42446</v>
      </c>
      <c r="G2571" s="93">
        <v>7512.55</v>
      </c>
    </row>
    <row r="2572" ht="16.5" customHeight="1" spans="6:7">
      <c r="F2572" s="92">
        <v>42445</v>
      </c>
      <c r="G2572" s="93">
        <v>7498.75</v>
      </c>
    </row>
    <row r="2573" ht="16.5" customHeight="1" spans="6:7">
      <c r="F2573" s="92">
        <v>42444</v>
      </c>
      <c r="G2573" s="93">
        <v>7460.6</v>
      </c>
    </row>
    <row r="2574" ht="16.5" customHeight="1" spans="6:7">
      <c r="F2574" s="92">
        <v>42443</v>
      </c>
      <c r="G2574" s="93">
        <v>7538.75</v>
      </c>
    </row>
    <row r="2575" ht="16.5" customHeight="1" spans="6:7">
      <c r="F2575" s="92">
        <v>42440</v>
      </c>
      <c r="G2575" s="93">
        <v>7510.2</v>
      </c>
    </row>
    <row r="2576" ht="16.5" customHeight="1" spans="6:7">
      <c r="F2576" s="92">
        <v>42439</v>
      </c>
      <c r="G2576" s="93">
        <v>7486.15</v>
      </c>
    </row>
    <row r="2577" ht="16.5" customHeight="1" spans="6:7">
      <c r="F2577" s="92">
        <v>42438</v>
      </c>
      <c r="G2577" s="93">
        <v>7531.8</v>
      </c>
    </row>
    <row r="2578" ht="16.5" customHeight="1" spans="6:7">
      <c r="F2578" s="92">
        <v>42437</v>
      </c>
      <c r="G2578" s="93">
        <v>7485.3</v>
      </c>
    </row>
    <row r="2579" ht="16.5" customHeight="1" spans="6:7">
      <c r="F2579" s="92">
        <v>42433</v>
      </c>
      <c r="G2579" s="93">
        <v>7485.35</v>
      </c>
    </row>
    <row r="2580" ht="16.5" customHeight="1" spans="6:7">
      <c r="F2580" s="92">
        <v>42432</v>
      </c>
      <c r="G2580" s="93">
        <v>7475.6</v>
      </c>
    </row>
    <row r="2581" ht="16.5" customHeight="1" spans="6:7">
      <c r="F2581" s="92">
        <v>42431</v>
      </c>
      <c r="G2581" s="93">
        <v>7368.85</v>
      </c>
    </row>
    <row r="2582" ht="16.5" customHeight="1" spans="6:7">
      <c r="F2582" s="92">
        <v>42430</v>
      </c>
      <c r="G2582" s="93">
        <v>7222.3</v>
      </c>
    </row>
    <row r="2583" ht="16.5" customHeight="1" spans="6:7">
      <c r="F2583" s="92">
        <v>42429</v>
      </c>
      <c r="G2583" s="93">
        <v>6987.05</v>
      </c>
    </row>
    <row r="2584" ht="16.5" customHeight="1" spans="6:7">
      <c r="F2584" s="92">
        <v>42426</v>
      </c>
      <c r="G2584" s="93">
        <v>7029.75</v>
      </c>
    </row>
    <row r="2585" ht="16.5" customHeight="1" spans="6:7">
      <c r="F2585" s="92">
        <v>42425</v>
      </c>
      <c r="G2585" s="93">
        <v>6970.6</v>
      </c>
    </row>
    <row r="2586" ht="16.5" customHeight="1" spans="6:7">
      <c r="F2586" s="92">
        <v>42424</v>
      </c>
      <c r="G2586" s="93">
        <v>7018.7</v>
      </c>
    </row>
    <row r="2587" ht="16.5" customHeight="1" spans="6:7">
      <c r="F2587" s="92">
        <v>42423</v>
      </c>
      <c r="G2587" s="93">
        <v>7109.55</v>
      </c>
    </row>
    <row r="2588" ht="16.5" customHeight="1" spans="6:7">
      <c r="F2588" s="92">
        <v>42422</v>
      </c>
      <c r="G2588" s="93">
        <v>7234.55</v>
      </c>
    </row>
    <row r="2589" ht="16.5" customHeight="1" spans="6:7">
      <c r="F2589" s="92">
        <v>42419</v>
      </c>
      <c r="G2589" s="93">
        <v>7210.75</v>
      </c>
    </row>
    <row r="2590" ht="16.5" customHeight="1" spans="6:7">
      <c r="F2590" s="92">
        <v>42418</v>
      </c>
      <c r="G2590" s="93">
        <v>7191.75</v>
      </c>
    </row>
    <row r="2591" ht="16.5" customHeight="1" spans="6:7">
      <c r="F2591" s="92">
        <v>42417</v>
      </c>
      <c r="G2591" s="93">
        <v>7108.45</v>
      </c>
    </row>
    <row r="2592" ht="16.5" customHeight="1" spans="6:7">
      <c r="F2592" s="92">
        <v>42416</v>
      </c>
      <c r="G2592" s="93">
        <v>7048.25</v>
      </c>
    </row>
    <row r="2593" ht="16.5" customHeight="1" spans="6:7">
      <c r="F2593" s="92">
        <v>42415</v>
      </c>
      <c r="G2593" s="93">
        <v>7162.95</v>
      </c>
    </row>
    <row r="2594" ht="16.5" customHeight="1" spans="6:7">
      <c r="F2594" s="92">
        <v>42412</v>
      </c>
      <c r="G2594" s="93">
        <v>6980.95</v>
      </c>
    </row>
    <row r="2595" ht="16.5" customHeight="1" spans="6:7">
      <c r="F2595" s="92">
        <v>42411</v>
      </c>
      <c r="G2595" s="93">
        <v>6976.35</v>
      </c>
    </row>
    <row r="2596" ht="16.5" customHeight="1" spans="6:7">
      <c r="F2596" s="92">
        <v>42410</v>
      </c>
      <c r="G2596" s="93">
        <v>7215.7</v>
      </c>
    </row>
    <row r="2597" ht="16.5" customHeight="1" spans="6:7">
      <c r="F2597" s="92">
        <v>42409</v>
      </c>
      <c r="G2597" s="93">
        <v>7298.2</v>
      </c>
    </row>
    <row r="2598" ht="16.5" customHeight="1" spans="6:7">
      <c r="F2598" s="92">
        <v>42408</v>
      </c>
      <c r="G2598" s="93">
        <v>7387.25</v>
      </c>
    </row>
    <row r="2599" ht="16.5" customHeight="1" spans="6:7">
      <c r="F2599" s="92">
        <v>42405</v>
      </c>
      <c r="G2599" s="93">
        <v>7489.1</v>
      </c>
    </row>
    <row r="2600" ht="16.5" customHeight="1" spans="6:7">
      <c r="F2600" s="92">
        <v>42404</v>
      </c>
      <c r="G2600" s="93">
        <v>7404</v>
      </c>
    </row>
    <row r="2601" ht="16.5" customHeight="1" spans="6:7">
      <c r="F2601" s="92">
        <v>42403</v>
      </c>
      <c r="G2601" s="93">
        <v>7361.8</v>
      </c>
    </row>
    <row r="2602" ht="16.5" customHeight="1" spans="6:7">
      <c r="F2602" s="92">
        <v>42402</v>
      </c>
      <c r="G2602" s="93">
        <v>7455.55</v>
      </c>
    </row>
    <row r="2603" ht="16.5" customHeight="1" spans="6:7">
      <c r="F2603" s="92">
        <v>42401</v>
      </c>
      <c r="G2603" s="93">
        <v>7555.95</v>
      </c>
    </row>
    <row r="2604" ht="16.5" customHeight="1" spans="6:7">
      <c r="F2604" s="92">
        <v>42398</v>
      </c>
      <c r="G2604" s="93">
        <v>7563.55</v>
      </c>
    </row>
    <row r="2605" ht="16.5" customHeight="1" spans="6:7">
      <c r="F2605" s="92">
        <v>42397</v>
      </c>
      <c r="G2605" s="93">
        <v>7424.65</v>
      </c>
    </row>
    <row r="2606" ht="16.5" customHeight="1" spans="6:7">
      <c r="F2606" s="92">
        <v>42396</v>
      </c>
      <c r="G2606" s="93">
        <v>7437.75</v>
      </c>
    </row>
    <row r="2607" ht="16.5" customHeight="1" spans="6:7">
      <c r="F2607" s="92">
        <v>42394</v>
      </c>
      <c r="G2607" s="93">
        <v>7436.15</v>
      </c>
    </row>
    <row r="2608" ht="16.5" customHeight="1" spans="6:7">
      <c r="F2608" s="92">
        <v>42391</v>
      </c>
      <c r="G2608" s="93">
        <v>7422.45</v>
      </c>
    </row>
    <row r="2609" ht="16.5" customHeight="1" spans="6:7">
      <c r="F2609" s="92">
        <v>42390</v>
      </c>
      <c r="G2609" s="93">
        <v>7276.8</v>
      </c>
    </row>
    <row r="2610" ht="16.5" customHeight="1" spans="6:7">
      <c r="F2610" s="92">
        <v>42389</v>
      </c>
      <c r="G2610" s="93">
        <v>7309.3</v>
      </c>
    </row>
    <row r="2611" ht="16.5" customHeight="1" spans="6:7">
      <c r="F2611" s="92">
        <v>42388</v>
      </c>
      <c r="G2611" s="93">
        <v>7435.1</v>
      </c>
    </row>
    <row r="2612" ht="16.5" customHeight="1" spans="6:7">
      <c r="F2612" s="92">
        <v>42387</v>
      </c>
      <c r="G2612" s="93">
        <v>7351</v>
      </c>
    </row>
    <row r="2613" ht="16.5" customHeight="1" spans="6:7">
      <c r="F2613" s="92">
        <v>42384</v>
      </c>
      <c r="G2613" s="93">
        <v>7437.8</v>
      </c>
    </row>
    <row r="2614" ht="16.5" customHeight="1" spans="6:7">
      <c r="F2614" s="92">
        <v>42383</v>
      </c>
      <c r="G2614" s="93">
        <v>7536.8</v>
      </c>
    </row>
    <row r="2615" ht="16.5" customHeight="1" spans="6:7">
      <c r="F2615" s="92">
        <v>42382</v>
      </c>
      <c r="G2615" s="93">
        <v>7562.4</v>
      </c>
    </row>
    <row r="2616" ht="16.5" customHeight="1" spans="6:7">
      <c r="F2616" s="92">
        <v>42381</v>
      </c>
      <c r="G2616" s="93">
        <v>7510.3</v>
      </c>
    </row>
    <row r="2617" ht="16.5" customHeight="1" spans="6:7">
      <c r="F2617" s="92">
        <v>42380</v>
      </c>
      <c r="G2617" s="93">
        <v>7563.85</v>
      </c>
    </row>
    <row r="2618" ht="16.5" customHeight="1" spans="6:7">
      <c r="F2618" s="92">
        <v>42377</v>
      </c>
      <c r="G2618" s="93">
        <v>7601.35</v>
      </c>
    </row>
    <row r="2619" ht="16.5" customHeight="1" spans="6:7">
      <c r="F2619" s="92">
        <v>42376</v>
      </c>
      <c r="G2619" s="93">
        <v>7568.3</v>
      </c>
    </row>
    <row r="2620" ht="16.5" customHeight="1" spans="6:7">
      <c r="F2620" s="92">
        <v>42375</v>
      </c>
      <c r="G2620" s="93">
        <v>7741</v>
      </c>
    </row>
    <row r="2621" ht="16.5" customHeight="1" spans="6:7">
      <c r="F2621" s="92">
        <v>42374</v>
      </c>
      <c r="G2621" s="93">
        <v>7784.65</v>
      </c>
    </row>
    <row r="2622" ht="16.5" customHeight="1" spans="6:7">
      <c r="F2622" s="92">
        <v>42373</v>
      </c>
      <c r="G2622" s="93">
        <v>7791.3</v>
      </c>
    </row>
    <row r="2623" ht="16.5" customHeight="1" spans="6:7">
      <c r="F2623" s="92">
        <v>42370</v>
      </c>
      <c r="G2623" s="93">
        <v>7963.2</v>
      </c>
    </row>
  </sheetData>
  <mergeCells count="2">
    <mergeCell ref="F5:F6"/>
    <mergeCell ref="G5:G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showGridLines="0" zoomScale="81" zoomScaleNormal="81" workbookViewId="0">
      <selection activeCell="L24" sqref="L2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8.07142857142857" style="1" customWidth="1"/>
    <col min="6" max="6" width="13.6428571428571" style="1" customWidth="1"/>
    <col min="7" max="7" width="2.64285714285714" style="1" customWidth="1"/>
    <col min="8" max="8" width="12.5714285714286" style="1" customWidth="1"/>
    <col min="9" max="9" width="9.78571428571429" style="1" customWidth="1"/>
    <col min="10" max="10" width="14.1428571428571" style="1" customWidth="1"/>
    <col min="12" max="12" width="14.2142857142857" style="1" customWidth="1"/>
    <col min="13" max="13" width="9.57142857142857" style="1" customWidth="1"/>
    <col min="19" max="19" width="12.7589285714286" style="1" customWidth="1"/>
    <col min="20" max="20" width="13.2232142857143" style="1" customWidth="1"/>
    <col min="21" max="21" width="12.7589285714286" style="1" customWidth="1"/>
  </cols>
  <sheetData>
    <row r="1" ht="33.75" customHeight="1" spans="1:2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60"/>
      <c r="O1" s="60"/>
      <c r="P1" s="60"/>
      <c r="Q1" s="60"/>
      <c r="R1" s="60"/>
      <c r="S1" s="60"/>
      <c r="T1" s="60"/>
      <c r="U1" s="60"/>
    </row>
    <row r="2" ht="16.5" customHeight="1" spans="1:21">
      <c r="A2" s="61" t="s">
        <v>337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  <c r="N2" s="60"/>
      <c r="O2" s="60"/>
      <c r="P2" s="60"/>
      <c r="Q2" s="60"/>
      <c r="R2" s="60"/>
      <c r="S2" s="60"/>
      <c r="T2" s="60"/>
      <c r="U2" s="60"/>
    </row>
    <row r="4" ht="17.25" customHeight="1" spans="1:21">
      <c r="D4" s="68"/>
      <c r="E4" s="69"/>
      <c r="F4" s="69"/>
      <c r="G4" s="69"/>
      <c r="H4" s="70" t="s">
        <v>338</v>
      </c>
      <c r="I4" s="70"/>
      <c r="J4" s="70"/>
      <c r="K4" s="70"/>
      <c r="L4" s="70"/>
      <c r="M4" s="70"/>
      <c r="N4" s="71"/>
      <c r="O4" s="70" t="s">
        <v>339</v>
      </c>
      <c r="P4" s="70"/>
      <c r="Q4" s="70"/>
      <c r="R4" s="71"/>
      <c r="S4" s="70" t="s">
        <v>340</v>
      </c>
      <c r="T4" s="70"/>
      <c r="U4" s="70"/>
    </row>
    <row r="5" ht="17.25" customHeight="1" spans="1:21">
      <c r="D5" s="68"/>
      <c r="E5" s="69"/>
      <c r="F5" s="69"/>
      <c r="G5" s="69"/>
      <c r="H5" s="71" t="s">
        <v>341</v>
      </c>
      <c r="I5" s="71" t="s">
        <v>342</v>
      </c>
      <c r="J5" s="71" t="s">
        <v>343</v>
      </c>
      <c r="K5" s="71" t="s">
        <v>196</v>
      </c>
      <c r="L5" s="71" t="s">
        <v>344</v>
      </c>
      <c r="M5" s="71" t="s">
        <v>345</v>
      </c>
      <c r="N5" s="71"/>
      <c r="O5" s="71" t="s">
        <v>346</v>
      </c>
      <c r="P5" s="71" t="s">
        <v>177</v>
      </c>
      <c r="Q5" s="71" t="s">
        <v>347</v>
      </c>
      <c r="R5" s="71"/>
      <c r="S5" s="71" t="s">
        <v>348</v>
      </c>
      <c r="T5" s="71" t="s">
        <v>245</v>
      </c>
      <c r="U5" s="71" t="s">
        <v>349</v>
      </c>
    </row>
    <row r="6" ht="17.25" customHeight="1" spans="1:21">
      <c r="D6" s="68" t="s">
        <v>300</v>
      </c>
      <c r="E6" s="69"/>
      <c r="F6" s="71" t="s">
        <v>350</v>
      </c>
      <c r="G6" s="69"/>
      <c r="H6" s="71" t="s">
        <v>351</v>
      </c>
      <c r="I6" s="71"/>
      <c r="J6" s="71"/>
      <c r="K6" s="71"/>
      <c r="L6" s="71" t="s">
        <v>352</v>
      </c>
      <c r="M6" s="71"/>
      <c r="N6" s="71"/>
      <c r="O6" s="71"/>
      <c r="P6" s="71"/>
      <c r="Q6" s="71"/>
      <c r="R6" s="71"/>
      <c r="S6" s="71" t="s">
        <v>353</v>
      </c>
      <c r="T6" s="71" t="s">
        <v>353</v>
      </c>
      <c r="U6" s="71" t="s">
        <v>353</v>
      </c>
    </row>
    <row r="7" ht="16.5" customHeight="1" spans="1:21">
      <c r="D7" s="15" t="str">
        <f>Comp_Data!D7</f>
        <v>UltraTech Cement</v>
      </c>
      <c r="E7" s="15"/>
      <c r="F7" s="15" t="str">
        <f>Comp_Data!H7</f>
        <v>ULTRACEMCO</v>
      </c>
      <c r="G7" s="15"/>
      <c r="H7" s="72">
        <f>Comp_Data!I7</f>
        <v>11619</v>
      </c>
      <c r="I7" s="73">
        <f>Comp_Data!J7</f>
        <v>29.5</v>
      </c>
      <c r="J7" s="15">
        <f t="shared" ref="J7:J15" si="0">H7*I7</f>
        <v>342760.5</v>
      </c>
      <c r="K7" s="72">
        <f>Comp_Data!K7</f>
        <v>23755</v>
      </c>
      <c r="L7" s="72">
        <f>Comp_Data!L7</f>
        <v>1384</v>
      </c>
      <c r="M7" s="15">
        <f t="shared" ref="M7:M15" si="1">J7+K7-L7</f>
        <v>365131.5</v>
      </c>
      <c r="N7" s="15"/>
      <c r="O7" s="72">
        <f>Comp_Data!M7</f>
        <v>88512</v>
      </c>
      <c r="P7" s="72">
        <f>Comp_Data!N7</f>
        <v>17004</v>
      </c>
      <c r="Q7" s="72">
        <f>Comp_Data!O7</f>
        <v>8188</v>
      </c>
      <c r="R7" s="15"/>
      <c r="S7" s="74">
        <f t="shared" ref="S7:S15" si="2">M7/O7</f>
        <v>4.12522030911063</v>
      </c>
      <c r="T7" s="74">
        <f t="shared" ref="T7:T15" si="3">M7/P7</f>
        <v>21.47327099506</v>
      </c>
      <c r="U7" s="74">
        <f t="shared" ref="U7:U15" si="4">J7/Q7</f>
        <v>41.8613214460186</v>
      </c>
    </row>
    <row r="8" ht="16.5" customHeight="1" spans="1:21">
      <c r="D8" s="15" t="str">
        <f>Comp_Data!D8</f>
        <v>Grasim Industries</v>
      </c>
      <c r="E8" s="15"/>
      <c r="F8" s="15" t="str">
        <f>Comp_Data!H8</f>
        <v>GRASIM</v>
      </c>
      <c r="G8" s="15"/>
      <c r="H8" s="72">
        <f>Comp_Data!I8</f>
        <v>3249</v>
      </c>
      <c r="I8" s="73">
        <f>Comp_Data!J8</f>
        <v>67.8</v>
      </c>
      <c r="J8" s="15">
        <f t="shared" si="0"/>
        <v>220282.2</v>
      </c>
      <c r="K8" s="72">
        <f>Comp_Data!K8</f>
        <v>229393</v>
      </c>
      <c r="L8" s="72">
        <f>Comp_Data!L8</f>
        <v>2798</v>
      </c>
      <c r="M8" s="15">
        <f t="shared" si="1"/>
        <v>446877.2</v>
      </c>
      <c r="N8" s="15"/>
      <c r="O8" s="72">
        <f>Comp_Data!M8</f>
        <v>175431</v>
      </c>
      <c r="P8" s="72">
        <f>Comp_Data!N8</f>
        <v>36296</v>
      </c>
      <c r="Q8" s="72">
        <f>Comp_Data!O8</f>
        <v>10300</v>
      </c>
      <c r="R8" s="15"/>
      <c r="S8" s="74">
        <f t="shared" si="2"/>
        <v>2.54731033853766</v>
      </c>
      <c r="T8" s="74">
        <f t="shared" si="3"/>
        <v>12.312023363456</v>
      </c>
      <c r="U8" s="74">
        <f t="shared" si="4"/>
        <v>21.3866213592233</v>
      </c>
    </row>
    <row r="9" ht="16.5" customHeight="1" spans="1:21">
      <c r="D9" s="15" t="str">
        <f>Comp_Data!D9</f>
        <v>Shree Cement</v>
      </c>
      <c r="E9" s="15"/>
      <c r="F9" s="15" t="str">
        <f>Comp_Data!H9</f>
        <v>SHREECEM</v>
      </c>
      <c r="G9" s="15"/>
      <c r="H9" s="72">
        <f>Comp_Data!I9</f>
        <v>24795</v>
      </c>
      <c r="I9" s="73">
        <f>Comp_Data!J9</f>
        <v>3.6</v>
      </c>
      <c r="J9" s="15">
        <f t="shared" si="0"/>
        <v>89262</v>
      </c>
      <c r="K9" s="72">
        <f>Comp_Data!K9</f>
        <v>1868</v>
      </c>
      <c r="L9" s="73">
        <f>Comp_Data!L9</f>
        <v>115</v>
      </c>
      <c r="M9" s="15">
        <f t="shared" si="1"/>
        <v>91015</v>
      </c>
      <c r="N9" s="15"/>
      <c r="O9" s="72">
        <f>Comp_Data!M9</f>
        <v>20943</v>
      </c>
      <c r="P9" s="72">
        <f>Comp_Data!N9</f>
        <v>4638</v>
      </c>
      <c r="Q9" s="72">
        <f>Comp_Data!O9</f>
        <v>1749</v>
      </c>
      <c r="R9" s="15"/>
      <c r="S9" s="74">
        <f t="shared" si="2"/>
        <v>4.34584347992169</v>
      </c>
      <c r="T9" s="74">
        <f t="shared" si="3"/>
        <v>19.6237602414834</v>
      </c>
      <c r="U9" s="74">
        <f t="shared" si="4"/>
        <v>51.0360205831904</v>
      </c>
    </row>
    <row r="10" ht="16.5" customHeight="1" spans="1:21">
      <c r="D10" s="15" t="str">
        <f>Comp_Data!D10</f>
        <v>JK Cement</v>
      </c>
      <c r="E10" s="15"/>
      <c r="F10" s="15" t="str">
        <f>Comp_Data!H10</f>
        <v>JKCEMENT</v>
      </c>
      <c r="G10" s="15"/>
      <c r="H10" s="72">
        <f>Comp_Data!I10</f>
        <v>5306</v>
      </c>
      <c r="I10" s="73">
        <f>Comp_Data!J10</f>
        <v>7.7</v>
      </c>
      <c r="J10" s="15">
        <f t="shared" si="0"/>
        <v>40856.2</v>
      </c>
      <c r="K10" s="72">
        <f>Comp_Data!K10</f>
        <v>6183</v>
      </c>
      <c r="L10" s="73">
        <f>Comp_Data!L10</f>
        <v>469</v>
      </c>
      <c r="M10" s="15">
        <f t="shared" si="1"/>
        <v>46570.2</v>
      </c>
      <c r="N10" s="15"/>
      <c r="O10" s="72">
        <f>Comp_Data!M10</f>
        <v>13722</v>
      </c>
      <c r="P10" s="72">
        <f>Comp_Data!N10</f>
        <v>2379</v>
      </c>
      <c r="Q10" s="73">
        <f>Comp_Data!O10</f>
        <v>988</v>
      </c>
      <c r="R10" s="15"/>
      <c r="S10" s="74">
        <f t="shared" si="2"/>
        <v>3.39383471797114</v>
      </c>
      <c r="T10" s="74">
        <f t="shared" si="3"/>
        <v>19.5755359394704</v>
      </c>
      <c r="U10" s="74">
        <f t="shared" si="4"/>
        <v>41.3524291497976</v>
      </c>
    </row>
    <row r="11" ht="16.5" customHeight="1" spans="1:21">
      <c r="D11" s="15" t="str">
        <f>Comp_Data!D11</f>
        <v>Dalmia Bharat</v>
      </c>
      <c r="E11" s="15"/>
      <c r="F11" s="15" t="str">
        <f>Comp_Data!H11</f>
        <v>DALBHARAT</v>
      </c>
      <c r="G11" s="15"/>
      <c r="H11" s="72">
        <f>Comp_Data!I11</f>
        <v>1842</v>
      </c>
      <c r="I11" s="73">
        <f>Comp_Data!J11</f>
        <v>18.8</v>
      </c>
      <c r="J11" s="15">
        <f t="shared" si="0"/>
        <v>34629.6</v>
      </c>
      <c r="K11" s="72">
        <f>Comp_Data!K11</f>
        <v>7428</v>
      </c>
      <c r="L11" s="73">
        <f>Comp_Data!L11</f>
        <v>212</v>
      </c>
      <c r="M11" s="15">
        <f t="shared" si="1"/>
        <v>41845.6</v>
      </c>
      <c r="N11" s="15"/>
      <c r="O11" s="72">
        <f>Comp_Data!M11</f>
        <v>14804</v>
      </c>
      <c r="P11" s="72">
        <f>Comp_Data!N11</f>
        <v>3083</v>
      </c>
      <c r="Q11" s="72">
        <f>Comp_Data!O11</f>
        <v>1157</v>
      </c>
      <c r="R11" s="15"/>
      <c r="S11" s="74">
        <f t="shared" si="2"/>
        <v>2.82664144825723</v>
      </c>
      <c r="T11" s="74">
        <f t="shared" si="3"/>
        <v>13.573013298735</v>
      </c>
      <c r="U11" s="74">
        <f t="shared" si="4"/>
        <v>29.9305099394987</v>
      </c>
    </row>
    <row r="12" ht="16.5" customHeight="1" spans="1:21">
      <c r="D12" s="15" t="str">
        <f>Comp_Data!D12</f>
        <v>ACC Ltd</v>
      </c>
      <c r="E12" s="15"/>
      <c r="F12" s="15" t="str">
        <f>Comp_Data!H12</f>
        <v>ACC</v>
      </c>
      <c r="G12" s="15"/>
      <c r="H12" s="72">
        <f>Comp_Data!I12</f>
        <v>1321</v>
      </c>
      <c r="I12" s="73">
        <f>Comp_Data!J12</f>
        <v>18.8</v>
      </c>
      <c r="J12" s="15">
        <f t="shared" si="0"/>
        <v>24834.8</v>
      </c>
      <c r="K12" s="73">
        <f>Comp_Data!K12</f>
        <v>429</v>
      </c>
      <c r="L12" s="73">
        <f>Comp_Data!L12</f>
        <v>537</v>
      </c>
      <c r="M12" s="15">
        <f t="shared" si="1"/>
        <v>24726.8</v>
      </c>
      <c r="N12" s="15"/>
      <c r="O12" s="72">
        <f>Comp_Data!M12</f>
        <v>25962</v>
      </c>
      <c r="P12" s="72">
        <f>Comp_Data!N12</f>
        <v>2958</v>
      </c>
      <c r="Q12" s="72">
        <f>Comp_Data!O12</f>
        <v>2137</v>
      </c>
      <c r="R12" s="15"/>
      <c r="S12" s="74">
        <f t="shared" si="2"/>
        <v>0.952422771743317</v>
      </c>
      <c r="T12" s="74">
        <f t="shared" si="3"/>
        <v>8.35929682217715</v>
      </c>
      <c r="U12" s="74">
        <f t="shared" si="4"/>
        <v>11.6213383247543</v>
      </c>
    </row>
    <row r="13" ht="16.5" customHeight="1" spans="1:21">
      <c r="D13" s="15" t="str">
        <f>Comp_Data!D13</f>
        <v>The Ramco Cements</v>
      </c>
      <c r="E13" s="15"/>
      <c r="F13" s="15" t="str">
        <f>Comp_Data!H13</f>
        <v>RAMCOCEM</v>
      </c>
      <c r="G13" s="15"/>
      <c r="H13" s="73">
        <f>Comp_Data!I13</f>
        <v>907</v>
      </c>
      <c r="I13" s="73">
        <f>Comp_Data!J13</f>
        <v>23.6</v>
      </c>
      <c r="J13" s="15">
        <f t="shared" si="0"/>
        <v>21405.2</v>
      </c>
      <c r="K13" s="72">
        <f>Comp_Data!K13</f>
        <v>3871</v>
      </c>
      <c r="L13" s="73">
        <f>Comp_Data!L13</f>
        <v>125</v>
      </c>
      <c r="M13" s="15">
        <f t="shared" si="1"/>
        <v>25151.2</v>
      </c>
      <c r="N13" s="15"/>
      <c r="O13" s="72">
        <f>Comp_Data!M13</f>
        <v>9029</v>
      </c>
      <c r="P13" s="72">
        <f>Comp_Data!N13</f>
        <v>1437</v>
      </c>
      <c r="Q13" s="73">
        <f>Comp_Data!O13</f>
        <v>699</v>
      </c>
      <c r="R13" s="15"/>
      <c r="S13" s="74">
        <f t="shared" si="2"/>
        <v>2.78560194927456</v>
      </c>
      <c r="T13" s="74">
        <f t="shared" si="3"/>
        <v>17.5025748086291</v>
      </c>
      <c r="U13" s="74">
        <f t="shared" si="4"/>
        <v>30.6226037195994</v>
      </c>
    </row>
    <row r="14" ht="16.5" customHeight="1" spans="1:21">
      <c r="D14" s="15" t="str">
        <f>Comp_Data!D14</f>
        <v>Birla Corporation</v>
      </c>
      <c r="E14" s="15"/>
      <c r="F14" s="15" t="str">
        <f>Comp_Data!H14</f>
        <v>BIRLACORPN</v>
      </c>
      <c r="G14" s="15"/>
      <c r="H14" s="73">
        <f>Comp_Data!I14</f>
        <v>905</v>
      </c>
      <c r="I14" s="73">
        <f>Comp_Data!J14</f>
        <v>7.7</v>
      </c>
      <c r="J14" s="15">
        <f t="shared" si="0"/>
        <v>6968.5</v>
      </c>
      <c r="K14" s="72">
        <f>Comp_Data!K14</f>
        <v>3391</v>
      </c>
      <c r="L14" s="73">
        <f>Comp_Data!L14</f>
        <v>680</v>
      </c>
      <c r="M14" s="15">
        <f t="shared" si="1"/>
        <v>9679.5</v>
      </c>
      <c r="N14" s="15"/>
      <c r="O14" s="72">
        <f>Comp_Data!M14</f>
        <v>9656</v>
      </c>
      <c r="P14" s="72">
        <f>Comp_Data!N14</f>
        <v>1455</v>
      </c>
      <c r="Q14" s="73">
        <f>Comp_Data!O14</f>
        <v>558</v>
      </c>
      <c r="R14" s="15"/>
      <c r="S14" s="74">
        <f t="shared" si="2"/>
        <v>1.00243371996686</v>
      </c>
      <c r="T14" s="74">
        <f t="shared" si="3"/>
        <v>6.65257731958763</v>
      </c>
      <c r="U14" s="74">
        <f t="shared" si="4"/>
        <v>12.4883512544803</v>
      </c>
    </row>
    <row r="15" ht="16.5" customHeight="1" spans="1:21">
      <c r="D15" s="15" t="str">
        <f>Comp_Data!D15</f>
        <v>JK Lakshmi Cement</v>
      </c>
      <c r="E15" s="15"/>
      <c r="F15" s="15" t="str">
        <f>Comp_Data!H15</f>
        <v>JKLAKSHMI</v>
      </c>
      <c r="G15" s="15"/>
      <c r="H15" s="73">
        <f>Comp_Data!I15</f>
        <v>549</v>
      </c>
      <c r="I15" s="73">
        <f>Comp_Data!J15</f>
        <v>12.4</v>
      </c>
      <c r="J15" s="15">
        <f t="shared" si="0"/>
        <v>6807.6</v>
      </c>
      <c r="K15" s="72">
        <f>Comp_Data!K15</f>
        <v>2586</v>
      </c>
      <c r="L15" s="72">
        <f>Comp_Data!L15</f>
        <v>1000</v>
      </c>
      <c r="M15" s="15">
        <f t="shared" si="1"/>
        <v>8393.6</v>
      </c>
      <c r="N15" s="15"/>
      <c r="O15" s="72">
        <f>Comp_Data!M15</f>
        <v>6763</v>
      </c>
      <c r="P15" s="72">
        <f>Comp_Data!N15</f>
        <v>1000</v>
      </c>
      <c r="Q15" s="73">
        <f>Comp_Data!O15</f>
        <v>413</v>
      </c>
      <c r="R15" s="15"/>
      <c r="S15" s="74">
        <f t="shared" si="2"/>
        <v>1.24110601803933</v>
      </c>
      <c r="T15" s="74">
        <f t="shared" si="3"/>
        <v>8.3936</v>
      </c>
      <c r="U15" s="74">
        <f t="shared" si="4"/>
        <v>16.4832929782082</v>
      </c>
    </row>
    <row r="17" ht="17.25" customHeight="1" spans="4:21">
      <c r="D17" s="75" t="s">
        <v>257</v>
      </c>
      <c r="E17" s="76"/>
      <c r="F17" s="76"/>
      <c r="G17" s="76"/>
      <c r="H17" s="77"/>
      <c r="I17" s="77"/>
      <c r="J17" s="77"/>
      <c r="K17" s="77"/>
      <c r="L17" s="77"/>
      <c r="M17" s="78"/>
      <c r="N17" s="78"/>
      <c r="O17" s="78"/>
      <c r="P17" s="78"/>
      <c r="Q17" s="78"/>
      <c r="R17" s="78"/>
      <c r="S17" s="79">
        <f>AVERAGE(S7:S15)</f>
        <v>2.58004608364694</v>
      </c>
      <c r="T17" s="79">
        <f>AVERAGE(T7:T15)</f>
        <v>14.1628503098443</v>
      </c>
      <c r="U17" s="79">
        <f>AVERAGE(U7:U15)</f>
        <v>28.531387639419</v>
      </c>
    </row>
    <row r="18" ht="17.25" customHeight="1" spans="4:21">
      <c r="D18" s="75" t="s">
        <v>314</v>
      </c>
      <c r="E18" s="65"/>
      <c r="F18" s="65"/>
      <c r="G18" s="65"/>
      <c r="H18" s="80"/>
      <c r="I18" s="80"/>
      <c r="J18" s="80"/>
      <c r="K18" s="80"/>
      <c r="L18" s="80"/>
      <c r="M18" s="78"/>
      <c r="N18" s="78"/>
      <c r="O18" s="78"/>
      <c r="P18" s="78"/>
      <c r="Q18" s="78"/>
      <c r="R18" s="78"/>
      <c r="S18" s="79">
        <f>MEDIAN(S7:S15)</f>
        <v>2.78560194927456</v>
      </c>
      <c r="T18" s="79">
        <f>MEDIAN(T7:T15)</f>
        <v>13.573013298735</v>
      </c>
      <c r="U18" s="79">
        <f>MEDIAN(U7:U15)</f>
        <v>29.9305099394987</v>
      </c>
    </row>
    <row r="20" ht="16.5" customHeight="1" spans="4:21">
      <c r="D20" s="15" t="str">
        <f>Comp_Data!D5</f>
        <v>Ambuja Cement</v>
      </c>
      <c r="E20" s="15"/>
      <c r="F20" s="15" t="str">
        <f>Comp_Data!H5</f>
        <v>AMBUJACEM</v>
      </c>
      <c r="G20" s="15"/>
      <c r="H20" s="73">
        <f>Comp_Data!I5</f>
        <v>418</v>
      </c>
      <c r="I20" s="73">
        <f>Comp_Data!J5</f>
        <v>247.2</v>
      </c>
      <c r="J20" s="15">
        <f>H20*I20</f>
        <v>103329.6</v>
      </c>
      <c r="K20" s="73">
        <f>Comp_Data!K5</f>
        <v>866</v>
      </c>
      <c r="L20" s="73">
        <f>Comp_Data!L5</f>
        <v>892</v>
      </c>
      <c r="M20" s="15">
        <f>J20+K20-L20</f>
        <v>103303.6</v>
      </c>
      <c r="N20" s="15"/>
      <c r="O20" s="72">
        <f>Comp_Data!M5</f>
        <v>40656</v>
      </c>
      <c r="P20" s="72">
        <f>Comp_Data!N5</f>
        <v>6577</v>
      </c>
      <c r="Q20" s="72">
        <f>Comp_Data!O5</f>
        <v>5637</v>
      </c>
      <c r="R20" s="15"/>
      <c r="S20" s="15"/>
    </row>
    <row r="21" ht="16.5" customHeight="1" spans="4:21">
      <c r="K21" s="81"/>
      <c r="L21" s="81"/>
      <c r="O21" s="81"/>
      <c r="P21" s="81"/>
      <c r="Q21" s="81"/>
    </row>
    <row r="22" ht="17.25" customHeight="1" spans="4:21">
      <c r="D22" s="82" t="s">
        <v>354</v>
      </c>
      <c r="E22" s="83" t="s">
        <v>355</v>
      </c>
      <c r="F22" s="84"/>
      <c r="G22" s="84"/>
      <c r="H22" s="85" t="s">
        <v>345</v>
      </c>
      <c r="I22" s="85" t="s">
        <v>356</v>
      </c>
      <c r="J22" s="85" t="s">
        <v>273</v>
      </c>
      <c r="K22" s="86" t="s">
        <v>342</v>
      </c>
      <c r="L22" s="86" t="s">
        <v>357</v>
      </c>
    </row>
    <row r="23" ht="16.5" customHeight="1" spans="4:21">
      <c r="D23" s="87" t="s">
        <v>348</v>
      </c>
      <c r="E23" s="74">
        <f>S18</f>
        <v>2.78560194927456</v>
      </c>
      <c r="F23" s="15"/>
      <c r="G23" s="15"/>
      <c r="H23" s="88">
        <f>E23*O20</f>
        <v>113251.432849706</v>
      </c>
      <c r="I23" s="88">
        <f>K20</f>
        <v>866</v>
      </c>
      <c r="J23" s="88">
        <f>H23-I23</f>
        <v>112385.432849706</v>
      </c>
      <c r="K23" s="88">
        <f>I20</f>
        <v>247.2</v>
      </c>
      <c r="L23" s="88">
        <f>J23/K23</f>
        <v>454.633628032793</v>
      </c>
    </row>
    <row r="24" ht="16.5" customHeight="1" spans="4:21">
      <c r="D24" s="87" t="s">
        <v>245</v>
      </c>
      <c r="E24" s="74">
        <f>T18</f>
        <v>13.573013298735</v>
      </c>
      <c r="F24" s="15"/>
      <c r="G24" s="15"/>
      <c r="H24" s="88">
        <f>E24*P20</f>
        <v>89269.7084657801</v>
      </c>
      <c r="I24" s="88">
        <f>I23</f>
        <v>866</v>
      </c>
      <c r="J24" s="88">
        <f>H24-I24</f>
        <v>88403.7084657801</v>
      </c>
      <c r="K24" s="88">
        <f>K23</f>
        <v>247.2</v>
      </c>
      <c r="L24" s="88">
        <f>J24/K24</f>
        <v>357.620179877751</v>
      </c>
    </row>
    <row r="25" ht="16.5" customHeight="1" spans="4:21">
      <c r="D25" s="89" t="s">
        <v>349</v>
      </c>
      <c r="E25" s="74">
        <f>U18</f>
        <v>29.9305099394987</v>
      </c>
      <c r="F25" s="15"/>
      <c r="G25" s="15"/>
      <c r="H25" s="88">
        <f>E25*Q20</f>
        <v>168718.284528954</v>
      </c>
      <c r="I25" s="88">
        <f>I24</f>
        <v>866</v>
      </c>
      <c r="J25" s="88">
        <f>H25-I25</f>
        <v>167852.284528954</v>
      </c>
      <c r="K25" s="88">
        <f>K24</f>
        <v>247.2</v>
      </c>
      <c r="L25" s="88">
        <f>J25/K25</f>
        <v>679.014095990915</v>
      </c>
    </row>
    <row r="26" ht="16.5" customHeight="1" spans="4:21">
      <c r="D26" s="90"/>
      <c r="E26" s="90"/>
      <c r="F26" s="90"/>
      <c r="G26" s="90"/>
      <c r="H26" s="90"/>
      <c r="I26" s="90"/>
      <c r="J26" s="90"/>
      <c r="K26" s="90"/>
      <c r="L26" s="90"/>
    </row>
  </sheetData>
  <mergeCells count="3">
    <mergeCell ref="H4:M4"/>
    <mergeCell ref="O4:Q4"/>
    <mergeCell ref="S4:U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showGridLines="0" workbookViewId="0">
      <selection activeCell="O2" sqref="O2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6" width="12.6428571428571" style="1" customWidth="1"/>
    <col min="7" max="7" width="2.64285714285714" style="1" customWidth="1"/>
    <col min="8" max="17" width="12.6428571428571" style="1" customWidth="1"/>
  </cols>
  <sheetData>
    <row r="1" ht="51" customHeight="1" spans="1:1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60"/>
      <c r="O1" s="60"/>
    </row>
    <row r="2" ht="16.5" customHeight="1" spans="1:15">
      <c r="A2" s="61" t="s">
        <v>358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  <c r="N2" s="60"/>
      <c r="O2" s="60"/>
    </row>
    <row r="4" ht="16.5" customHeight="1" spans="1:15">
      <c r="D4" s="62" t="s">
        <v>359</v>
      </c>
      <c r="E4" s="62"/>
      <c r="F4" s="62"/>
      <c r="G4" s="62"/>
      <c r="H4" s="13" t="s">
        <v>350</v>
      </c>
      <c r="I4" s="13" t="s">
        <v>341</v>
      </c>
      <c r="J4" s="13" t="s">
        <v>342</v>
      </c>
      <c r="K4" s="13" t="s">
        <v>196</v>
      </c>
      <c r="L4" s="13" t="s">
        <v>344</v>
      </c>
      <c r="M4" s="13" t="s">
        <v>346</v>
      </c>
      <c r="N4" s="13" t="s">
        <v>177</v>
      </c>
      <c r="O4" s="13" t="s">
        <v>360</v>
      </c>
    </row>
    <row r="5" ht="16.5" customHeight="1" spans="1:15">
      <c r="D5" s="15" t="s">
        <v>315</v>
      </c>
      <c r="E5" s="15"/>
      <c r="F5" s="15"/>
      <c r="G5" s="15"/>
      <c r="H5" s="63" t="s">
        <v>361</v>
      </c>
      <c r="I5" s="63">
        <v>418</v>
      </c>
      <c r="J5" s="63">
        <v>247.2</v>
      </c>
      <c r="K5" s="63">
        <v>866</v>
      </c>
      <c r="L5" s="63">
        <v>892</v>
      </c>
      <c r="M5" s="64">
        <v>40656</v>
      </c>
      <c r="N5" s="64">
        <v>6577</v>
      </c>
      <c r="O5" s="64">
        <v>5637</v>
      </c>
    </row>
    <row r="6" ht="16.5" customHeight="1" spans="1:15">
      <c r="D6" s="65"/>
      <c r="E6" s="65"/>
      <c r="F6" s="65"/>
      <c r="G6" s="65"/>
      <c r="H6" s="66"/>
      <c r="I6" s="66"/>
      <c r="J6" s="66"/>
      <c r="K6" s="66"/>
      <c r="L6" s="66"/>
      <c r="M6" s="66"/>
      <c r="N6" s="66"/>
      <c r="O6" s="66"/>
    </row>
    <row r="7" ht="16.5" customHeight="1" spans="1:15">
      <c r="D7" s="15" t="s">
        <v>362</v>
      </c>
      <c r="E7" s="15"/>
      <c r="F7" s="15"/>
      <c r="G7" s="15"/>
      <c r="H7" s="63" t="s">
        <v>363</v>
      </c>
      <c r="I7" s="64">
        <v>11619</v>
      </c>
      <c r="J7" s="63">
        <v>29.5</v>
      </c>
      <c r="K7" s="64">
        <v>23755</v>
      </c>
      <c r="L7" s="64">
        <v>1384</v>
      </c>
      <c r="M7" s="64">
        <v>88512</v>
      </c>
      <c r="N7" s="64">
        <v>17004</v>
      </c>
      <c r="O7" s="64">
        <v>8188</v>
      </c>
    </row>
    <row r="8" ht="16.5" customHeight="1" spans="1:15">
      <c r="D8" s="15" t="s">
        <v>364</v>
      </c>
      <c r="E8" s="15"/>
      <c r="F8" s="15"/>
      <c r="G8" s="15"/>
      <c r="H8" s="63" t="s">
        <v>365</v>
      </c>
      <c r="I8" s="64">
        <v>3249</v>
      </c>
      <c r="J8" s="63">
        <v>67.8</v>
      </c>
      <c r="K8" s="64">
        <v>229393</v>
      </c>
      <c r="L8" s="64">
        <v>2798</v>
      </c>
      <c r="M8" s="64">
        <v>175431</v>
      </c>
      <c r="N8" s="64">
        <v>36296</v>
      </c>
      <c r="O8" s="64">
        <v>10300</v>
      </c>
    </row>
    <row r="9" ht="16.5" customHeight="1" spans="1:15">
      <c r="D9" s="15" t="s">
        <v>366</v>
      </c>
      <c r="E9" s="15"/>
      <c r="F9" s="15"/>
      <c r="G9" s="15"/>
      <c r="H9" s="63" t="s">
        <v>367</v>
      </c>
      <c r="I9" s="64">
        <v>24795</v>
      </c>
      <c r="J9" s="63">
        <v>3.6</v>
      </c>
      <c r="K9" s="64">
        <v>1868</v>
      </c>
      <c r="L9" s="63">
        <v>115</v>
      </c>
      <c r="M9" s="64">
        <v>20943</v>
      </c>
      <c r="N9" s="64">
        <v>4638</v>
      </c>
      <c r="O9" s="64">
        <v>1749</v>
      </c>
    </row>
    <row r="10" ht="16.5" customHeight="1" spans="1:15">
      <c r="D10" s="15" t="s">
        <v>368</v>
      </c>
      <c r="E10" s="15"/>
      <c r="F10" s="15"/>
      <c r="G10" s="15"/>
      <c r="H10" s="63" t="s">
        <v>369</v>
      </c>
      <c r="I10" s="64">
        <v>5306</v>
      </c>
      <c r="J10" s="63">
        <v>7.7</v>
      </c>
      <c r="K10" s="64">
        <v>6183</v>
      </c>
      <c r="L10" s="63">
        <v>469</v>
      </c>
      <c r="M10" s="64">
        <v>13722</v>
      </c>
      <c r="N10" s="64">
        <v>2379</v>
      </c>
      <c r="O10" s="63">
        <v>988</v>
      </c>
    </row>
    <row r="11" ht="16.5" customHeight="1" spans="1:15">
      <c r="D11" s="15" t="s">
        <v>370</v>
      </c>
      <c r="E11" s="15"/>
      <c r="F11" s="15"/>
      <c r="G11" s="15"/>
      <c r="H11" s="63" t="s">
        <v>371</v>
      </c>
      <c r="I11" s="64">
        <v>1842</v>
      </c>
      <c r="J11" s="63">
        <v>18.8</v>
      </c>
      <c r="K11" s="64">
        <v>7428</v>
      </c>
      <c r="L11" s="63">
        <v>212</v>
      </c>
      <c r="M11" s="64">
        <v>14804</v>
      </c>
      <c r="N11" s="64">
        <v>3083</v>
      </c>
      <c r="O11" s="64">
        <v>1157</v>
      </c>
    </row>
    <row r="12" ht="16.5" customHeight="1" spans="1:15">
      <c r="D12" s="15" t="s">
        <v>372</v>
      </c>
      <c r="E12" s="15"/>
      <c r="F12" s="15"/>
      <c r="G12" s="15"/>
      <c r="H12" s="63" t="s">
        <v>373</v>
      </c>
      <c r="I12" s="64">
        <v>1321</v>
      </c>
      <c r="J12" s="63">
        <v>18.8</v>
      </c>
      <c r="K12" s="63">
        <v>429</v>
      </c>
      <c r="L12" s="63">
        <v>537</v>
      </c>
      <c r="M12" s="64">
        <v>25962</v>
      </c>
      <c r="N12" s="64">
        <v>2958</v>
      </c>
      <c r="O12" s="64">
        <v>2137</v>
      </c>
    </row>
    <row r="13" ht="16.5" customHeight="1" spans="1:15">
      <c r="D13" s="15" t="s">
        <v>374</v>
      </c>
      <c r="E13" s="15"/>
      <c r="F13" s="15"/>
      <c r="G13" s="15"/>
      <c r="H13" s="63" t="s">
        <v>375</v>
      </c>
      <c r="I13" s="63">
        <v>907</v>
      </c>
      <c r="J13" s="63">
        <v>23.6</v>
      </c>
      <c r="K13" s="64">
        <v>3871</v>
      </c>
      <c r="L13" s="63">
        <v>125</v>
      </c>
      <c r="M13" s="64">
        <v>9029</v>
      </c>
      <c r="N13" s="64">
        <v>1437</v>
      </c>
      <c r="O13" s="63">
        <v>699</v>
      </c>
    </row>
    <row r="14" ht="16.5" customHeight="1" spans="1:15">
      <c r="D14" s="15" t="s">
        <v>376</v>
      </c>
      <c r="E14" s="15"/>
      <c r="F14" s="15"/>
      <c r="G14" s="15"/>
      <c r="H14" s="63" t="s">
        <v>377</v>
      </c>
      <c r="I14" s="63">
        <v>905</v>
      </c>
      <c r="J14" s="63">
        <v>7.7</v>
      </c>
      <c r="K14" s="64">
        <v>3391</v>
      </c>
      <c r="L14" s="63">
        <v>680</v>
      </c>
      <c r="M14" s="64">
        <v>9656</v>
      </c>
      <c r="N14" s="64">
        <v>1455</v>
      </c>
      <c r="O14" s="63">
        <v>558</v>
      </c>
    </row>
    <row r="15" ht="16.5" customHeight="1" spans="1:15">
      <c r="D15" s="15" t="s">
        <v>378</v>
      </c>
      <c r="E15" s="15"/>
      <c r="F15" s="15"/>
      <c r="G15" s="15"/>
      <c r="H15" s="63" t="s">
        <v>379</v>
      </c>
      <c r="I15" s="63">
        <v>549</v>
      </c>
      <c r="J15" s="63">
        <v>12.4</v>
      </c>
      <c r="K15" s="64">
        <v>2586</v>
      </c>
      <c r="L15" s="64">
        <v>1000</v>
      </c>
      <c r="M15" s="64">
        <v>6763</v>
      </c>
      <c r="N15" s="64">
        <v>1000</v>
      </c>
      <c r="O15" s="63">
        <v>413</v>
      </c>
    </row>
    <row r="16" ht="16.5" customHeight="1" spans="1:15">
      <c r="D16" s="15"/>
      <c r="E16" s="15"/>
      <c r="F16" s="15"/>
      <c r="G16" s="15"/>
      <c r="H16" s="63"/>
      <c r="I16" s="63"/>
      <c r="J16" s="63"/>
      <c r="K16" s="63"/>
      <c r="L16" s="63"/>
      <c r="M16" s="63"/>
      <c r="N16" s="63"/>
      <c r="O16" s="63"/>
    </row>
    <row r="17" ht="16.5" customHeight="1" spans="3:15">
      <c r="C17" s="67" t="s">
        <v>380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ht="16.5" customHeight="1" spans="3:1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ht="16.5" customHeight="1" spans="3:15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ht="16.5" customHeight="1" spans="3:15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16.5" customHeight="1" spans="3:15"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showGridLines="0" zoomScale="107" zoomScaleNormal="107" workbookViewId="0">
      <selection activeCell="I19" sqref="I19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6" width="14" style="1" customWidth="1"/>
    <col min="7" max="7" width="11.8482142857143" style="1" customWidth="1"/>
    <col min="8" max="16" width="12.6428571428571" style="1" customWidth="1"/>
  </cols>
  <sheetData>
    <row r="1" ht="28.5" customHeight="1" spans="1:15">
      <c r="A1" s="2" t="s">
        <v>381</v>
      </c>
      <c r="B1" s="3"/>
      <c r="C1" s="3"/>
      <c r="D1" s="3"/>
      <c r="E1" s="3"/>
      <c r="F1" s="3"/>
      <c r="G1" s="3"/>
      <c r="H1" s="3"/>
      <c r="I1" s="3"/>
      <c r="J1" s="4"/>
      <c r="K1" s="4"/>
      <c r="L1" s="5"/>
      <c r="M1" s="5"/>
      <c r="N1" s="5"/>
      <c r="O1" s="6"/>
    </row>
    <row r="2" ht="15" customHeight="1" spans="1:15">
      <c r="A2" s="7" t="s">
        <v>382</v>
      </c>
      <c r="B2" s="3"/>
      <c r="C2" s="3"/>
      <c r="D2" s="3"/>
      <c r="E2" s="3"/>
      <c r="F2" s="3"/>
      <c r="G2" s="3"/>
      <c r="H2" s="3"/>
      <c r="I2" s="3"/>
      <c r="J2" s="4"/>
      <c r="K2" s="4"/>
      <c r="L2" s="5"/>
      <c r="M2" s="5"/>
      <c r="N2" s="5"/>
      <c r="O2" s="6"/>
    </row>
    <row r="3" ht="16.5" customHeight="1" spans="1:15">
      <c r="L3" s="6"/>
      <c r="M3" s="6"/>
      <c r="N3" s="6"/>
      <c r="O3" s="6"/>
    </row>
    <row r="4" ht="15" customHeight="1" spans="1:15">
      <c r="A4" s="8" t="s">
        <v>382</v>
      </c>
      <c r="B4" s="9"/>
      <c r="C4" s="10"/>
      <c r="D4" s="11"/>
      <c r="E4" s="11"/>
      <c r="F4" s="11"/>
      <c r="G4" s="11"/>
      <c r="H4" s="12"/>
      <c r="I4" s="12"/>
      <c r="J4" s="13"/>
      <c r="K4" s="13"/>
      <c r="L4" s="14"/>
      <c r="M4" s="14"/>
      <c r="N4" s="14"/>
      <c r="O4" s="14"/>
    </row>
    <row r="5" ht="16.5" customHeight="1" spans="1:15">
      <c r="C5" s="15"/>
      <c r="D5" s="16"/>
      <c r="E5" s="17"/>
      <c r="F5" s="17"/>
      <c r="G5" s="17"/>
      <c r="H5" s="18"/>
      <c r="I5" s="19"/>
      <c r="J5" s="19"/>
      <c r="K5" s="19"/>
      <c r="L5" s="19"/>
      <c r="M5" s="20"/>
      <c r="N5" s="20"/>
      <c r="O5" s="20"/>
    </row>
    <row r="6" ht="33.75" customHeight="1" spans="1:15">
      <c r="C6" s="15"/>
      <c r="D6" s="15"/>
      <c r="E6" s="21" t="s">
        <v>355</v>
      </c>
      <c r="F6" s="21" t="s">
        <v>383</v>
      </c>
      <c r="G6" s="21" t="s">
        <v>384</v>
      </c>
      <c r="H6" s="21" t="s">
        <v>385</v>
      </c>
      <c r="I6" s="22"/>
      <c r="J6" s="22"/>
      <c r="K6" s="22"/>
      <c r="L6" s="22"/>
      <c r="M6" s="15"/>
      <c r="N6" s="6"/>
      <c r="O6" s="6"/>
    </row>
    <row r="7" ht="15" customHeight="1" spans="1:15">
      <c r="C7" s="15"/>
      <c r="D7" s="23" t="s">
        <v>386</v>
      </c>
      <c r="E7" s="24">
        <v>679.014095990915</v>
      </c>
      <c r="F7" s="24">
        <v>396.593387366898</v>
      </c>
      <c r="G7" s="25">
        <v>605.5</v>
      </c>
      <c r="H7" s="26">
        <v>718</v>
      </c>
      <c r="I7" s="27"/>
      <c r="J7" s="28"/>
      <c r="K7" s="15"/>
      <c r="L7" s="29"/>
      <c r="M7" s="29"/>
      <c r="N7" s="29"/>
      <c r="O7" s="29"/>
    </row>
    <row r="8" ht="15" customHeight="1" spans="1:15">
      <c r="C8" s="15"/>
      <c r="D8" s="23" t="s">
        <v>386</v>
      </c>
      <c r="E8" s="30">
        <v>679.014095990915</v>
      </c>
      <c r="F8" s="30">
        <v>396.593387366898</v>
      </c>
      <c r="G8" s="31">
        <v>605.5</v>
      </c>
      <c r="H8" s="32">
        <v>718</v>
      </c>
      <c r="I8" s="33" t="s">
        <v>387</v>
      </c>
      <c r="J8" s="34"/>
      <c r="K8" s="15"/>
      <c r="L8" s="35"/>
      <c r="M8" s="29"/>
      <c r="N8" s="29"/>
      <c r="O8" s="29"/>
    </row>
    <row r="9" ht="15" customHeight="1" spans="1:15">
      <c r="C9" s="36"/>
      <c r="D9" s="23" t="s">
        <v>388</v>
      </c>
      <c r="E9" s="30">
        <v>357.620179877751</v>
      </c>
      <c r="F9" s="30">
        <v>216.339564686345</v>
      </c>
      <c r="G9" s="30">
        <v>394.6</v>
      </c>
      <c r="H9" s="30">
        <v>530</v>
      </c>
      <c r="I9" s="37" t="s">
        <v>389</v>
      </c>
      <c r="J9" s="15"/>
      <c r="K9" s="35"/>
      <c r="L9" s="34"/>
      <c r="M9" s="29"/>
      <c r="N9" s="29"/>
      <c r="O9" s="29"/>
    </row>
    <row r="10" ht="15" customHeight="1" spans="1:15">
      <c r="C10" s="15"/>
      <c r="D10" s="23" t="s">
        <v>388</v>
      </c>
      <c r="E10" s="30">
        <v>357.620179877751</v>
      </c>
      <c r="F10" s="30">
        <v>216.339564686345</v>
      </c>
      <c r="G10" s="30">
        <v>394.6</v>
      </c>
      <c r="H10" s="30">
        <v>530</v>
      </c>
      <c r="I10" s="38"/>
      <c r="J10" s="28"/>
      <c r="K10" s="28"/>
      <c r="L10" s="28"/>
      <c r="M10" s="29"/>
      <c r="N10" s="29"/>
      <c r="O10" s="29"/>
    </row>
    <row r="11" ht="16.5" customHeight="1" spans="1:15">
      <c r="C11" s="15"/>
      <c r="D11" s="18"/>
      <c r="E11" s="15"/>
      <c r="F11" s="15"/>
      <c r="G11" s="39"/>
      <c r="H11" s="28"/>
      <c r="I11" s="27"/>
      <c r="J11" s="28"/>
      <c r="K11" s="28"/>
      <c r="L11" s="28"/>
      <c r="M11" s="29"/>
      <c r="N11" s="29"/>
      <c r="O11" s="29"/>
    </row>
    <row r="12" ht="15" customHeight="1" spans="1:15">
      <c r="A12" s="8" t="s">
        <v>390</v>
      </c>
      <c r="B12" s="40"/>
      <c r="C12" s="40"/>
      <c r="D12" s="41"/>
      <c r="E12" s="42"/>
      <c r="F12" s="42"/>
      <c r="G12" s="43"/>
      <c r="H12" s="44"/>
      <c r="I12" s="45"/>
      <c r="J12" s="45"/>
      <c r="K12" s="45"/>
      <c r="L12" s="46"/>
      <c r="M12" s="46"/>
      <c r="N12" s="46"/>
      <c r="O12" s="46"/>
    </row>
    <row r="13" ht="16.5" customHeight="1" spans="1:15">
      <c r="C13" s="15"/>
      <c r="D13" s="47"/>
      <c r="E13" s="17"/>
      <c r="F13" s="17"/>
      <c r="G13" s="48"/>
      <c r="H13" s="49"/>
      <c r="I13" s="50"/>
      <c r="J13" s="50"/>
      <c r="K13" s="50"/>
      <c r="L13" s="50"/>
      <c r="M13" s="51"/>
      <c r="N13" s="52"/>
      <c r="O13" s="52"/>
    </row>
    <row r="14" ht="15" customHeight="1" spans="1:15">
      <c r="A14" s="53"/>
      <c r="C14" s="54"/>
      <c r="L14" s="6"/>
      <c r="M14" s="6"/>
      <c r="N14" s="6"/>
      <c r="O14" s="6"/>
    </row>
    <row r="15" ht="15" customHeight="1" spans="1:15">
      <c r="A15" s="53"/>
      <c r="C15" s="55"/>
      <c r="L15" s="6"/>
      <c r="M15" s="6"/>
      <c r="N15" s="6"/>
      <c r="O15" s="6"/>
    </row>
    <row r="16" ht="15" customHeight="1" spans="1:15">
      <c r="A16" s="53"/>
      <c r="C16" s="56"/>
      <c r="L16" s="6"/>
      <c r="M16" s="6"/>
      <c r="N16" s="6"/>
      <c r="O16" s="6"/>
    </row>
    <row r="17" ht="15" customHeight="1" spans="1:15">
      <c r="A17" s="53"/>
      <c r="C17" s="57"/>
      <c r="L17" s="6"/>
      <c r="M17" s="6"/>
      <c r="N17" s="6"/>
      <c r="O17" s="6"/>
    </row>
    <row r="19" ht="15" customHeight="1" spans="1:15">
      <c r="A19" s="53"/>
    </row>
    <row r="23" ht="15" customHeight="1" spans="1:15">
      <c r="E23" s="57"/>
      <c r="F23" s="57"/>
      <c r="G23" s="57"/>
    </row>
    <row r="24" ht="15" customHeight="1" spans="1:15">
      <c r="E24" s="53"/>
      <c r="F24" s="54"/>
      <c r="G24" s="54"/>
    </row>
    <row r="25" ht="15" customHeight="1" spans="1:15">
      <c r="E25" s="53"/>
      <c r="F25" s="54"/>
      <c r="G25" s="54"/>
    </row>
    <row r="26" ht="15" customHeight="1" spans="1:15">
      <c r="E26" s="53"/>
      <c r="F26" s="54"/>
      <c r="G26" s="54"/>
    </row>
    <row r="27" ht="15" customHeight="1" spans="1:15">
      <c r="E27" s="53"/>
      <c r="F27" s="54"/>
      <c r="G27" s="54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Historical_Data</vt:lpstr>
      <vt:lpstr>Model</vt:lpstr>
      <vt:lpstr>Scenario</vt:lpstr>
      <vt:lpstr>Repayment</vt:lpstr>
      <vt:lpstr>WACC</vt:lpstr>
      <vt:lpstr>Market_Data</vt:lpstr>
      <vt:lpstr>Comp</vt:lpstr>
      <vt:lpstr>Comp_Data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5</cp:revision>
  <dcterms:created xsi:type="dcterms:W3CDTF">2026-08-10T18:48:00Z</dcterms:created>
  <dcterms:modified xsi:type="dcterms:W3CDTF">2026-09-30T04:10:55Z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D64400A48BE07AA346CA766A3CB5985E_41</vt:lpwstr>
  </property>
  <property fmtid="{D5CDD505-2E9C-101B-9397-08002B2CF9AE}" pid="4" name="KSOProductBuildVer">
    <vt:lpwstr>1033-12.1.26050.26050</vt:lpwstr>
  </property>
</Properties>
</file>