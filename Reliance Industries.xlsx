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520" windowHeight="10700" tabRatio="500" activeTab="1"/>
  </bookViews>
  <sheets>
    <sheet name="Historical Data" sheetId="1" r:id="rId1"/>
    <sheet name="Model" sheetId="2" r:id="rId2"/>
    <sheet name="Scenario" sheetId="3" r:id="rId3"/>
    <sheet name="Re-Payment" sheetId="4" state="hidden" r:id="rId4"/>
    <sheet name="Market Data" sheetId="5" r:id="rId5"/>
    <sheet name="WACC" sheetId="6" r:id="rId6"/>
    <sheet name="Comps Data" sheetId="7" r:id="rId7"/>
    <sheet name="Comps" sheetId="8" r:id="rId8"/>
    <sheet name="Foot_Ball Field" sheetId="9" r:id="rId9"/>
    <sheet name="SOTP Analysis" sheetId="10" state="hidden" r:id="rId10"/>
    <sheet name="Credit Analysis" sheetId="11" r:id="rId11"/>
  </sheets>
  <definedNames>
    <definedName name="IQ_DNTM" hidden="1">700000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<sst xmlns="http://schemas.openxmlformats.org/spreadsheetml/2006/main" count="547" uniqueCount="398">
  <si>
    <t>Reliance Industries Limited</t>
  </si>
  <si>
    <t>Historical Financial Statement</t>
  </si>
  <si>
    <t>(Rs. In Crore)</t>
  </si>
  <si>
    <t>Income</t>
  </si>
  <si>
    <t>Value of Sales</t>
  </si>
  <si>
    <t>Income from Services</t>
  </si>
  <si>
    <t>Value of Sales &amp; Services (Revenue)</t>
  </si>
  <si>
    <t>Less: GST Recovered</t>
  </si>
  <si>
    <t>Revenue from Operations</t>
  </si>
  <si>
    <t>Other Income</t>
  </si>
  <si>
    <t>Total Income</t>
  </si>
  <si>
    <t>Expenses</t>
  </si>
  <si>
    <t>Cost of Materials Consumed</t>
  </si>
  <si>
    <t>Purchase of Stock-in-Trade</t>
  </si>
  <si>
    <t>Changes in Inventories of FG/WIP/Stock-in-Trade</t>
  </si>
  <si>
    <t>Excise Duty</t>
  </si>
  <si>
    <t>Employee Benefits Expense</t>
  </si>
  <si>
    <t>Finance Costs</t>
  </si>
  <si>
    <t>Depreciation / Amortisation and Depletion Expense</t>
  </si>
  <si>
    <t>Other Expenses</t>
  </si>
  <si>
    <t>Total Expenses</t>
  </si>
  <si>
    <t>Profit Before Share of Associates/JVs, Exceptional Item and Tax</t>
  </si>
  <si>
    <t>Share of Profit / (Loss) of Associates and Joint Ventures</t>
  </si>
  <si>
    <t>Exceptional Item (Net of Tax)</t>
  </si>
  <si>
    <t>Profit Before Tax</t>
  </si>
  <si>
    <t>Current Tax</t>
  </si>
  <si>
    <t>Deferred Tax</t>
  </si>
  <si>
    <t>Total Tax Expense</t>
  </si>
  <si>
    <t>Profit for the Year (Profit After Tax, incl. NCI)</t>
  </si>
  <si>
    <t>Balance Sheet</t>
  </si>
  <si>
    <t>Assets</t>
  </si>
  <si>
    <t>Non-Current Assets</t>
  </si>
  <si>
    <t>Property, Plant and Equipment</t>
  </si>
  <si>
    <t>Spectrum</t>
  </si>
  <si>
    <t>Other Intangible Assets</t>
  </si>
  <si>
    <t>Goodwill</t>
  </si>
  <si>
    <t>Capital Work-in-Progress</t>
  </si>
  <si>
    <t>Spectrum Under Development</t>
  </si>
  <si>
    <t>Intangible Assets Under Development</t>
  </si>
  <si>
    <t>Non-Current Investments</t>
  </si>
  <si>
    <t>Non-Current Loans</t>
  </si>
  <si>
    <t>Other Non-Current Financial Assets</t>
  </si>
  <si>
    <t>Deferred Tax Assets (Net)</t>
  </si>
  <si>
    <t>Other Non-Current Assets</t>
  </si>
  <si>
    <t>Total Non-Current Assets</t>
  </si>
  <si>
    <t>Current Assets</t>
  </si>
  <si>
    <t>Inventories</t>
  </si>
  <si>
    <t>Current Investments</t>
  </si>
  <si>
    <t>Trade Receivables</t>
  </si>
  <si>
    <t>Cash and Cash Equivalents</t>
  </si>
  <si>
    <t>Current Loans</t>
  </si>
  <si>
    <t>Other Current Financial Assets</t>
  </si>
  <si>
    <t>Other Current Assets</t>
  </si>
  <si>
    <t>Total Current Assets</t>
  </si>
  <si>
    <t>TOTAL ASSETS</t>
  </si>
  <si>
    <t>EQUITY AND LIABILITIES</t>
  </si>
  <si>
    <t>Equity</t>
  </si>
  <si>
    <t>Equity Share Capital</t>
  </si>
  <si>
    <t>Other Equity</t>
  </si>
  <si>
    <t>Non-Controlling Interest</t>
  </si>
  <si>
    <t>Total Equity</t>
  </si>
  <si>
    <t>Non-Current Liabilities</t>
  </si>
  <si>
    <t>Borrowings</t>
  </si>
  <si>
    <t>Lease Liabilities</t>
  </si>
  <si>
    <t>Deferred Payment Liabilities</t>
  </si>
  <si>
    <t>Other Financial Liabilities</t>
  </si>
  <si>
    <t>Provisions</t>
  </si>
  <si>
    <t>Deferred Tax Liabilities (Net)</t>
  </si>
  <si>
    <t>Other Non-Current Liabilities</t>
  </si>
  <si>
    <t>Total Non-Current Liabilities</t>
  </si>
  <si>
    <t>Current Liabilities</t>
  </si>
  <si>
    <t>Trade Payables</t>
  </si>
  <si>
    <t>Other Current Liabilities</t>
  </si>
  <si>
    <t>Total Current Liabilities</t>
  </si>
  <si>
    <t>Total Liabilities</t>
  </si>
  <si>
    <t>TOTAL EQUITY AND LIABILITIES</t>
  </si>
  <si>
    <t>CASH FLOW</t>
  </si>
  <si>
    <t>A. CASH FLOW FROM OPERATING ACTIVITIES</t>
  </si>
  <si>
    <t>Net Profit Before Tax as per Statement of Profit and Loss</t>
  </si>
  <si>
    <t>Adjustments for:</t>
  </si>
  <si>
    <t>Share of (Profit) / Loss of Associates and Joint Ventures</t>
  </si>
  <si>
    <t>Premium on Buy-back of Debentures</t>
  </si>
  <si>
    <t>(Profit) / Loss on Sale / Discard of PP&amp;E and Other Intangible Assets (Net)</t>
  </si>
  <si>
    <t>Effect of Exchange Rate Change</t>
  </si>
  <si>
    <t>Net Gain on Financial Assets</t>
  </si>
  <si>
    <t>Dividend Income</t>
  </si>
  <si>
    <t>Interest Income</t>
  </si>
  <si>
    <t>Sub-total (Adjustments)</t>
  </si>
  <si>
    <t>Operating Profit before Working Capital Changes</t>
  </si>
  <si>
    <t>Changes in Working Capital:</t>
  </si>
  <si>
    <t>(Increase) / Decrease in Trade and Other Receivables</t>
  </si>
  <si>
    <t>(Increase) / Decrease in Inventories</t>
  </si>
  <si>
    <t>Increase / (Decrease) in Trade and Other Payables</t>
  </si>
  <si>
    <t>Sub-total (Working Capital Changes)</t>
  </si>
  <si>
    <t>Cash Generated from Operations</t>
  </si>
  <si>
    <t>Taxes Paid (Net)</t>
  </si>
  <si>
    <t>Net Cash Flow from Operating Activities</t>
  </si>
  <si>
    <t>B. CASH FLOW FROM INVESTING ACTIVITIES</t>
  </si>
  <si>
    <t>Expenditure for PP&amp;E, Spectrum and Other Intangible Assets</t>
  </si>
  <si>
    <t>Proceeds from Disposal of PP&amp;E and Other Intangible Assets</t>
  </si>
  <si>
    <t>Purchase of Investments</t>
  </si>
  <si>
    <t>Proceeds from Sale of Financial Assets</t>
  </si>
  <si>
    <t>Repayment / Payment of Deferred Payment Liabilities</t>
  </si>
  <si>
    <t>n/a</t>
  </si>
  <si>
    <t>Dividend Income from Associates</t>
  </si>
  <si>
    <t>Dividend Income from Others</t>
  </si>
  <si>
    <t>Net Cash Flow used in Investing Activities</t>
  </si>
  <si>
    <t>C. CASH FLOW FROM FINANCING ACTIVITIES</t>
  </si>
  <si>
    <t>Proceeds from Issue of Equity Share Capital</t>
  </si>
  <si>
    <t>Proceeds from Issue of Share Capital to Non-Controlling Interest (Net of Dividend Paid)</t>
  </si>
  <si>
    <t>Net Proceeds from Rights Issue</t>
  </si>
  <si>
    <t>Payments to Non-Controlling Interest Shareholders towards Capital Reduction</t>
  </si>
  <si>
    <t>Payment of Lease Liabilities</t>
  </si>
  <si>
    <t>Proceeds from Borrowings – Non-current (incl. Current Maturities)</t>
  </si>
  <si>
    <t>Repayment of Borrowings – Non-current (incl. Current Maturities)</t>
  </si>
  <si>
    <t>Borrowings – Current (Net)</t>
  </si>
  <si>
    <t>Movement in Deposits</t>
  </si>
  <si>
    <t>Dividend Paid / Payment of Dividend to Equity Holders of the Company</t>
  </si>
  <si>
    <t>Payment of Dividend to Non-Controlling Interest</t>
  </si>
  <si>
    <t>Interest Paid</t>
  </si>
  <si>
    <t>Net Cash Flow from / (used in) Financing Activities</t>
  </si>
  <si>
    <t>Net Increase / (Decrease) in Cash and Cash Equivalents</t>
  </si>
  <si>
    <t>Opening Balance of Cash and Cash Equivalents</t>
  </si>
  <si>
    <t>Add: Upon Addition of Subsidiaries</t>
  </si>
  <si>
    <t>Less: On Demerger</t>
  </si>
  <si>
    <t>Closing Balance of Cash and Cash Equivalents</t>
  </si>
  <si>
    <t>Historical Period</t>
  </si>
  <si>
    <t>Forecasted Period</t>
  </si>
  <si>
    <t>Financial Statement Analysis &amp; Valuation</t>
  </si>
  <si>
    <t>LIVE SCENARIO</t>
  </si>
  <si>
    <t>Base Case</t>
  </si>
  <si>
    <t>Revenue Growth %</t>
  </si>
  <si>
    <t>COGS as % of Revenue</t>
  </si>
  <si>
    <t>Operating Expense as % of Revenue</t>
  </si>
  <si>
    <t>Depreciation &amp; Amortization as % of PP&amp;E</t>
  </si>
  <si>
    <t>Interest as % of Debt</t>
  </si>
  <si>
    <t>Other Income as % of Revenue</t>
  </si>
  <si>
    <t>Tax as % of Pre-Tax Income</t>
  </si>
  <si>
    <t>Dividend Payout Ratio</t>
  </si>
  <si>
    <t>Day Sale's Outstanding</t>
  </si>
  <si>
    <t>Day Inventory Outstanding</t>
  </si>
  <si>
    <t>Day Payable Outstanding</t>
  </si>
  <si>
    <t>Capital Assets Turnover Ratio</t>
  </si>
  <si>
    <t>INCOME STATEMENT</t>
  </si>
  <si>
    <t>Revenue</t>
  </si>
  <si>
    <t>Less: Cost Of  Good's Sold</t>
  </si>
  <si>
    <t>Gross Profit</t>
  </si>
  <si>
    <t>Less: Operating Expense</t>
  </si>
  <si>
    <t>EBITDA</t>
  </si>
  <si>
    <t>Less: Depreciation &amp; Amortization</t>
  </si>
  <si>
    <t>EBIT</t>
  </si>
  <si>
    <t>Less: Interest</t>
  </si>
  <si>
    <t>Less:Tax</t>
  </si>
  <si>
    <t>Profit After Tax</t>
  </si>
  <si>
    <t>BALANCE SHEET</t>
  </si>
  <si>
    <t>Current Asset</t>
  </si>
  <si>
    <t>Cash &amp; Bank</t>
  </si>
  <si>
    <t>Account Receivable</t>
  </si>
  <si>
    <t>Inventory</t>
  </si>
  <si>
    <t>Plant, Property &amp; Equipment</t>
  </si>
  <si>
    <t>Intangible Assets</t>
  </si>
  <si>
    <t>Fiancial Assets</t>
  </si>
  <si>
    <t>Other Current-Assets</t>
  </si>
  <si>
    <t>Trade Payable</t>
  </si>
  <si>
    <t>TOTAL LIABILITIES</t>
  </si>
  <si>
    <t>SHAREHOLDER FUND</t>
  </si>
  <si>
    <t>TOTAL EQUITY &amp; LIABILITIES</t>
  </si>
  <si>
    <t>CHECK</t>
  </si>
  <si>
    <t>CASHFLOW</t>
  </si>
  <si>
    <t>Cash Flow From Operation</t>
  </si>
  <si>
    <t>Add: Depreciation</t>
  </si>
  <si>
    <t>Add/Less: Working capital</t>
  </si>
  <si>
    <t>Add/Less: Other Adjustment</t>
  </si>
  <si>
    <t>Operating Cash Flow</t>
  </si>
  <si>
    <t>Cash Flow from Investing Activities</t>
  </si>
  <si>
    <t>Investment in PP&amp;E</t>
  </si>
  <si>
    <t>Sale proceeds from sale of PP&amp;E</t>
  </si>
  <si>
    <t>Purchase/sale of investments</t>
  </si>
  <si>
    <t>Interest income</t>
  </si>
  <si>
    <t>Cash Flow From Investing Activities</t>
  </si>
  <si>
    <t>Cash Flow from Financing Activities</t>
  </si>
  <si>
    <t>Issuance/repayment of debt</t>
  </si>
  <si>
    <t>Proceeds from issue of Equity shares</t>
  </si>
  <si>
    <t>Dividend paid</t>
  </si>
  <si>
    <t>Interest paid</t>
  </si>
  <si>
    <t>Net Increase/(Decrease) in Cash and Cash Equivalents</t>
  </si>
  <si>
    <t>Opening Cash Balance</t>
  </si>
  <si>
    <t>Closing Cash Balance</t>
  </si>
  <si>
    <t>Supporting schedule</t>
  </si>
  <si>
    <t>Working Capital</t>
  </si>
  <si>
    <t>Account Payable</t>
  </si>
  <si>
    <t>Other Adjustment</t>
  </si>
  <si>
    <t>TOTAL</t>
  </si>
  <si>
    <t>Depreciation &amp; Amortization</t>
  </si>
  <si>
    <t>Opening Balance</t>
  </si>
  <si>
    <t>Add/Less: Purchase/Sale</t>
  </si>
  <si>
    <t>Less: Depreciation</t>
  </si>
  <si>
    <t>Closing Balance</t>
  </si>
  <si>
    <t>Debt Schedule</t>
  </si>
  <si>
    <t>Interest</t>
  </si>
  <si>
    <t>DCF VALUATION</t>
  </si>
  <si>
    <t>Assumption's</t>
  </si>
  <si>
    <t>Transaction Date</t>
  </si>
  <si>
    <t>Fiscal Year End Date</t>
  </si>
  <si>
    <t>Tax Rate</t>
  </si>
  <si>
    <t>EV/EBITDA</t>
  </si>
  <si>
    <t>Growth Rate</t>
  </si>
  <si>
    <t>Discount Rate</t>
  </si>
  <si>
    <t>Shares Outstanding</t>
  </si>
  <si>
    <t>Discounted Cash Flow's</t>
  </si>
  <si>
    <t>Entry</t>
  </si>
  <si>
    <t>Exit</t>
  </si>
  <si>
    <t>Terminal Value</t>
  </si>
  <si>
    <t>Date</t>
  </si>
  <si>
    <t>Time Period</t>
  </si>
  <si>
    <t>Perpetuity</t>
  </si>
  <si>
    <t>Yearfrac.</t>
  </si>
  <si>
    <t>Average</t>
  </si>
  <si>
    <t>less: Taxes</t>
  </si>
  <si>
    <t>NOPAT</t>
  </si>
  <si>
    <t>Add: Depreciation &amp; Amortization</t>
  </si>
  <si>
    <t>Less: Capex</t>
  </si>
  <si>
    <t>Less: Working Capital</t>
  </si>
  <si>
    <t>Free Cash Flow To Firm</t>
  </si>
  <si>
    <t>Transaction FCFF</t>
  </si>
  <si>
    <t>Intrinsic Value</t>
  </si>
  <si>
    <t>Rate of Return</t>
  </si>
  <si>
    <t>Enterprise Value</t>
  </si>
  <si>
    <t>Current Price</t>
  </si>
  <si>
    <t>Add: Cash &amp; Cash Eq</t>
  </si>
  <si>
    <t>Target Price</t>
  </si>
  <si>
    <t>Less: Debt</t>
  </si>
  <si>
    <t>Upside %</t>
  </si>
  <si>
    <t>Less: Non-Controlling Interest</t>
  </si>
  <si>
    <t>Equity Value</t>
  </si>
  <si>
    <t>Intrinsic Value per Share</t>
  </si>
  <si>
    <t>Sensitivity Analysis</t>
  </si>
  <si>
    <t>Sensitivities - Intrinsic Value per share</t>
  </si>
  <si>
    <t>Exit Multiple</t>
  </si>
  <si>
    <t>Perpetual Growth Rate</t>
  </si>
  <si>
    <t>Live Scenario</t>
  </si>
  <si>
    <t>Scenarios</t>
  </si>
  <si>
    <t>Growth %</t>
  </si>
  <si>
    <t>Bull Case</t>
  </si>
  <si>
    <t>Bear Case</t>
  </si>
  <si>
    <t>Annual growth tapering</t>
  </si>
  <si>
    <t>Re-Payment</t>
  </si>
  <si>
    <t>Facility / Line Item</t>
  </si>
  <si>
    <t>Repayment Basis</t>
  </si>
  <si>
    <t>Balance
31-Mar-26</t>
  </si>
  <si>
    <t>FY27</t>
  </si>
  <si>
    <t>FY28</t>
  </si>
  <si>
    <t>FY29</t>
  </si>
  <si>
    <t>FY30</t>
  </si>
  <si>
    <t>FY31</t>
  </si>
  <si>
    <t>FY32 &amp;
Beyond</t>
  </si>
  <si>
    <t>Borrowings – Non-Current (incl. current maturities &lt;12m)</t>
  </si>
  <si>
    <t>Term Loans, NCDs &amp; Bonds</t>
  </si>
  <si>
    <t>Lease Liabilities (Gross, undiscounted)</t>
  </si>
  <si>
    <t>undiscounted lease maturity</t>
  </si>
  <si>
    <t>Deferred Payment Liabilities (Spectrum dues to Govt. of India)</t>
  </si>
  <si>
    <t>Spectrum deferred payment to DoT</t>
  </si>
  <si>
    <t>Total Projected Repayment</t>
  </si>
  <si>
    <t>Market Return</t>
  </si>
  <si>
    <t>Index (Nifty 50)</t>
  </si>
  <si>
    <t>Close Price</t>
  </si>
  <si>
    <t>Periods (yrs)</t>
  </si>
  <si>
    <t>Return's</t>
  </si>
  <si>
    <t>Weighted-Average Cost of Capital (WACC)</t>
  </si>
  <si>
    <t>All Amounts Denominated in Crore Unless Otherwise Stated</t>
  </si>
  <si>
    <t>Comparable Companies Beta</t>
  </si>
  <si>
    <t>Total</t>
  </si>
  <si>
    <t>Debt/</t>
  </si>
  <si>
    <t>Tax</t>
  </si>
  <si>
    <t>Levered</t>
  </si>
  <si>
    <t>Unlevered</t>
  </si>
  <si>
    <t>Company Name</t>
  </si>
  <si>
    <t>Value</t>
  </si>
  <si>
    <t>Debt</t>
  </si>
  <si>
    <t>Capital</t>
  </si>
  <si>
    <t>Rate %</t>
  </si>
  <si>
    <t>Beta</t>
  </si>
  <si>
    <t>Oil &amp; Natural Gas Corporation Ltd</t>
  </si>
  <si>
    <t>Indian Oil Corporation Ltd</t>
  </si>
  <si>
    <t>Bharat Petroleum Corporation Ltd</t>
  </si>
  <si>
    <t>Oil India Ltd</t>
  </si>
  <si>
    <t>Adani Enterprises Ltd</t>
  </si>
  <si>
    <t>Median</t>
  </si>
  <si>
    <t>WACC Calculation</t>
  </si>
  <si>
    <t>Target Capital Structure</t>
  </si>
  <si>
    <t>Proportion of Debt</t>
  </si>
  <si>
    <t>Proportion of Equity</t>
  </si>
  <si>
    <t>Current Capital Structure</t>
  </si>
  <si>
    <t>Market Cap</t>
  </si>
  <si>
    <t>Total Debt</t>
  </si>
  <si>
    <t>Debt / Equity</t>
  </si>
  <si>
    <t>Cost of Debt</t>
  </si>
  <si>
    <t>Pre-Tax Cost of Debt</t>
  </si>
  <si>
    <t>After-Tax Cost of Debt</t>
  </si>
  <si>
    <t>Cost of Equity</t>
  </si>
  <si>
    <t>Risk Free Rate</t>
  </si>
  <si>
    <t>Equity Market Return</t>
  </si>
  <si>
    <t>Equity Risk Premium</t>
  </si>
  <si>
    <t>Levered Equity Beta</t>
  </si>
  <si>
    <t>WACC</t>
  </si>
  <si>
    <t>Comps Data</t>
  </si>
  <si>
    <t>Company</t>
  </si>
  <si>
    <t>Ticker</t>
  </si>
  <si>
    <t>Price</t>
  </si>
  <si>
    <t>Shares</t>
  </si>
  <si>
    <t>Cash</t>
  </si>
  <si>
    <t>Sales</t>
  </si>
  <si>
    <t>Net Income</t>
  </si>
  <si>
    <t>RELIANCE</t>
  </si>
  <si>
    <t>ONGC</t>
  </si>
  <si>
    <t>IOCL</t>
  </si>
  <si>
    <t>BPCL</t>
  </si>
  <si>
    <t>OIL</t>
  </si>
  <si>
    <t>ADANIENT</t>
  </si>
  <si>
    <t>Source: www.screener.in</t>
  </si>
  <si>
    <t>Comps Valuation</t>
  </si>
  <si>
    <t>Market Data</t>
  </si>
  <si>
    <t>Financial Data</t>
  </si>
  <si>
    <t>Valuation</t>
  </si>
  <si>
    <t>EV</t>
  </si>
  <si>
    <t>Earnings</t>
  </si>
  <si>
    <t>EV/Sales</t>
  </si>
  <si>
    <t>P/E</t>
  </si>
  <si>
    <t>(₹/share)</t>
  </si>
  <si>
    <t>Cr</t>
  </si>
  <si>
    <t>₹ Cr</t>
  </si>
  <si>
    <t>&amp; Equivalents</t>
  </si>
  <si>
    <t>x</t>
  </si>
  <si>
    <t>Metric</t>
  </si>
  <si>
    <t>Comps</t>
  </si>
  <si>
    <t>Net Debt</t>
  </si>
  <si>
    <t>Share Price</t>
  </si>
  <si>
    <t>EV/Revenue</t>
  </si>
  <si>
    <t>Football Field Chart</t>
  </si>
  <si>
    <t>DCF</t>
  </si>
  <si>
    <t>52-week high/low</t>
  </si>
  <si>
    <t>Market Consensus</t>
  </si>
  <si>
    <t>High</t>
  </si>
  <si>
    <t>(Motilal Oswal)</t>
  </si>
  <si>
    <t>Low</t>
  </si>
  <si>
    <t>(Prabhudas Lilladher)</t>
  </si>
  <si>
    <t>Valuation Summary</t>
  </si>
  <si>
    <t>Note: Comps range uses the EV/EBITDA-implied share price (Comps sheet) ±10% to reflect multiple dispersion across the peer set. DCF range uses the discount-rate × exit-multiple sensitivity table (Model sheet); the separate terminal-growth-rate sensitivity table is excluded here as it becomes unstable (blows up) as the discount rate approaches the growth rate — see Model sheet for that table on its own. Current market price (₹1,257.50) is plotted for reference; it is not one of the four bands.</t>
  </si>
  <si>
    <t>Sources: Comps and DCF per this workbook (Comps, WACC and Model sheets). 52-week high/low and analyst consensus target range from public market data (Sept 2026, investing.com consensus of 28 analysts).</t>
  </si>
  <si>
    <t>Sum-of-the-Parts (SOTP) Valuation</t>
  </si>
  <si>
    <t>Credit Risk Analysis</t>
  </si>
  <si>
    <t>A. PROFITABILITY RISK</t>
  </si>
  <si>
    <t>FY24-25</t>
  </si>
  <si>
    <t>FY25-26</t>
  </si>
  <si>
    <t>FY26-27E</t>
  </si>
  <si>
    <t>FY27-28E</t>
  </si>
  <si>
    <t>FY28-29E</t>
  </si>
  <si>
    <t>FY29-30E</t>
  </si>
  <si>
    <t>FY30-31E</t>
  </si>
  <si>
    <t>PAT (Profit After Tax)</t>
  </si>
  <si>
    <t>EBITDA Margin</t>
  </si>
  <si>
    <t>EBIT Margin</t>
  </si>
  <si>
    <t>PAT Margin</t>
  </si>
  <si>
    <t>B. LIQUIDITY RISK</t>
  </si>
  <si>
    <t>Current Ratio</t>
  </si>
  <si>
    <t>Receivable Days (DSO)</t>
  </si>
  <si>
    <t>Inventory Days (DIO)</t>
  </si>
  <si>
    <t>Payable Days (DPO)</t>
  </si>
  <si>
    <t>Cash Conversion Cycle (DIO+DSO-DPO)</t>
  </si>
  <si>
    <t>Trade Receivable</t>
  </si>
  <si>
    <t>Operating Working Capital</t>
  </si>
  <si>
    <t>C. CAPITAL STRUCTURE &amp; LEVERAGE RISK</t>
  </si>
  <si>
    <t>Non-Current Borrowings</t>
  </si>
  <si>
    <t>Current Borrowings</t>
  </si>
  <si>
    <t>Gross Debt</t>
  </si>
  <si>
    <t>Shareholder's Funds (Equity)</t>
  </si>
  <si>
    <t>Gross Debt / EBITDA</t>
  </si>
  <si>
    <t>Net Debt / EBITDA</t>
  </si>
  <si>
    <t>D. DEBT SERVICE RISK</t>
  </si>
  <si>
    <t>Finance Cost</t>
  </si>
  <si>
    <t>Long-Term Debt Repaid</t>
  </si>
  <si>
    <t>Interest Coverage (EBITDA / Finance Cost)</t>
  </si>
  <si>
    <t>DSCR</t>
  </si>
  <si>
    <t>E. CREDIT ASSESSMENT SUMMARY</t>
  </si>
  <si>
    <t>Leverage Flag (Net Debt/EBITDA)</t>
  </si>
  <si>
    <t>Liquidity Flag (Current Ratio)</t>
  </si>
  <si>
    <t>Coverage Flag (Interest Coverage)</t>
  </si>
  <si>
    <t>DSCR Flag</t>
  </si>
  <si>
    <t>Overall Credit Risk Rating</t>
  </si>
  <si>
    <t>F. PROPOSED 12500 CR NCD FUNDRAISE (5 Year ) — CREDIT IMPACT ASSESSMENT (FY26-27E)</t>
  </si>
  <si>
    <t>Assumptions</t>
  </si>
  <si>
    <t>Interest Rate (indicative, pre-tax cost of debt)</t>
  </si>
  <si>
    <t>Proposed Raise (₹ Crore)</t>
  </si>
  <si>
    <t>Annual Interest Cost (₹ Cr)</t>
  </si>
  <si>
    <t>Gross Debt (₹ Cr)</t>
  </si>
  <si>
    <t>Finance Cost (₹ Cr)</t>
  </si>
  <si>
    <t>Interest Coverage</t>
  </si>
  <si>
    <t>DSCR (approx., interest impact only)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</si>
</sst>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0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0.0%"/>
    <numFmt numFmtId="177" formatCode="0.00\x"/>
    <numFmt numFmtId="178" formatCode="0.\D"/>
    <numFmt numFmtId="179" formatCode="#,##0.00;\(#,##0.00\);\-"/>
    <numFmt numFmtId="180" formatCode="0.00_);[Red]\(0.00\)"/>
    <numFmt numFmtId="181" formatCode="0.0\x"/>
    <numFmt numFmtId="182" formatCode="m/d/yyyy;@"/>
    <numFmt numFmtId="183" formatCode="0\F"/>
    <numFmt numFmtId="184" formatCode="0\A"/>
    <numFmt numFmtId="185" formatCode=";;;"/>
    <numFmt numFmtId="186" formatCode="0.00_);\(0.00\)"/>
    <numFmt numFmtId="187" formatCode="0_);\(0\)"/>
    <numFmt numFmtId="188" formatCode="dd\-mmm\-yy"/>
    <numFmt numFmtId="189" formatCode="0.000"/>
    <numFmt numFmtId="190" formatCode="0.0&quot;x&quot;"/>
    <numFmt numFmtId="191" formatCode="#,##0;\(#,##0\);\-"/>
  </numFmts>
  <fonts count="99">
    <font>
      <sz val="11"/>
      <color theme="1"/>
      <name val="Calibri"/>
      <charset val="1"/>
    </font>
    <font>
      <sz val="24"/>
      <color theme="0"/>
      <name val="Times New Roman Regular"/>
      <charset val="1"/>
    </font>
    <font>
      <b/>
      <sz val="13"/>
      <color theme="0"/>
      <name val="Calibri"/>
      <charset val="1"/>
    </font>
    <font>
      <sz val="14"/>
      <color theme="0"/>
      <name val="Times New Roman Regular"/>
      <charset val="1"/>
    </font>
    <font>
      <sz val="11"/>
      <name val="Times New Roman Regular"/>
      <charset val="1"/>
    </font>
    <font>
      <sz val="11"/>
      <name val="Calibri"/>
      <charset val="1"/>
    </font>
    <font>
      <sz val="11"/>
      <color theme="0"/>
      <name val="Times New Roman Regular"/>
      <charset val="1"/>
    </font>
    <font>
      <b/>
      <sz val="12"/>
      <name val="Cambria"/>
      <charset val="1"/>
    </font>
    <font>
      <b/>
      <i/>
      <sz val="11"/>
      <color theme="0"/>
      <name val="Times New Roman Regular"/>
      <charset val="1"/>
    </font>
    <font>
      <sz val="11"/>
      <color theme="1"/>
      <name val="Times New Roman Regular"/>
      <charset val="1"/>
    </font>
    <font>
      <b/>
      <sz val="10"/>
      <color theme="0"/>
      <name val="Times New Roman Regular"/>
      <charset val="1"/>
    </font>
    <font>
      <b/>
      <sz val="10"/>
      <color rgb="FF000000"/>
      <name val="Times New Roman Regular"/>
      <charset val="1"/>
    </font>
    <font>
      <b/>
      <sz val="10"/>
      <name val="Times New Roman Regular"/>
      <charset val="1"/>
    </font>
    <font>
      <sz val="10"/>
      <color rgb="FF000000"/>
      <name val="Times New Roman Regular"/>
      <charset val="1"/>
    </font>
    <font>
      <sz val="10"/>
      <name val="Times New Roman Regular"/>
      <charset val="1"/>
    </font>
    <font>
      <b/>
      <sz val="10"/>
      <name val="Times New Roman Bold"/>
      <charset val="134"/>
    </font>
    <font>
      <b/>
      <sz val="12"/>
      <color theme="0"/>
      <name val="Times New Roman Regular"/>
      <charset val="1"/>
    </font>
    <font>
      <i/>
      <sz val="9"/>
      <color rgb="FF595959"/>
      <name val="Calibri"/>
      <charset val="1"/>
    </font>
    <font>
      <b/>
      <sz val="24"/>
      <color theme="0"/>
      <name val="Times New Roman Regular"/>
      <charset val="1"/>
    </font>
    <font>
      <b/>
      <sz val="11"/>
      <color theme="0"/>
      <name val="Times New Roman Regular"/>
      <charset val="134"/>
    </font>
    <font>
      <sz val="11"/>
      <name val="Calibri"/>
      <charset val="134"/>
    </font>
    <font>
      <b/>
      <sz val="11"/>
      <name val="Times New Roman Regular"/>
      <charset val="134"/>
    </font>
    <font>
      <sz val="11"/>
      <name val="Times New Roman Regular"/>
      <charset val="134"/>
    </font>
    <font>
      <sz val="11"/>
      <color theme="0"/>
      <name val="Times New Roman Regular"/>
      <charset val="134"/>
    </font>
    <font>
      <sz val="11"/>
      <color theme="1"/>
      <name val="Calibri"/>
      <charset val="134"/>
    </font>
    <font>
      <sz val="11"/>
      <color theme="1"/>
      <name val="Times New Roman Regular"/>
      <charset val="134"/>
    </font>
    <font>
      <b/>
      <i/>
      <u/>
      <sz val="6"/>
      <name val="Times New Roman Regular"/>
      <charset val="1"/>
    </font>
    <font>
      <sz val="11"/>
      <color rgb="FF0070C0"/>
      <name val="Times New Roman Regular"/>
      <charset val="1"/>
    </font>
    <font>
      <sz val="11"/>
      <color rgb="FF0070C0"/>
      <name val="Times New Roman Regular"/>
      <charset val="134"/>
    </font>
    <font>
      <b/>
      <i/>
      <u/>
      <sz val="6"/>
      <color rgb="FF000000"/>
      <name val="Times New Roman Regular"/>
      <charset val="1"/>
    </font>
    <font>
      <b/>
      <i/>
      <u/>
      <sz val="6"/>
      <name val="Times New Roman Regular"/>
      <charset val="134"/>
    </font>
    <font>
      <b/>
      <sz val="12"/>
      <color theme="0"/>
      <name val="Times New Roman Regular"/>
      <charset val="134"/>
    </font>
    <font>
      <b/>
      <sz val="11"/>
      <color theme="1"/>
      <name val="Times New Roman Regular"/>
      <charset val="134"/>
    </font>
    <font>
      <b/>
      <sz val="10"/>
      <color rgb="FF00B0F0"/>
      <name val="Times New Roman Regular"/>
      <charset val="1"/>
    </font>
    <font>
      <sz val="11"/>
      <name val="Times New Roman"/>
      <charset val="1"/>
    </font>
    <font>
      <sz val="11"/>
      <color rgb="FF0070C0"/>
      <name val="Times New Roman"/>
      <charset val="1"/>
    </font>
    <font>
      <sz val="12"/>
      <color theme="1"/>
      <name val="Times New Roman Regular"/>
      <charset val="1"/>
    </font>
    <font>
      <sz val="12"/>
      <color theme="1"/>
      <name val="Calibri"/>
      <charset val="1"/>
    </font>
    <font>
      <sz val="12"/>
      <color theme="0"/>
      <name val="Times New Roman Regular"/>
      <charset val="134"/>
    </font>
    <font>
      <i/>
      <sz val="12"/>
      <color theme="0"/>
      <name val="Times New Roman Regular"/>
      <charset val="1"/>
    </font>
    <font>
      <i/>
      <sz val="12"/>
      <color theme="0"/>
      <name val="Times New Roman"/>
      <charset val="1"/>
    </font>
    <font>
      <sz val="12"/>
      <color rgb="FF000000"/>
      <name val="Times New Roman Regular"/>
      <charset val="1"/>
    </font>
    <font>
      <sz val="12"/>
      <color rgb="FF00B050"/>
      <name val="Times New Roman Regular"/>
      <charset val="1"/>
    </font>
    <font>
      <b/>
      <sz val="12"/>
      <color rgb="FF000000"/>
      <name val="Times New Roman Regular"/>
      <charset val="1"/>
    </font>
    <font>
      <i/>
      <sz val="12"/>
      <color rgb="FF595959"/>
      <name val="Times New Roman Regular"/>
      <charset val="1"/>
    </font>
    <font>
      <sz val="10"/>
      <color rgb="FF0000FF"/>
      <name val="Times New Roman Regular"/>
      <charset val="1"/>
    </font>
    <font>
      <i/>
      <sz val="9"/>
      <color rgb="FF595959"/>
      <name val="Times New Roman Regular"/>
      <charset val="1"/>
    </font>
    <font>
      <b/>
      <i/>
      <u/>
      <sz val="8"/>
      <color rgb="FF595959"/>
      <name val="Times New Roman Regular"/>
      <charset val="1"/>
    </font>
    <font>
      <sz val="11"/>
      <color theme="0"/>
      <name val="Calibri"/>
      <charset val="1"/>
    </font>
    <font>
      <i/>
      <sz val="9"/>
      <color theme="0"/>
      <name val="Times New Roman Regular"/>
      <charset val="1"/>
    </font>
    <font>
      <b/>
      <sz val="11"/>
      <color theme="0"/>
      <name val="Times New Roman Regular"/>
      <charset val="1"/>
    </font>
    <font>
      <b/>
      <sz val="11"/>
      <name val="Times New Roman Regular"/>
      <charset val="1"/>
    </font>
    <font>
      <sz val="11"/>
      <color rgb="FF000000"/>
      <name val="Times New Roman Regular"/>
      <charset val="1"/>
    </font>
    <font>
      <sz val="11"/>
      <color rgb="FF0000FF"/>
      <name val="Times New Roman Regular"/>
      <charset val="1"/>
    </font>
    <font>
      <b/>
      <sz val="11"/>
      <color rgb="FF000000"/>
      <name val="Times New Roman Regular"/>
      <charset val="1"/>
    </font>
    <font>
      <i/>
      <sz val="11"/>
      <color rgb="FF595959"/>
      <name val="Times New Roman Regular"/>
      <charset val="1"/>
    </font>
    <font>
      <sz val="12"/>
      <color theme="0"/>
      <name val="Times New Roman Regular"/>
      <charset val="1"/>
    </font>
    <font>
      <sz val="12"/>
      <name val="Times New Roman Regular"/>
      <charset val="1"/>
    </font>
    <font>
      <sz val="12"/>
      <color rgb="FF00B0F0"/>
      <name val="Times New Roman Regular"/>
      <charset val="1"/>
    </font>
    <font>
      <b/>
      <sz val="11"/>
      <color theme="1"/>
      <name val="Times New Roman Regular"/>
      <charset val="1"/>
    </font>
    <font>
      <sz val="11"/>
      <color rgb="FF00B0F0"/>
      <name val="Times New Roman"/>
      <charset val="1"/>
    </font>
    <font>
      <b/>
      <sz val="14"/>
      <color theme="0"/>
      <name val="Times New Roman Regular"/>
      <charset val="1"/>
    </font>
    <font>
      <b/>
      <sz val="11"/>
      <color theme="1"/>
      <name val="Calibri"/>
      <charset val="1"/>
    </font>
    <font>
      <b/>
      <i/>
      <sz val="11"/>
      <color theme="1"/>
      <name val="Times New Roman Regular"/>
      <charset val="1"/>
    </font>
    <font>
      <sz val="12"/>
      <color theme="1"/>
      <name val="Times New Roman Regular"/>
      <charset val="134"/>
    </font>
    <font>
      <b/>
      <sz val="12"/>
      <color theme="1"/>
      <name val="Times New Roman Regular"/>
      <charset val="1"/>
    </font>
    <font>
      <b/>
      <sz val="11"/>
      <name val="Times New Roman"/>
      <charset val="1"/>
    </font>
    <font>
      <sz val="10"/>
      <color theme="0"/>
      <name val="Times New Roman Regular"/>
      <charset val="1"/>
    </font>
    <font>
      <sz val="10"/>
      <name val="Calibri"/>
      <charset val="1"/>
    </font>
    <font>
      <sz val="12"/>
      <color rgb="FF0000FF"/>
      <name val="Times New Roman Regular"/>
      <charset val="1"/>
    </font>
    <font>
      <b/>
      <sz val="12"/>
      <name val="Times New Roman Regular"/>
      <charset val="1"/>
    </font>
    <font>
      <i/>
      <sz val="12"/>
      <color rgb="FF000000"/>
      <name val="Times New Roman Regular"/>
      <charset val="1"/>
    </font>
    <font>
      <i/>
      <sz val="12"/>
      <name val="Times New Roman Regular"/>
      <charset val="1"/>
    </font>
    <font>
      <sz val="12"/>
      <name val="Times New Roman Regular"/>
      <charset val="134"/>
    </font>
    <font>
      <b/>
      <sz val="11"/>
      <color rgb="FF000000"/>
      <name val="Times New Roman Regular"/>
      <charset val="134"/>
    </font>
    <font>
      <sz val="11"/>
      <color rgb="FF000000"/>
      <name val="Times New Roman Regular"/>
      <charset val="134"/>
    </font>
    <font>
      <b/>
      <u/>
      <sz val="16"/>
      <color theme="1"/>
      <name val="Times New Roman Regular"/>
      <charset val="1"/>
    </font>
    <font>
      <b/>
      <u/>
      <sz val="14"/>
      <color theme="1"/>
      <name val="Times New Roman Regular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1" tint="0.05"/>
        <bgColor rgb="FF000000"/>
      </patternFill>
    </fill>
    <fill>
      <patternFill patternType="solid">
        <fgColor theme="1"/>
        <bgColor rgb="FF0D0D0D"/>
      </patternFill>
    </fill>
    <fill>
      <patternFill patternType="solid">
        <fgColor theme="0" tint="-0.25"/>
        <bgColor rgb="FFCCCCFF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222A35"/>
      </patternFill>
    </fill>
    <fill>
      <patternFill patternType="solid">
        <fgColor theme="1" tint="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theme="0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 style="dashed">
        <color theme="1"/>
      </left>
      <right style="dashed">
        <color theme="1"/>
      </right>
      <top/>
      <bottom style="dashed">
        <color theme="1"/>
      </bottom>
      <diagonal/>
    </border>
    <border>
      <left style="dashed">
        <color theme="1"/>
      </left>
      <right style="dashed">
        <color theme="1"/>
      </right>
      <top style="dashed">
        <color theme="1"/>
      </top>
      <bottom style="dashed">
        <color theme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78" fillId="0" borderId="0"/>
    <xf numFmtId="44" fontId="78" fillId="0" borderId="0"/>
    <xf numFmtId="9" fontId="78" fillId="0" borderId="0"/>
    <xf numFmtId="41" fontId="78" fillId="0" borderId="0"/>
    <xf numFmtId="42" fontId="78" fillId="0" borderId="0"/>
    <xf numFmtId="0" fontId="79" fillId="0" borderId="0">
      <alignment vertical="center"/>
    </xf>
    <xf numFmtId="0" fontId="80" fillId="0" borderId="0">
      <alignment vertical="center"/>
    </xf>
    <xf numFmtId="0" fontId="81" fillId="8" borderId="10">
      <alignment vertical="center"/>
    </xf>
    <xf numFmtId="0" fontId="82" fillId="0" borderId="0">
      <alignment vertical="center"/>
    </xf>
    <xf numFmtId="0" fontId="83" fillId="0" borderId="0">
      <alignment vertical="center"/>
    </xf>
    <xf numFmtId="0" fontId="84" fillId="0" borderId="0">
      <alignment vertical="center"/>
    </xf>
    <xf numFmtId="0" fontId="85" fillId="0" borderId="11">
      <alignment vertical="center"/>
    </xf>
    <xf numFmtId="0" fontId="86" fillId="0" borderId="11">
      <alignment vertical="center"/>
    </xf>
    <xf numFmtId="0" fontId="87" fillId="0" borderId="12">
      <alignment vertical="center"/>
    </xf>
    <xf numFmtId="0" fontId="87" fillId="0" borderId="0">
      <alignment vertical="center"/>
    </xf>
    <xf numFmtId="0" fontId="88" fillId="9" borderId="13">
      <alignment vertical="center"/>
    </xf>
    <xf numFmtId="0" fontId="89" fillId="10" borderId="14">
      <alignment vertical="center"/>
    </xf>
    <xf numFmtId="0" fontId="90" fillId="10" borderId="13">
      <alignment vertical="center"/>
    </xf>
    <xf numFmtId="0" fontId="91" fillId="11" borderId="15">
      <alignment vertical="center"/>
    </xf>
    <xf numFmtId="0" fontId="92" fillId="0" borderId="16">
      <alignment vertical="center"/>
    </xf>
    <xf numFmtId="0" fontId="93" fillId="0" borderId="17">
      <alignment vertical="center"/>
    </xf>
    <xf numFmtId="0" fontId="94" fillId="12" borderId="0">
      <alignment vertical="center"/>
    </xf>
    <xf numFmtId="0" fontId="95" fillId="13" borderId="0">
      <alignment vertical="center"/>
    </xf>
    <xf numFmtId="0" fontId="96" fillId="14" borderId="0">
      <alignment vertical="center"/>
    </xf>
    <xf numFmtId="0" fontId="97" fillId="15" borderId="0">
      <alignment vertical="center"/>
    </xf>
    <xf numFmtId="0" fontId="98" fillId="16" borderId="0">
      <alignment vertical="center"/>
    </xf>
    <xf numFmtId="0" fontId="98" fillId="17" borderId="0">
      <alignment vertical="center"/>
    </xf>
    <xf numFmtId="0" fontId="97" fillId="18" borderId="0">
      <alignment vertical="center"/>
    </xf>
    <xf numFmtId="0" fontId="97" fillId="19" borderId="0">
      <alignment vertical="center"/>
    </xf>
    <xf numFmtId="0" fontId="98" fillId="20" borderId="0">
      <alignment vertical="center"/>
    </xf>
    <xf numFmtId="0" fontId="98" fillId="21" borderId="0">
      <alignment vertical="center"/>
    </xf>
    <xf numFmtId="0" fontId="97" fillId="22" borderId="0">
      <alignment vertical="center"/>
    </xf>
    <xf numFmtId="0" fontId="97" fillId="23" borderId="0">
      <alignment vertical="center"/>
    </xf>
    <xf numFmtId="0" fontId="98" fillId="24" borderId="0">
      <alignment vertical="center"/>
    </xf>
    <xf numFmtId="0" fontId="98" fillId="25" borderId="0">
      <alignment vertical="center"/>
    </xf>
    <xf numFmtId="0" fontId="97" fillId="26" borderId="0">
      <alignment vertical="center"/>
    </xf>
    <xf numFmtId="0" fontId="97" fillId="27" borderId="0">
      <alignment vertical="center"/>
    </xf>
    <xf numFmtId="0" fontId="98" fillId="28" borderId="0">
      <alignment vertical="center"/>
    </xf>
    <xf numFmtId="0" fontId="98" fillId="29" borderId="0">
      <alignment vertical="center"/>
    </xf>
    <xf numFmtId="0" fontId="97" fillId="30" borderId="0">
      <alignment vertical="center"/>
    </xf>
    <xf numFmtId="0" fontId="97" fillId="31" borderId="0">
      <alignment vertical="center"/>
    </xf>
    <xf numFmtId="0" fontId="98" fillId="32" borderId="0">
      <alignment vertical="center"/>
    </xf>
    <xf numFmtId="0" fontId="98" fillId="33" borderId="0">
      <alignment vertical="center"/>
    </xf>
    <xf numFmtId="0" fontId="97" fillId="34" borderId="0">
      <alignment vertical="center"/>
    </xf>
    <xf numFmtId="0" fontId="97" fillId="35" borderId="0">
      <alignment vertical="center"/>
    </xf>
    <xf numFmtId="0" fontId="98" fillId="36" borderId="0">
      <alignment vertical="center"/>
    </xf>
    <xf numFmtId="0" fontId="98" fillId="37" borderId="0">
      <alignment vertical="center"/>
    </xf>
    <xf numFmtId="0" fontId="97" fillId="38" borderId="0">
      <alignment vertical="center"/>
    </xf>
  </cellStyleXfs>
  <cellXfs count="306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5" fillId="0" borderId="0" xfId="0" applyFont="1"/>
    <xf numFmtId="0" fontId="6" fillId="3" borderId="0" xfId="0" applyFont="1" applyFill="1"/>
    <xf numFmtId="0" fontId="7" fillId="3" borderId="0" xfId="0" applyFont="1" applyFill="1"/>
    <xf numFmtId="0" fontId="8" fillId="0" borderId="0" xfId="0" applyFont="1"/>
    <xf numFmtId="0" fontId="9" fillId="0" borderId="0" xfId="0"/>
    <xf numFmtId="0" fontId="10" fillId="3" borderId="0" xfId="0" applyFont="1" applyFill="1"/>
    <xf numFmtId="0" fontId="11" fillId="4" borderId="0" xfId="0" applyFont="1" applyFill="1"/>
    <xf numFmtId="0" fontId="4" fillId="4" borderId="0" xfId="0" applyFont="1" applyFill="1"/>
    <xf numFmtId="0" fontId="12" fillId="4" borderId="0" xfId="0" applyFont="1" applyFill="1" applyAlignment="1">
      <alignment horizontal="center"/>
    </xf>
    <xf numFmtId="0" fontId="13" fillId="0" borderId="0" xfId="0" applyFont="1"/>
    <xf numFmtId="3" fontId="13" fillId="0" borderId="0" xfId="0" applyNumberFormat="1" applyFont="1" applyAlignment="1">
      <alignment horizontal="center"/>
    </xf>
    <xf numFmtId="0" fontId="9" fillId="0" borderId="0" xfId="0" applyAlignment="1">
      <alignment horizontal="center"/>
    </xf>
    <xf numFmtId="176" fontId="13" fillId="0" borderId="0" xfId="0" applyNumberFormat="1" applyFont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3" fillId="4" borderId="0" xfId="0" applyFont="1" applyFill="1"/>
    <xf numFmtId="0" fontId="9" fillId="4" borderId="0" xfId="0" applyFill="1"/>
    <xf numFmtId="177" fontId="13" fillId="4" borderId="0" xfId="0" applyNumberFormat="1" applyFont="1" applyFill="1" applyAlignment="1">
      <alignment horizontal="center"/>
    </xf>
    <xf numFmtId="178" fontId="13" fillId="0" borderId="0" xfId="0" applyNumberFormat="1" applyFont="1" applyAlignment="1">
      <alignment horizontal="center"/>
    </xf>
    <xf numFmtId="178" fontId="13" fillId="4" borderId="0" xfId="0" applyNumberFormat="1" applyFont="1" applyFill="1" applyAlignment="1">
      <alignment horizontal="center"/>
    </xf>
    <xf numFmtId="3" fontId="13" fillId="4" borderId="0" xfId="0" applyNumberFormat="1" applyFont="1" applyFill="1" applyAlignment="1">
      <alignment horizontal="center"/>
    </xf>
    <xf numFmtId="0" fontId="12" fillId="4" borderId="0" xfId="0" applyFont="1" applyFill="1"/>
    <xf numFmtId="0" fontId="12" fillId="0" borderId="0" xfId="0" applyFont="1"/>
    <xf numFmtId="0" fontId="4" fillId="0" borderId="0" xfId="0" applyFont="1"/>
    <xf numFmtId="3" fontId="12" fillId="0" borderId="0" xfId="0" applyNumberFormat="1" applyFont="1" applyAlignment="1">
      <alignment horizontal="center"/>
    </xf>
    <xf numFmtId="0" fontId="14" fillId="0" borderId="0" xfId="0" applyFont="1"/>
    <xf numFmtId="3" fontId="14" fillId="0" borderId="0" xfId="0" applyNumberFormat="1" applyFont="1" applyAlignment="1">
      <alignment horizontal="center"/>
    </xf>
    <xf numFmtId="0" fontId="10" fillId="2" borderId="0" xfId="0" applyFont="1" applyFill="1"/>
    <xf numFmtId="0" fontId="6" fillId="2" borderId="0" xfId="0" applyFont="1" applyFill="1"/>
    <xf numFmtId="3" fontId="13" fillId="0" borderId="0" xfId="0" applyNumberFormat="1" applyFont="1" applyAlignment="1">
      <alignment horizontal="right"/>
    </xf>
    <xf numFmtId="177" fontId="13" fillId="0" borderId="0" xfId="0" applyNumberFormat="1" applyFont="1" applyAlignment="1">
      <alignment horizontal="right"/>
    </xf>
    <xf numFmtId="49" fontId="13" fillId="0" borderId="0" xfId="0" applyNumberFormat="1" applyFont="1" applyAlignment="1">
      <alignment horizontal="right"/>
    </xf>
    <xf numFmtId="49" fontId="11" fillId="4" borderId="0" xfId="0" applyNumberFormat="1" applyFont="1" applyFill="1" applyAlignment="1">
      <alignment horizontal="right"/>
    </xf>
    <xf numFmtId="0" fontId="11" fillId="0" borderId="0" xfId="0" applyFont="1"/>
    <xf numFmtId="10" fontId="15" fillId="0" borderId="0" xfId="0" applyNumberFormat="1" applyFont="1" applyAlignment="1">
      <alignment wrapText="1"/>
    </xf>
    <xf numFmtId="0" fontId="16" fillId="3" borderId="0" xfId="0" applyFont="1" applyFill="1" applyAlignment="1">
      <alignment vertical="center"/>
    </xf>
    <xf numFmtId="0" fontId="10" fillId="3" borderId="0" xfId="0" applyFont="1" applyFill="1" applyAlignment="1">
      <alignment horizontal="center" wrapText="1"/>
    </xf>
    <xf numFmtId="0" fontId="10" fillId="0" borderId="0" xfId="0" applyFont="1" applyAlignment="1">
      <alignment horizontal="center" wrapText="1"/>
    </xf>
    <xf numFmtId="177" fontId="13" fillId="0" borderId="0" xfId="0" applyNumberFormat="1" applyFont="1" applyAlignment="1">
      <alignment horizontal="center"/>
    </xf>
    <xf numFmtId="0" fontId="17" fillId="0" borderId="0" xfId="0" applyFont="1" applyAlignment="1"/>
    <xf numFmtId="0" fontId="0" fillId="3" borderId="0" xfId="0" applyFill="1"/>
    <xf numFmtId="0" fontId="8" fillId="2" borderId="0" xfId="0" applyFont="1" applyFill="1"/>
    <xf numFmtId="0" fontId="18" fillId="3" borderId="0" xfId="0" applyFont="1" applyFill="1"/>
    <xf numFmtId="0" fontId="1" fillId="3" borderId="0" xfId="0" applyFont="1" applyFill="1"/>
    <xf numFmtId="0" fontId="0" fillId="5" borderId="0" xfId="0" applyFill="1"/>
    <xf numFmtId="0" fontId="16" fillId="3" borderId="0" xfId="0" applyFont="1" applyFill="1"/>
    <xf numFmtId="0" fontId="19" fillId="6" borderId="0" xfId="0" applyFont="1" applyFill="1" applyAlignment="1">
      <alignment vertical="center"/>
    </xf>
    <xf numFmtId="0" fontId="20" fillId="6" borderId="0" xfId="0" applyFont="1" applyFill="1" applyAlignment="1">
      <alignment vertical="center"/>
    </xf>
    <xf numFmtId="0" fontId="21" fillId="6" borderId="0" xfId="0" applyFont="1" applyFill="1"/>
    <xf numFmtId="0" fontId="22" fillId="6" borderId="0" xfId="0" applyFont="1" applyFill="1"/>
    <xf numFmtId="0" fontId="22" fillId="6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4" fillId="0" borderId="0" xfId="0" applyFont="1"/>
    <xf numFmtId="0" fontId="25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25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179" fontId="4" fillId="0" borderId="0" xfId="0" applyNumberFormat="1" applyFont="1" applyAlignment="1">
      <alignment horizontal="center"/>
    </xf>
    <xf numFmtId="179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179" fontId="4" fillId="0" borderId="0" xfId="0" applyNumberFormat="1" applyFont="1"/>
    <xf numFmtId="0" fontId="24" fillId="0" borderId="0" xfId="0" applyFont="1" applyAlignment="1">
      <alignment vertical="center"/>
    </xf>
    <xf numFmtId="0" fontId="25" fillId="0" borderId="0" xfId="0" applyFont="1" applyAlignment="1">
      <alignment horizontal="center"/>
    </xf>
    <xf numFmtId="180" fontId="22" fillId="0" borderId="2" xfId="0" applyNumberFormat="1" applyFont="1" applyBorder="1" applyAlignment="1">
      <alignment horizontal="center" vertical="center"/>
    </xf>
    <xf numFmtId="180" fontId="4" fillId="0" borderId="2" xfId="0" applyNumberFormat="1" applyFont="1" applyBorder="1" applyAlignment="1">
      <alignment horizontal="center"/>
    </xf>
    <xf numFmtId="179" fontId="26" fillId="0" borderId="0" xfId="0" applyNumberFormat="1" applyFont="1" applyAlignment="1">
      <alignment horizontal="right"/>
    </xf>
    <xf numFmtId="179" fontId="27" fillId="0" borderId="0" xfId="0" applyNumberFormat="1" applyFont="1" applyAlignment="1">
      <alignment horizontal="center"/>
    </xf>
    <xf numFmtId="3" fontId="28" fillId="0" borderId="0" xfId="0" applyNumberFormat="1" applyFont="1" applyAlignment="1">
      <alignment horizontal="center" vertical="center"/>
    </xf>
    <xf numFmtId="180" fontId="22" fillId="0" borderId="0" xfId="0" applyNumberFormat="1" applyFont="1" applyAlignment="1">
      <alignment horizontal="center" vertical="center"/>
    </xf>
    <xf numFmtId="180" fontId="4" fillId="0" borderId="0" xfId="0" applyNumberFormat="1" applyFont="1" applyAlignment="1">
      <alignment horizontal="center"/>
    </xf>
    <xf numFmtId="0" fontId="29" fillId="0" borderId="0" xfId="0" applyFont="1" applyAlignment="1">
      <alignment wrapText="1"/>
    </xf>
    <xf numFmtId="0" fontId="27" fillId="0" borderId="0" xfId="0" applyFont="1" applyAlignment="1">
      <alignment horizontal="center"/>
    </xf>
    <xf numFmtId="3" fontId="27" fillId="0" borderId="0" xfId="0" applyNumberFormat="1" applyFont="1" applyAlignment="1">
      <alignment horizontal="center"/>
    </xf>
    <xf numFmtId="0" fontId="29" fillId="0" borderId="0" xfId="0" applyFont="1"/>
    <xf numFmtId="0" fontId="30" fillId="0" borderId="0" xfId="0" applyFont="1" applyAlignment="1">
      <alignment horizontal="right" vertical="center"/>
    </xf>
    <xf numFmtId="0" fontId="28" fillId="0" borderId="0" xfId="0" applyFont="1" applyAlignment="1">
      <alignment vertical="center"/>
    </xf>
    <xf numFmtId="0" fontId="19" fillId="6" borderId="0" xfId="0" applyFont="1" applyFill="1"/>
    <xf numFmtId="0" fontId="31" fillId="6" borderId="0" xfId="0" applyFont="1" applyFill="1" applyAlignment="1">
      <alignment horizontal="left" vertical="center" wrapText="1"/>
    </xf>
    <xf numFmtId="180" fontId="32" fillId="6" borderId="0" xfId="0" applyNumberFormat="1" applyFont="1" applyFill="1"/>
    <xf numFmtId="180" fontId="32" fillId="6" borderId="0" xfId="0" applyNumberFormat="1" applyFont="1" applyFill="1" applyAlignment="1">
      <alignment vertical="center"/>
    </xf>
    <xf numFmtId="180" fontId="33" fillId="6" borderId="0" xfId="0" applyNumberFormat="1" applyFont="1" applyFill="1"/>
    <xf numFmtId="3" fontId="33" fillId="6" borderId="0" xfId="0" applyNumberFormat="1" applyFont="1" applyFill="1" applyAlignment="1">
      <alignment horizontal="right" vertical="center"/>
    </xf>
    <xf numFmtId="0" fontId="34" fillId="0" borderId="0" xfId="0" applyFont="1" applyAlignment="1">
      <alignment horizontal="left"/>
    </xf>
    <xf numFmtId="0" fontId="28" fillId="0" borderId="0" xfId="0" applyFont="1" applyAlignment="1">
      <alignment horizontal="center" vertical="center"/>
    </xf>
    <xf numFmtId="0" fontId="35" fillId="0" borderId="0" xfId="0" applyFont="1" applyAlignment="1">
      <alignment horizontal="center"/>
    </xf>
    <xf numFmtId="179" fontId="35" fillId="0" borderId="0" xfId="0" applyNumberFormat="1" applyFont="1" applyAlignment="1">
      <alignment horizontal="center"/>
    </xf>
    <xf numFmtId="3" fontId="35" fillId="0" borderId="0" xfId="0" applyNumberFormat="1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17" fillId="0" borderId="0" xfId="0" applyFont="1" applyAlignment="1">
      <alignment wrapText="1"/>
    </xf>
    <xf numFmtId="0" fontId="17" fillId="0" borderId="0" xfId="0" applyFont="1"/>
    <xf numFmtId="0" fontId="18" fillId="2" borderId="0" xfId="0" applyFont="1" applyFill="1"/>
    <xf numFmtId="0" fontId="16" fillId="2" borderId="0" xfId="0" applyFont="1" applyFill="1"/>
    <xf numFmtId="0" fontId="36" fillId="0" borderId="0" xfId="0" applyFont="1"/>
    <xf numFmtId="0" fontId="37" fillId="0" borderId="0" xfId="0" applyFont="1"/>
    <xf numFmtId="180" fontId="38" fillId="3" borderId="0" xfId="0" applyNumberFormat="1" applyFont="1" applyFill="1"/>
    <xf numFmtId="180" fontId="38" fillId="3" borderId="0" xfId="0" applyNumberFormat="1" applyFont="1" applyFill="1" applyAlignment="1">
      <alignment vertical="center"/>
    </xf>
    <xf numFmtId="180" fontId="16" fillId="3" borderId="0" xfId="0" applyNumberFormat="1" applyFont="1" applyFill="1" applyAlignment="1">
      <alignment horizontal="center"/>
    </xf>
    <xf numFmtId="180" fontId="16" fillId="3" borderId="3" xfId="0" applyNumberFormat="1" applyFont="1" applyFill="1" applyBorder="1" applyAlignment="1">
      <alignment horizontal="center"/>
    </xf>
    <xf numFmtId="180" fontId="39" fillId="3" borderId="0" xfId="0" applyNumberFormat="1" applyFont="1" applyFill="1"/>
    <xf numFmtId="180" fontId="39" fillId="3" borderId="0" xfId="0" applyNumberFormat="1" applyFont="1" applyFill="1" applyAlignment="1">
      <alignment horizontal="center"/>
    </xf>
    <xf numFmtId="180" fontId="40" fillId="3" borderId="0" xfId="0" applyNumberFormat="1" applyFont="1" applyFill="1" applyAlignment="1">
      <alignment horizontal="center"/>
    </xf>
    <xf numFmtId="180" fontId="38" fillId="3" borderId="0" xfId="0" applyNumberFormat="1" applyFont="1" applyFill="1" applyAlignment="1">
      <alignment horizontal="center"/>
    </xf>
    <xf numFmtId="0" fontId="41" fillId="0" borderId="2" xfId="0" applyFont="1" applyBorder="1"/>
    <xf numFmtId="0" fontId="36" fillId="0" borderId="2" xfId="0" applyFont="1" applyBorder="1"/>
    <xf numFmtId="3" fontId="42" fillId="0" borderId="2" xfId="0" applyNumberFormat="1" applyFont="1" applyBorder="1" applyAlignment="1">
      <alignment horizontal="right"/>
    </xf>
    <xf numFmtId="3" fontId="41" fillId="0" borderId="2" xfId="0" applyNumberFormat="1" applyFont="1" applyBorder="1" applyAlignment="1">
      <alignment horizontal="right"/>
    </xf>
    <xf numFmtId="181" fontId="41" fillId="0" borderId="2" xfId="0" applyNumberFormat="1" applyFont="1" applyBorder="1" applyAlignment="1">
      <alignment horizontal="right"/>
    </xf>
    <xf numFmtId="0" fontId="41" fillId="0" borderId="0" xfId="0" applyFont="1"/>
    <xf numFmtId="3" fontId="42" fillId="0" borderId="0" xfId="0" applyNumberFormat="1" applyFont="1" applyAlignment="1">
      <alignment horizontal="right"/>
    </xf>
    <xf numFmtId="3" fontId="41" fillId="0" borderId="0" xfId="0" applyNumberFormat="1" applyFont="1" applyAlignment="1">
      <alignment horizontal="right"/>
    </xf>
    <xf numFmtId="181" fontId="41" fillId="0" borderId="0" xfId="0" applyNumberFormat="1" applyFont="1" applyAlignment="1">
      <alignment horizontal="right"/>
    </xf>
    <xf numFmtId="0" fontId="43" fillId="4" borderId="0" xfId="0" applyFont="1" applyFill="1"/>
    <xf numFmtId="0" fontId="36" fillId="4" borderId="0" xfId="0" applyFont="1" applyFill="1"/>
    <xf numFmtId="0" fontId="42" fillId="4" borderId="0" xfId="0" applyFont="1" applyFill="1"/>
    <xf numFmtId="181" fontId="43" fillId="4" borderId="0" xfId="0" applyNumberFormat="1" applyFont="1" applyFill="1" applyAlignment="1">
      <alignment horizontal="right"/>
    </xf>
    <xf numFmtId="0" fontId="43" fillId="0" borderId="0" xfId="0" applyFont="1"/>
    <xf numFmtId="3" fontId="43" fillId="0" borderId="0" xfId="0" applyNumberFormat="1" applyFont="1" applyAlignment="1">
      <alignment horizontal="right"/>
    </xf>
    <xf numFmtId="180" fontId="38" fillId="3" borderId="0" xfId="0" applyNumberFormat="1" applyFont="1" applyFill="1" applyAlignment="1">
      <alignment horizontal="center" vertical="center"/>
    </xf>
    <xf numFmtId="4" fontId="43" fillId="0" borderId="0" xfId="0" applyNumberFormat="1" applyFont="1" applyAlignment="1">
      <alignment horizontal="right"/>
    </xf>
    <xf numFmtId="0" fontId="44" fillId="0" borderId="0" xfId="0" applyFont="1"/>
    <xf numFmtId="4" fontId="45" fillId="0" borderId="0" xfId="0" applyNumberFormat="1" applyFont="1"/>
    <xf numFmtId="3" fontId="13" fillId="0" borderId="0" xfId="0" applyNumberFormat="1" applyFont="1"/>
    <xf numFmtId="0" fontId="46" fillId="4" borderId="0" xfId="0" applyFont="1" applyFill="1"/>
    <xf numFmtId="4" fontId="45" fillId="0" borderId="0" xfId="0" applyNumberFormat="1" applyFont="1" applyAlignment="1">
      <alignment horizontal="right"/>
    </xf>
    <xf numFmtId="3" fontId="45" fillId="0" borderId="0" xfId="0" applyNumberFormat="1" applyFont="1" applyAlignment="1">
      <alignment horizontal="right"/>
    </xf>
    <xf numFmtId="0" fontId="47" fillId="0" borderId="0" xfId="0" applyFont="1"/>
    <xf numFmtId="0" fontId="46" fillId="0" borderId="0" xfId="0" applyFont="1"/>
    <xf numFmtId="0" fontId="48" fillId="0" borderId="0" xfId="0" applyFont="1"/>
    <xf numFmtId="0" fontId="49" fillId="2" borderId="0" xfId="0" applyFont="1" applyFill="1"/>
    <xf numFmtId="0" fontId="50" fillId="3" borderId="0" xfId="0" applyFont="1" applyFill="1"/>
    <xf numFmtId="0" fontId="22" fillId="0" borderId="0" xfId="0" applyFont="1"/>
    <xf numFmtId="0" fontId="22" fillId="0" borderId="0" xfId="0" applyFont="1" applyAlignment="1">
      <alignment vertical="center"/>
    </xf>
    <xf numFmtId="0" fontId="51" fillId="0" borderId="0" xfId="0" applyFont="1" applyAlignment="1">
      <alignment horizontal="center" vertical="center"/>
    </xf>
    <xf numFmtId="0" fontId="51" fillId="0" borderId="0" xfId="0" applyFont="1"/>
    <xf numFmtId="0" fontId="52" fillId="0" borderId="2" xfId="0" applyFont="1" applyBorder="1"/>
    <xf numFmtId="0" fontId="9" fillId="0" borderId="2" xfId="0" applyBorder="1"/>
    <xf numFmtId="3" fontId="52" fillId="0" borderId="2" xfId="0" applyNumberFormat="1" applyFont="1" applyBorder="1" applyAlignment="1">
      <alignment horizontal="center" vertical="center"/>
    </xf>
    <xf numFmtId="176" fontId="52" fillId="0" borderId="2" xfId="0" applyNumberFormat="1" applyFont="1" applyBorder="1" applyAlignment="1">
      <alignment horizontal="center" vertical="center"/>
    </xf>
    <xf numFmtId="2" fontId="53" fillId="0" borderId="2" xfId="0" applyNumberFormat="1" applyFont="1" applyBorder="1" applyAlignment="1">
      <alignment horizontal="center" vertical="center"/>
    </xf>
    <xf numFmtId="2" fontId="52" fillId="0" borderId="2" xfId="0" applyNumberFormat="1" applyFont="1" applyBorder="1" applyAlignment="1">
      <alignment horizontal="center" vertical="center"/>
    </xf>
    <xf numFmtId="0" fontId="52" fillId="0" borderId="0" xfId="0" applyFont="1"/>
    <xf numFmtId="3" fontId="52" fillId="0" borderId="0" xfId="0" applyNumberFormat="1" applyFont="1" applyAlignment="1">
      <alignment horizontal="center" vertical="center"/>
    </xf>
    <xf numFmtId="176" fontId="52" fillId="0" borderId="0" xfId="0" applyNumberFormat="1" applyFont="1" applyAlignment="1">
      <alignment horizontal="center" vertical="center"/>
    </xf>
    <xf numFmtId="2" fontId="53" fillId="0" borderId="0" xfId="0" applyNumberFormat="1" applyFont="1" applyAlignment="1">
      <alignment horizontal="center" vertical="center"/>
    </xf>
    <xf numFmtId="2" fontId="52" fillId="0" borderId="0" xfId="0" applyNumberFormat="1" applyFont="1" applyAlignment="1">
      <alignment horizontal="center" vertical="center"/>
    </xf>
    <xf numFmtId="0" fontId="50" fillId="2" borderId="0" xfId="0" applyFont="1" applyFill="1"/>
    <xf numFmtId="0" fontId="6" fillId="2" borderId="0" xfId="0" applyFont="1" applyFill="1" applyAlignment="1">
      <alignment horizontal="center" vertical="center"/>
    </xf>
    <xf numFmtId="176" fontId="50" fillId="2" borderId="0" xfId="0" applyNumberFormat="1" applyFont="1" applyFill="1" applyAlignment="1">
      <alignment horizontal="center" vertical="center"/>
    </xf>
    <xf numFmtId="2" fontId="50" fillId="2" borderId="0" xfId="0" applyNumberFormat="1" applyFont="1" applyFill="1" applyAlignment="1">
      <alignment horizontal="center" vertical="center"/>
    </xf>
    <xf numFmtId="0" fontId="54" fillId="0" borderId="0" xfId="0" applyFont="1"/>
    <xf numFmtId="3" fontId="54" fillId="0" borderId="0" xfId="0" applyNumberFormat="1" applyFont="1" applyAlignment="1">
      <alignment horizontal="right"/>
    </xf>
    <xf numFmtId="0" fontId="50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176" fontId="52" fillId="0" borderId="0" xfId="0" applyNumberFormat="1" applyFont="1" applyAlignment="1">
      <alignment horizontal="right"/>
    </xf>
    <xf numFmtId="3" fontId="52" fillId="0" borderId="0" xfId="0" applyNumberFormat="1" applyFont="1" applyAlignment="1">
      <alignment horizontal="right"/>
    </xf>
    <xf numFmtId="176" fontId="52" fillId="0" borderId="2" xfId="0" applyNumberFormat="1" applyFont="1" applyBorder="1" applyAlignment="1">
      <alignment horizontal="right"/>
    </xf>
    <xf numFmtId="180" fontId="52" fillId="0" borderId="0" xfId="0" applyNumberFormat="1" applyFont="1" applyAlignment="1">
      <alignment horizontal="right"/>
    </xf>
    <xf numFmtId="176" fontId="54" fillId="0" borderId="0" xfId="0" applyNumberFormat="1" applyFont="1" applyAlignment="1">
      <alignment horizontal="right"/>
    </xf>
    <xf numFmtId="0" fontId="55" fillId="0" borderId="0" xfId="0" applyFont="1" applyAlignment="1">
      <alignment wrapText="1"/>
    </xf>
    <xf numFmtId="0" fontId="24" fillId="0" borderId="0" xfId="0" applyFont="1" applyAlignment="1">
      <alignment horizontal="center"/>
    </xf>
    <xf numFmtId="0" fontId="24" fillId="0" borderId="0" xfId="0" applyFont="1" applyAlignment="1">
      <alignment horizontal="center" vertical="center"/>
    </xf>
    <xf numFmtId="0" fontId="38" fillId="3" borderId="0" xfId="0" applyFont="1" applyFill="1" applyAlignment="1">
      <alignment horizontal="center" vertical="center"/>
    </xf>
    <xf numFmtId="0" fontId="56" fillId="3" borderId="0" xfId="0" applyFont="1" applyFill="1" applyAlignment="1">
      <alignment horizontal="center"/>
    </xf>
    <xf numFmtId="0" fontId="57" fillId="0" borderId="0" xfId="0" applyFont="1" applyAlignment="1">
      <alignment horizontal="center"/>
    </xf>
    <xf numFmtId="0" fontId="38" fillId="3" borderId="4" xfId="0" applyFont="1" applyFill="1" applyBorder="1" applyAlignment="1">
      <alignment horizontal="center"/>
    </xf>
    <xf numFmtId="182" fontId="58" fillId="0" borderId="0" xfId="0" applyNumberFormat="1" applyFont="1" applyAlignment="1">
      <alignment horizontal="center"/>
    </xf>
    <xf numFmtId="4" fontId="58" fillId="0" borderId="0" xfId="0" applyNumberFormat="1" applyFont="1" applyAlignment="1">
      <alignment horizontal="center"/>
    </xf>
    <xf numFmtId="10" fontId="38" fillId="3" borderId="4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 vertical="center" wrapText="1"/>
    </xf>
    <xf numFmtId="0" fontId="9" fillId="0" borderId="0" xfId="0" applyAlignment="1">
      <alignment horizontal="center" vertical="center"/>
    </xf>
    <xf numFmtId="0" fontId="59" fillId="0" borderId="2" xfId="0" applyFont="1" applyBorder="1"/>
    <xf numFmtId="0" fontId="59" fillId="0" borderId="2" xfId="0" applyFont="1" applyBorder="1" applyAlignment="1">
      <alignment horizontal="center" vertical="center"/>
    </xf>
    <xf numFmtId="0" fontId="32" fillId="0" borderId="0" xfId="0" applyFont="1"/>
    <xf numFmtId="0" fontId="32" fillId="0" borderId="5" xfId="0" applyFont="1" applyBorder="1" applyAlignment="1">
      <alignment horizontal="center"/>
    </xf>
    <xf numFmtId="183" fontId="32" fillId="0" borderId="0" xfId="0" applyNumberFormat="1" applyFont="1" applyAlignment="1">
      <alignment horizontal="center" vertical="center"/>
    </xf>
    <xf numFmtId="0" fontId="24" fillId="0" borderId="2" xfId="0" applyFont="1" applyBorder="1"/>
    <xf numFmtId="0" fontId="25" fillId="0" borderId="2" xfId="0" applyFont="1" applyBorder="1"/>
    <xf numFmtId="10" fontId="34" fillId="0" borderId="6" xfId="0" applyNumberFormat="1" applyFont="1" applyBorder="1" applyAlignment="1">
      <alignment vertical="center"/>
    </xf>
    <xf numFmtId="0" fontId="24" fillId="0" borderId="2" xfId="0" applyFont="1" applyBorder="1" applyAlignment="1">
      <alignment vertical="center"/>
    </xf>
    <xf numFmtId="10" fontId="34" fillId="0" borderId="2" xfId="0" applyNumberFormat="1" applyFont="1" applyBorder="1" applyAlignment="1">
      <alignment horizontal="right" vertical="center"/>
    </xf>
    <xf numFmtId="0" fontId="25" fillId="0" borderId="0" xfId="0" applyFont="1"/>
    <xf numFmtId="10" fontId="34" fillId="0" borderId="7" xfId="0" applyNumberFormat="1" applyFont="1" applyBorder="1" applyAlignment="1">
      <alignment vertical="center"/>
    </xf>
    <xf numFmtId="10" fontId="34" fillId="0" borderId="0" xfId="0" applyNumberFormat="1" applyFont="1" applyAlignment="1">
      <alignment horizontal="right"/>
    </xf>
    <xf numFmtId="10" fontId="60" fillId="0" borderId="7" xfId="0" applyNumberFormat="1" applyFont="1" applyBorder="1" applyAlignment="1">
      <alignment vertical="center"/>
    </xf>
    <xf numFmtId="0" fontId="24" fillId="0" borderId="0" xfId="0" applyFont="1" applyAlignment="1">
      <alignment horizontal="right"/>
    </xf>
    <xf numFmtId="0" fontId="61" fillId="3" borderId="0" xfId="0" applyFont="1" applyFill="1" applyAlignment="1">
      <alignment horizontal="center"/>
    </xf>
    <xf numFmtId="184" fontId="56" fillId="3" borderId="0" xfId="0" applyNumberFormat="1" applyFont="1" applyFill="1" applyAlignment="1">
      <alignment horizontal="center"/>
    </xf>
    <xf numFmtId="183" fontId="56" fillId="3" borderId="0" xfId="0" applyNumberFormat="1" applyFont="1" applyFill="1" applyAlignment="1">
      <alignment horizontal="center"/>
    </xf>
    <xf numFmtId="185" fontId="9" fillId="0" borderId="0" xfId="0" applyNumberFormat="1"/>
    <xf numFmtId="10" fontId="9" fillId="0" borderId="0" xfId="0" applyNumberFormat="1"/>
    <xf numFmtId="180" fontId="9" fillId="0" borderId="0" xfId="0" applyNumberFormat="1"/>
    <xf numFmtId="181" fontId="9" fillId="0" borderId="0" xfId="0" applyNumberFormat="1"/>
    <xf numFmtId="0" fontId="9" fillId="3" borderId="0" xfId="0" applyFill="1"/>
    <xf numFmtId="186" fontId="9" fillId="0" borderId="0" xfId="0" applyNumberFormat="1"/>
    <xf numFmtId="187" fontId="9" fillId="0" borderId="0" xfId="0" applyNumberFormat="1"/>
    <xf numFmtId="0" fontId="62" fillId="0" borderId="2" xfId="0" applyFont="1" applyBorder="1"/>
    <xf numFmtId="187" fontId="59" fillId="0" borderId="2" xfId="0" applyNumberFormat="1" applyFont="1" applyBorder="1"/>
    <xf numFmtId="187" fontId="0" fillId="0" borderId="0" xfId="0" applyNumberFormat="1"/>
    <xf numFmtId="0" fontId="59" fillId="0" borderId="0" xfId="0" applyFont="1"/>
    <xf numFmtId="179" fontId="9" fillId="0" borderId="0" xfId="0" applyNumberFormat="1"/>
    <xf numFmtId="187" fontId="59" fillId="0" borderId="0" xfId="0" applyNumberFormat="1" applyFont="1"/>
    <xf numFmtId="0" fontId="63" fillId="0" borderId="0" xfId="0" applyFont="1"/>
    <xf numFmtId="0" fontId="63" fillId="0" borderId="0" xfId="0" applyFont="1" applyAlignment="1">
      <alignment horizontal="center" vertical="center"/>
    </xf>
    <xf numFmtId="0" fontId="64" fillId="0" borderId="0" xfId="0" applyFont="1"/>
    <xf numFmtId="0" fontId="65" fillId="0" borderId="2" xfId="0" applyFont="1" applyBorder="1"/>
    <xf numFmtId="0" fontId="34" fillId="0" borderId="0" xfId="0" applyFont="1"/>
    <xf numFmtId="0" fontId="66" fillId="0" borderId="2" xfId="0" applyFont="1" applyBorder="1"/>
    <xf numFmtId="0" fontId="0" fillId="0" borderId="2" xfId="0" applyBorder="1"/>
    <xf numFmtId="0" fontId="66" fillId="0" borderId="0" xfId="0" applyFont="1"/>
    <xf numFmtId="187" fontId="9" fillId="3" borderId="0" xfId="0" applyNumberFormat="1" applyFill="1"/>
    <xf numFmtId="187" fontId="0" fillId="3" borderId="0" xfId="0" applyNumberFormat="1" applyFill="1"/>
    <xf numFmtId="179" fontId="9" fillId="0" borderId="2" xfId="0" applyNumberFormat="1" applyBorder="1"/>
    <xf numFmtId="0" fontId="16" fillId="5" borderId="0" xfId="0" applyFont="1" applyFill="1"/>
    <xf numFmtId="0" fontId="67" fillId="5" borderId="0" xfId="0" applyFont="1" applyFill="1"/>
    <xf numFmtId="0" fontId="68" fillId="0" borderId="0" xfId="0" applyFont="1"/>
    <xf numFmtId="0" fontId="57" fillId="0" borderId="0" xfId="0" applyFont="1"/>
    <xf numFmtId="188" fontId="57" fillId="0" borderId="0" xfId="0" applyNumberFormat="1" applyFont="1" applyAlignment="1">
      <alignment horizontal="right"/>
    </xf>
    <xf numFmtId="188" fontId="69" fillId="0" borderId="2" xfId="0" applyNumberFormat="1" applyFont="1" applyBorder="1" applyAlignment="1">
      <alignment horizontal="right"/>
    </xf>
    <xf numFmtId="188" fontId="69" fillId="0" borderId="0" xfId="0" applyNumberFormat="1" applyFont="1" applyAlignment="1">
      <alignment horizontal="right"/>
    </xf>
    <xf numFmtId="176" fontId="41" fillId="0" borderId="0" xfId="0" applyNumberFormat="1" applyFont="1" applyAlignment="1">
      <alignment horizontal="right"/>
    </xf>
    <xf numFmtId="176" fontId="69" fillId="0" borderId="0" xfId="0" applyNumberFormat="1" applyFont="1" applyAlignment="1">
      <alignment horizontal="right"/>
    </xf>
    <xf numFmtId="4" fontId="41" fillId="0" borderId="0" xfId="0" applyNumberFormat="1" applyFont="1" applyAlignment="1">
      <alignment horizontal="right"/>
    </xf>
    <xf numFmtId="1" fontId="57" fillId="0" borderId="0" xfId="0" applyNumberFormat="1" applyFont="1" applyAlignment="1">
      <alignment horizontal="center"/>
    </xf>
    <xf numFmtId="3" fontId="57" fillId="0" borderId="0" xfId="0" applyNumberFormat="1" applyFont="1" applyAlignment="1">
      <alignment horizontal="right"/>
    </xf>
    <xf numFmtId="0" fontId="70" fillId="0" borderId="0" xfId="0" applyFont="1"/>
    <xf numFmtId="0" fontId="43" fillId="0" borderId="0" xfId="0" applyFont="1" applyAlignment="1">
      <alignment horizontal="center"/>
    </xf>
    <xf numFmtId="1" fontId="43" fillId="0" borderId="0" xfId="0" applyNumberFormat="1" applyFont="1" applyAlignment="1">
      <alignment horizontal="center"/>
    </xf>
    <xf numFmtId="0" fontId="57" fillId="0" borderId="2" xfId="0" applyFont="1" applyBorder="1"/>
    <xf numFmtId="0" fontId="71" fillId="0" borderId="2" xfId="0" applyFont="1" applyBorder="1"/>
    <xf numFmtId="0" fontId="72" fillId="0" borderId="2" xfId="0" applyFont="1" applyBorder="1"/>
    <xf numFmtId="188" fontId="71" fillId="0" borderId="2" xfId="0" applyNumberFormat="1" applyFont="1" applyBorder="1" applyAlignment="1">
      <alignment horizontal="center"/>
    </xf>
    <xf numFmtId="0" fontId="71" fillId="0" borderId="0" xfId="0" applyFont="1"/>
    <xf numFmtId="0" fontId="72" fillId="0" borderId="0" xfId="0" applyFont="1"/>
    <xf numFmtId="0" fontId="72" fillId="0" borderId="0" xfId="0" applyFont="1" applyAlignment="1">
      <alignment horizontal="center"/>
    </xf>
    <xf numFmtId="1" fontId="71" fillId="0" borderId="0" xfId="0" applyNumberFormat="1" applyFont="1" applyAlignment="1">
      <alignment horizontal="center"/>
    </xf>
    <xf numFmtId="189" fontId="71" fillId="0" borderId="0" xfId="0" applyNumberFormat="1" applyFont="1" applyAlignment="1">
      <alignment horizontal="center"/>
    </xf>
    <xf numFmtId="3" fontId="43" fillId="0" borderId="2" xfId="0" applyNumberFormat="1" applyFont="1" applyBorder="1" applyAlignment="1">
      <alignment horizontal="right"/>
    </xf>
    <xf numFmtId="186" fontId="57" fillId="0" borderId="0" xfId="0" applyNumberFormat="1" applyFont="1"/>
    <xf numFmtId="187" fontId="57" fillId="0" borderId="0" xfId="0" applyNumberFormat="1" applyFont="1"/>
    <xf numFmtId="187" fontId="57" fillId="0" borderId="0" xfId="0" applyNumberFormat="1" applyFont="1" applyAlignment="1">
      <alignment horizontal="right"/>
    </xf>
    <xf numFmtId="186" fontId="43" fillId="0" borderId="0" xfId="0" applyNumberFormat="1" applyFont="1"/>
    <xf numFmtId="186" fontId="70" fillId="0" borderId="0" xfId="0" applyNumberFormat="1" applyFont="1"/>
    <xf numFmtId="187" fontId="70" fillId="0" borderId="0" xfId="0" applyNumberFormat="1" applyFont="1"/>
    <xf numFmtId="187" fontId="43" fillId="0" borderId="0" xfId="0" applyNumberFormat="1" applyFont="1" applyAlignment="1">
      <alignment horizontal="right"/>
    </xf>
    <xf numFmtId="186" fontId="41" fillId="0" borderId="0" xfId="0" applyNumberFormat="1" applyFont="1"/>
    <xf numFmtId="187" fontId="41" fillId="0" borderId="0" xfId="0" applyNumberFormat="1" applyFont="1" applyAlignment="1">
      <alignment horizontal="right"/>
    </xf>
    <xf numFmtId="186" fontId="43" fillId="0" borderId="2" xfId="0" applyNumberFormat="1" applyFont="1" applyBorder="1"/>
    <xf numFmtId="186" fontId="70" fillId="0" borderId="2" xfId="0" applyNumberFormat="1" applyFont="1" applyBorder="1"/>
    <xf numFmtId="187" fontId="70" fillId="0" borderId="2" xfId="0" applyNumberFormat="1" applyFont="1" applyBorder="1"/>
    <xf numFmtId="187" fontId="43" fillId="0" borderId="2" xfId="0" applyNumberFormat="1" applyFont="1" applyBorder="1" applyAlignment="1">
      <alignment horizontal="right"/>
    </xf>
    <xf numFmtId="187" fontId="57" fillId="0" borderId="2" xfId="0" applyNumberFormat="1" applyFont="1" applyBorder="1"/>
    <xf numFmtId="186" fontId="57" fillId="0" borderId="2" xfId="0" applyNumberFormat="1" applyFont="1" applyBorder="1"/>
    <xf numFmtId="187" fontId="57" fillId="0" borderId="2" xfId="0" applyNumberFormat="1" applyFont="1" applyBorder="1" applyAlignment="1">
      <alignment horizontal="right"/>
    </xf>
    <xf numFmtId="186" fontId="70" fillId="0" borderId="0" xfId="0" applyNumberFormat="1" applyFont="1" applyAlignment="1">
      <alignment horizontal="right"/>
    </xf>
    <xf numFmtId="186" fontId="57" fillId="0" borderId="0" xfId="0" applyNumberFormat="1" applyFont="1" applyAlignment="1">
      <alignment horizontal="right"/>
    </xf>
    <xf numFmtId="187" fontId="36" fillId="0" borderId="0" xfId="0" applyNumberFormat="1" applyFont="1"/>
    <xf numFmtId="186" fontId="41" fillId="0" borderId="2" xfId="0" applyNumberFormat="1" applyFont="1" applyBorder="1"/>
    <xf numFmtId="187" fontId="36" fillId="0" borderId="2" xfId="0" applyNumberFormat="1" applyFont="1" applyBorder="1"/>
    <xf numFmtId="187" fontId="41" fillId="0" borderId="2" xfId="0" applyNumberFormat="1" applyFont="1" applyBorder="1" applyAlignment="1">
      <alignment horizontal="right"/>
    </xf>
    <xf numFmtId="186" fontId="57" fillId="0" borderId="2" xfId="0" applyNumberFormat="1" applyFont="1" applyBorder="1" applyAlignment="1">
      <alignment horizontal="right"/>
    </xf>
    <xf numFmtId="186" fontId="41" fillId="0" borderId="0" xfId="0" applyNumberFormat="1" applyFont="1" applyAlignment="1">
      <alignment horizontal="right"/>
    </xf>
    <xf numFmtId="10" fontId="73" fillId="0" borderId="0" xfId="3" applyNumberFormat="1" applyFont="1" applyAlignment="1">
      <alignment horizontal="right"/>
    </xf>
    <xf numFmtId="187" fontId="16" fillId="5" borderId="0" xfId="0" applyNumberFormat="1" applyFont="1" applyFill="1" applyAlignment="1">
      <alignment horizontal="right"/>
    </xf>
    <xf numFmtId="187" fontId="14" fillId="0" borderId="0" xfId="0" applyNumberFormat="1" applyFont="1"/>
    <xf numFmtId="186" fontId="14" fillId="0" borderId="0" xfId="0" applyNumberFormat="1" applyFont="1" applyAlignment="1">
      <alignment horizontal="right"/>
    </xf>
    <xf numFmtId="186" fontId="14" fillId="0" borderId="0" xfId="0" applyNumberFormat="1" applyFont="1"/>
    <xf numFmtId="0" fontId="31" fillId="5" borderId="0" xfId="0" applyFont="1" applyFill="1"/>
    <xf numFmtId="3" fontId="67" fillId="5" borderId="0" xfId="0" applyNumberFormat="1" applyFont="1" applyFill="1" applyAlignment="1">
      <alignment horizontal="right"/>
    </xf>
    <xf numFmtId="3" fontId="14" fillId="0" borderId="0" xfId="0" applyNumberFormat="1" applyFont="1" applyAlignment="1">
      <alignment horizontal="right"/>
    </xf>
    <xf numFmtId="0" fontId="14" fillId="0" borderId="0" xfId="0" applyFont="1" applyAlignment="1">
      <alignment horizontal="left"/>
    </xf>
    <xf numFmtId="0" fontId="14" fillId="5" borderId="0" xfId="0" applyFont="1" applyFill="1"/>
    <xf numFmtId="3" fontId="14" fillId="5" borderId="0" xfId="0" applyNumberFormat="1" applyFont="1" applyFill="1" applyAlignment="1">
      <alignment horizontal="right"/>
    </xf>
    <xf numFmtId="0" fontId="16" fillId="5" borderId="0" xfId="0" applyFont="1" applyFill="1" applyAlignment="1">
      <alignment horizontal="centerContinuous"/>
    </xf>
    <xf numFmtId="0" fontId="67" fillId="5" borderId="0" xfId="0" applyFont="1" applyFill="1" applyAlignment="1">
      <alignment horizontal="centerContinuous"/>
    </xf>
    <xf numFmtId="0" fontId="56" fillId="5" borderId="0" xfId="0" applyFont="1" applyFill="1" applyAlignment="1">
      <alignment horizontal="centerContinuous"/>
    </xf>
    <xf numFmtId="176" fontId="14" fillId="0" borderId="0" xfId="0" applyNumberFormat="1" applyFont="1" applyAlignment="1">
      <alignment horizontal="center"/>
    </xf>
    <xf numFmtId="4" fontId="14" fillId="0" borderId="0" xfId="0" applyNumberFormat="1" applyFont="1" applyAlignment="1">
      <alignment horizontal="right"/>
    </xf>
    <xf numFmtId="4" fontId="14" fillId="5" borderId="0" xfId="0" applyNumberFormat="1" applyFont="1" applyFill="1" applyAlignment="1">
      <alignment horizontal="right"/>
    </xf>
    <xf numFmtId="0" fontId="74" fillId="0" borderId="0" xfId="0" applyFont="1" applyAlignment="1">
      <alignment horizontal="center" vertical="center" textRotation="90"/>
    </xf>
    <xf numFmtId="4" fontId="74" fillId="0" borderId="0" xfId="0" applyNumberFormat="1" applyFont="1" applyAlignment="1">
      <alignment horizontal="center" vertical="center"/>
    </xf>
    <xf numFmtId="185" fontId="74" fillId="0" borderId="0" xfId="0" applyNumberFormat="1" applyFont="1" applyAlignment="1">
      <alignment horizontal="center"/>
    </xf>
    <xf numFmtId="190" fontId="74" fillId="0" borderId="0" xfId="0" applyNumberFormat="1" applyFont="1" applyAlignment="1">
      <alignment horizontal="center"/>
    </xf>
    <xf numFmtId="10" fontId="74" fillId="0" borderId="0" xfId="0" applyNumberFormat="1" applyFont="1" applyAlignment="1">
      <alignment horizontal="left"/>
    </xf>
    <xf numFmtId="4" fontId="75" fillId="0" borderId="8" xfId="0" applyNumberFormat="1" applyFont="1" applyBorder="1" applyAlignment="1">
      <alignment horizontal="right"/>
    </xf>
    <xf numFmtId="4" fontId="75" fillId="0" borderId="2" xfId="0" applyNumberFormat="1" applyFont="1" applyBorder="1" applyAlignment="1">
      <alignment horizontal="right"/>
    </xf>
    <xf numFmtId="4" fontId="75" fillId="0" borderId="9" xfId="0" applyNumberFormat="1" applyFont="1" applyBorder="1" applyAlignment="1">
      <alignment horizontal="right"/>
    </xf>
    <xf numFmtId="4" fontId="23" fillId="7" borderId="0" xfId="0" applyNumberFormat="1" applyFont="1" applyFill="1" applyAlignment="1">
      <alignment horizontal="right"/>
    </xf>
    <xf numFmtId="4" fontId="75" fillId="0" borderId="0" xfId="0" applyNumberFormat="1" applyFont="1" applyAlignment="1">
      <alignment horizontal="right"/>
    </xf>
    <xf numFmtId="4" fontId="23" fillId="5" borderId="0" xfId="0" applyNumberFormat="1" applyFont="1" applyFill="1" applyAlignment="1">
      <alignment horizontal="right"/>
    </xf>
    <xf numFmtId="176" fontId="14" fillId="5" borderId="0" xfId="0" applyNumberFormat="1" applyFont="1" applyFill="1" applyAlignment="1">
      <alignment horizontal="right"/>
    </xf>
    <xf numFmtId="185" fontId="21" fillId="0" borderId="0" xfId="0" applyNumberFormat="1" applyFont="1" applyAlignment="1">
      <alignment horizontal="center"/>
    </xf>
    <xf numFmtId="10" fontId="74" fillId="0" borderId="0" xfId="0" applyNumberFormat="1" applyFont="1" applyAlignment="1">
      <alignment horizontal="center"/>
    </xf>
    <xf numFmtId="4" fontId="68" fillId="0" borderId="0" xfId="0" applyNumberFormat="1" applyFont="1" applyAlignment="1">
      <alignment horizontal="center"/>
    </xf>
    <xf numFmtId="176" fontId="68" fillId="0" borderId="0" xfId="0" applyNumberFormat="1" applyFont="1" applyAlignment="1">
      <alignment horizontal="center"/>
    </xf>
    <xf numFmtId="4" fontId="68" fillId="0" borderId="0" xfId="0" applyNumberFormat="1" applyFont="1" applyAlignment="1">
      <alignment horizontal="right"/>
    </xf>
    <xf numFmtId="0" fontId="65" fillId="0" borderId="0" xfId="0" applyFont="1"/>
    <xf numFmtId="191" fontId="57" fillId="0" borderId="0" xfId="0" applyNumberFormat="1" applyFont="1" applyAlignment="1">
      <alignment horizontal="right"/>
    </xf>
    <xf numFmtId="191" fontId="70" fillId="0" borderId="0" xfId="0" applyNumberFormat="1" applyFont="1" applyAlignment="1">
      <alignment horizontal="right"/>
    </xf>
    <xf numFmtId="191" fontId="72" fillId="0" borderId="0" xfId="0" applyNumberFormat="1" applyFont="1" applyAlignment="1">
      <alignment horizontal="center"/>
    </xf>
    <xf numFmtId="0" fontId="76" fillId="0" borderId="0" xfId="0" applyFont="1"/>
    <xf numFmtId="0" fontId="77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8EA9DB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B0F0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00B050"/>
      <rgbColor rgb="000D0D0D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chemeClr val="bg1"/>
                </a:solidFill>
              </a:rPr>
              <a:t>Football Field Chart</a:t>
            </a:r>
            <a:endParaRPr>
              <a:solidFill>
                <a:schemeClr val="bg1"/>
              </a:solidFill>
            </a:endParaRPr>
          </a:p>
        </c:rich>
      </c:tx>
      <c:layout/>
      <c:overlay val="0"/>
      <c:spPr>
        <a:noFill/>
        <a:ln>
          <a:noFill/>
          <a:prstDash val="solid"/>
        </a:ln>
      </c:spPr>
    </c:title>
    <c:autoTitleDeleted val="0"/>
    <c:plotArea>
      <c:layout/>
      <c:stockChart>
        <c:ser>
          <c:idx val="0"/>
          <c:order val="0"/>
          <c:tx>
            <c:strRef>
              <c:f>'Foot_Ball Field'!$D$7</c:f>
              <c:strCache>
                <c:ptCount val="1"/>
                <c:pt idx="0">
                  <c:v>High</c:v>
                </c:pt>
              </c:strCache>
            </c:strRef>
          </c:tx>
          <c:spPr>
            <a:ln w="19050" cap="rnd" cmpd="sng" algn="ctr">
              <a:noFill/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'Foot_Ball Field'!$E$6:$H$6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'Foot_Ball Field'!$E$7:$H$7</c:f>
              <c:numCache>
                <c:formatCode>0.00_);[Red]\(0.00\)</c:formatCode>
                <c:ptCount val="4"/>
                <c:pt idx="0">
                  <c:v>1062.69099004565</c:v>
                </c:pt>
                <c:pt idx="1">
                  <c:v>3061.59343441595</c:v>
                </c:pt>
                <c:pt idx="2">
                  <c:v>1611</c:v>
                </c:pt>
                <c:pt idx="3">
                  <c:v>1700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'Foot_Ball Field'!$D$8</c:f>
              <c:strCache>
                <c:ptCount val="1"/>
                <c:pt idx="0">
                  <c:v>High</c:v>
                </c:pt>
              </c:strCache>
            </c:strRef>
          </c:tx>
          <c:spPr>
            <a:ln w="19050" cap="rnd" cmpd="sng" algn="ctr">
              <a:noFill/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'Foot_Ball Field'!$E$6:$H$6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'Foot_Ball Field'!$E$8:$H$8</c:f>
              <c:numCache>
                <c:formatCode>General</c:formatCode>
                <c:ptCount val="4"/>
                <c:pt idx="0">
                  <c:v>1062.69099004565</c:v>
                </c:pt>
                <c:pt idx="1" c:formatCode="0.00_);[Red]\(0.00\)">
                  <c:v>3061.59343441595</c:v>
                </c:pt>
                <c:pt idx="2" c:formatCode="0.00_);[Red]\(0.00\)">
                  <c:v>1611</c:v>
                </c:pt>
                <c:pt idx="3" c:formatCode="0.00_);[Red]\(0.00\)">
                  <c:v>1700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'Foot_Ball Field'!$D$9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 cmpd="sng" algn="ctr">
              <a:noFill/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'Foot_Ball Field'!$E$6:$H$6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'Foot_Ball Field'!$E$9:$H$9</c:f>
              <c:numCache>
                <c:formatCode>0.00_);[Red]\(0.00\)</c:formatCode>
                <c:ptCount val="4"/>
                <c:pt idx="0">
                  <c:v>813.792321761681</c:v>
                </c:pt>
                <c:pt idx="1">
                  <c:v>1840.34890205493</c:v>
                </c:pt>
                <c:pt idx="2">
                  <c:v>1249</c:v>
                </c:pt>
                <c:pt idx="3">
                  <c:v>1688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'Foot_Ball Field'!$D$10</c:f>
              <c:strCache>
                <c:ptCount val="1"/>
                <c:pt idx="0">
                  <c:v>Low</c:v>
                </c:pt>
              </c:strCache>
            </c:strRef>
          </c:tx>
          <c:spPr>
            <a:ln w="19050" cap="rnd" cmpd="sng" algn="ctr">
              <a:noFill/>
              <a:prstDash val="solid"/>
              <a:round/>
            </a:ln>
          </c:spPr>
          <c:marker>
            <c:symbol val="none"/>
          </c:marker>
          <c:dLbls>
            <c:delete val="1"/>
          </c:dLbls>
          <c:cat>
            <c:strRef>
              <c:f>'Foot_Ball Field'!$E$6:$H$6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'Foot_Ball Field'!$E$10:$H$10</c:f>
              <c:numCache>
                <c:formatCode>0.00_);[Red]\(0.00\)</c:formatCode>
                <c:ptCount val="4"/>
                <c:pt idx="0">
                  <c:v>813.792321761681</c:v>
                </c:pt>
                <c:pt idx="1">
                  <c:v>1840.34890205493</c:v>
                </c:pt>
                <c:pt idx="2">
                  <c:v>1249</c:v>
                </c:pt>
                <c:pt idx="3">
                  <c:v>1688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9050" cap="flat" cmpd="sng" algn="ctr">
              <a:solidFill>
                <a:schemeClr val="tx1"/>
              </a:solidFill>
              <a:prstDash val="solid"/>
              <a:round/>
            </a:ln>
          </c:spPr>
        </c:hiLowLines>
        <c:upDownBars>
          <c:gapWidth val="150"/>
          <c:upBars>
            <c:spPr>
              <a:solidFill>
                <a:schemeClr val="bg1"/>
              </a:solidFill>
              <a:ln w="19050" cap="flat" cmpd="sng" algn="ctr">
                <a:solidFill>
                  <a:schemeClr val="accent1"/>
                </a:solidFill>
                <a:prstDash val="solid"/>
                <a:round/>
              </a:ln>
            </c:spPr>
          </c:upBars>
          <c:downBars>
            <c:spPr>
              <a:solidFill>
                <a:schemeClr val="tx1"/>
              </a:solidFill>
              <a:ln w="9525" cap="flat" cmpd="sng" algn="ctr">
                <a:noFill/>
                <a:prstDash val="solid"/>
                <a:round/>
              </a:ln>
            </c:spPr>
          </c:downBars>
        </c:upDownBars>
        <c:axId val="645980823"/>
        <c:axId val="233786057"/>
      </c:stockChart>
      <c:catAx>
        <c:axId val="6459808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  <c:crossAx val="233786057"/>
        <c:crosses val="autoZero"/>
        <c:auto val="1"/>
        <c:lblAlgn val="ctr"/>
        <c:lblOffset val="100"/>
        <c:noMultiLvlLbl val="0"/>
      </c:catAx>
      <c:valAx>
        <c:axId val="233786057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prstDash val="solid"/>
              <a:round/>
            </a:ln>
          </c:spPr>
        </c:majorGridlines>
        <c:numFmt formatCode="0.00_);[Red]\(0.00\)" sourceLinked="1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  <c:crossAx val="645980823"/>
        <c:crosses val="autoZero"/>
        <c:crossBetween val="between"/>
      </c:valAx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a94816a-e07f-4fb9-a711-ed565540174e}"/>
      </c:ext>
    </c:extLst>
  </c:chart>
  <c:spPr>
    <a:solidFill>
      <a:schemeClr val="tx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99695</xdr:colOff>
      <xdr:row>13</xdr:row>
      <xdr:rowOff>36830</xdr:rowOff>
    </xdr:from>
    <xdr:to>
      <xdr:col>7</xdr:col>
      <xdr:colOff>608965</xdr:colOff>
      <xdr:row>24</xdr:row>
      <xdr:rowOff>46355</xdr:rowOff>
    </xdr:to>
    <xdr:graphicFrame>
      <xdr:nvGraphicFramePr>
        <xdr:cNvPr id="2" name="Chart 1"/>
        <xdr:cNvGraphicFramePr/>
      </xdr:nvGraphicFramePr>
      <xdr:xfrm>
        <a:off x="364490" y="2919095"/>
        <a:ext cx="5789930" cy="23564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46"/>
  <sheetViews>
    <sheetView showGridLines="0" zoomScale="117" zoomScaleNormal="117" topLeftCell="A58" workbookViewId="0">
      <selection activeCell="F34" sqref="F34"/>
    </sheetView>
  </sheetViews>
  <sheetFormatPr defaultColWidth="9.16071428571429" defaultRowHeight="16.8"/>
  <cols>
    <col min="1" max="3" width="1.24107142857143" customWidth="1"/>
    <col min="4" max="4" width="40.6428571428571" customWidth="1"/>
    <col min="7" max="7" width="2.64285714285714" customWidth="1"/>
    <col min="8" max="19" width="12.6428571428571" customWidth="1"/>
  </cols>
  <sheetData>
    <row r="1" ht="33.75" customHeight="1" spans="1:12">
      <c r="A1" s="1" t="s">
        <v>0</v>
      </c>
      <c r="B1" s="3"/>
      <c r="C1" s="3"/>
      <c r="D1" s="3"/>
      <c r="E1" s="4"/>
      <c r="F1" s="5"/>
      <c r="G1" s="5"/>
      <c r="H1" s="5"/>
      <c r="I1" s="5"/>
      <c r="J1" s="5"/>
      <c r="K1" s="5"/>
      <c r="L1" s="5"/>
    </row>
    <row r="2" ht="16.5" customHeight="1" spans="1:12">
      <c r="A2" s="33" t="s">
        <v>1</v>
      </c>
      <c r="B2" s="3"/>
      <c r="C2" s="3"/>
      <c r="D2" s="3"/>
      <c r="E2" s="4"/>
      <c r="F2" s="5"/>
      <c r="G2" s="5"/>
      <c r="H2" s="5"/>
      <c r="I2" s="5"/>
      <c r="J2" s="5"/>
      <c r="K2" s="5"/>
      <c r="L2" s="46" t="s">
        <v>2</v>
      </c>
    </row>
    <row r="3" ht="17.25" customHeight="1" spans="1:12">
      <c r="B3" s="97"/>
      <c r="C3" s="97"/>
      <c r="D3" s="97"/>
      <c r="E3" s="97"/>
      <c r="F3" s="97"/>
      <c r="G3" s="97"/>
      <c r="H3" s="97"/>
      <c r="I3" s="97"/>
      <c r="J3" s="97"/>
      <c r="K3" s="97"/>
      <c r="L3" s="97"/>
    </row>
    <row r="4" ht="17.25" customHeight="1" spans="1:12">
      <c r="B4" s="229" t="s">
        <v>3</v>
      </c>
      <c r="C4" s="97"/>
      <c r="D4" s="97"/>
      <c r="E4" s="97"/>
      <c r="F4" s="97"/>
      <c r="G4" s="97"/>
      <c r="H4" s="300">
        <v>2022</v>
      </c>
      <c r="I4" s="300">
        <f>H4+1</f>
        <v>2023</v>
      </c>
      <c r="J4" s="300">
        <f>I4+1</f>
        <v>2024</v>
      </c>
      <c r="K4" s="300">
        <f>J4+1</f>
        <v>2025</v>
      </c>
      <c r="L4" s="300">
        <f>K4+1</f>
        <v>2026</v>
      </c>
    </row>
    <row r="5" ht="17.25" customHeight="1" spans="1:12">
      <c r="B5" s="97"/>
      <c r="C5" s="220" t="s">
        <v>4</v>
      </c>
      <c r="D5" s="97"/>
      <c r="E5" s="97"/>
      <c r="F5" s="97"/>
      <c r="G5" s="97"/>
      <c r="H5" s="301">
        <v>696972</v>
      </c>
      <c r="I5" s="301">
        <v>856770</v>
      </c>
      <c r="J5" s="301">
        <v>883646</v>
      </c>
      <c r="K5" s="301">
        <v>960355</v>
      </c>
      <c r="L5" s="301">
        <v>1043589</v>
      </c>
    </row>
    <row r="6" ht="17.25" customHeight="1" spans="1:12">
      <c r="B6" s="97"/>
      <c r="C6" s="220" t="s">
        <v>5</v>
      </c>
      <c r="D6" s="97"/>
      <c r="E6" s="97"/>
      <c r="F6" s="97"/>
      <c r="G6" s="97"/>
      <c r="H6" s="301">
        <v>95784</v>
      </c>
      <c r="I6" s="301">
        <v>118094</v>
      </c>
      <c r="J6" s="301">
        <v>116476</v>
      </c>
      <c r="K6" s="301">
        <v>110819</v>
      </c>
      <c r="L6" s="301">
        <v>132330</v>
      </c>
    </row>
    <row r="7" ht="17.25" customHeight="1" spans="1:12">
      <c r="B7" s="97"/>
      <c r="C7" s="229" t="s">
        <v>6</v>
      </c>
      <c r="D7" s="97"/>
      <c r="E7" s="97"/>
      <c r="F7" s="97"/>
      <c r="G7" s="97"/>
      <c r="H7" s="301">
        <f>SUM(H5:H6)</f>
        <v>792756</v>
      </c>
      <c r="I7" s="301">
        <f>SUM(I5:I6)</f>
        <v>974864</v>
      </c>
      <c r="J7" s="301">
        <f>SUM(J5:J6)</f>
        <v>1000122</v>
      </c>
      <c r="K7" s="301">
        <f>SUM(K5:K6)</f>
        <v>1071174</v>
      </c>
      <c r="L7" s="301">
        <f>SUM(L5:L6)</f>
        <v>1175919</v>
      </c>
    </row>
    <row r="8" ht="17.25" customHeight="1" spans="1:12">
      <c r="B8" s="97"/>
      <c r="C8" s="220" t="s">
        <v>7</v>
      </c>
      <c r="D8" s="97"/>
      <c r="E8" s="97"/>
      <c r="F8" s="97"/>
      <c r="G8" s="97"/>
      <c r="H8" s="301">
        <v>71122</v>
      </c>
      <c r="I8" s="301">
        <v>83553</v>
      </c>
      <c r="J8" s="301">
        <v>85650</v>
      </c>
      <c r="K8" s="301">
        <v>91038</v>
      </c>
      <c r="L8" s="301">
        <v>100244</v>
      </c>
    </row>
    <row r="9" ht="17.25" customHeight="1" spans="1:12">
      <c r="B9" s="97"/>
      <c r="C9" s="229" t="s">
        <v>8</v>
      </c>
      <c r="D9" s="97"/>
      <c r="E9" s="97"/>
      <c r="F9" s="97"/>
      <c r="G9" s="97"/>
      <c r="H9" s="302">
        <f>H7-H8</f>
        <v>721634</v>
      </c>
      <c r="I9" s="302">
        <f>I7-I8</f>
        <v>891311</v>
      </c>
      <c r="J9" s="302">
        <f>J7-J8</f>
        <v>914472</v>
      </c>
      <c r="K9" s="302">
        <f>K7-K8</f>
        <v>980136</v>
      </c>
      <c r="L9" s="302">
        <f>L7-L8</f>
        <v>1075675</v>
      </c>
    </row>
    <row r="10" ht="17.25" customHeight="1" spans="1:12">
      <c r="B10" s="97"/>
      <c r="C10" s="220" t="s">
        <v>9</v>
      </c>
      <c r="D10" s="97"/>
      <c r="E10" s="97"/>
      <c r="F10" s="97"/>
      <c r="G10" s="97"/>
      <c r="H10" s="301">
        <v>14947</v>
      </c>
      <c r="I10" s="301">
        <v>11734</v>
      </c>
      <c r="J10" s="301">
        <v>16057</v>
      </c>
      <c r="K10" s="301">
        <v>17978</v>
      </c>
      <c r="L10" s="301">
        <v>28962</v>
      </c>
    </row>
    <row r="11" ht="17.25" customHeight="1" spans="1:12">
      <c r="B11" s="97"/>
      <c r="C11" s="229" t="s">
        <v>10</v>
      </c>
      <c r="D11" s="97"/>
      <c r="E11" s="97"/>
      <c r="F11" s="97"/>
      <c r="G11" s="97"/>
      <c r="H11" s="302">
        <f>H9+H10</f>
        <v>736581</v>
      </c>
      <c r="I11" s="302">
        <f>I9+I10</f>
        <v>903045</v>
      </c>
      <c r="J11" s="302">
        <f>J9+J10</f>
        <v>930529</v>
      </c>
      <c r="K11" s="302">
        <f>K9+K10</f>
        <v>998114</v>
      </c>
      <c r="L11" s="302">
        <f>L9+L10</f>
        <v>1104637</v>
      </c>
    </row>
    <row r="12" ht="17.25" customHeight="1" spans="1:12">
      <c r="B12" s="97"/>
      <c r="C12" s="97"/>
      <c r="D12" s="97"/>
      <c r="E12" s="97"/>
      <c r="F12" s="97"/>
      <c r="G12" s="97"/>
      <c r="H12" s="220"/>
      <c r="I12" s="220"/>
      <c r="J12" s="220"/>
      <c r="K12" s="220"/>
      <c r="L12" s="220"/>
    </row>
    <row r="13" ht="17.25" customHeight="1" spans="1:12">
      <c r="B13" s="229" t="s">
        <v>11</v>
      </c>
      <c r="C13" s="97"/>
      <c r="D13" s="97"/>
      <c r="E13" s="97"/>
      <c r="F13" s="97"/>
      <c r="G13" s="97"/>
      <c r="H13" s="303"/>
      <c r="I13" s="303"/>
      <c r="J13" s="303"/>
      <c r="K13" s="303"/>
      <c r="L13" s="303"/>
    </row>
    <row r="14" ht="17.25" customHeight="1" spans="1:12">
      <c r="B14" s="97"/>
      <c r="C14" s="220" t="s">
        <v>12</v>
      </c>
      <c r="D14" s="97"/>
      <c r="E14" s="97"/>
      <c r="F14" s="97"/>
      <c r="G14" s="97"/>
      <c r="H14" s="301">
        <v>360784</v>
      </c>
      <c r="I14" s="301">
        <v>450241</v>
      </c>
      <c r="J14" s="301">
        <v>400345</v>
      </c>
      <c r="K14" s="301">
        <v>422127</v>
      </c>
      <c r="L14" s="301">
        <v>443101</v>
      </c>
    </row>
    <row r="15" ht="17.25" customHeight="1" spans="1:12">
      <c r="B15" s="97"/>
      <c r="C15" s="220" t="s">
        <v>13</v>
      </c>
      <c r="D15" s="97"/>
      <c r="E15" s="97"/>
      <c r="F15" s="97"/>
      <c r="G15" s="97"/>
      <c r="H15" s="301">
        <v>135585</v>
      </c>
      <c r="I15" s="301">
        <v>168505</v>
      </c>
      <c r="J15" s="301">
        <v>189881</v>
      </c>
      <c r="K15" s="301">
        <v>222686</v>
      </c>
      <c r="L15" s="301">
        <v>255829</v>
      </c>
    </row>
    <row r="16" ht="17.25" customHeight="1" spans="1:12">
      <c r="B16" s="97"/>
      <c r="C16" s="220" t="s">
        <v>14</v>
      </c>
      <c r="D16" s="97"/>
      <c r="E16" s="97"/>
      <c r="F16" s="97"/>
      <c r="G16" s="97"/>
      <c r="H16" s="301">
        <v>-21457</v>
      </c>
      <c r="I16" s="301">
        <v>-30263</v>
      </c>
      <c r="J16" s="301">
        <v>-4883</v>
      </c>
      <c r="K16" s="301">
        <v>-15124</v>
      </c>
      <c r="L16" s="301">
        <v>-10267</v>
      </c>
    </row>
    <row r="17" ht="17.25" customHeight="1" spans="2:12">
      <c r="B17" s="97"/>
      <c r="C17" s="220" t="s">
        <v>15</v>
      </c>
      <c r="D17" s="97"/>
      <c r="E17" s="97"/>
      <c r="F17" s="97"/>
      <c r="G17" s="97"/>
      <c r="H17" s="301">
        <v>21672</v>
      </c>
      <c r="I17" s="301">
        <v>13476</v>
      </c>
      <c r="J17" s="301">
        <v>13408</v>
      </c>
      <c r="K17" s="301">
        <v>15443</v>
      </c>
      <c r="L17" s="301">
        <v>18456</v>
      </c>
    </row>
    <row r="18" ht="17.25" customHeight="1" spans="2:12">
      <c r="B18" s="97"/>
      <c r="C18" s="220" t="s">
        <v>16</v>
      </c>
      <c r="D18" s="97"/>
      <c r="E18" s="97"/>
      <c r="F18" s="97"/>
      <c r="G18" s="97"/>
      <c r="H18" s="301">
        <v>18775</v>
      </c>
      <c r="I18" s="301">
        <v>24872</v>
      </c>
      <c r="J18" s="301">
        <v>25679</v>
      </c>
      <c r="K18" s="301">
        <v>28559</v>
      </c>
      <c r="L18" s="301">
        <v>30318</v>
      </c>
    </row>
    <row r="19" ht="17.25" customHeight="1" spans="2:12">
      <c r="B19" s="97"/>
      <c r="C19" s="220" t="s">
        <v>17</v>
      </c>
      <c r="D19" s="97"/>
      <c r="E19" s="97"/>
      <c r="F19" s="97"/>
      <c r="G19" s="97"/>
      <c r="H19" s="301">
        <v>14584</v>
      </c>
      <c r="I19" s="301">
        <v>19571</v>
      </c>
      <c r="J19" s="301">
        <v>23118</v>
      </c>
      <c r="K19" s="301">
        <v>24269</v>
      </c>
      <c r="L19" s="301">
        <v>27061</v>
      </c>
    </row>
    <row r="20" ht="17.25" customHeight="1" spans="2:12">
      <c r="B20" s="97"/>
      <c r="C20" s="220" t="s">
        <v>18</v>
      </c>
      <c r="D20" s="97"/>
      <c r="E20" s="97"/>
      <c r="F20" s="97"/>
      <c r="G20" s="97"/>
      <c r="H20" s="301">
        <v>29797</v>
      </c>
      <c r="I20" s="301">
        <v>40303</v>
      </c>
      <c r="J20" s="301">
        <v>50832</v>
      </c>
      <c r="K20" s="301">
        <v>53136</v>
      </c>
      <c r="L20" s="301">
        <v>57688</v>
      </c>
    </row>
    <row r="21" ht="17.25" customHeight="1" spans="2:12">
      <c r="B21" s="97"/>
      <c r="C21" s="220" t="s">
        <v>19</v>
      </c>
      <c r="D21" s="97"/>
      <c r="E21" s="97"/>
      <c r="F21" s="97"/>
      <c r="G21" s="97"/>
      <c r="H21" s="301">
        <v>95815</v>
      </c>
      <c r="I21" s="301">
        <v>122318</v>
      </c>
      <c r="J21" s="301">
        <v>127809</v>
      </c>
      <c r="K21" s="301">
        <v>141001</v>
      </c>
      <c r="L21" s="301">
        <v>159289</v>
      </c>
    </row>
    <row r="22" ht="17.25" customHeight="1" spans="2:12">
      <c r="B22" s="97"/>
      <c r="C22" s="229" t="s">
        <v>20</v>
      </c>
      <c r="D22" s="97"/>
      <c r="E22" s="97"/>
      <c r="F22" s="97"/>
      <c r="G22" s="97"/>
      <c r="H22" s="302">
        <f>SUM(H14:H21)</f>
        <v>655555</v>
      </c>
      <c r="I22" s="302">
        <f>SUM(I14:I21)</f>
        <v>809023</v>
      </c>
      <c r="J22" s="302">
        <f>SUM(J14:J21)</f>
        <v>826189</v>
      </c>
      <c r="K22" s="302">
        <f>SUM(K14:K21)</f>
        <v>892097</v>
      </c>
      <c r="L22" s="302">
        <f>SUM(L14:L21)</f>
        <v>981475</v>
      </c>
    </row>
    <row r="23" ht="17.25" customHeight="1" spans="2:12">
      <c r="B23" s="97"/>
      <c r="C23" s="97"/>
      <c r="D23" s="97"/>
      <c r="E23" s="97"/>
      <c r="F23" s="97"/>
      <c r="G23" s="97"/>
      <c r="H23" s="220"/>
      <c r="I23" s="220"/>
      <c r="J23" s="220"/>
      <c r="K23" s="220"/>
      <c r="L23" s="220"/>
    </row>
    <row r="24" ht="17.25" customHeight="1" spans="2:12">
      <c r="B24" s="97"/>
      <c r="C24" s="229" t="s">
        <v>21</v>
      </c>
      <c r="D24" s="97"/>
      <c r="E24" s="97"/>
      <c r="F24" s="97"/>
      <c r="G24" s="97"/>
      <c r="H24" s="301">
        <f>H11-H22</f>
        <v>81026</v>
      </c>
      <c r="I24" s="301">
        <f>I11-I22</f>
        <v>94022</v>
      </c>
      <c r="J24" s="301">
        <f>J11-J22</f>
        <v>104340</v>
      </c>
      <c r="K24" s="301">
        <f>K11-K22</f>
        <v>106017</v>
      </c>
      <c r="L24" s="301">
        <f>L11-L22</f>
        <v>123162</v>
      </c>
    </row>
    <row r="25" ht="17.25" customHeight="1" spans="2:12">
      <c r="B25" s="97"/>
      <c r="C25" s="220" t="s">
        <v>22</v>
      </c>
      <c r="D25" s="97"/>
      <c r="E25" s="97"/>
      <c r="F25" s="97"/>
      <c r="G25" s="97"/>
      <c r="H25" s="301">
        <v>280</v>
      </c>
      <c r="I25" s="301">
        <v>24</v>
      </c>
      <c r="J25" s="301">
        <v>387</v>
      </c>
      <c r="K25" s="301">
        <v>522</v>
      </c>
      <c r="L25" s="301">
        <v>144</v>
      </c>
    </row>
    <row r="26" ht="17.25" customHeight="1" spans="2:12">
      <c r="B26" s="97"/>
      <c r="C26" s="220" t="s">
        <v>23</v>
      </c>
      <c r="D26" s="97"/>
      <c r="E26" s="97"/>
      <c r="F26" s="97"/>
      <c r="G26" s="97"/>
      <c r="H26" s="301">
        <v>2836</v>
      </c>
      <c r="I26" s="303"/>
      <c r="J26" s="303"/>
      <c r="K26" s="303"/>
      <c r="L26" s="303"/>
    </row>
    <row r="27" ht="17.25" customHeight="1" spans="2:12">
      <c r="B27" s="97"/>
      <c r="C27" s="229" t="s">
        <v>24</v>
      </c>
      <c r="D27" s="97"/>
      <c r="E27" s="97"/>
      <c r="F27" s="97"/>
      <c r="G27" s="97"/>
      <c r="H27" s="301">
        <v>84142</v>
      </c>
      <c r="I27" s="301">
        <v>94046</v>
      </c>
      <c r="J27" s="301">
        <v>104727</v>
      </c>
      <c r="K27" s="303"/>
      <c r="L27" s="303"/>
    </row>
    <row r="28" ht="17.25" customHeight="1" spans="2:12">
      <c r="B28" s="97"/>
      <c r="C28" s="220" t="s">
        <v>25</v>
      </c>
      <c r="D28" s="97"/>
      <c r="E28" s="97"/>
      <c r="F28" s="97"/>
      <c r="G28" s="97"/>
      <c r="H28" s="301">
        <v>3161</v>
      </c>
      <c r="I28" s="301">
        <v>8398</v>
      </c>
      <c r="J28" s="301">
        <v>13590</v>
      </c>
      <c r="K28" s="301">
        <v>12758</v>
      </c>
      <c r="L28" s="301">
        <v>9736</v>
      </c>
    </row>
    <row r="29" ht="17.25" customHeight="1" spans="2:12">
      <c r="B29" s="97"/>
      <c r="C29" s="220" t="s">
        <v>26</v>
      </c>
      <c r="D29" s="97"/>
      <c r="E29" s="97"/>
      <c r="F29" s="97"/>
      <c r="G29" s="97"/>
      <c r="H29" s="301">
        <v>13136</v>
      </c>
      <c r="I29" s="301">
        <v>11978</v>
      </c>
      <c r="J29" s="301">
        <v>12117</v>
      </c>
      <c r="K29" s="301">
        <v>12472</v>
      </c>
      <c r="L29" s="301">
        <v>17816</v>
      </c>
    </row>
    <row r="30" ht="17.25" customHeight="1" spans="2:12">
      <c r="B30" s="97"/>
      <c r="C30" s="229" t="s">
        <v>27</v>
      </c>
      <c r="D30" s="97"/>
      <c r="E30" s="97"/>
      <c r="F30" s="97"/>
      <c r="G30" s="97"/>
      <c r="H30" s="302">
        <f>SUM(H28:H29)</f>
        <v>16297</v>
      </c>
      <c r="I30" s="302">
        <f>SUM(I28:I29)</f>
        <v>20376</v>
      </c>
      <c r="J30" s="302">
        <f>SUM(J28:J29)</f>
        <v>25707</v>
      </c>
      <c r="K30" s="302">
        <f>SUM(K28:K29)</f>
        <v>25230</v>
      </c>
      <c r="L30" s="302">
        <f>SUM(L28:L29)</f>
        <v>27552</v>
      </c>
    </row>
    <row r="31" ht="17.25" customHeight="1" spans="2:12">
      <c r="B31" s="97"/>
      <c r="C31" s="229" t="s">
        <v>28</v>
      </c>
      <c r="D31" s="97"/>
      <c r="E31" s="97"/>
      <c r="F31" s="97"/>
      <c r="G31" s="97"/>
      <c r="H31" s="302">
        <v>67845</v>
      </c>
      <c r="I31" s="302">
        <v>74088</v>
      </c>
      <c r="J31" s="302">
        <v>79020</v>
      </c>
      <c r="K31" s="302">
        <v>81309</v>
      </c>
      <c r="L31" s="302">
        <v>95754</v>
      </c>
    </row>
    <row r="32" ht="18.75" customHeight="1" spans="2:12">
      <c r="B32" s="97"/>
      <c r="C32" s="97"/>
      <c r="D32" s="97"/>
      <c r="E32" s="97"/>
      <c r="F32" s="97"/>
      <c r="G32" s="97"/>
      <c r="H32" s="220"/>
      <c r="I32" s="220"/>
      <c r="J32" s="220"/>
      <c r="K32" s="220"/>
      <c r="L32" s="220"/>
    </row>
    <row r="33" ht="22.5" customHeight="1" spans="1:17">
      <c r="A33" s="304" t="s">
        <v>29</v>
      </c>
      <c r="B33" s="97"/>
      <c r="C33" s="97"/>
      <c r="D33" s="97"/>
      <c r="E33" s="97"/>
      <c r="F33" s="97"/>
      <c r="G33" s="97"/>
      <c r="H33" s="97"/>
      <c r="I33" s="97"/>
      <c r="J33" s="97"/>
      <c r="K33" s="97"/>
      <c r="L33" s="97"/>
    </row>
    <row r="34" ht="17.25" customHeight="1" spans="1:17">
      <c r="A34" s="10"/>
      <c r="B34" s="300" t="s">
        <v>30</v>
      </c>
      <c r="C34" s="97"/>
      <c r="D34" s="97"/>
      <c r="E34" s="97"/>
      <c r="F34" s="97"/>
      <c r="G34" s="97"/>
      <c r="H34" s="97"/>
      <c r="I34" s="97"/>
      <c r="J34" s="97"/>
      <c r="K34" s="97"/>
      <c r="L34" s="97"/>
    </row>
    <row r="35" ht="17.25" customHeight="1" spans="1:17">
      <c r="A35" s="10"/>
      <c r="B35" s="97"/>
      <c r="C35" s="97" t="s">
        <v>31</v>
      </c>
      <c r="D35" s="97"/>
      <c r="E35" s="97"/>
      <c r="F35" s="220"/>
      <c r="G35" s="220"/>
      <c r="H35" s="220"/>
      <c r="I35" s="220"/>
      <c r="J35" s="220"/>
      <c r="K35" s="220"/>
      <c r="L35" s="220"/>
      <c r="M35" s="6"/>
      <c r="N35" s="6"/>
      <c r="O35" s="6"/>
      <c r="P35" s="6"/>
      <c r="Q35" s="6"/>
    </row>
    <row r="36" ht="17.25" customHeight="1" spans="1:17">
      <c r="A36" s="10"/>
      <c r="B36" s="97"/>
      <c r="C36" s="97"/>
      <c r="D36" s="220" t="s">
        <v>32</v>
      </c>
      <c r="E36" s="97"/>
      <c r="F36" s="220"/>
      <c r="G36" s="220"/>
      <c r="H36" s="301">
        <v>500454</v>
      </c>
      <c r="I36" s="301">
        <v>570503</v>
      </c>
      <c r="J36" s="301">
        <v>606084</v>
      </c>
      <c r="K36" s="301">
        <v>683102</v>
      </c>
      <c r="L36" s="301">
        <v>751087</v>
      </c>
      <c r="M36" s="6"/>
      <c r="N36" s="6"/>
      <c r="O36" s="6"/>
      <c r="P36" s="6"/>
      <c r="Q36" s="6"/>
    </row>
    <row r="37" ht="17.25" customHeight="1" spans="1:17">
      <c r="A37" s="10"/>
      <c r="B37" s="97"/>
      <c r="C37" s="97"/>
      <c r="D37" s="220" t="s">
        <v>33</v>
      </c>
      <c r="E37" s="97"/>
      <c r="F37" s="220"/>
      <c r="G37" s="220"/>
      <c r="H37" s="303"/>
      <c r="I37" s="301">
        <v>75351</v>
      </c>
      <c r="J37" s="301">
        <v>69852</v>
      </c>
      <c r="K37" s="301">
        <v>147122</v>
      </c>
      <c r="L37" s="301">
        <v>188120</v>
      </c>
      <c r="M37" s="6"/>
      <c r="N37" s="6"/>
      <c r="O37" s="6"/>
      <c r="P37" s="6"/>
      <c r="Q37" s="6"/>
    </row>
    <row r="38" ht="17.25" customHeight="1" spans="1:17">
      <c r="A38" s="10"/>
      <c r="B38" s="97"/>
      <c r="C38" s="97"/>
      <c r="D38" s="220" t="s">
        <v>34</v>
      </c>
      <c r="E38" s="97"/>
      <c r="F38" s="220"/>
      <c r="G38" s="220"/>
      <c r="H38" s="301">
        <v>114335</v>
      </c>
      <c r="I38" s="301">
        <v>63681</v>
      </c>
      <c r="J38" s="301">
        <v>89060</v>
      </c>
      <c r="K38" s="301">
        <v>144639</v>
      </c>
      <c r="L38" s="301">
        <v>157126</v>
      </c>
      <c r="M38" s="6"/>
      <c r="N38" s="6"/>
      <c r="O38" s="6"/>
      <c r="P38" s="6"/>
      <c r="Q38" s="6"/>
    </row>
    <row r="39" ht="17.25" customHeight="1" spans="1:17">
      <c r="A39" s="10"/>
      <c r="B39" s="97"/>
      <c r="C39" s="97"/>
      <c r="D39" s="220" t="s">
        <v>35</v>
      </c>
      <c r="E39" s="97"/>
      <c r="F39" s="220"/>
      <c r="G39" s="220"/>
      <c r="H39" s="301">
        <v>13009</v>
      </c>
      <c r="I39" s="301">
        <v>15270</v>
      </c>
      <c r="J39" s="301">
        <v>14989</v>
      </c>
      <c r="K39" s="301">
        <v>24530</v>
      </c>
      <c r="L39" s="301">
        <v>28462</v>
      </c>
      <c r="M39" s="6"/>
      <c r="N39" s="6"/>
      <c r="O39" s="6"/>
      <c r="P39" s="6"/>
      <c r="Q39" s="6"/>
    </row>
    <row r="40" ht="17.25" customHeight="1" spans="1:17">
      <c r="A40" s="10"/>
      <c r="B40" s="97"/>
      <c r="C40" s="97"/>
      <c r="D40" s="220" t="s">
        <v>36</v>
      </c>
      <c r="E40" s="97"/>
      <c r="F40" s="220"/>
      <c r="G40" s="220"/>
      <c r="H40" s="301">
        <v>68052</v>
      </c>
      <c r="I40" s="301">
        <v>117259</v>
      </c>
      <c r="J40" s="301">
        <v>152382</v>
      </c>
      <c r="K40" s="301">
        <v>169710</v>
      </c>
      <c r="L40" s="301">
        <v>192287</v>
      </c>
      <c r="M40" s="6"/>
      <c r="N40" s="6"/>
      <c r="O40" s="6"/>
      <c r="P40" s="6"/>
      <c r="Q40" s="6"/>
    </row>
    <row r="41" ht="17.25" customHeight="1" spans="1:17">
      <c r="A41" s="10"/>
      <c r="B41" s="97"/>
      <c r="C41" s="97"/>
      <c r="D41" s="220" t="s">
        <v>37</v>
      </c>
      <c r="E41" s="97"/>
      <c r="F41" s="220"/>
      <c r="G41" s="220"/>
      <c r="H41" s="303"/>
      <c r="I41" s="301">
        <v>122357</v>
      </c>
      <c r="J41" s="301">
        <v>129602</v>
      </c>
      <c r="K41" s="301">
        <v>54176</v>
      </c>
      <c r="L41" s="301">
        <v>8611</v>
      </c>
      <c r="M41" s="6"/>
      <c r="N41" s="6"/>
      <c r="O41" s="6"/>
      <c r="P41" s="6"/>
      <c r="Q41" s="6"/>
    </row>
    <row r="42" ht="17.25" customHeight="1" spans="1:17">
      <c r="A42" s="10"/>
      <c r="B42" s="97"/>
      <c r="C42" s="97"/>
      <c r="D42" s="220" t="s">
        <v>38</v>
      </c>
      <c r="E42" s="97"/>
      <c r="F42" s="220"/>
      <c r="G42" s="220"/>
      <c r="H42" s="301">
        <v>104454</v>
      </c>
      <c r="I42" s="301">
        <v>54136</v>
      </c>
      <c r="J42" s="301">
        <v>56871</v>
      </c>
      <c r="K42" s="301">
        <v>38472</v>
      </c>
      <c r="L42" s="301">
        <v>36788</v>
      </c>
      <c r="M42" s="6"/>
      <c r="N42" s="6"/>
      <c r="O42" s="6"/>
      <c r="P42" s="6"/>
      <c r="Q42" s="6"/>
    </row>
    <row r="43" ht="17.25" customHeight="1" spans="1:17">
      <c r="A43" s="10"/>
      <c r="B43" s="97"/>
      <c r="C43" s="97"/>
      <c r="D43" s="220" t="s">
        <v>39</v>
      </c>
      <c r="E43" s="97"/>
      <c r="F43" s="220"/>
      <c r="G43" s="220"/>
      <c r="H43" s="301">
        <v>286146</v>
      </c>
      <c r="I43" s="301">
        <v>117087</v>
      </c>
      <c r="J43" s="301">
        <v>119502</v>
      </c>
      <c r="K43" s="301">
        <v>123672</v>
      </c>
      <c r="L43" s="301">
        <v>150901</v>
      </c>
      <c r="M43" s="6"/>
      <c r="N43" s="6"/>
      <c r="O43" s="6"/>
      <c r="P43" s="6"/>
      <c r="Q43" s="6"/>
    </row>
    <row r="44" ht="17.25" customHeight="1" spans="1:17">
      <c r="A44" s="10"/>
      <c r="B44" s="97"/>
      <c r="C44" s="97"/>
      <c r="D44" s="220" t="s">
        <v>40</v>
      </c>
      <c r="E44" s="97"/>
      <c r="F44" s="220"/>
      <c r="G44" s="220"/>
      <c r="H44" s="301">
        <v>1588</v>
      </c>
      <c r="I44" s="301">
        <v>1525</v>
      </c>
      <c r="J44" s="301">
        <v>899</v>
      </c>
      <c r="K44" s="301">
        <v>742</v>
      </c>
      <c r="L44" s="301">
        <v>826</v>
      </c>
      <c r="M44" s="6"/>
      <c r="N44" s="6"/>
      <c r="O44" s="6"/>
      <c r="P44" s="6"/>
      <c r="Q44" s="6"/>
    </row>
    <row r="45" ht="17.25" customHeight="1" spans="1:17">
      <c r="A45" s="10"/>
      <c r="B45" s="97"/>
      <c r="C45" s="97"/>
      <c r="D45" s="220" t="s">
        <v>41</v>
      </c>
      <c r="E45" s="97"/>
      <c r="F45" s="220"/>
      <c r="G45" s="220"/>
      <c r="H45" s="301">
        <v>2377</v>
      </c>
      <c r="I45" s="301">
        <v>2523</v>
      </c>
      <c r="J45" s="301">
        <v>2622</v>
      </c>
      <c r="K45" s="301">
        <v>6088</v>
      </c>
      <c r="L45" s="301">
        <v>4899</v>
      </c>
      <c r="M45" s="6"/>
      <c r="N45" s="6"/>
      <c r="O45" s="6"/>
      <c r="P45" s="6"/>
      <c r="Q45" s="6"/>
    </row>
    <row r="46" ht="17.25" customHeight="1" spans="1:17">
      <c r="A46" s="10"/>
      <c r="B46" s="97"/>
      <c r="C46" s="97"/>
      <c r="D46" s="220" t="s">
        <v>42</v>
      </c>
      <c r="E46" s="97"/>
      <c r="F46" s="220"/>
      <c r="G46" s="220"/>
      <c r="H46" s="301">
        <v>1043</v>
      </c>
      <c r="I46" s="301">
        <v>1549</v>
      </c>
      <c r="J46" s="301">
        <v>938</v>
      </c>
      <c r="K46" s="301">
        <v>408</v>
      </c>
      <c r="L46" s="301">
        <v>594</v>
      </c>
      <c r="M46" s="6"/>
      <c r="N46" s="6"/>
      <c r="O46" s="6"/>
      <c r="P46" s="6"/>
      <c r="Q46" s="6"/>
    </row>
    <row r="47" ht="17.25" customHeight="1" spans="1:17">
      <c r="A47" s="10"/>
      <c r="B47" s="97"/>
      <c r="C47" s="97"/>
      <c r="D47" s="220" t="s">
        <v>43</v>
      </c>
      <c r="E47" s="97"/>
      <c r="F47" s="220"/>
      <c r="G47" s="220"/>
      <c r="H47" s="301">
        <v>61188</v>
      </c>
      <c r="I47" s="301">
        <v>40894</v>
      </c>
      <c r="J47" s="301">
        <v>43085</v>
      </c>
      <c r="K47" s="301">
        <v>58190</v>
      </c>
      <c r="L47" s="301">
        <v>64190</v>
      </c>
      <c r="M47" s="6"/>
      <c r="N47" s="6"/>
      <c r="O47" s="6"/>
      <c r="P47" s="6"/>
      <c r="Q47" s="6"/>
    </row>
    <row r="48" ht="17.25" customHeight="1" spans="1:17">
      <c r="A48" s="10"/>
      <c r="B48" s="97"/>
      <c r="C48" s="97"/>
      <c r="D48" s="229" t="s">
        <v>44</v>
      </c>
      <c r="E48" s="97"/>
      <c r="F48" s="220"/>
      <c r="G48" s="220"/>
      <c r="H48" s="302">
        <f>SUM(H36:H47)</f>
        <v>1152646</v>
      </c>
      <c r="I48" s="302">
        <f>SUM(I36:I47)</f>
        <v>1182135</v>
      </c>
      <c r="J48" s="302">
        <f>SUM(J36:J47)</f>
        <v>1285886</v>
      </c>
      <c r="K48" s="302">
        <f>SUM(K36:K47)</f>
        <v>1450851</v>
      </c>
      <c r="L48" s="302">
        <f>SUM(L36:L47)</f>
        <v>1583891</v>
      </c>
      <c r="M48" s="6"/>
      <c r="N48" s="6"/>
      <c r="O48" s="6"/>
      <c r="P48" s="6"/>
      <c r="Q48" s="6"/>
    </row>
    <row r="49" ht="17.25" customHeight="1" spans="1:17">
      <c r="A49" s="10"/>
      <c r="B49" s="97"/>
      <c r="C49" s="97"/>
      <c r="D49" s="229"/>
      <c r="E49" s="97"/>
      <c r="F49" s="220"/>
      <c r="G49" s="220"/>
      <c r="H49" s="303"/>
      <c r="I49" s="303"/>
      <c r="J49" s="303"/>
      <c r="K49" s="303"/>
      <c r="L49" s="303"/>
      <c r="M49" s="6"/>
      <c r="N49" s="6"/>
      <c r="O49" s="6"/>
      <c r="P49" s="6"/>
      <c r="Q49" s="6"/>
    </row>
    <row r="50" ht="17.25" customHeight="1" spans="1:17">
      <c r="A50" s="10"/>
      <c r="B50" s="97"/>
      <c r="C50" s="229" t="s">
        <v>45</v>
      </c>
      <c r="D50" s="97"/>
      <c r="E50" s="97"/>
      <c r="F50" s="220"/>
      <c r="G50" s="220"/>
      <c r="H50" s="220"/>
      <c r="I50" s="220"/>
      <c r="J50" s="220"/>
      <c r="K50" s="220"/>
      <c r="L50" s="220"/>
      <c r="M50" s="6"/>
      <c r="N50" s="6"/>
      <c r="O50" s="6"/>
      <c r="P50" s="6"/>
      <c r="Q50" s="6"/>
    </row>
    <row r="51" ht="17.25" customHeight="1" spans="1:17">
      <c r="A51" s="10"/>
      <c r="B51" s="97"/>
      <c r="C51" s="97"/>
      <c r="D51" s="220" t="s">
        <v>46</v>
      </c>
      <c r="E51" s="97"/>
      <c r="F51" s="220"/>
      <c r="G51" s="220"/>
      <c r="H51" s="301">
        <v>107778</v>
      </c>
      <c r="I51" s="301">
        <v>140008</v>
      </c>
      <c r="J51" s="301">
        <v>152770</v>
      </c>
      <c r="K51" s="301">
        <v>146062</v>
      </c>
      <c r="L51" s="301">
        <v>166941</v>
      </c>
      <c r="M51" s="6"/>
      <c r="N51" s="6"/>
      <c r="O51" s="6"/>
      <c r="P51" s="6"/>
      <c r="Q51" s="6"/>
    </row>
    <row r="52" ht="17.25" customHeight="1" spans="1:17">
      <c r="A52" s="10"/>
      <c r="B52" s="97"/>
      <c r="C52" s="97"/>
      <c r="D52" s="220" t="s">
        <v>47</v>
      </c>
      <c r="E52" s="97"/>
      <c r="F52" s="220"/>
      <c r="G52" s="220"/>
      <c r="H52" s="301">
        <v>108118</v>
      </c>
      <c r="I52" s="301">
        <v>118473</v>
      </c>
      <c r="J52" s="301">
        <v>106170</v>
      </c>
      <c r="K52" s="301">
        <v>118709</v>
      </c>
      <c r="L52" s="301">
        <v>97431</v>
      </c>
      <c r="M52" s="6"/>
      <c r="N52" s="6"/>
      <c r="O52" s="6"/>
      <c r="P52" s="6"/>
      <c r="Q52" s="6"/>
    </row>
    <row r="53" ht="17.25" customHeight="1" spans="1:17">
      <c r="A53" s="10"/>
      <c r="B53" s="97"/>
      <c r="C53" s="97"/>
      <c r="D53" s="220" t="s">
        <v>48</v>
      </c>
      <c r="E53" s="97"/>
      <c r="F53" s="220"/>
      <c r="G53" s="220"/>
      <c r="H53" s="301">
        <v>23640</v>
      </c>
      <c r="I53" s="301">
        <v>28448</v>
      </c>
      <c r="J53" s="301">
        <v>31628</v>
      </c>
      <c r="K53" s="301">
        <v>42121</v>
      </c>
      <c r="L53" s="301">
        <v>58491</v>
      </c>
      <c r="M53" s="6"/>
      <c r="N53" s="6"/>
      <c r="O53" s="6"/>
      <c r="P53" s="6"/>
      <c r="Q53" s="6"/>
    </row>
    <row r="54" ht="17.25" customHeight="1" spans="1:17">
      <c r="A54" s="10"/>
      <c r="B54" s="97"/>
      <c r="C54" s="97"/>
      <c r="D54" s="220" t="s">
        <v>49</v>
      </c>
      <c r="E54" s="97"/>
      <c r="F54" s="220"/>
      <c r="G54" s="220"/>
      <c r="H54" s="301">
        <v>36178</v>
      </c>
      <c r="I54" s="301">
        <v>68664</v>
      </c>
      <c r="J54" s="301">
        <v>97225</v>
      </c>
      <c r="K54" s="301">
        <v>106502</v>
      </c>
      <c r="L54" s="301">
        <v>145977</v>
      </c>
      <c r="M54" s="6"/>
      <c r="N54" s="6"/>
      <c r="O54" s="6"/>
      <c r="P54" s="6"/>
      <c r="Q54" s="6"/>
    </row>
    <row r="55" ht="17.25" customHeight="1" spans="1:17">
      <c r="A55" s="10"/>
      <c r="B55" s="97"/>
      <c r="C55" s="97"/>
      <c r="D55" s="220" t="s">
        <v>50</v>
      </c>
      <c r="E55" s="97"/>
      <c r="F55" s="220"/>
      <c r="G55" s="220"/>
      <c r="H55" s="301">
        <v>130</v>
      </c>
      <c r="I55" s="301">
        <v>176</v>
      </c>
      <c r="J55" s="301">
        <v>2517</v>
      </c>
      <c r="K55" s="301">
        <v>5182</v>
      </c>
      <c r="L55" s="301">
        <v>4870</v>
      </c>
      <c r="M55" s="6"/>
      <c r="N55" s="6"/>
      <c r="O55" s="6"/>
      <c r="P55" s="6"/>
      <c r="Q55" s="6"/>
    </row>
    <row r="56" ht="17.25" customHeight="1" spans="1:17">
      <c r="A56" s="10"/>
      <c r="B56" s="97"/>
      <c r="C56" s="97"/>
      <c r="D56" s="220" t="s">
        <v>51</v>
      </c>
      <c r="E56" s="97"/>
      <c r="F56" s="220"/>
      <c r="G56" s="220"/>
      <c r="H56" s="301">
        <v>23896</v>
      </c>
      <c r="I56" s="301">
        <v>19696</v>
      </c>
      <c r="J56" s="301">
        <v>23965</v>
      </c>
      <c r="K56" s="301">
        <v>23546</v>
      </c>
      <c r="L56" s="301">
        <v>57926</v>
      </c>
      <c r="M56" s="6"/>
      <c r="N56" s="6"/>
      <c r="O56" s="6"/>
      <c r="P56" s="6"/>
      <c r="Q56" s="6"/>
    </row>
    <row r="57" ht="17.25" customHeight="1" spans="1:17">
      <c r="A57" s="10"/>
      <c r="B57" s="97"/>
      <c r="C57" s="97"/>
      <c r="D57" s="220" t="s">
        <v>52</v>
      </c>
      <c r="E57" s="97"/>
      <c r="F57" s="220"/>
      <c r="G57" s="220"/>
      <c r="H57" s="301">
        <v>47279</v>
      </c>
      <c r="I57" s="301">
        <v>49831</v>
      </c>
      <c r="J57" s="301">
        <v>55825</v>
      </c>
      <c r="K57" s="301">
        <v>57148</v>
      </c>
      <c r="L57" s="301">
        <v>62613</v>
      </c>
      <c r="M57" s="6"/>
      <c r="N57" s="6"/>
      <c r="O57" s="6"/>
      <c r="P57" s="6"/>
      <c r="Q57" s="6"/>
    </row>
    <row r="58" ht="17.25" customHeight="1" spans="1:17">
      <c r="A58" s="10"/>
      <c r="B58" s="97"/>
      <c r="C58" s="97"/>
      <c r="D58" s="229" t="s">
        <v>53</v>
      </c>
      <c r="E58" s="97"/>
      <c r="F58" s="220"/>
      <c r="G58" s="220"/>
      <c r="H58" s="302">
        <f>SUM(H51:H57)</f>
        <v>347019</v>
      </c>
      <c r="I58" s="302">
        <f>SUM(I51:I57)</f>
        <v>425296</v>
      </c>
      <c r="J58" s="302">
        <f>SUM(J51:J57)</f>
        <v>470100</v>
      </c>
      <c r="K58" s="302">
        <f>SUM(K51:K57)</f>
        <v>499270</v>
      </c>
      <c r="L58" s="302">
        <f>SUM(L51:L57)</f>
        <v>594249</v>
      </c>
      <c r="M58" s="6"/>
      <c r="N58" s="6"/>
      <c r="O58" s="6"/>
      <c r="P58" s="6"/>
      <c r="Q58" s="6"/>
    </row>
    <row r="59" ht="17.25" customHeight="1" spans="1:17">
      <c r="A59" s="10"/>
      <c r="B59" s="97"/>
      <c r="C59" s="97"/>
      <c r="D59" s="229" t="s">
        <v>54</v>
      </c>
      <c r="E59" s="97"/>
      <c r="F59" s="220"/>
      <c r="G59" s="220"/>
      <c r="H59" s="302">
        <f>H48+H58</f>
        <v>1499665</v>
      </c>
      <c r="I59" s="302">
        <f>I48+I58</f>
        <v>1607431</v>
      </c>
      <c r="J59" s="302">
        <f>J48+J58</f>
        <v>1755986</v>
      </c>
      <c r="K59" s="302">
        <f>K48+K58</f>
        <v>1950121</v>
      </c>
      <c r="L59" s="302">
        <f>L48+L58</f>
        <v>2178140</v>
      </c>
      <c r="M59" s="6"/>
      <c r="N59" s="6"/>
      <c r="O59" s="6"/>
      <c r="P59" s="6"/>
      <c r="Q59" s="6"/>
    </row>
    <row r="60" ht="17.25" customHeight="1" spans="1:17">
      <c r="A60" s="10"/>
      <c r="B60" s="97"/>
      <c r="C60" s="97"/>
      <c r="D60" s="97"/>
      <c r="E60" s="97"/>
      <c r="F60" s="220"/>
      <c r="G60" s="220"/>
      <c r="H60" s="303"/>
      <c r="I60" s="303"/>
      <c r="J60" s="303"/>
      <c r="K60" s="303"/>
      <c r="L60" s="303"/>
      <c r="M60" s="6"/>
      <c r="N60" s="6"/>
      <c r="O60" s="6"/>
      <c r="P60" s="6"/>
      <c r="Q60" s="6"/>
    </row>
    <row r="61" ht="17.25" customHeight="1" spans="1:17">
      <c r="A61" s="10"/>
      <c r="B61" s="97"/>
      <c r="C61" s="229" t="s">
        <v>55</v>
      </c>
      <c r="D61" s="97"/>
      <c r="E61" s="97"/>
      <c r="F61" s="220"/>
      <c r="G61" s="220"/>
      <c r="H61" s="303"/>
      <c r="I61" s="303"/>
      <c r="J61" s="303"/>
      <c r="K61" s="303"/>
      <c r="L61" s="303"/>
      <c r="M61" s="6"/>
      <c r="N61" s="6"/>
      <c r="O61" s="6"/>
      <c r="P61" s="6"/>
      <c r="Q61" s="6"/>
    </row>
    <row r="62" ht="17.25" customHeight="1" spans="1:17">
      <c r="A62" s="10"/>
      <c r="B62" s="97"/>
      <c r="C62" s="97"/>
      <c r="D62" s="229" t="s">
        <v>56</v>
      </c>
      <c r="E62" s="97"/>
      <c r="F62" s="220"/>
      <c r="G62" s="220"/>
      <c r="H62" s="220"/>
      <c r="I62" s="220"/>
      <c r="J62" s="220"/>
      <c r="K62" s="220"/>
      <c r="L62" s="220"/>
      <c r="M62" s="6"/>
      <c r="N62" s="6"/>
      <c r="O62" s="6"/>
      <c r="P62" s="6"/>
      <c r="Q62" s="6"/>
    </row>
    <row r="63" ht="17.25" customHeight="1" spans="1:17">
      <c r="A63" s="10"/>
      <c r="B63" s="97"/>
      <c r="C63" s="97"/>
      <c r="D63" s="220" t="s">
        <v>57</v>
      </c>
      <c r="E63" s="97"/>
      <c r="F63" s="220"/>
      <c r="G63" s="220"/>
      <c r="H63" s="301">
        <v>6765</v>
      </c>
      <c r="I63" s="301">
        <v>6766</v>
      </c>
      <c r="J63" s="301">
        <v>6766</v>
      </c>
      <c r="K63" s="301">
        <v>13532</v>
      </c>
      <c r="L63" s="301">
        <v>13532</v>
      </c>
      <c r="M63" s="6"/>
      <c r="N63" s="6"/>
      <c r="O63" s="6"/>
      <c r="P63" s="6"/>
      <c r="Q63" s="6"/>
    </row>
    <row r="64" ht="17.25" customHeight="1" spans="1:17">
      <c r="A64" s="10"/>
      <c r="B64" s="97"/>
      <c r="C64" s="97"/>
      <c r="D64" s="220" t="s">
        <v>58</v>
      </c>
      <c r="E64" s="97"/>
      <c r="F64" s="220"/>
      <c r="G64" s="220"/>
      <c r="H64" s="301">
        <v>772720</v>
      </c>
      <c r="I64" s="301">
        <v>709106</v>
      </c>
      <c r="J64" s="301">
        <v>786715</v>
      </c>
      <c r="K64" s="301">
        <v>829668</v>
      </c>
      <c r="L64" s="301">
        <v>890498</v>
      </c>
      <c r="M64" s="6"/>
      <c r="N64" s="6"/>
      <c r="O64" s="6"/>
      <c r="P64" s="6"/>
      <c r="Q64" s="6"/>
    </row>
    <row r="65" ht="17.25" customHeight="1" spans="1:17">
      <c r="A65" s="10"/>
      <c r="B65" s="97"/>
      <c r="C65" s="97"/>
      <c r="D65" s="220" t="s">
        <v>59</v>
      </c>
      <c r="E65" s="97"/>
      <c r="F65" s="220"/>
      <c r="G65" s="220"/>
      <c r="H65" s="301">
        <v>109499</v>
      </c>
      <c r="I65" s="301">
        <v>113009</v>
      </c>
      <c r="J65" s="301">
        <v>132307</v>
      </c>
      <c r="K65" s="301">
        <v>166426</v>
      </c>
      <c r="L65" s="301">
        <v>181836</v>
      </c>
      <c r="M65" s="6"/>
      <c r="N65" s="6"/>
      <c r="O65" s="6"/>
      <c r="P65" s="6"/>
      <c r="Q65" s="6"/>
    </row>
    <row r="66" ht="17.25" customHeight="1" spans="1:17">
      <c r="A66" s="10"/>
      <c r="B66" s="97"/>
      <c r="C66" s="97"/>
      <c r="D66" s="229" t="s">
        <v>60</v>
      </c>
      <c r="E66" s="97"/>
      <c r="F66" s="220"/>
      <c r="G66" s="220"/>
      <c r="H66" s="302">
        <f>SUM(H63:H65)</f>
        <v>888984</v>
      </c>
      <c r="I66" s="302">
        <f>SUM(I63:I65)</f>
        <v>828881</v>
      </c>
      <c r="J66" s="302">
        <f>SUM(J63:J65)</f>
        <v>925788</v>
      </c>
      <c r="K66" s="302">
        <f>SUM(K63:K65)</f>
        <v>1009626</v>
      </c>
      <c r="L66" s="302">
        <f>SUM(L63:L65)</f>
        <v>1085866</v>
      </c>
      <c r="M66" s="6"/>
      <c r="N66" s="6"/>
      <c r="O66" s="6"/>
      <c r="P66" s="6"/>
      <c r="Q66" s="6"/>
    </row>
    <row r="67" ht="17.25" customHeight="1" spans="1:17">
      <c r="A67" s="10"/>
      <c r="B67" s="97"/>
      <c r="C67" s="97"/>
      <c r="D67" s="229"/>
      <c r="E67" s="97"/>
      <c r="F67" s="220"/>
      <c r="G67" s="220"/>
      <c r="H67" s="220"/>
      <c r="I67" s="220"/>
      <c r="J67" s="220"/>
      <c r="K67" s="220"/>
      <c r="L67" s="220"/>
      <c r="M67" s="6"/>
      <c r="N67" s="6"/>
      <c r="O67" s="6"/>
      <c r="P67" s="6"/>
      <c r="Q67" s="6"/>
    </row>
    <row r="68" ht="17.25" customHeight="1" spans="1:17">
      <c r="A68" s="10"/>
      <c r="B68" s="97"/>
      <c r="C68" s="229" t="s">
        <v>61</v>
      </c>
      <c r="D68" s="97"/>
      <c r="E68" s="97"/>
      <c r="F68" s="220"/>
      <c r="G68" s="220"/>
      <c r="H68" s="220"/>
      <c r="I68" s="220"/>
      <c r="J68" s="220"/>
      <c r="K68" s="220"/>
      <c r="L68" s="220"/>
      <c r="M68" s="6"/>
      <c r="N68" s="6"/>
      <c r="O68" s="6"/>
      <c r="P68" s="6"/>
      <c r="Q68" s="6"/>
    </row>
    <row r="69" ht="17.25" customHeight="1" spans="1:17">
      <c r="A69" s="10"/>
      <c r="B69" s="97"/>
      <c r="C69" s="97"/>
      <c r="D69" s="220" t="s">
        <v>62</v>
      </c>
      <c r="E69" s="97"/>
      <c r="F69" s="220"/>
      <c r="G69" s="220"/>
      <c r="H69" s="301">
        <v>187699</v>
      </c>
      <c r="I69" s="301">
        <v>183176</v>
      </c>
      <c r="J69" s="301">
        <v>222712</v>
      </c>
      <c r="K69" s="301">
        <v>236899</v>
      </c>
      <c r="L69" s="301">
        <v>270751</v>
      </c>
      <c r="M69" s="6"/>
      <c r="N69" s="6"/>
      <c r="O69" s="6"/>
      <c r="P69" s="6"/>
      <c r="Q69" s="6"/>
    </row>
    <row r="70" ht="17.25" customHeight="1" spans="1:17">
      <c r="A70" s="10"/>
      <c r="B70" s="97"/>
      <c r="C70" s="97"/>
      <c r="D70" s="220" t="s">
        <v>63</v>
      </c>
      <c r="E70" s="97"/>
      <c r="F70" s="220"/>
      <c r="G70" s="220"/>
      <c r="H70" s="301">
        <v>13007</v>
      </c>
      <c r="I70" s="301">
        <v>16230</v>
      </c>
      <c r="J70" s="301">
        <v>17415</v>
      </c>
      <c r="K70" s="301">
        <v>17142</v>
      </c>
      <c r="L70" s="301">
        <v>16198</v>
      </c>
      <c r="M70" s="6"/>
      <c r="N70" s="6"/>
      <c r="O70" s="6"/>
      <c r="P70" s="6"/>
      <c r="Q70" s="6"/>
    </row>
    <row r="71" ht="17.25" customHeight="1" spans="1:17">
      <c r="A71" s="10"/>
      <c r="B71" s="97"/>
      <c r="C71" s="97"/>
      <c r="D71" s="220" t="s">
        <v>64</v>
      </c>
      <c r="E71" s="97"/>
      <c r="F71" s="220"/>
      <c r="G71" s="220"/>
      <c r="H71" s="301">
        <v>37184</v>
      </c>
      <c r="I71" s="301">
        <v>112847</v>
      </c>
      <c r="J71" s="301">
        <v>108272</v>
      </c>
      <c r="K71" s="301">
        <v>104410</v>
      </c>
      <c r="L71" s="301">
        <v>99552</v>
      </c>
      <c r="M71" s="6"/>
      <c r="N71" s="6"/>
      <c r="O71" s="6"/>
      <c r="P71" s="6"/>
      <c r="Q71" s="6"/>
    </row>
    <row r="72" ht="17.25" customHeight="1" spans="1:17">
      <c r="A72" s="10"/>
      <c r="B72" s="97"/>
      <c r="C72" s="97"/>
      <c r="D72" s="220" t="s">
        <v>65</v>
      </c>
      <c r="E72" s="97"/>
      <c r="F72" s="220"/>
      <c r="G72" s="220"/>
      <c r="H72" s="301">
        <v>12024</v>
      </c>
      <c r="I72" s="301">
        <v>7704</v>
      </c>
      <c r="J72" s="301">
        <v>5667</v>
      </c>
      <c r="K72" s="301">
        <v>10909</v>
      </c>
      <c r="L72" s="301">
        <v>37833</v>
      </c>
      <c r="M72" s="6"/>
      <c r="N72" s="6"/>
      <c r="O72" s="6"/>
      <c r="P72" s="6"/>
      <c r="Q72" s="6"/>
    </row>
    <row r="73" ht="17.25" customHeight="1" spans="1:17">
      <c r="A73" s="10"/>
      <c r="B73" s="97"/>
      <c r="C73" s="97"/>
      <c r="D73" s="220" t="s">
        <v>66</v>
      </c>
      <c r="E73" s="97"/>
      <c r="F73" s="220"/>
      <c r="G73" s="220"/>
      <c r="H73" s="301">
        <v>1853</v>
      </c>
      <c r="I73" s="301">
        <v>1607</v>
      </c>
      <c r="J73" s="301">
        <v>2044</v>
      </c>
      <c r="K73" s="301">
        <v>28304</v>
      </c>
      <c r="L73" s="301">
        <v>21793</v>
      </c>
      <c r="M73" s="6"/>
      <c r="N73" s="6"/>
      <c r="O73" s="6"/>
      <c r="P73" s="6"/>
      <c r="Q73" s="6"/>
    </row>
    <row r="74" ht="17.25" customHeight="1" spans="1:17">
      <c r="A74" s="10"/>
      <c r="B74" s="97"/>
      <c r="C74" s="97"/>
      <c r="D74" s="220" t="s">
        <v>67</v>
      </c>
      <c r="E74" s="97"/>
      <c r="F74" s="220"/>
      <c r="G74" s="220"/>
      <c r="H74" s="301">
        <v>49644</v>
      </c>
      <c r="I74" s="301">
        <v>60324</v>
      </c>
      <c r="J74" s="301">
        <v>72241</v>
      </c>
      <c r="K74" s="301">
        <v>83453</v>
      </c>
      <c r="L74" s="301">
        <v>97961</v>
      </c>
      <c r="M74" s="6"/>
      <c r="N74" s="6"/>
      <c r="O74" s="6"/>
      <c r="P74" s="6"/>
      <c r="Q74" s="6"/>
    </row>
    <row r="75" ht="17.25" customHeight="1" spans="1:17">
      <c r="A75" s="10"/>
      <c r="B75" s="97"/>
      <c r="C75" s="97"/>
      <c r="D75" s="220" t="s">
        <v>68</v>
      </c>
      <c r="E75" s="97"/>
      <c r="F75" s="220"/>
      <c r="G75" s="220"/>
      <c r="H75" s="301">
        <v>608</v>
      </c>
      <c r="I75" s="301">
        <v>919</v>
      </c>
      <c r="J75" s="301">
        <v>4480</v>
      </c>
      <c r="K75" s="301">
        <v>5641</v>
      </c>
      <c r="L75" s="301">
        <v>6932</v>
      </c>
      <c r="M75" s="6"/>
      <c r="N75" s="6"/>
      <c r="O75" s="6"/>
      <c r="P75" s="6"/>
      <c r="Q75" s="6"/>
    </row>
    <row r="76" ht="17.25" customHeight="1" spans="1:17">
      <c r="A76" s="10"/>
      <c r="B76" s="97"/>
      <c r="C76" s="97"/>
      <c r="D76" s="229" t="s">
        <v>69</v>
      </c>
      <c r="E76" s="97"/>
      <c r="F76" s="220"/>
      <c r="G76" s="220"/>
      <c r="H76" s="302">
        <f>SUM(H69:H75)</f>
        <v>302019</v>
      </c>
      <c r="I76" s="302">
        <f>SUM(I69:I75)</f>
        <v>382807</v>
      </c>
      <c r="J76" s="302">
        <f>SUM(J69:J75)</f>
        <v>432831</v>
      </c>
      <c r="K76" s="302">
        <f>SUM(K69:K75)</f>
        <v>486758</v>
      </c>
      <c r="L76" s="302">
        <f>SUM(L69:L75)</f>
        <v>551020</v>
      </c>
      <c r="M76" s="6"/>
      <c r="N76" s="6"/>
      <c r="O76" s="6"/>
      <c r="P76" s="6"/>
      <c r="Q76" s="6"/>
    </row>
    <row r="77" ht="17.25" customHeight="1" spans="1:17">
      <c r="A77" s="10"/>
      <c r="B77" s="97"/>
      <c r="C77" s="97"/>
      <c r="D77" s="229"/>
      <c r="E77" s="97"/>
      <c r="F77" s="220"/>
      <c r="G77" s="220"/>
      <c r="H77" s="220"/>
      <c r="I77" s="220"/>
      <c r="J77" s="220"/>
      <c r="K77" s="220"/>
      <c r="L77" s="220"/>
      <c r="M77" s="6"/>
      <c r="N77" s="6"/>
      <c r="O77" s="6"/>
      <c r="P77" s="6"/>
      <c r="Q77" s="6"/>
    </row>
    <row r="78" ht="17.25" customHeight="1" spans="1:17">
      <c r="A78" s="10"/>
      <c r="B78" s="97"/>
      <c r="C78" s="229" t="s">
        <v>70</v>
      </c>
      <c r="D78" s="97"/>
      <c r="E78" s="97"/>
      <c r="F78" s="220"/>
      <c r="G78" s="220"/>
      <c r="H78" s="220"/>
      <c r="I78" s="220"/>
      <c r="J78" s="220"/>
      <c r="K78" s="220"/>
      <c r="L78" s="220"/>
      <c r="M78" s="6"/>
      <c r="N78" s="6"/>
      <c r="O78" s="6"/>
      <c r="P78" s="6"/>
      <c r="Q78" s="6"/>
    </row>
    <row r="79" ht="17.25" customHeight="1" spans="1:17">
      <c r="A79" s="10"/>
      <c r="B79" s="97"/>
      <c r="C79" s="97"/>
      <c r="D79" s="220" t="s">
        <v>62</v>
      </c>
      <c r="E79" s="97"/>
      <c r="F79" s="220"/>
      <c r="G79" s="220"/>
      <c r="H79" s="301">
        <v>78606</v>
      </c>
      <c r="I79" s="301">
        <v>130790</v>
      </c>
      <c r="J79" s="301">
        <v>101910</v>
      </c>
      <c r="K79" s="301">
        <v>110631</v>
      </c>
      <c r="L79" s="301">
        <v>103670</v>
      </c>
      <c r="M79" s="6"/>
      <c r="N79" s="6"/>
      <c r="O79" s="6"/>
      <c r="P79" s="6"/>
      <c r="Q79" s="6"/>
    </row>
    <row r="80" ht="17.25" customHeight="1" spans="1:17">
      <c r="A80" s="10"/>
      <c r="B80" s="97"/>
      <c r="C80" s="97"/>
      <c r="D80" s="220" t="s">
        <v>63</v>
      </c>
      <c r="E80" s="97"/>
      <c r="F80" s="220"/>
      <c r="G80" s="220"/>
      <c r="H80" s="301">
        <v>2662</v>
      </c>
      <c r="I80" s="301">
        <v>4196</v>
      </c>
      <c r="J80" s="301">
        <v>4105</v>
      </c>
      <c r="K80" s="301">
        <v>4903</v>
      </c>
      <c r="L80" s="301">
        <v>7381</v>
      </c>
      <c r="M80" s="6"/>
      <c r="N80" s="6"/>
      <c r="O80" s="6"/>
      <c r="P80" s="6"/>
      <c r="Q80" s="6"/>
    </row>
    <row r="81" ht="17.25" customHeight="1" spans="1:17">
      <c r="A81" s="10"/>
      <c r="B81" s="97"/>
      <c r="C81" s="97"/>
      <c r="D81" s="220" t="s">
        <v>71</v>
      </c>
      <c r="E81" s="97"/>
      <c r="F81" s="220"/>
      <c r="G81" s="220"/>
      <c r="H81" s="301">
        <v>159330</v>
      </c>
      <c r="I81" s="301">
        <v>147172</v>
      </c>
      <c r="J81" s="301">
        <v>178377</v>
      </c>
      <c r="K81" s="301">
        <v>186789</v>
      </c>
      <c r="L81" s="301">
        <v>158842</v>
      </c>
      <c r="M81" s="6"/>
      <c r="N81" s="6"/>
      <c r="O81" s="6"/>
      <c r="P81" s="6"/>
      <c r="Q81" s="6"/>
    </row>
    <row r="82" ht="17.25" customHeight="1" spans="1:17">
      <c r="A82" s="10"/>
      <c r="B82" s="97"/>
      <c r="C82" s="97"/>
      <c r="D82" s="220" t="s">
        <v>65</v>
      </c>
      <c r="E82" s="97"/>
      <c r="F82" s="220"/>
      <c r="G82" s="220"/>
      <c r="H82" s="301">
        <v>44544</v>
      </c>
      <c r="I82" s="301">
        <v>68501</v>
      </c>
      <c r="J82" s="301">
        <v>55602</v>
      </c>
      <c r="K82" s="301">
        <v>57143</v>
      </c>
      <c r="L82" s="301">
        <v>64660</v>
      </c>
      <c r="M82" s="6"/>
      <c r="N82" s="6"/>
      <c r="O82" s="6"/>
      <c r="P82" s="6"/>
      <c r="Q82" s="6"/>
    </row>
    <row r="83" ht="17.25" customHeight="1" spans="1:17">
      <c r="A83" s="10"/>
      <c r="B83" s="97"/>
      <c r="C83" s="97"/>
      <c r="D83" s="220" t="s">
        <v>72</v>
      </c>
      <c r="E83" s="97"/>
      <c r="F83" s="220"/>
      <c r="G83" s="220"/>
      <c r="H83" s="301">
        <v>21584</v>
      </c>
      <c r="I83" s="301">
        <v>42906</v>
      </c>
      <c r="J83" s="301">
        <v>55198</v>
      </c>
      <c r="K83" s="301">
        <v>90124</v>
      </c>
      <c r="L83" s="301">
        <v>201503</v>
      </c>
      <c r="M83" s="6"/>
      <c r="N83" s="6"/>
      <c r="O83" s="6"/>
      <c r="P83" s="6"/>
      <c r="Q83" s="6"/>
    </row>
    <row r="84" ht="17.25" customHeight="1" spans="1:17">
      <c r="A84" s="10"/>
      <c r="B84" s="97"/>
      <c r="C84" s="97"/>
      <c r="D84" s="220" t="s">
        <v>66</v>
      </c>
      <c r="E84" s="97"/>
      <c r="F84" s="220"/>
      <c r="G84" s="220"/>
      <c r="H84" s="301">
        <v>1936</v>
      </c>
      <c r="I84" s="301">
        <v>2178</v>
      </c>
      <c r="J84" s="301">
        <v>2175</v>
      </c>
      <c r="K84" s="301">
        <v>4147</v>
      </c>
      <c r="L84" s="301">
        <v>5198</v>
      </c>
      <c r="M84" s="6"/>
      <c r="N84" s="6"/>
      <c r="O84" s="6"/>
      <c r="P84" s="6"/>
      <c r="Q84" s="6"/>
    </row>
    <row r="85" ht="17.25" customHeight="1" spans="1:17">
      <c r="A85" s="10"/>
      <c r="B85" s="97"/>
      <c r="C85" s="97"/>
      <c r="D85" s="229" t="s">
        <v>73</v>
      </c>
      <c r="E85" s="97"/>
      <c r="F85" s="220"/>
      <c r="G85" s="220"/>
      <c r="H85" s="302">
        <f>SUM(H79:H84)</f>
        <v>308662</v>
      </c>
      <c r="I85" s="302">
        <f>SUM(I79:I84)</f>
        <v>395743</v>
      </c>
      <c r="J85" s="302">
        <f>SUM(J79:J84)</f>
        <v>397367</v>
      </c>
      <c r="K85" s="302">
        <f>SUM(K79:K84)</f>
        <v>453737</v>
      </c>
      <c r="L85" s="302">
        <f>SUM(L79:L84)</f>
        <v>541254</v>
      </c>
      <c r="M85" s="6"/>
      <c r="N85" s="6"/>
      <c r="O85" s="6"/>
      <c r="P85" s="6"/>
      <c r="Q85" s="6"/>
    </row>
    <row r="86" ht="17.25" customHeight="1" spans="1:17">
      <c r="A86" s="10"/>
      <c r="B86" s="97"/>
      <c r="C86" s="97"/>
      <c r="D86" s="229" t="s">
        <v>74</v>
      </c>
      <c r="E86" s="97"/>
      <c r="F86" s="220"/>
      <c r="G86" s="220"/>
      <c r="H86" s="302">
        <f>H76+H85</f>
        <v>610681</v>
      </c>
      <c r="I86" s="302">
        <f>I76+I85</f>
        <v>778550</v>
      </c>
      <c r="J86" s="302">
        <f>J76+J85</f>
        <v>830198</v>
      </c>
      <c r="K86" s="302">
        <f>K76+K85</f>
        <v>940495</v>
      </c>
      <c r="L86" s="302">
        <f>L76+L85</f>
        <v>1092274</v>
      </c>
      <c r="M86" s="6"/>
      <c r="N86" s="6"/>
      <c r="O86" s="6"/>
      <c r="P86" s="6"/>
      <c r="Q86" s="6"/>
    </row>
    <row r="87" ht="17.25" customHeight="1" spans="1:17">
      <c r="A87" s="10"/>
      <c r="B87" s="97"/>
      <c r="C87" s="97"/>
      <c r="D87" s="229" t="s">
        <v>75</v>
      </c>
      <c r="E87" s="97"/>
      <c r="F87" s="220"/>
      <c r="G87" s="220"/>
      <c r="H87" s="302">
        <f>H66+H86</f>
        <v>1499665</v>
      </c>
      <c r="I87" s="302">
        <f>I66+I86</f>
        <v>1607431</v>
      </c>
      <c r="J87" s="302">
        <f>J66+J86</f>
        <v>1755986</v>
      </c>
      <c r="K87" s="302">
        <f>K66+K86</f>
        <v>1950121</v>
      </c>
      <c r="L87" s="302">
        <f>L66+L86</f>
        <v>2178140</v>
      </c>
      <c r="M87" s="6"/>
      <c r="N87" s="6"/>
      <c r="O87" s="6"/>
      <c r="P87" s="6"/>
      <c r="Q87" s="6"/>
    </row>
    <row r="88" ht="17.25" customHeight="1" spans="1:17">
      <c r="A88" s="10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6"/>
      <c r="N88" s="6"/>
      <c r="O88" s="6"/>
      <c r="P88" s="6"/>
      <c r="Q88" s="6"/>
    </row>
    <row r="89" ht="20.25" customHeight="1" spans="1:17">
      <c r="A89" s="305" t="s">
        <v>76</v>
      </c>
      <c r="B89" s="220"/>
      <c r="C89" s="220"/>
      <c r="D89" s="220"/>
      <c r="E89" s="220"/>
      <c r="F89" s="220"/>
      <c r="G89" s="220"/>
      <c r="H89" s="220"/>
      <c r="I89" s="220"/>
      <c r="J89" s="220"/>
      <c r="K89" s="220"/>
      <c r="L89" s="220"/>
      <c r="M89" s="6"/>
      <c r="N89" s="6"/>
      <c r="O89" s="6"/>
      <c r="P89" s="6"/>
      <c r="Q89" s="6"/>
    </row>
    <row r="90" ht="17.25" customHeight="1" spans="1:17">
      <c r="B90" s="229" t="s">
        <v>77</v>
      </c>
      <c r="C90" s="97"/>
      <c r="D90" s="220"/>
      <c r="E90" s="220"/>
      <c r="F90" s="220"/>
      <c r="G90" s="220"/>
      <c r="H90" s="220"/>
      <c r="I90" s="220"/>
      <c r="J90" s="220"/>
      <c r="K90" s="220"/>
      <c r="L90" s="220"/>
      <c r="M90" s="6"/>
      <c r="N90" s="6"/>
      <c r="O90" s="6"/>
      <c r="P90" s="6"/>
      <c r="Q90" s="6"/>
    </row>
    <row r="91" ht="17.25" customHeight="1" spans="1:17">
      <c r="B91" s="220"/>
      <c r="C91" s="229" t="s">
        <v>78</v>
      </c>
      <c r="D91" s="220"/>
      <c r="E91" s="220"/>
      <c r="F91" s="220"/>
      <c r="G91" s="220"/>
      <c r="H91" s="301">
        <v>84142</v>
      </c>
      <c r="I91" s="301">
        <v>94801</v>
      </c>
      <c r="J91" s="301">
        <v>104727</v>
      </c>
      <c r="K91" s="301">
        <v>106017</v>
      </c>
      <c r="L91" s="301">
        <v>123162</v>
      </c>
      <c r="M91" s="6"/>
      <c r="N91" s="6"/>
      <c r="O91" s="6"/>
      <c r="P91" s="6"/>
      <c r="Q91" s="6"/>
    </row>
    <row r="92" ht="17.25" customHeight="1" spans="1:17">
      <c r="B92" s="220"/>
      <c r="C92" s="229" t="s">
        <v>79</v>
      </c>
      <c r="D92" s="220"/>
      <c r="E92" s="220"/>
      <c r="F92" s="220"/>
      <c r="G92" s="220"/>
      <c r="H92" s="303"/>
      <c r="I92" s="303"/>
      <c r="J92" s="303"/>
      <c r="K92" s="303"/>
      <c r="L92" s="303"/>
      <c r="M92" s="6"/>
    </row>
    <row r="93" ht="17.25" customHeight="1" spans="1:17">
      <c r="B93" s="220"/>
      <c r="C93" s="220" t="s">
        <v>80</v>
      </c>
      <c r="D93" s="220"/>
      <c r="E93" s="220"/>
      <c r="F93" s="220"/>
      <c r="G93" s="220"/>
      <c r="H93" s="301">
        <v>-280</v>
      </c>
      <c r="I93" s="301">
        <v>43</v>
      </c>
      <c r="J93" s="301">
        <v>-387</v>
      </c>
      <c r="K93" s="303"/>
      <c r="L93" s="303"/>
      <c r="M93" s="6"/>
    </row>
    <row r="94" ht="17.25" customHeight="1" spans="1:17">
      <c r="B94" s="220"/>
      <c r="C94" s="220" t="s">
        <v>81</v>
      </c>
      <c r="D94" s="220"/>
      <c r="E94" s="220"/>
      <c r="F94" s="220"/>
      <c r="G94" s="220"/>
      <c r="H94" s="301">
        <v>380</v>
      </c>
      <c r="I94" s="301">
        <v>33</v>
      </c>
      <c r="J94" s="303"/>
      <c r="K94" s="303"/>
      <c r="L94" s="303"/>
      <c r="M94" s="6"/>
    </row>
    <row r="95" ht="17.25" customHeight="1" spans="1:17">
      <c r="B95" s="220"/>
      <c r="C95" s="220" t="s">
        <v>82</v>
      </c>
      <c r="D95" s="220"/>
      <c r="E95" s="220"/>
      <c r="F95" s="220"/>
      <c r="G95" s="220"/>
      <c r="H95" s="301">
        <v>40</v>
      </c>
      <c r="I95" s="301">
        <v>-60</v>
      </c>
      <c r="J95" s="301">
        <v>178</v>
      </c>
      <c r="K95" s="301">
        <v>135</v>
      </c>
      <c r="L95" s="301">
        <v>143</v>
      </c>
      <c r="M95" s="6"/>
    </row>
    <row r="96" ht="17.25" customHeight="1" spans="1:17">
      <c r="B96" s="220"/>
      <c r="C96" s="220" t="s">
        <v>18</v>
      </c>
      <c r="D96" s="220"/>
      <c r="E96" s="220"/>
      <c r="F96" s="220"/>
      <c r="G96" s="220"/>
      <c r="H96" s="301">
        <v>29797</v>
      </c>
      <c r="I96" s="301">
        <v>40319</v>
      </c>
      <c r="J96" s="301">
        <v>50832</v>
      </c>
      <c r="K96" s="301">
        <v>53136</v>
      </c>
      <c r="L96" s="301">
        <v>57688</v>
      </c>
      <c r="M96" s="6"/>
    </row>
    <row r="97" ht="17.25" customHeight="1" spans="2:13">
      <c r="B97" s="220"/>
      <c r="C97" s="220" t="s">
        <v>83</v>
      </c>
      <c r="D97" s="220"/>
      <c r="E97" s="220"/>
      <c r="F97" s="220"/>
      <c r="G97" s="220"/>
      <c r="H97" s="301">
        <v>1821</v>
      </c>
      <c r="I97" s="301">
        <v>-3680</v>
      </c>
      <c r="J97" s="301">
        <v>-1330</v>
      </c>
      <c r="K97" s="301">
        <v>-2182</v>
      </c>
      <c r="L97" s="301">
        <v>6518</v>
      </c>
      <c r="M97" s="6"/>
    </row>
    <row r="98" ht="17.25" customHeight="1" spans="2:13">
      <c r="B98" s="220"/>
      <c r="C98" s="220" t="s">
        <v>84</v>
      </c>
      <c r="D98" s="220"/>
      <c r="E98" s="220"/>
      <c r="F98" s="220"/>
      <c r="G98" s="220"/>
      <c r="H98" s="301">
        <v>-1352</v>
      </c>
      <c r="I98" s="301">
        <v>1214</v>
      </c>
      <c r="J98" s="301">
        <v>-1921</v>
      </c>
      <c r="K98" s="301">
        <v>-1557</v>
      </c>
      <c r="L98" s="301">
        <v>-2946</v>
      </c>
      <c r="M98" s="6"/>
    </row>
    <row r="99" ht="17.25" customHeight="1" spans="2:13">
      <c r="B99" s="220"/>
      <c r="C99" s="220" t="s">
        <v>23</v>
      </c>
      <c r="D99" s="220"/>
      <c r="E99" s="220"/>
      <c r="F99" s="220"/>
      <c r="G99" s="220"/>
      <c r="H99" s="301">
        <v>-2836</v>
      </c>
      <c r="I99" s="303"/>
      <c r="J99" s="303"/>
      <c r="K99" s="303"/>
      <c r="L99" s="303"/>
      <c r="M99" s="6"/>
    </row>
    <row r="100" ht="17.25" customHeight="1" spans="2:13">
      <c r="B100" s="220"/>
      <c r="C100" s="220" t="s">
        <v>85</v>
      </c>
      <c r="D100" s="220"/>
      <c r="E100" s="220"/>
      <c r="F100" s="220"/>
      <c r="G100" s="220"/>
      <c r="H100" s="301">
        <v>-41</v>
      </c>
      <c r="I100" s="301">
        <v>-38</v>
      </c>
      <c r="J100" s="301">
        <v>-89</v>
      </c>
      <c r="K100" s="301">
        <v>-504</v>
      </c>
      <c r="L100" s="301">
        <v>-9100</v>
      </c>
      <c r="M100" s="6"/>
    </row>
    <row r="101" ht="17.25" customHeight="1" spans="2:13">
      <c r="B101" s="220"/>
      <c r="C101" s="220" t="s">
        <v>86</v>
      </c>
      <c r="D101" s="220"/>
      <c r="E101" s="220"/>
      <c r="F101" s="220"/>
      <c r="G101" s="220"/>
      <c r="H101" s="301">
        <v>-12529</v>
      </c>
      <c r="I101" s="301">
        <v>-11240</v>
      </c>
      <c r="J101" s="301">
        <v>-10745</v>
      </c>
      <c r="K101" s="301">
        <v>-12410</v>
      </c>
      <c r="L101" s="301">
        <v>-13302</v>
      </c>
      <c r="M101" s="6"/>
    </row>
    <row r="102" ht="17.25" customHeight="1" spans="2:13">
      <c r="B102" s="220"/>
      <c r="C102" s="220" t="s">
        <v>17</v>
      </c>
      <c r="D102" s="220"/>
      <c r="E102" s="220"/>
      <c r="F102" s="220"/>
      <c r="G102" s="220"/>
      <c r="H102" s="301">
        <v>14584</v>
      </c>
      <c r="I102" s="301">
        <v>19571</v>
      </c>
      <c r="J102" s="301">
        <v>23118</v>
      </c>
      <c r="K102" s="301">
        <v>24269</v>
      </c>
      <c r="L102" s="301">
        <v>27061</v>
      </c>
      <c r="M102" s="6"/>
    </row>
    <row r="103" ht="17.25" customHeight="1" spans="2:13">
      <c r="B103" s="220"/>
      <c r="C103" s="229" t="s">
        <v>87</v>
      </c>
      <c r="D103" s="220"/>
      <c r="E103" s="220"/>
      <c r="F103" s="220"/>
      <c r="G103" s="220"/>
      <c r="H103" s="301">
        <f>SUM(H93:H102)</f>
        <v>29584</v>
      </c>
      <c r="I103" s="301">
        <f>SUM(I93:I102)</f>
        <v>46162</v>
      </c>
      <c r="J103" s="301">
        <f>SUM(J93:J102)</f>
        <v>59656</v>
      </c>
      <c r="K103" s="301">
        <f>SUM(K93:K102)</f>
        <v>60887</v>
      </c>
      <c r="L103" s="301">
        <f>SUM(L93:L102)</f>
        <v>66062</v>
      </c>
      <c r="M103" s="6"/>
    </row>
    <row r="104" ht="17.25" customHeight="1" spans="2:13">
      <c r="B104" s="229" t="s">
        <v>88</v>
      </c>
      <c r="C104" s="97"/>
      <c r="D104" s="220"/>
      <c r="E104" s="220"/>
      <c r="F104" s="220"/>
      <c r="G104" s="220"/>
      <c r="H104" s="302">
        <f>H91+H103</f>
        <v>113726</v>
      </c>
      <c r="I104" s="302">
        <f>I91+I103</f>
        <v>140963</v>
      </c>
      <c r="J104" s="302">
        <f>J91+J103</f>
        <v>164383</v>
      </c>
      <c r="K104" s="302">
        <f>K91+K103</f>
        <v>166904</v>
      </c>
      <c r="L104" s="302">
        <f>L91+L103</f>
        <v>189224</v>
      </c>
      <c r="M104" s="6"/>
    </row>
    <row r="105" ht="17.25" customHeight="1" spans="2:13">
      <c r="B105" s="220"/>
      <c r="C105" s="229" t="s">
        <v>89</v>
      </c>
      <c r="D105" s="220"/>
      <c r="E105" s="220"/>
      <c r="F105" s="220"/>
      <c r="G105" s="220"/>
      <c r="H105" s="303"/>
      <c r="I105" s="303"/>
      <c r="J105" s="303"/>
      <c r="K105" s="303"/>
      <c r="L105" s="303"/>
      <c r="M105" s="6"/>
    </row>
    <row r="106" ht="17.25" customHeight="1" spans="2:13">
      <c r="B106" s="220"/>
      <c r="C106" s="220" t="s">
        <v>90</v>
      </c>
      <c r="D106" s="220"/>
      <c r="E106" s="220"/>
      <c r="F106" s="220"/>
      <c r="G106" s="220"/>
      <c r="H106" s="301">
        <v>-14180</v>
      </c>
      <c r="I106" s="301">
        <v>13194</v>
      </c>
      <c r="J106" s="301">
        <v>-15674</v>
      </c>
      <c r="K106" s="301">
        <v>-17837</v>
      </c>
      <c r="L106" s="301">
        <v>-53322</v>
      </c>
      <c r="M106" s="6"/>
    </row>
    <row r="107" ht="17.25" customHeight="1" spans="2:13">
      <c r="B107" s="220"/>
      <c r="C107" s="220" t="s">
        <v>91</v>
      </c>
      <c r="D107" s="220"/>
      <c r="E107" s="220"/>
      <c r="F107" s="220"/>
      <c r="G107" s="220"/>
      <c r="H107" s="301">
        <v>-24983</v>
      </c>
      <c r="I107" s="301">
        <v>-32228</v>
      </c>
      <c r="J107" s="301">
        <v>-12756</v>
      </c>
      <c r="K107" s="301">
        <v>3134</v>
      </c>
      <c r="L107" s="301">
        <v>-20790</v>
      </c>
      <c r="M107" s="6"/>
    </row>
    <row r="108" ht="17.25" customHeight="1" spans="2:13">
      <c r="B108" s="220"/>
      <c r="C108" s="220" t="s">
        <v>92</v>
      </c>
      <c r="D108" s="220"/>
      <c r="E108" s="220"/>
      <c r="F108" s="220"/>
      <c r="G108" s="220"/>
      <c r="H108" s="301">
        <v>39888</v>
      </c>
      <c r="I108" s="301">
        <v>-600</v>
      </c>
      <c r="J108" s="301">
        <v>34796</v>
      </c>
      <c r="K108" s="301">
        <v>38427</v>
      </c>
      <c r="L108" s="301">
        <v>86609</v>
      </c>
      <c r="M108" s="6"/>
    </row>
    <row r="109" ht="17.25" customHeight="1" spans="2:13">
      <c r="B109" s="220"/>
      <c r="C109" s="229" t="s">
        <v>93</v>
      </c>
      <c r="D109" s="220"/>
      <c r="E109" s="220"/>
      <c r="F109" s="220"/>
      <c r="G109" s="220"/>
      <c r="H109" s="301">
        <f>SUM(H106:H108)</f>
        <v>725</v>
      </c>
      <c r="I109" s="301">
        <f>SUM(I106:I108)</f>
        <v>-19634</v>
      </c>
      <c r="J109" s="301">
        <f>SUM(J106:J108)</f>
        <v>6366</v>
      </c>
      <c r="K109" s="301">
        <f>SUM(K106:K108)</f>
        <v>23724</v>
      </c>
      <c r="L109" s="301">
        <f>SUM(L106:L108)</f>
        <v>12497</v>
      </c>
      <c r="M109" s="6"/>
    </row>
    <row r="110" ht="17.25" customHeight="1" spans="2:13">
      <c r="B110" s="220"/>
      <c r="C110" s="229" t="s">
        <v>94</v>
      </c>
      <c r="D110" s="220"/>
      <c r="E110" s="220"/>
      <c r="F110" s="220"/>
      <c r="G110" s="220"/>
      <c r="H110" s="302">
        <f>H104+H109</f>
        <v>114451</v>
      </c>
      <c r="I110" s="302">
        <f>I104+I109</f>
        <v>121329</v>
      </c>
      <c r="J110" s="302">
        <f>J104+J109</f>
        <v>170749</v>
      </c>
      <c r="K110" s="302">
        <f>K104+K109</f>
        <v>190628</v>
      </c>
      <c r="L110" s="302">
        <f>L104+L109</f>
        <v>201721</v>
      </c>
      <c r="M110" s="6"/>
    </row>
    <row r="111" ht="17.25" customHeight="1" spans="2:13">
      <c r="B111" s="220"/>
      <c r="C111" s="220" t="s">
        <v>95</v>
      </c>
      <c r="D111" s="220"/>
      <c r="E111" s="220"/>
      <c r="F111" s="220"/>
      <c r="G111" s="220"/>
      <c r="H111" s="301">
        <v>-3797</v>
      </c>
      <c r="I111" s="301">
        <v>-6297</v>
      </c>
      <c r="J111" s="301">
        <v>-11961</v>
      </c>
      <c r="K111" s="301">
        <v>-11925</v>
      </c>
      <c r="L111" s="301">
        <v>-9608</v>
      </c>
      <c r="M111" s="6"/>
    </row>
    <row r="112" ht="17.25" customHeight="1" spans="2:13">
      <c r="B112" s="220"/>
      <c r="C112" s="229" t="s">
        <v>96</v>
      </c>
      <c r="D112" s="220"/>
      <c r="E112" s="220"/>
      <c r="F112" s="220"/>
      <c r="G112" s="220"/>
      <c r="H112" s="302">
        <f>H110+H111</f>
        <v>110654</v>
      </c>
      <c r="I112" s="302">
        <f>I110+I111</f>
        <v>115032</v>
      </c>
      <c r="J112" s="302">
        <f>J110+J111</f>
        <v>158788</v>
      </c>
      <c r="K112" s="302">
        <f>K110+K111</f>
        <v>178703</v>
      </c>
      <c r="L112" s="302">
        <f>L110+L111</f>
        <v>192113</v>
      </c>
      <c r="M112" s="6"/>
    </row>
    <row r="113" ht="17.25" customHeight="1" spans="2:13">
      <c r="B113" s="220"/>
      <c r="C113" s="220"/>
      <c r="D113" s="220"/>
      <c r="E113" s="220"/>
      <c r="F113" s="220"/>
      <c r="G113" s="220"/>
      <c r="H113" s="220"/>
      <c r="I113" s="220"/>
      <c r="J113" s="220"/>
      <c r="K113" s="220"/>
      <c r="L113" s="220"/>
      <c r="M113" s="6"/>
    </row>
    <row r="114" ht="17.25" customHeight="1" spans="2:13">
      <c r="B114" s="229" t="s">
        <v>97</v>
      </c>
      <c r="C114" s="97"/>
      <c r="D114" s="220"/>
      <c r="E114" s="220"/>
      <c r="F114" s="220"/>
      <c r="G114" s="220"/>
      <c r="H114" s="303"/>
      <c r="I114" s="303"/>
      <c r="J114" s="303"/>
      <c r="K114" s="303"/>
      <c r="L114" s="303"/>
      <c r="M114" s="6"/>
    </row>
    <row r="115" ht="17.25" customHeight="1" spans="2:13">
      <c r="B115" s="220"/>
      <c r="C115" s="220" t="s">
        <v>98</v>
      </c>
      <c r="D115" s="220"/>
      <c r="E115" s="220"/>
      <c r="F115" s="220"/>
      <c r="G115" s="220"/>
      <c r="H115" s="301">
        <v>-100145</v>
      </c>
      <c r="I115" s="301">
        <v>-140988</v>
      </c>
      <c r="J115" s="301">
        <v>-152883</v>
      </c>
      <c r="K115" s="301">
        <v>-139967</v>
      </c>
      <c r="L115" s="301">
        <v>-122916</v>
      </c>
      <c r="M115" s="6"/>
    </row>
    <row r="116" ht="17.25" customHeight="1" spans="2:13">
      <c r="B116" s="220"/>
      <c r="C116" s="220" t="s">
        <v>99</v>
      </c>
      <c r="D116" s="220"/>
      <c r="E116" s="220"/>
      <c r="F116" s="220"/>
      <c r="G116" s="220"/>
      <c r="H116" s="301">
        <v>3137</v>
      </c>
      <c r="I116" s="301">
        <v>9186</v>
      </c>
      <c r="J116" s="301">
        <v>15307</v>
      </c>
      <c r="K116" s="301">
        <v>2343</v>
      </c>
      <c r="L116" s="301">
        <v>826</v>
      </c>
      <c r="M116" s="6"/>
    </row>
    <row r="117" ht="17.25" customHeight="1" spans="2:13">
      <c r="B117" s="220"/>
      <c r="C117" s="220" t="s">
        <v>100</v>
      </c>
      <c r="D117" s="220"/>
      <c r="E117" s="220"/>
      <c r="F117" s="220"/>
      <c r="G117" s="220"/>
      <c r="H117" s="301">
        <v>-667878</v>
      </c>
      <c r="I117" s="301">
        <v>-471822</v>
      </c>
      <c r="J117" s="301">
        <v>-514380</v>
      </c>
      <c r="K117" s="301">
        <v>-684340</v>
      </c>
      <c r="L117" s="301">
        <v>-988777</v>
      </c>
      <c r="M117" s="6"/>
    </row>
    <row r="118" ht="17.25" customHeight="1" spans="2:13">
      <c r="B118" s="220"/>
      <c r="C118" s="220" t="s">
        <v>101</v>
      </c>
      <c r="D118" s="220"/>
      <c r="E118" s="220"/>
      <c r="F118" s="220"/>
      <c r="G118" s="220"/>
      <c r="H118" s="301">
        <v>668137</v>
      </c>
      <c r="I118" s="301">
        <v>501266</v>
      </c>
      <c r="J118" s="301">
        <v>531355</v>
      </c>
      <c r="K118" s="301">
        <v>672558</v>
      </c>
      <c r="L118" s="301">
        <v>991876</v>
      </c>
      <c r="M118" s="6"/>
    </row>
    <row r="119" ht="17.25" customHeight="1" spans="2:13">
      <c r="B119" s="220"/>
      <c r="C119" s="220" t="s">
        <v>102</v>
      </c>
      <c r="D119" s="220"/>
      <c r="E119" s="220"/>
      <c r="F119" s="220"/>
      <c r="G119" s="220"/>
      <c r="H119" s="301">
        <v>-19306</v>
      </c>
      <c r="I119" s="303" t="s">
        <v>103</v>
      </c>
      <c r="J119" s="301">
        <v>-4423</v>
      </c>
      <c r="K119" s="301">
        <v>-4574</v>
      </c>
      <c r="L119" s="301">
        <v>-4736</v>
      </c>
      <c r="M119" s="6"/>
    </row>
    <row r="120" ht="17.25" customHeight="1" spans="2:13">
      <c r="B120" s="220"/>
      <c r="C120" s="220" t="s">
        <v>86</v>
      </c>
      <c r="D120" s="220"/>
      <c r="E120" s="220"/>
      <c r="F120" s="220"/>
      <c r="G120" s="220"/>
      <c r="H120" s="301">
        <v>5933</v>
      </c>
      <c r="I120" s="301">
        <v>11103</v>
      </c>
      <c r="J120" s="301">
        <v>10648</v>
      </c>
      <c r="K120" s="301">
        <v>15833</v>
      </c>
      <c r="L120" s="301">
        <v>13538</v>
      </c>
      <c r="M120" s="6"/>
    </row>
    <row r="121" ht="17.25" customHeight="1" spans="2:13">
      <c r="B121" s="220"/>
      <c r="C121" s="220" t="s">
        <v>104</v>
      </c>
      <c r="D121" s="220"/>
      <c r="E121" s="220"/>
      <c r="F121" s="220"/>
      <c r="G121" s="220"/>
      <c r="H121" s="301">
        <v>18</v>
      </c>
      <c r="I121" s="301">
        <v>17</v>
      </c>
      <c r="J121" s="301">
        <v>59</v>
      </c>
      <c r="K121" s="301">
        <v>49</v>
      </c>
      <c r="L121" s="301">
        <v>49</v>
      </c>
      <c r="M121" s="6"/>
    </row>
    <row r="122" ht="17.25" customHeight="1" spans="2:13">
      <c r="B122" s="220"/>
      <c r="C122" s="220" t="s">
        <v>105</v>
      </c>
      <c r="D122" s="220"/>
      <c r="E122" s="220"/>
      <c r="F122" s="220"/>
      <c r="G122" s="220"/>
      <c r="H122" s="301">
        <v>1</v>
      </c>
      <c r="I122" s="301">
        <v>3</v>
      </c>
      <c r="J122" s="301">
        <v>16</v>
      </c>
      <c r="K122" s="301">
        <v>563</v>
      </c>
      <c r="L122" s="301">
        <v>9051</v>
      </c>
      <c r="M122" s="6"/>
    </row>
    <row r="123" ht="17.25" customHeight="1" spans="2:13">
      <c r="B123" s="220"/>
      <c r="C123" s="229" t="s">
        <v>106</v>
      </c>
      <c r="D123" s="220"/>
      <c r="E123" s="220"/>
      <c r="F123" s="220"/>
      <c r="G123" s="220"/>
      <c r="H123" s="302">
        <f>SUM(H115:H122)</f>
        <v>-110103</v>
      </c>
      <c r="I123" s="302">
        <f>SUM(I115:I122)</f>
        <v>-91235</v>
      </c>
      <c r="J123" s="302">
        <f>SUM(J115:J122)</f>
        <v>-114301</v>
      </c>
      <c r="K123" s="302">
        <f>SUM(K115:K122)</f>
        <v>-137535</v>
      </c>
      <c r="L123" s="302">
        <f>SUM(L115:L122)</f>
        <v>-101089</v>
      </c>
      <c r="M123" s="6"/>
    </row>
    <row r="124" ht="17.25" customHeight="1" spans="2:13">
      <c r="B124" s="220"/>
      <c r="C124" s="220"/>
      <c r="D124" s="220"/>
      <c r="E124" s="220"/>
      <c r="F124" s="220"/>
      <c r="G124" s="220"/>
      <c r="H124" s="220"/>
      <c r="I124" s="220"/>
      <c r="J124" s="220"/>
      <c r="K124" s="220"/>
      <c r="L124" s="220"/>
      <c r="M124" s="6"/>
    </row>
    <row r="125" ht="17.25" customHeight="1" spans="2:13">
      <c r="B125" s="229" t="s">
        <v>107</v>
      </c>
      <c r="C125" s="97"/>
      <c r="D125" s="220"/>
      <c r="E125" s="220"/>
      <c r="F125" s="220"/>
      <c r="G125" s="220"/>
      <c r="H125" s="303"/>
      <c r="I125" s="303"/>
      <c r="J125" s="303"/>
      <c r="K125" s="303"/>
      <c r="L125" s="303"/>
      <c r="M125" s="6"/>
    </row>
    <row r="126" ht="17.25" customHeight="1" spans="2:13">
      <c r="B126" s="220"/>
      <c r="C126" s="220" t="s">
        <v>108</v>
      </c>
      <c r="D126" s="220"/>
      <c r="E126" s="220"/>
      <c r="F126" s="220"/>
      <c r="G126" s="220"/>
      <c r="H126" s="301">
        <v>5</v>
      </c>
      <c r="I126" s="301">
        <v>0</v>
      </c>
      <c r="J126" s="301">
        <v>0</v>
      </c>
      <c r="K126" s="301">
        <v>0</v>
      </c>
      <c r="L126" s="301">
        <v>0</v>
      </c>
      <c r="M126" s="6"/>
    </row>
    <row r="127" ht="17.25" customHeight="1" spans="2:13">
      <c r="B127" s="220"/>
      <c r="C127" s="220" t="s">
        <v>109</v>
      </c>
      <c r="D127" s="220"/>
      <c r="E127" s="220"/>
      <c r="F127" s="220"/>
      <c r="G127" s="220"/>
      <c r="H127" s="301">
        <v>450</v>
      </c>
      <c r="I127" s="301">
        <v>479</v>
      </c>
      <c r="J127" s="301">
        <v>20915</v>
      </c>
      <c r="K127" s="303"/>
      <c r="L127" s="303"/>
      <c r="M127" s="6"/>
    </row>
    <row r="128" ht="17.25" customHeight="1" spans="2:13">
      <c r="B128" s="220"/>
      <c r="C128" s="220" t="s">
        <v>110</v>
      </c>
      <c r="D128" s="220"/>
      <c r="E128" s="220"/>
      <c r="F128" s="220"/>
      <c r="G128" s="220"/>
      <c r="H128" s="301">
        <v>39762</v>
      </c>
      <c r="I128" s="301">
        <v>40</v>
      </c>
      <c r="J128" s="301">
        <v>7</v>
      </c>
      <c r="K128" s="301">
        <v>22</v>
      </c>
      <c r="L128" s="301"/>
      <c r="M128" s="6"/>
    </row>
    <row r="129" ht="17.25" customHeight="1" spans="2:13">
      <c r="B129" s="220"/>
      <c r="C129" s="220" t="s">
        <v>111</v>
      </c>
      <c r="D129" s="220"/>
      <c r="E129" s="220"/>
      <c r="F129" s="220"/>
      <c r="G129" s="220"/>
      <c r="H129" s="303"/>
      <c r="I129" s="303"/>
      <c r="J129" s="301">
        <v>-1085</v>
      </c>
      <c r="K129" s="303"/>
      <c r="L129" s="303"/>
      <c r="M129" s="6"/>
    </row>
    <row r="130" ht="17.25" customHeight="1" spans="2:13">
      <c r="B130" s="220"/>
      <c r="C130" s="220" t="s">
        <v>112</v>
      </c>
      <c r="D130" s="220"/>
      <c r="E130" s="220"/>
      <c r="F130" s="220"/>
      <c r="G130" s="220"/>
      <c r="H130" s="301">
        <v>-2132</v>
      </c>
      <c r="I130" s="301">
        <v>-1406</v>
      </c>
      <c r="J130" s="301">
        <v>-2483</v>
      </c>
      <c r="K130" s="301">
        <v>-2956</v>
      </c>
      <c r="L130" s="301">
        <v>-6508</v>
      </c>
      <c r="M130" s="6"/>
    </row>
    <row r="131" ht="17.25" customHeight="1" spans="2:13">
      <c r="B131" s="220"/>
      <c r="C131" s="220" t="s">
        <v>113</v>
      </c>
      <c r="D131" s="220"/>
      <c r="E131" s="220"/>
      <c r="F131" s="220"/>
      <c r="G131" s="220"/>
      <c r="H131" s="301">
        <v>59343</v>
      </c>
      <c r="I131" s="301">
        <v>35936</v>
      </c>
      <c r="J131" s="301">
        <v>69610</v>
      </c>
      <c r="K131" s="301">
        <v>26378</v>
      </c>
      <c r="L131" s="301">
        <v>38871</v>
      </c>
      <c r="M131" s="6"/>
    </row>
    <row r="132" ht="17.25" customHeight="1" spans="2:13">
      <c r="B132" s="220"/>
      <c r="C132" s="220" t="s">
        <v>114</v>
      </c>
      <c r="D132" s="220"/>
      <c r="E132" s="220"/>
      <c r="F132" s="220"/>
      <c r="G132" s="220"/>
      <c r="H132" s="301">
        <v>-40647</v>
      </c>
      <c r="I132" s="301">
        <v>-29059</v>
      </c>
      <c r="J132" s="301">
        <v>-35055</v>
      </c>
      <c r="K132" s="301">
        <v>-31755</v>
      </c>
      <c r="L132" s="301">
        <v>-30881</v>
      </c>
      <c r="M132" s="6"/>
    </row>
    <row r="133" ht="17.25" customHeight="1" spans="2:13">
      <c r="B133" s="220"/>
      <c r="C133" s="220" t="s">
        <v>115</v>
      </c>
      <c r="D133" s="220"/>
      <c r="E133" s="220"/>
      <c r="F133" s="220"/>
      <c r="G133" s="220"/>
      <c r="H133" s="301">
        <v>-8846</v>
      </c>
      <c r="I133" s="301">
        <v>31198</v>
      </c>
      <c r="J133" s="301">
        <v>-25293</v>
      </c>
      <c r="K133" s="301">
        <v>24624</v>
      </c>
      <c r="L133" s="301">
        <v>-5171</v>
      </c>
      <c r="M133" s="6"/>
    </row>
    <row r="134" ht="17.25" customHeight="1" spans="2:13">
      <c r="B134" s="220"/>
      <c r="C134" s="220" t="s">
        <v>116</v>
      </c>
      <c r="D134" s="220"/>
      <c r="E134" s="220"/>
      <c r="F134" s="220"/>
      <c r="G134" s="220"/>
      <c r="H134" s="301">
        <v>0</v>
      </c>
      <c r="I134" s="303"/>
      <c r="J134" s="303"/>
      <c r="K134" s="303"/>
      <c r="L134" s="303"/>
      <c r="M134" s="6"/>
    </row>
    <row r="135" ht="17.25" customHeight="1" spans="2:13">
      <c r="B135" s="220"/>
      <c r="C135" s="220" t="s">
        <v>117</v>
      </c>
      <c r="D135" s="220"/>
      <c r="E135" s="220"/>
      <c r="F135" s="220"/>
      <c r="G135" s="220"/>
      <c r="H135" s="301">
        <v>-4297</v>
      </c>
      <c r="I135" s="301">
        <v>-5083</v>
      </c>
      <c r="J135" s="301">
        <v>-6089</v>
      </c>
      <c r="K135" s="301">
        <v>-6766</v>
      </c>
      <c r="L135" s="301">
        <v>-7443</v>
      </c>
      <c r="M135" s="6"/>
    </row>
    <row r="136" ht="17.25" customHeight="1" spans="2:13">
      <c r="B136" s="220"/>
      <c r="C136" s="220" t="s">
        <v>118</v>
      </c>
      <c r="D136" s="220"/>
      <c r="E136" s="220"/>
      <c r="F136" s="220"/>
      <c r="G136" s="220"/>
      <c r="H136" s="303"/>
      <c r="I136" s="303"/>
      <c r="J136" s="303"/>
      <c r="K136" s="301">
        <v>-414</v>
      </c>
      <c r="L136" s="301">
        <v>-436</v>
      </c>
      <c r="M136" s="6"/>
    </row>
    <row r="137" ht="17.25" customHeight="1" spans="2:13">
      <c r="B137" s="220"/>
      <c r="C137" s="220" t="s">
        <v>119</v>
      </c>
      <c r="D137" s="220"/>
      <c r="E137" s="220"/>
      <c r="F137" s="220"/>
      <c r="G137" s="220"/>
      <c r="H137" s="301">
        <v>-26349</v>
      </c>
      <c r="I137" s="301">
        <v>-21650</v>
      </c>
      <c r="J137" s="301">
        <v>-37173</v>
      </c>
      <c r="K137" s="301">
        <v>-41024</v>
      </c>
      <c r="L137" s="301">
        <v>-39981</v>
      </c>
      <c r="M137" s="6"/>
    </row>
    <row r="138" ht="17.25" customHeight="1" spans="2:13">
      <c r="B138" s="220"/>
      <c r="C138" s="229" t="s">
        <v>120</v>
      </c>
      <c r="D138" s="220"/>
      <c r="E138" s="220"/>
      <c r="F138" s="220"/>
      <c r="G138" s="220"/>
      <c r="H138" s="302">
        <f>SUM(H126:H137)</f>
        <v>17289</v>
      </c>
      <c r="I138" s="302">
        <f>SUM(I126:I137)</f>
        <v>10455</v>
      </c>
      <c r="J138" s="302">
        <f>SUM(J126:J137)</f>
        <v>-16646</v>
      </c>
      <c r="K138" s="302">
        <f>SUM(K126:K137)</f>
        <v>-31891</v>
      </c>
      <c r="L138" s="302">
        <f>SUM(L126:L137)</f>
        <v>-51549</v>
      </c>
      <c r="M138" s="6"/>
    </row>
    <row r="139" ht="17.25" customHeight="1" spans="2:13">
      <c r="B139" s="220"/>
      <c r="C139" s="220"/>
      <c r="D139" s="220"/>
      <c r="E139" s="220"/>
      <c r="F139" s="220"/>
      <c r="G139" s="220"/>
      <c r="H139" s="220"/>
      <c r="I139" s="220"/>
      <c r="J139" s="220"/>
      <c r="K139" s="220"/>
      <c r="L139" s="220"/>
      <c r="M139" s="6"/>
    </row>
    <row r="140" ht="17.25" customHeight="1" spans="2:13">
      <c r="B140" s="229" t="s">
        <v>121</v>
      </c>
      <c r="C140" s="97"/>
      <c r="D140" s="220"/>
      <c r="E140" s="220"/>
      <c r="F140" s="220"/>
      <c r="G140" s="220"/>
      <c r="H140" s="302">
        <f>H112+H123+H138</f>
        <v>17840</v>
      </c>
      <c r="I140" s="302">
        <f>I112+I123+I138</f>
        <v>34252</v>
      </c>
      <c r="J140" s="302">
        <f>J112+J123+J138</f>
        <v>27841</v>
      </c>
      <c r="K140" s="302">
        <f>K112+K123+K138</f>
        <v>9277</v>
      </c>
      <c r="L140" s="302">
        <f>L112+L123+L138</f>
        <v>39475</v>
      </c>
      <c r="M140" s="6"/>
    </row>
    <row r="141" ht="17.25" customHeight="1" spans="2:13">
      <c r="B141" s="220"/>
      <c r="C141" s="220" t="s">
        <v>122</v>
      </c>
      <c r="D141" s="220"/>
      <c r="E141" s="220"/>
      <c r="F141" s="220"/>
      <c r="G141" s="220"/>
      <c r="H141" s="301">
        <v>17397</v>
      </c>
      <c r="I141" s="301">
        <v>36178</v>
      </c>
      <c r="J141" s="301">
        <v>68664</v>
      </c>
      <c r="K141" s="301">
        <v>97225</v>
      </c>
      <c r="L141" s="301">
        <v>106502</v>
      </c>
      <c r="M141" s="6"/>
    </row>
    <row r="142" ht="17.25" customHeight="1" spans="2:13">
      <c r="B142" s="220"/>
      <c r="C142" s="220" t="s">
        <v>123</v>
      </c>
      <c r="D142" s="220"/>
      <c r="E142" s="220"/>
      <c r="F142" s="220"/>
      <c r="G142" s="220"/>
      <c r="H142" s="301">
        <v>941</v>
      </c>
      <c r="I142" s="301">
        <v>4278</v>
      </c>
      <c r="J142" s="301">
        <v>720</v>
      </c>
      <c r="K142" s="303"/>
      <c r="L142" s="303"/>
      <c r="M142" s="6"/>
    </row>
    <row r="143" ht="17.25" customHeight="1" spans="2:13">
      <c r="B143" s="220"/>
      <c r="C143" s="220" t="s">
        <v>124</v>
      </c>
      <c r="D143" s="220"/>
      <c r="E143" s="220"/>
      <c r="F143" s="220"/>
      <c r="G143" s="220"/>
      <c r="H143" s="303"/>
      <c r="I143" s="301">
        <v>6044</v>
      </c>
      <c r="J143" s="303"/>
      <c r="K143" s="303"/>
      <c r="L143" s="303"/>
      <c r="M143" s="6"/>
    </row>
    <row r="144" ht="17.25" customHeight="1" spans="2:13">
      <c r="B144" s="220"/>
      <c r="C144" s="229" t="s">
        <v>125</v>
      </c>
      <c r="D144" s="220"/>
      <c r="E144" s="220"/>
      <c r="F144" s="220"/>
      <c r="G144" s="220"/>
      <c r="H144" s="302">
        <f>H140+H141+H142-H143</f>
        <v>36178</v>
      </c>
      <c r="I144" s="302">
        <f>I140+I141+I142-I143</f>
        <v>68664</v>
      </c>
      <c r="J144" s="302">
        <f>J140+J141+J142-J143</f>
        <v>97225</v>
      </c>
      <c r="K144" s="302">
        <f>K140+K141+K142-K143</f>
        <v>106502</v>
      </c>
      <c r="L144" s="302">
        <f>L140+L141+L142-L143</f>
        <v>145977</v>
      </c>
      <c r="M144" s="6"/>
    </row>
    <row r="145" ht="17.25" customHeight="1" spans="2:13">
      <c r="B145" s="220"/>
      <c r="C145" s="229"/>
      <c r="D145" s="220"/>
      <c r="E145" s="220"/>
      <c r="F145" s="220"/>
      <c r="G145" s="220"/>
      <c r="H145" s="301"/>
      <c r="I145" s="301"/>
      <c r="J145" s="301"/>
      <c r="K145" s="301"/>
      <c r="L145" s="301"/>
      <c r="M145" s="6"/>
    </row>
    <row r="146" ht="17.25" customHeight="1" spans="2:13">
      <c r="B146" s="220"/>
      <c r="C146" s="220"/>
      <c r="D146" s="220"/>
      <c r="E146" s="220"/>
      <c r="F146" s="220"/>
      <c r="G146" s="220"/>
      <c r="H146" s="220"/>
      <c r="I146" s="220"/>
      <c r="J146" s="220"/>
      <c r="K146" s="220"/>
      <c r="L146" s="220"/>
      <c r="M146" s="6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95"/>
  <sheetViews>
    <sheetView showGridLines="0" tabSelected="1" zoomScale="65" zoomScaleNormal="65" workbookViewId="0">
      <pane xSplit="7" ySplit="2" topLeftCell="H144" activePane="bottomRight" state="frozen"/>
      <selection/>
      <selection pane="topRight"/>
      <selection pane="bottomLeft"/>
      <selection pane="bottomRight" activeCell="Q168" sqref="Q168"/>
    </sheetView>
  </sheetViews>
  <sheetFormatPr defaultColWidth="9.16071428571429" defaultRowHeight="16.8"/>
  <cols>
    <col min="1" max="3" width="1.24107142857143" customWidth="1"/>
    <col min="4" max="4" width="40.6428571428571" customWidth="1"/>
    <col min="5" max="5" width="12.6428571428571" customWidth="1"/>
    <col min="6" max="6" width="9.92857142857143" customWidth="1"/>
    <col min="7" max="7" width="2.64285714285714" customWidth="1"/>
    <col min="8" max="16" width="12.6428571428571" customWidth="1"/>
    <col min="17" max="17" width="11.75" customWidth="1"/>
  </cols>
  <sheetData>
    <row r="1" ht="33.75" customHeight="1" spans="1:17">
      <c r="A1" s="1" t="s">
        <v>0</v>
      </c>
      <c r="B1" s="3"/>
      <c r="C1" s="3"/>
      <c r="D1" s="3"/>
      <c r="E1" s="4"/>
      <c r="F1" s="5"/>
      <c r="G1" s="5"/>
      <c r="H1" s="190" t="s">
        <v>126</v>
      </c>
      <c r="M1" s="190" t="s">
        <v>127</v>
      </c>
    </row>
    <row r="2" ht="20.25" customHeight="1" spans="1:17">
      <c r="A2" s="33" t="s">
        <v>128</v>
      </c>
      <c r="B2" s="3"/>
      <c r="C2" s="3"/>
      <c r="D2" s="3"/>
      <c r="E2" s="4"/>
      <c r="F2" s="5"/>
      <c r="G2" s="5"/>
      <c r="H2" s="191">
        <v>2022</v>
      </c>
      <c r="I2" s="191">
        <f t="shared" ref="I2:Q2" si="0">H2+1</f>
        <v>2023</v>
      </c>
      <c r="J2" s="191">
        <f t="shared" si="0"/>
        <v>2024</v>
      </c>
      <c r="K2" s="191">
        <f t="shared" si="0"/>
        <v>2025</v>
      </c>
      <c r="L2" s="191">
        <f t="shared" si="0"/>
        <v>2026</v>
      </c>
      <c r="M2" s="192">
        <f t="shared" si="0"/>
        <v>2027</v>
      </c>
      <c r="N2" s="192">
        <f t="shared" si="0"/>
        <v>2028</v>
      </c>
      <c r="O2" s="192">
        <f t="shared" si="0"/>
        <v>2029</v>
      </c>
      <c r="P2" s="192">
        <f t="shared" si="0"/>
        <v>2030</v>
      </c>
      <c r="Q2" s="192">
        <f t="shared" si="0"/>
        <v>2031</v>
      </c>
    </row>
    <row r="3" ht="16.5" customHeight="1" outlineLevel="1" spans="1:17">
      <c r="H3" s="17"/>
      <c r="I3" s="17"/>
      <c r="J3" s="17"/>
      <c r="K3" s="17"/>
      <c r="L3" s="17"/>
      <c r="M3" s="17"/>
      <c r="N3" s="17"/>
      <c r="O3" s="17"/>
      <c r="P3" s="17"/>
      <c r="Q3" s="17"/>
    </row>
    <row r="4" ht="16.5" customHeight="1" outlineLevel="1" spans="1:17">
      <c r="B4" s="10"/>
      <c r="C4" s="10" t="s">
        <v>129</v>
      </c>
      <c r="D4" s="10"/>
      <c r="E4" s="7" t="s">
        <v>130</v>
      </c>
      <c r="F4" s="193">
        <f>IF(E4=Scenario!D6,1,IF(E4=Scenario!D7,2,3))</f>
        <v>1</v>
      </c>
      <c r="H4" s="10"/>
      <c r="I4" s="10"/>
      <c r="J4" s="10"/>
      <c r="K4" s="10"/>
      <c r="L4" s="10"/>
      <c r="M4" s="10"/>
      <c r="N4" s="10"/>
      <c r="O4" s="10"/>
      <c r="P4" s="10"/>
      <c r="Q4" s="10"/>
    </row>
    <row r="5" ht="16.5" customHeight="1" outlineLevel="1" spans="1:17">
      <c r="B5" s="140"/>
      <c r="C5" s="140"/>
      <c r="D5" s="140" t="s">
        <v>131</v>
      </c>
      <c r="E5" s="10"/>
      <c r="F5" s="10"/>
      <c r="H5" s="10"/>
      <c r="I5" s="194">
        <f>(I20-H20)/H20</f>
        <v>0.235128888051284</v>
      </c>
      <c r="J5" s="194">
        <f>(J20-I20)/I20</f>
        <v>0.0259853182559174</v>
      </c>
      <c r="K5" s="194">
        <f>(K20-J20)/J20</f>
        <v>0.0718053696559326</v>
      </c>
      <c r="L5" s="194">
        <f>(L20-K20)/K20</f>
        <v>0.0974752483328844</v>
      </c>
      <c r="M5" s="194">
        <f t="array" ref="M5:Q5">CHOOSE(F4,Scenario!H6:L6,Scenario!H7:L7,Scenario!H8:L8)</f>
        <v>0.107598706074005</v>
      </c>
      <c r="N5" s="194">
        <v>0.0968388354666041</v>
      </c>
      <c r="O5" s="194">
        <v>0.0871549519199437</v>
      </c>
      <c r="P5" s="194">
        <v>0.0784394567279493</v>
      </c>
      <c r="Q5" s="194">
        <v>0.0705955110551544</v>
      </c>
    </row>
    <row r="6" ht="16.5" customHeight="1" outlineLevel="1" spans="1:17">
      <c r="B6" s="10"/>
      <c r="C6" s="10"/>
      <c r="D6" s="10" t="s">
        <v>132</v>
      </c>
      <c r="E6" s="10"/>
      <c r="F6" s="10"/>
      <c r="H6" s="194">
        <f>H21/-H20</f>
        <v>0.658106463941555</v>
      </c>
      <c r="I6" s="194">
        <f>I21/-I20</f>
        <v>0.660244291835285</v>
      </c>
      <c r="J6" s="194">
        <f>J21/-J20</f>
        <v>0.640088488220525</v>
      </c>
      <c r="K6" s="194">
        <f>K21/-K20</f>
        <v>0.642450639503089</v>
      </c>
      <c r="L6" s="194">
        <f>L21/-L20</f>
        <v>0.640214748878611</v>
      </c>
      <c r="M6" s="194">
        <f t="shared" ref="M6:M16" si="1">AVERAGE(H6:L6)</f>
        <v>0.648220926475813</v>
      </c>
      <c r="N6" s="194">
        <f t="shared" ref="N6:N16" si="2">M6</f>
        <v>0.648220926475813</v>
      </c>
      <c r="O6" s="194">
        <f>N6</f>
        <v>0.648220926475813</v>
      </c>
      <c r="P6" s="194">
        <f>O6</f>
        <v>0.648220926475813</v>
      </c>
      <c r="Q6" s="194">
        <f>P6</f>
        <v>0.648220926475813</v>
      </c>
    </row>
    <row r="7" ht="16.5" customHeight="1" outlineLevel="1" spans="1:17">
      <c r="B7" s="10"/>
      <c r="C7" s="10"/>
      <c r="D7" s="10" t="s">
        <v>133</v>
      </c>
      <c r="E7" s="10"/>
      <c r="F7" s="10"/>
      <c r="H7" s="194">
        <f>H23/-H20</f>
        <v>0.188824251628942</v>
      </c>
      <c r="I7" s="194">
        <f>I23/-I20</f>
        <v>0.180258069293434</v>
      </c>
      <c r="J7" s="194">
        <f>J23/-J20</f>
        <v>0.182505314542162</v>
      </c>
      <c r="K7" s="194">
        <f>K23/-K20</f>
        <v>0.18875237722112</v>
      </c>
      <c r="L7" s="194">
        <f>L23/-L20</f>
        <v>0.193425523508495</v>
      </c>
      <c r="M7" s="194">
        <f t="shared" si="1"/>
        <v>0.186753107238831</v>
      </c>
      <c r="N7" s="194">
        <f t="shared" si="2"/>
        <v>0.186753107238831</v>
      </c>
      <c r="O7" s="194">
        <f>N7</f>
        <v>0.186753107238831</v>
      </c>
      <c r="P7" s="194">
        <f>O7</f>
        <v>0.186753107238831</v>
      </c>
      <c r="Q7" s="194">
        <f>P7</f>
        <v>0.186753107238831</v>
      </c>
    </row>
    <row r="8" ht="16.5" customHeight="1" outlineLevel="1" spans="1:17">
      <c r="B8" s="10"/>
      <c r="C8" s="10"/>
      <c r="D8" s="10" t="s">
        <v>134</v>
      </c>
      <c r="E8" s="10"/>
      <c r="F8" s="10"/>
      <c r="H8" s="194">
        <f>H25/-H42</f>
        <v>0.0524128153440773</v>
      </c>
      <c r="I8" s="194">
        <f>I25/-I42</f>
        <v>0.0586002134459304</v>
      </c>
      <c r="J8" s="194">
        <f>J25/-J42</f>
        <v>0.0670194840638868</v>
      </c>
      <c r="K8" s="194">
        <f>K25/-K42</f>
        <v>0.0623068155701374</v>
      </c>
      <c r="L8" s="194">
        <f>L25/-L42</f>
        <v>0.06115072071098</v>
      </c>
      <c r="M8" s="194">
        <f t="shared" si="1"/>
        <v>0.0602980098270024</v>
      </c>
      <c r="N8" s="194">
        <f t="shared" si="2"/>
        <v>0.0602980098270024</v>
      </c>
      <c r="O8" s="194">
        <f>N8</f>
        <v>0.0602980098270024</v>
      </c>
      <c r="P8" s="194">
        <f>O8</f>
        <v>0.0602980098270024</v>
      </c>
      <c r="Q8" s="194">
        <f>P8</f>
        <v>0.0602980098270024</v>
      </c>
    </row>
    <row r="9" ht="16.5" customHeight="1" outlineLevel="1" spans="1:17">
      <c r="B9" s="10"/>
      <c r="C9" s="10"/>
      <c r="D9" s="10" t="s">
        <v>135</v>
      </c>
      <c r="E9" s="10"/>
      <c r="F9" s="10"/>
      <c r="H9" s="194">
        <f>H27/-H54</f>
        <v>0.0776988689337716</v>
      </c>
      <c r="I9" s="194">
        <f>I27/-I54</f>
        <v>0.106842599467179</v>
      </c>
      <c r="J9" s="194">
        <f>J27/-J54</f>
        <v>0.103802219907324</v>
      </c>
      <c r="K9" s="194">
        <f>K27/-K54</f>
        <v>0.102444501665267</v>
      </c>
      <c r="L9" s="194">
        <f>L27/-L54</f>
        <v>0.099947922630018</v>
      </c>
      <c r="M9" s="194">
        <f t="shared" si="1"/>
        <v>0.0981472225207119</v>
      </c>
      <c r="N9" s="194">
        <f t="shared" si="2"/>
        <v>0.0981472225207119</v>
      </c>
      <c r="O9" s="194">
        <f>N9</f>
        <v>0.0981472225207119</v>
      </c>
      <c r="P9" s="194">
        <f>O9</f>
        <v>0.0981472225207119</v>
      </c>
      <c r="Q9" s="194">
        <f>P9</f>
        <v>0.0981472225207119</v>
      </c>
    </row>
    <row r="10" ht="16.5" customHeight="1" outlineLevel="1" spans="1:17">
      <c r="B10" s="10"/>
      <c r="C10" s="10"/>
      <c r="D10" s="10" t="s">
        <v>136</v>
      </c>
      <c r="E10" s="10"/>
      <c r="F10" s="10"/>
      <c r="H10" s="194">
        <f>H28/H20</f>
        <v>0.025030694230039</v>
      </c>
      <c r="I10" s="194">
        <f>I28/I20</f>
        <v>0.0131918039831215</v>
      </c>
      <c r="J10" s="194">
        <f>J28/J20</f>
        <v>0.0179819611754105</v>
      </c>
      <c r="K10" s="194">
        <f>K28/K20</f>
        <v>0.0188749316421395</v>
      </c>
      <c r="L10" s="194">
        <f>L28/L20</f>
        <v>0.0270583587049992</v>
      </c>
      <c r="M10" s="194">
        <f t="shared" si="1"/>
        <v>0.0204275499471419</v>
      </c>
      <c r="N10" s="194">
        <f t="shared" si="2"/>
        <v>0.0204275499471419</v>
      </c>
      <c r="O10" s="194">
        <f>AVERAGE(J10:N10)</f>
        <v>0.0209540702833666</v>
      </c>
      <c r="P10" s="194">
        <f>AVERAGE(K10:O10)</f>
        <v>0.0215484921049578</v>
      </c>
      <c r="Q10" s="194">
        <f>AVERAGE(L10:P10)</f>
        <v>0.0220832041975215</v>
      </c>
    </row>
    <row r="11" ht="16.5" customHeight="1" outlineLevel="1" spans="1:17">
      <c r="B11" s="10"/>
      <c r="C11" s="10"/>
      <c r="D11" s="10" t="s">
        <v>137</v>
      </c>
      <c r="E11" s="10"/>
      <c r="F11" s="10"/>
      <c r="H11" s="194">
        <f>H30/-H29</f>
        <v>0.193684485750279</v>
      </c>
      <c r="I11" s="194">
        <f>I30/-I29</f>
        <v>0.216659932373519</v>
      </c>
      <c r="J11" s="194">
        <f>J30/-J29</f>
        <v>0.245466785069753</v>
      </c>
      <c r="K11" s="194">
        <f>K30/-K29</f>
        <v>0.236814687579196</v>
      </c>
      <c r="L11" s="194">
        <f>L30/-L29</f>
        <v>0.223444114641623</v>
      </c>
      <c r="M11" s="194">
        <f t="shared" si="1"/>
        <v>0.223214001082874</v>
      </c>
      <c r="N11" s="194">
        <f t="shared" si="2"/>
        <v>0.223214001082874</v>
      </c>
      <c r="O11" s="194">
        <f t="shared" ref="O11:O16" si="3">N11</f>
        <v>0.223214001082874</v>
      </c>
      <c r="P11" s="194">
        <f t="shared" ref="P11:P16" si="4">O11</f>
        <v>0.223214001082874</v>
      </c>
      <c r="Q11" s="194">
        <f t="shared" ref="Q11:Q16" si="5">P11</f>
        <v>0.223214001082874</v>
      </c>
    </row>
    <row r="12" ht="16.5" customHeight="1" outlineLevel="1" spans="1:17">
      <c r="B12" s="10"/>
      <c r="C12" s="10"/>
      <c r="D12" s="10" t="s">
        <v>138</v>
      </c>
      <c r="E12" s="10"/>
      <c r="F12" s="10"/>
      <c r="H12" s="194">
        <f>H86/-H31</f>
        <v>0.0633355442552878</v>
      </c>
      <c r="I12" s="194">
        <f>I86/-I31</f>
        <v>0.0689968779693227</v>
      </c>
      <c r="J12" s="194">
        <f>J86/-J31</f>
        <v>0.0770564414072387</v>
      </c>
      <c r="K12" s="194">
        <f>K86/-K31</f>
        <v>0.0883051076756571</v>
      </c>
      <c r="L12" s="194">
        <f>L86/-L31</f>
        <v>0.0822837688242789</v>
      </c>
      <c r="M12" s="194">
        <f t="shared" si="1"/>
        <v>0.075995548026357</v>
      </c>
      <c r="N12" s="194">
        <f t="shared" si="2"/>
        <v>0.075995548026357</v>
      </c>
      <c r="O12" s="194">
        <f t="shared" si="3"/>
        <v>0.075995548026357</v>
      </c>
      <c r="P12" s="194">
        <f t="shared" si="4"/>
        <v>0.075995548026357</v>
      </c>
      <c r="Q12" s="194">
        <f t="shared" si="5"/>
        <v>0.075995548026357</v>
      </c>
    </row>
    <row r="13" ht="16.5" customHeight="1" outlineLevel="1" spans="1:17">
      <c r="B13" s="10"/>
      <c r="C13" s="10"/>
      <c r="D13" s="10" t="s">
        <v>139</v>
      </c>
      <c r="E13" s="10"/>
      <c r="F13" s="10"/>
      <c r="H13" s="195">
        <f>H37/H20*365</f>
        <v>11.9570308494334</v>
      </c>
      <c r="I13" s="195">
        <f>I37/I20*365</f>
        <v>11.6497159801685</v>
      </c>
      <c r="J13" s="195">
        <f>J37/J20*365</f>
        <v>12.6239185016053</v>
      </c>
      <c r="K13" s="195">
        <f>K37/K20*365</f>
        <v>15.6857466718904</v>
      </c>
      <c r="L13" s="195">
        <f>L37/L20*365</f>
        <v>19.8472726427592</v>
      </c>
      <c r="M13" s="195">
        <f t="shared" si="1"/>
        <v>14.3527369291714</v>
      </c>
      <c r="N13" s="195">
        <f t="shared" si="2"/>
        <v>14.3527369291714</v>
      </c>
      <c r="O13" s="195">
        <f t="shared" si="3"/>
        <v>14.3527369291714</v>
      </c>
      <c r="P13" s="195">
        <f t="shared" si="4"/>
        <v>14.3527369291714</v>
      </c>
      <c r="Q13" s="195">
        <f t="shared" si="5"/>
        <v>14.3527369291714</v>
      </c>
    </row>
    <row r="14" ht="16.5" customHeight="1" outlineLevel="1" spans="1:17">
      <c r="B14" s="10"/>
      <c r="C14" s="10"/>
      <c r="D14" s="10" t="s">
        <v>140</v>
      </c>
      <c r="E14" s="10"/>
      <c r="F14" s="10"/>
      <c r="H14" s="195">
        <f>H38/-H21*365</f>
        <v>82.8342303416212</v>
      </c>
      <c r="I14" s="195">
        <f>I38/-I21*365</f>
        <v>86.8383963512965</v>
      </c>
      <c r="J14" s="195">
        <f>J38/-J21*365</f>
        <v>95.262179610929</v>
      </c>
      <c r="K14" s="195">
        <f>K38/-K21*365</f>
        <v>84.6650171751452</v>
      </c>
      <c r="L14" s="195">
        <f>L38/-L21*365</f>
        <v>88.4808171776326</v>
      </c>
      <c r="M14" s="195">
        <f t="shared" si="1"/>
        <v>87.6161281313249</v>
      </c>
      <c r="N14" s="195">
        <f t="shared" si="2"/>
        <v>87.6161281313249</v>
      </c>
      <c r="O14" s="195">
        <f t="shared" si="3"/>
        <v>87.6161281313249</v>
      </c>
      <c r="P14" s="195">
        <f t="shared" si="4"/>
        <v>87.6161281313249</v>
      </c>
      <c r="Q14" s="195">
        <f t="shared" si="5"/>
        <v>87.6161281313249</v>
      </c>
    </row>
    <row r="15" ht="16.5" customHeight="1" outlineLevel="1" spans="1:17">
      <c r="B15" s="10"/>
      <c r="C15" s="10"/>
      <c r="D15" s="10" t="s">
        <v>141</v>
      </c>
      <c r="E15" s="10"/>
      <c r="F15" s="10"/>
      <c r="H15" s="195">
        <f>H50/-H21*365</f>
        <v>122.455212755205</v>
      </c>
      <c r="I15" s="195">
        <f>I50/-I21*365</f>
        <v>91.2817872393935</v>
      </c>
      <c r="J15" s="195">
        <f>J50/-J21*365</f>
        <v>111.229834473121</v>
      </c>
      <c r="K15" s="195">
        <f>K50/-K21*365</f>
        <v>108.272472601554</v>
      </c>
      <c r="L15" s="195">
        <f>L50/-L21*365</f>
        <v>84.1882459199928</v>
      </c>
      <c r="M15" s="195">
        <f t="shared" si="1"/>
        <v>103.485510597853</v>
      </c>
      <c r="N15" s="195">
        <f t="shared" si="2"/>
        <v>103.485510597853</v>
      </c>
      <c r="O15" s="195">
        <f t="shared" si="3"/>
        <v>103.485510597853</v>
      </c>
      <c r="P15" s="195">
        <f t="shared" si="4"/>
        <v>103.485510597853</v>
      </c>
      <c r="Q15" s="195">
        <f t="shared" si="5"/>
        <v>103.485510597853</v>
      </c>
    </row>
    <row r="16" ht="16.5" customHeight="1" outlineLevel="1" spans="1:17">
      <c r="A16" s="10"/>
      <c r="B16" s="10"/>
      <c r="C16" s="10"/>
      <c r="D16" s="10" t="s">
        <v>142</v>
      </c>
      <c r="E16" s="10"/>
      <c r="F16" s="10"/>
      <c r="H16" s="196">
        <f>H20/(H42+H43)</f>
        <v>0.916599241707365</v>
      </c>
      <c r="I16" s="196">
        <f>I20/(I42+I43)</f>
        <v>1.10642283376305</v>
      </c>
      <c r="J16" s="196">
        <f>J20/(J42+J43)</f>
        <v>1.01114001926145</v>
      </c>
      <c r="K16" s="196">
        <f>K20/(K42+K43)</f>
        <v>0.94614754185398</v>
      </c>
      <c r="L16" s="196">
        <f>L20/(L42+L43)</f>
        <v>0.945824628414263</v>
      </c>
      <c r="M16" s="196">
        <f t="shared" si="1"/>
        <v>0.985226853000021</v>
      </c>
      <c r="N16" s="196">
        <f t="shared" si="2"/>
        <v>0.985226853000021</v>
      </c>
      <c r="O16" s="196">
        <f t="shared" si="3"/>
        <v>0.985226853000021</v>
      </c>
      <c r="P16" s="196">
        <f t="shared" si="4"/>
        <v>0.985226853000021</v>
      </c>
      <c r="Q16" s="196">
        <f t="shared" si="5"/>
        <v>0.985226853000021</v>
      </c>
    </row>
    <row r="17" ht="16.5" customHeight="1" spans="1:17">
      <c r="A17" s="10"/>
      <c r="B17" s="10"/>
      <c r="C17" s="10"/>
      <c r="D17" s="10"/>
      <c r="E17" s="10"/>
      <c r="F17" s="10"/>
      <c r="H17" s="10"/>
      <c r="I17" s="10"/>
      <c r="J17" s="10"/>
      <c r="K17" s="10"/>
      <c r="L17" s="10"/>
      <c r="M17" s="194"/>
      <c r="N17" s="194"/>
      <c r="O17" s="194"/>
      <c r="P17" s="194"/>
      <c r="Q17" s="194"/>
    </row>
    <row r="18" ht="16.5" customHeight="1" spans="1:17">
      <c r="A18" s="7" t="s">
        <v>143</v>
      </c>
      <c r="B18" s="197"/>
      <c r="C18" s="197"/>
      <c r="D18" s="197"/>
      <c r="E18" s="197"/>
      <c r="F18" s="197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</row>
    <row r="19" ht="16.5" customHeight="1" outlineLevel="1" spans="1:17">
      <c r="A19" s="10"/>
      <c r="B19" s="10"/>
      <c r="C19" s="10"/>
      <c r="D19" s="10"/>
      <c r="E19" s="10"/>
      <c r="F19" s="10"/>
      <c r="H19" s="198"/>
      <c r="I19" s="198"/>
      <c r="J19" s="198"/>
      <c r="K19" s="198"/>
      <c r="L19" s="198"/>
      <c r="M19" s="198"/>
      <c r="N19" s="198"/>
      <c r="O19" s="198"/>
      <c r="P19" s="198"/>
      <c r="Q19" s="198"/>
    </row>
    <row r="20" ht="16.5" customHeight="1" outlineLevel="1" spans="1:17">
      <c r="A20" s="10"/>
      <c r="B20" s="10" t="s">
        <v>144</v>
      </c>
      <c r="C20" s="10"/>
      <c r="D20" s="10"/>
      <c r="E20" s="10"/>
      <c r="F20" s="10"/>
      <c r="H20" s="199">
        <f>'Historical Data'!H9</f>
        <v>721634</v>
      </c>
      <c r="I20" s="199">
        <f>'Historical Data'!I9</f>
        <v>891311</v>
      </c>
      <c r="J20" s="199">
        <f>'Historical Data'!J9</f>
        <v>914472</v>
      </c>
      <c r="K20" s="199">
        <f>'Historical Data'!K9</f>
        <v>980136</v>
      </c>
      <c r="L20" s="199">
        <f>'Historical Data'!L9</f>
        <v>1075675</v>
      </c>
      <c r="M20" s="199">
        <f>L20*(1+M5)</f>
        <v>1191416.23815616</v>
      </c>
      <c r="N20" s="199">
        <f>M20*(1+N5)</f>
        <v>1306791.5992152</v>
      </c>
      <c r="O20" s="199">
        <f>N20*(1+O5)</f>
        <v>1420684.95821419</v>
      </c>
      <c r="P20" s="199">
        <f>O20*(1+P5)</f>
        <v>1532122.71451808</v>
      </c>
      <c r="Q20" s="199">
        <f>P20*(1+Q5)</f>
        <v>1640283.70054869</v>
      </c>
    </row>
    <row r="21" ht="16.5" customHeight="1" outlineLevel="1" spans="1:17">
      <c r="A21" s="10"/>
      <c r="B21" s="10" t="s">
        <v>145</v>
      </c>
      <c r="C21" s="10"/>
      <c r="D21" s="10"/>
      <c r="E21" s="10"/>
      <c r="F21" s="10"/>
      <c r="H21" s="199">
        <f>-SUM('Historical Data'!H14:H16)</f>
        <v>-474912</v>
      </c>
      <c r="I21" s="199">
        <f>-SUM('Historical Data'!I14:I16)</f>
        <v>-588483</v>
      </c>
      <c r="J21" s="199">
        <f>-SUM('Historical Data'!J14:J16)</f>
        <v>-585343</v>
      </c>
      <c r="K21" s="199">
        <f>-SUM('Historical Data'!K14:K16)</f>
        <v>-629689</v>
      </c>
      <c r="L21" s="199">
        <f>-SUM('Historical Data'!L14:L16)</f>
        <v>-688663</v>
      </c>
      <c r="M21" s="199">
        <f>M20*-M6</f>
        <v>-772300.937715911</v>
      </c>
      <c r="N21" s="199">
        <f>N20*-N6</f>
        <v>-847089.661154086</v>
      </c>
      <c r="O21" s="199">
        <f>O20*-O6</f>
        <v>-920917.719843852</v>
      </c>
      <c r="P21" s="199">
        <f>P20*-P6</f>
        <v>-993154.005479545</v>
      </c>
      <c r="Q21" s="199">
        <f>Q20*-Q6</f>
        <v>-1063266.22005285</v>
      </c>
    </row>
    <row r="22" ht="16.5" customHeight="1" outlineLevel="1" spans="1:17">
      <c r="A22" s="10"/>
      <c r="B22" s="175" t="s">
        <v>146</v>
      </c>
      <c r="C22" s="175"/>
      <c r="D22" s="175"/>
      <c r="E22" s="175"/>
      <c r="F22" s="175"/>
      <c r="G22" s="200"/>
      <c r="H22" s="201">
        <f t="shared" ref="H22:Q22" si="6">SUM(H20:H21)</f>
        <v>246722</v>
      </c>
      <c r="I22" s="201">
        <f t="shared" si="6"/>
        <v>302828</v>
      </c>
      <c r="J22" s="201">
        <f t="shared" si="6"/>
        <v>329129</v>
      </c>
      <c r="K22" s="201">
        <f t="shared" si="6"/>
        <v>350447</v>
      </c>
      <c r="L22" s="201">
        <f t="shared" si="6"/>
        <v>387012</v>
      </c>
      <c r="M22" s="201">
        <f t="shared" si="6"/>
        <v>419115.300440244</v>
      </c>
      <c r="N22" s="201">
        <f t="shared" si="6"/>
        <v>459701.938061114</v>
      </c>
      <c r="O22" s="201">
        <f t="shared" si="6"/>
        <v>499767.238370335</v>
      </c>
      <c r="P22" s="201">
        <f t="shared" si="6"/>
        <v>538968.709038532</v>
      </c>
      <c r="Q22" s="201">
        <f t="shared" si="6"/>
        <v>577017.480495844</v>
      </c>
    </row>
    <row r="23" ht="16.5" customHeight="1" outlineLevel="1" spans="1:17">
      <c r="A23" s="10"/>
      <c r="B23" s="10" t="s">
        <v>147</v>
      </c>
      <c r="C23" s="10"/>
      <c r="D23" s="10"/>
      <c r="E23" s="10"/>
      <c r="F23" s="10"/>
      <c r="H23" s="199">
        <f>-SUM('Historical Data'!H17:H18,'Historical Data'!H21)</f>
        <v>-136262</v>
      </c>
      <c r="I23" s="199">
        <f>-SUM('Historical Data'!I17:I18,'Historical Data'!I21)</f>
        <v>-160666</v>
      </c>
      <c r="J23" s="199">
        <f>-SUM('Historical Data'!J17:J18,'Historical Data'!J21)</f>
        <v>-166896</v>
      </c>
      <c r="K23" s="199">
        <f>-SUM('Historical Data'!K17:K18,'Historical Data'!K21)</f>
        <v>-185003</v>
      </c>
      <c r="L23" s="199">
        <f>-SUM('Historical Data'!L17:L18,'Historical Data'!L21)</f>
        <v>-208063</v>
      </c>
      <c r="M23" s="199">
        <f>M20*-M7</f>
        <v>-222500.684490461</v>
      </c>
      <c r="N23" s="199">
        <f>N20*-N7</f>
        <v>-244047.39166704</v>
      </c>
      <c r="O23" s="199">
        <f>O20*-O7</f>
        <v>-265317.330353968</v>
      </c>
      <c r="P23" s="199">
        <f>P20*-P7</f>
        <v>-286128.677607443</v>
      </c>
      <c r="Q23" s="199">
        <f>Q20*-Q7</f>
        <v>-306328.077830676</v>
      </c>
    </row>
    <row r="24" ht="16.5" customHeight="1" outlineLevel="1" spans="1:17">
      <c r="A24" s="10"/>
      <c r="B24" s="175" t="s">
        <v>148</v>
      </c>
      <c r="C24" s="175"/>
      <c r="D24" s="175"/>
      <c r="E24" s="200"/>
      <c r="F24" s="200"/>
      <c r="G24" s="200"/>
      <c r="H24" s="201">
        <f t="shared" ref="H24:Q24" si="7">SUM(H22:H23)</f>
        <v>110460</v>
      </c>
      <c r="I24" s="201">
        <f t="shared" si="7"/>
        <v>142162</v>
      </c>
      <c r="J24" s="201">
        <f t="shared" si="7"/>
        <v>162233</v>
      </c>
      <c r="K24" s="201">
        <f t="shared" si="7"/>
        <v>165444</v>
      </c>
      <c r="L24" s="201">
        <f t="shared" si="7"/>
        <v>178949</v>
      </c>
      <c r="M24" s="201">
        <f t="shared" si="7"/>
        <v>196614.615949783</v>
      </c>
      <c r="N24" s="201">
        <f t="shared" si="7"/>
        <v>215654.546394074</v>
      </c>
      <c r="O24" s="201">
        <f t="shared" si="7"/>
        <v>234449.908016367</v>
      </c>
      <c r="P24" s="201">
        <f t="shared" si="7"/>
        <v>252840.031431088</v>
      </c>
      <c r="Q24" s="201">
        <f t="shared" si="7"/>
        <v>270689.402665167</v>
      </c>
    </row>
    <row r="25" ht="16.5" customHeight="1" outlineLevel="1" spans="1:17">
      <c r="A25" s="10"/>
      <c r="B25" s="10" t="s">
        <v>149</v>
      </c>
      <c r="C25" s="10"/>
      <c r="D25" s="10"/>
      <c r="H25" s="199">
        <f>-'Historical Data'!H20</f>
        <v>-29797</v>
      </c>
      <c r="I25" s="199">
        <f>-'Historical Data'!I20</f>
        <v>-40303</v>
      </c>
      <c r="J25" s="199">
        <f>-'Historical Data'!J20</f>
        <v>-50832</v>
      </c>
      <c r="K25" s="199">
        <f>-'Historical Data'!K20</f>
        <v>-53136</v>
      </c>
      <c r="L25" s="199">
        <f>-'Historical Data'!L20</f>
        <v>-57688</v>
      </c>
      <c r="M25" s="199">
        <f>M106</f>
        <v>-68576.2030001319</v>
      </c>
      <c r="N25" s="199">
        <f>N106</f>
        <v>-71524.8080181757</v>
      </c>
      <c r="O25" s="199">
        <f>O106</f>
        <v>-74273.2255538467</v>
      </c>
      <c r="P25" s="199">
        <f>P106</f>
        <v>-76765.2172572501</v>
      </c>
      <c r="Q25" s="199">
        <f>Q106</f>
        <v>-78956.658635545</v>
      </c>
    </row>
    <row r="26" ht="16.5" customHeight="1" outlineLevel="1" spans="1:17">
      <c r="A26" s="10"/>
      <c r="B26" s="175" t="s">
        <v>150</v>
      </c>
      <c r="C26" s="175"/>
      <c r="D26" s="175"/>
      <c r="E26" s="200"/>
      <c r="F26" s="200"/>
      <c r="G26" s="200"/>
      <c r="H26" s="201">
        <f t="shared" ref="H26:Q26" si="8">SUM(H24:H25)</f>
        <v>80663</v>
      </c>
      <c r="I26" s="201">
        <f t="shared" si="8"/>
        <v>101859</v>
      </c>
      <c r="J26" s="201">
        <f t="shared" si="8"/>
        <v>111401</v>
      </c>
      <c r="K26" s="201">
        <f t="shared" si="8"/>
        <v>112308</v>
      </c>
      <c r="L26" s="201">
        <f t="shared" si="8"/>
        <v>121261</v>
      </c>
      <c r="M26" s="201">
        <f t="shared" si="8"/>
        <v>128038.412949652</v>
      </c>
      <c r="N26" s="201">
        <f t="shared" si="8"/>
        <v>144129.738375898</v>
      </c>
      <c r="O26" s="201">
        <f t="shared" si="8"/>
        <v>160176.68246252</v>
      </c>
      <c r="P26" s="201">
        <f t="shared" si="8"/>
        <v>176074.814173838</v>
      </c>
      <c r="Q26" s="201">
        <f t="shared" si="8"/>
        <v>191732.744029622</v>
      </c>
    </row>
    <row r="27" ht="16.5" customHeight="1" outlineLevel="1" spans="1:17">
      <c r="A27" s="10"/>
      <c r="B27" s="10" t="s">
        <v>151</v>
      </c>
      <c r="C27" s="10"/>
      <c r="D27" s="10"/>
      <c r="H27" s="199">
        <f>-'Historical Data'!H19</f>
        <v>-14584</v>
      </c>
      <c r="I27" s="199">
        <f>-'Historical Data'!I19</f>
        <v>-19571</v>
      </c>
      <c r="J27" s="199">
        <f>-'Historical Data'!J19</f>
        <v>-23118</v>
      </c>
      <c r="K27" s="199">
        <f>-'Historical Data'!K19</f>
        <v>-24269</v>
      </c>
      <c r="L27" s="199">
        <f>-'Historical Data'!L19</f>
        <v>-27061</v>
      </c>
      <c r="M27" s="199">
        <f>M113</f>
        <v>-26573.4586447053</v>
      </c>
      <c r="N27" s="199">
        <f>N113</f>
        <v>-13510.2596216436</v>
      </c>
      <c r="O27" s="199">
        <f>O113</f>
        <v>-447.060598581843</v>
      </c>
      <c r="P27" s="199">
        <f>P113</f>
        <v>0</v>
      </c>
      <c r="Q27" s="199">
        <f>Q113</f>
        <v>0</v>
      </c>
    </row>
    <row r="28" ht="16.5" customHeight="1" outlineLevel="1" spans="1:17">
      <c r="A28" s="10"/>
      <c r="B28" s="10" t="s">
        <v>9</v>
      </c>
      <c r="C28" s="10"/>
      <c r="D28" s="10"/>
      <c r="H28" s="199">
        <f>'Historical Data'!H10+'Historical Data'!H25+'Historical Data'!H26</f>
        <v>18063</v>
      </c>
      <c r="I28" s="199">
        <f>'Historical Data'!I10+'Historical Data'!I25+'Historical Data'!I26</f>
        <v>11758</v>
      </c>
      <c r="J28" s="199">
        <f>'Historical Data'!J10+'Historical Data'!J25+'Historical Data'!J26</f>
        <v>16444</v>
      </c>
      <c r="K28" s="199">
        <f>'Historical Data'!K10+'Historical Data'!K25+'Historical Data'!K26</f>
        <v>18500</v>
      </c>
      <c r="L28" s="199">
        <f>'Historical Data'!L10+'Historical Data'!L25+'Historical Data'!L26</f>
        <v>29106</v>
      </c>
      <c r="M28" s="199">
        <f>M20*M10</f>
        <v>24337.7147127708</v>
      </c>
      <c r="N28" s="199">
        <f>N20*N10</f>
        <v>26694.5506634739</v>
      </c>
      <c r="O28" s="199">
        <f>O20*O10</f>
        <v>29769.1324649418</v>
      </c>
      <c r="P28" s="199">
        <f>P20*P10</f>
        <v>33014.9342176193</v>
      </c>
      <c r="Q28" s="199">
        <f>Q20*Q10</f>
        <v>36222.719901083</v>
      </c>
    </row>
    <row r="29" ht="16.5" customHeight="1" outlineLevel="1" spans="1:17">
      <c r="A29" s="10"/>
      <c r="B29" s="175" t="s">
        <v>24</v>
      </c>
      <c r="C29" s="175"/>
      <c r="D29" s="175"/>
      <c r="E29" s="200"/>
      <c r="F29" s="200"/>
      <c r="G29" s="200"/>
      <c r="H29" s="201">
        <f t="shared" ref="H29:Q29" si="9">SUM(H26:H28)</f>
        <v>84142</v>
      </c>
      <c r="I29" s="201">
        <f t="shared" si="9"/>
        <v>94046</v>
      </c>
      <c r="J29" s="201">
        <f t="shared" si="9"/>
        <v>104727</v>
      </c>
      <c r="K29" s="201">
        <f t="shared" si="9"/>
        <v>106539</v>
      </c>
      <c r="L29" s="201">
        <f t="shared" si="9"/>
        <v>123306</v>
      </c>
      <c r="M29" s="201">
        <f t="shared" si="9"/>
        <v>125802.669017717</v>
      </c>
      <c r="N29" s="201">
        <f t="shared" si="9"/>
        <v>157314.029417729</v>
      </c>
      <c r="O29" s="201">
        <f t="shared" si="9"/>
        <v>189498.75432888</v>
      </c>
      <c r="P29" s="201">
        <f t="shared" si="9"/>
        <v>209089.748391458</v>
      </c>
      <c r="Q29" s="201">
        <f t="shared" si="9"/>
        <v>227955.463930705</v>
      </c>
    </row>
    <row r="30" ht="16.5" customHeight="1" outlineLevel="1" spans="1:17">
      <c r="A30" s="10"/>
      <c r="B30" s="10" t="s">
        <v>152</v>
      </c>
      <c r="C30" s="10"/>
      <c r="D30" s="10"/>
      <c r="H30" s="199">
        <f>-SUM('Historical Data'!H28:H29)</f>
        <v>-16297</v>
      </c>
      <c r="I30" s="199">
        <f>-SUM('Historical Data'!I28:I29)</f>
        <v>-20376</v>
      </c>
      <c r="J30" s="199">
        <f>-SUM('Historical Data'!J28:J29)</f>
        <v>-25707</v>
      </c>
      <c r="K30" s="199">
        <f>-SUM('Historical Data'!K28:K29)</f>
        <v>-25230</v>
      </c>
      <c r="L30" s="199">
        <f>-SUM('Historical Data'!L28:L29)</f>
        <v>-27552</v>
      </c>
      <c r="M30" s="199">
        <f>M29*-M11</f>
        <v>-28080.9170983491</v>
      </c>
      <c r="N30" s="199">
        <f>N29*-N11</f>
        <v>-35114.6939328002</v>
      </c>
      <c r="O30" s="199">
        <f>O29*-O11</f>
        <v>-42298.7751539699</v>
      </c>
      <c r="P30" s="199">
        <f>P29*-P11</f>
        <v>-46671.7593238687</v>
      </c>
      <c r="Q30" s="199">
        <f>Q29*-Q11</f>
        <v>-50882.8511726755</v>
      </c>
    </row>
    <row r="31" ht="16.5" customHeight="1" outlineLevel="1" spans="1:17">
      <c r="A31" s="10"/>
      <c r="B31" s="175" t="s">
        <v>153</v>
      </c>
      <c r="C31" s="175"/>
      <c r="D31" s="175"/>
      <c r="E31" s="200"/>
      <c r="F31" s="200"/>
      <c r="G31" s="200"/>
      <c r="H31" s="201">
        <f t="shared" ref="H31:Q31" si="10">SUM(H29:H30)</f>
        <v>67845</v>
      </c>
      <c r="I31" s="201">
        <f t="shared" si="10"/>
        <v>73670</v>
      </c>
      <c r="J31" s="201">
        <f t="shared" si="10"/>
        <v>79020</v>
      </c>
      <c r="K31" s="201">
        <f t="shared" si="10"/>
        <v>81309</v>
      </c>
      <c r="L31" s="201">
        <f t="shared" si="10"/>
        <v>95754</v>
      </c>
      <c r="M31" s="201">
        <f t="shared" si="10"/>
        <v>97721.7519193679</v>
      </c>
      <c r="N31" s="201">
        <f t="shared" si="10"/>
        <v>122199.335484928</v>
      </c>
      <c r="O31" s="201">
        <f t="shared" si="10"/>
        <v>147199.97917491</v>
      </c>
      <c r="P31" s="201">
        <f t="shared" si="10"/>
        <v>162417.989067589</v>
      </c>
      <c r="Q31" s="201">
        <f t="shared" si="10"/>
        <v>177072.61275803</v>
      </c>
    </row>
    <row r="32" ht="16.5" customHeight="1" spans="1:17">
      <c r="A32" s="10"/>
      <c r="B32" s="10"/>
      <c r="C32" s="10"/>
      <c r="D32" s="10"/>
      <c r="H32" s="202"/>
      <c r="I32" s="202"/>
      <c r="J32" s="202"/>
      <c r="K32" s="202"/>
      <c r="L32" s="202"/>
      <c r="M32" s="199"/>
      <c r="N32" s="199"/>
      <c r="O32" s="199"/>
      <c r="P32" s="199"/>
      <c r="Q32" s="199"/>
    </row>
    <row r="33" ht="16.5" customHeight="1" spans="1:17">
      <c r="A33" s="7" t="s">
        <v>154</v>
      </c>
      <c r="B33" s="197"/>
      <c r="C33" s="197"/>
      <c r="D33" s="197"/>
      <c r="E33" s="197"/>
      <c r="F33" s="197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</row>
    <row r="34" ht="16.5" customHeight="1" outlineLevel="1" spans="1:17">
      <c r="A34" s="10"/>
      <c r="B34" s="10"/>
      <c r="C34" s="10"/>
      <c r="D34" s="10"/>
    </row>
    <row r="35" ht="16.5" customHeight="1" outlineLevel="1" spans="1:17">
      <c r="B35" s="203" t="s">
        <v>155</v>
      </c>
      <c r="C35" s="10"/>
      <c r="D35" s="10"/>
      <c r="E35" s="10"/>
      <c r="H35" s="199"/>
      <c r="I35" s="199"/>
      <c r="J35" s="199"/>
      <c r="K35" s="199"/>
      <c r="L35" s="199"/>
      <c r="M35" s="199"/>
      <c r="N35" s="199"/>
      <c r="O35" s="199"/>
      <c r="P35" s="199"/>
      <c r="Q35" s="199"/>
    </row>
    <row r="36" ht="16.5" customHeight="1" outlineLevel="1" spans="1:17">
      <c r="A36" s="10"/>
      <c r="B36" s="10"/>
      <c r="C36" s="10" t="s">
        <v>156</v>
      </c>
      <c r="D36" s="10"/>
      <c r="H36" s="199">
        <f>'Historical Data'!H54</f>
        <v>36178</v>
      </c>
      <c r="I36" s="199">
        <f>'Historical Data'!I54</f>
        <v>68664</v>
      </c>
      <c r="J36" s="199">
        <f>'Historical Data'!J54</f>
        <v>97225</v>
      </c>
      <c r="K36" s="199">
        <f>'Historical Data'!K54</f>
        <v>106502</v>
      </c>
      <c r="L36" s="199">
        <f>'Historical Data'!L54</f>
        <v>145977</v>
      </c>
      <c r="M36" s="199">
        <f>M92</f>
        <v>107592.167726534</v>
      </c>
      <c r="N36" s="199">
        <f>N92</f>
        <v>40541.1205926809</v>
      </c>
      <c r="O36" s="199">
        <f>O92</f>
        <v>129402.929824961</v>
      </c>
      <c r="P36" s="199">
        <f>P92</f>
        <v>241893.017161734</v>
      </c>
      <c r="Q36" s="199">
        <f>Q92</f>
        <v>373477.888921994</v>
      </c>
    </row>
    <row r="37" ht="16.5" customHeight="1" outlineLevel="1" spans="1:17">
      <c r="A37" s="10"/>
      <c r="B37" s="10"/>
      <c r="C37" s="10" t="s">
        <v>157</v>
      </c>
      <c r="D37" s="10"/>
      <c r="H37" s="199">
        <f>'Historical Data'!H53</f>
        <v>23640</v>
      </c>
      <c r="I37" s="199">
        <f>'Historical Data'!I53</f>
        <v>28448</v>
      </c>
      <c r="J37" s="199">
        <f>'Historical Data'!J53</f>
        <v>31628</v>
      </c>
      <c r="K37" s="199">
        <f>'Historical Data'!K53</f>
        <v>42121</v>
      </c>
      <c r="L37" s="199">
        <f>'Historical Data'!L53</f>
        <v>58491</v>
      </c>
      <c r="M37" s="199">
        <f>M20/365*M13</f>
        <v>46849.5447654748</v>
      </c>
      <c r="N37" s="199">
        <f>N20/365*N13</f>
        <v>51386.400122704</v>
      </c>
      <c r="O37" s="199">
        <f>O20/365*O13</f>
        <v>55864.9793547372</v>
      </c>
      <c r="P37" s="199">
        <f>P20/365*P13</f>
        <v>60246.9979854409</v>
      </c>
      <c r="Q37" s="199">
        <f>Q20/365*Q13</f>
        <v>64500.165597762</v>
      </c>
    </row>
    <row r="38" ht="16.5" customHeight="1" outlineLevel="1" spans="1:17">
      <c r="A38" s="10"/>
      <c r="B38" s="10"/>
      <c r="C38" s="10" t="s">
        <v>158</v>
      </c>
      <c r="D38" s="10"/>
      <c r="H38" s="199">
        <f>'Historical Data'!H51</f>
        <v>107778</v>
      </c>
      <c r="I38" s="199">
        <f>'Historical Data'!I51</f>
        <v>140008</v>
      </c>
      <c r="J38" s="199">
        <f>'Historical Data'!J51</f>
        <v>152770</v>
      </c>
      <c r="K38" s="199">
        <f>'Historical Data'!K51</f>
        <v>146062</v>
      </c>
      <c r="L38" s="199">
        <f>'Historical Data'!L51</f>
        <v>166941</v>
      </c>
      <c r="M38" s="199">
        <f>M21/-365*M14</f>
        <v>185386.35045167</v>
      </c>
      <c r="N38" s="199">
        <f>N21/-365*N14</f>
        <v>203338.948740814</v>
      </c>
      <c r="O38" s="199">
        <f>O21/-365*O14</f>
        <v>221060.945041771</v>
      </c>
      <c r="P38" s="199">
        <f>P21/-365*P14</f>
        <v>238400.845474615</v>
      </c>
      <c r="Q38" s="199">
        <f>Q21/-365*Q14</f>
        <v>255230.874996876</v>
      </c>
    </row>
    <row r="39" ht="16.5" customHeight="1" outlineLevel="1" spans="1:17">
      <c r="A39" s="10"/>
      <c r="B39" s="10"/>
      <c r="C39" s="10" t="s">
        <v>52</v>
      </c>
      <c r="D39" s="10"/>
      <c r="H39" s="199">
        <f>SUM('Historical Data'!H55:H57,'Historical Data'!H52)</f>
        <v>179423</v>
      </c>
      <c r="I39" s="199">
        <f>SUM('Historical Data'!I55:I57,'Historical Data'!I52)</f>
        <v>188176</v>
      </c>
      <c r="J39" s="199">
        <f>SUM('Historical Data'!J55:J57,'Historical Data'!J52)</f>
        <v>188477</v>
      </c>
      <c r="K39" s="199">
        <f>SUM('Historical Data'!K55:K57,'Historical Data'!K52)</f>
        <v>204585</v>
      </c>
      <c r="L39" s="199">
        <f>SUM('Historical Data'!L55:L57,'Historical Data'!L52)</f>
        <v>222840</v>
      </c>
      <c r="M39" s="199">
        <f>L39</f>
        <v>222840</v>
      </c>
      <c r="N39" s="199">
        <f>M39</f>
        <v>222840</v>
      </c>
      <c r="O39" s="199">
        <f>N39</f>
        <v>222840</v>
      </c>
      <c r="P39" s="199">
        <f>O39</f>
        <v>222840</v>
      </c>
      <c r="Q39" s="199">
        <f>P39</f>
        <v>222840</v>
      </c>
    </row>
    <row r="40" ht="16.5" customHeight="1" outlineLevel="1" spans="1:17">
      <c r="A40" s="10"/>
      <c r="B40" s="10"/>
      <c r="C40" s="10"/>
      <c r="D40" s="10"/>
      <c r="H40" s="202"/>
      <c r="I40" s="202"/>
      <c r="J40" s="202"/>
      <c r="K40" s="202"/>
      <c r="L40" s="202"/>
      <c r="M40" s="199"/>
      <c r="N40" s="199"/>
      <c r="O40" s="199"/>
      <c r="P40" s="199"/>
      <c r="Q40" s="199"/>
    </row>
    <row r="41" ht="16.5" customHeight="1" outlineLevel="1" spans="1:17">
      <c r="B41" s="203" t="s">
        <v>31</v>
      </c>
      <c r="C41" s="10"/>
      <c r="D41" s="10"/>
      <c r="E41" s="10"/>
      <c r="H41" s="202"/>
      <c r="I41" s="202"/>
      <c r="J41" s="202"/>
      <c r="K41" s="202"/>
      <c r="L41" s="202"/>
      <c r="M41" s="199"/>
      <c r="N41" s="199"/>
      <c r="O41" s="199"/>
      <c r="P41" s="199"/>
      <c r="Q41" s="199"/>
    </row>
    <row r="42" ht="16.5" customHeight="1" outlineLevel="1" spans="1:17">
      <c r="B42" s="10"/>
      <c r="C42" s="10" t="s">
        <v>159</v>
      </c>
      <c r="D42" s="10"/>
      <c r="E42" s="10"/>
      <c r="F42" s="10"/>
      <c r="G42" s="10"/>
      <c r="H42" s="199">
        <f>'Historical Data'!H36+'Historical Data'!H40</f>
        <v>568506</v>
      </c>
      <c r="I42" s="199">
        <f>'Historical Data'!I36+'Historical Data'!I40</f>
        <v>687762</v>
      </c>
      <c r="J42" s="199">
        <f>'Historical Data'!J36+'Historical Data'!J40</f>
        <v>758466</v>
      </c>
      <c r="K42" s="199">
        <f>'Historical Data'!K36+'Historical Data'!K40</f>
        <v>852812</v>
      </c>
      <c r="L42" s="199">
        <f>'Historical Data'!L36+'Historical Data'!L40</f>
        <v>943374</v>
      </c>
      <c r="M42" s="199">
        <f>M107-M43</f>
        <v>992274.536294704</v>
      </c>
      <c r="N42" s="199">
        <f>N107-N43</f>
        <v>1037855.10426961</v>
      </c>
      <c r="O42" s="199">
        <f>O107-O43</f>
        <v>1079183.03052377</v>
      </c>
      <c r="P42" s="199">
        <f>P107-P43</f>
        <v>1115526.54143868</v>
      </c>
      <c r="Q42" s="199">
        <f>Q107-Q43</f>
        <v>1146352.70662819</v>
      </c>
    </row>
    <row r="43" ht="16.5" customHeight="1" outlineLevel="1" spans="1:17">
      <c r="B43" s="10"/>
      <c r="C43" s="10" t="s">
        <v>160</v>
      </c>
      <c r="D43" s="10"/>
      <c r="E43" s="10"/>
      <c r="F43" s="10"/>
      <c r="G43" s="10"/>
      <c r="H43" s="199">
        <f>'Historical Data'!H38+'Historical Data'!H42</f>
        <v>218789</v>
      </c>
      <c r="I43" s="199">
        <f>'Historical Data'!I38+'Historical Data'!I42</f>
        <v>117817</v>
      </c>
      <c r="J43" s="199">
        <f>'Historical Data'!J38+'Historical Data'!J42</f>
        <v>145931</v>
      </c>
      <c r="K43" s="199">
        <f>'Historical Data'!K38+'Historical Data'!K42</f>
        <v>183111</v>
      </c>
      <c r="L43" s="199">
        <f>'Historical Data'!L38+'Historical Data'!L42</f>
        <v>193914</v>
      </c>
      <c r="M43" s="199">
        <f>L43</f>
        <v>193914</v>
      </c>
      <c r="N43" s="199">
        <f>M43</f>
        <v>193914</v>
      </c>
      <c r="O43" s="199">
        <f>N43</f>
        <v>193914</v>
      </c>
      <c r="P43" s="199">
        <f>O43</f>
        <v>193914</v>
      </c>
      <c r="Q43" s="199">
        <f>P43</f>
        <v>193914</v>
      </c>
    </row>
    <row r="44" ht="16.5" customHeight="1" outlineLevel="1" spans="1:17">
      <c r="B44" s="10"/>
      <c r="C44" s="10" t="s">
        <v>35</v>
      </c>
      <c r="D44" s="10"/>
      <c r="E44" s="10"/>
      <c r="F44" s="10"/>
      <c r="G44" s="10"/>
      <c r="H44" s="199">
        <f>'Historical Data'!H39</f>
        <v>13009</v>
      </c>
      <c r="I44" s="199">
        <f>'Historical Data'!I39</f>
        <v>15270</v>
      </c>
      <c r="J44" s="199">
        <f>'Historical Data'!J39</f>
        <v>14989</v>
      </c>
      <c r="K44" s="199">
        <f>'Historical Data'!K39</f>
        <v>24530</v>
      </c>
      <c r="L44" s="199">
        <f>'Historical Data'!L39</f>
        <v>28462</v>
      </c>
      <c r="M44" s="199">
        <f>L44</f>
        <v>28462</v>
      </c>
      <c r="N44" s="199">
        <f>M44</f>
        <v>28462</v>
      </c>
      <c r="O44" s="199">
        <f>N44</f>
        <v>28462</v>
      </c>
      <c r="P44" s="199">
        <f>O44</f>
        <v>28462</v>
      </c>
      <c r="Q44" s="199">
        <f>P44</f>
        <v>28462</v>
      </c>
    </row>
    <row r="45" ht="16.5" customHeight="1" outlineLevel="1" spans="1:17">
      <c r="B45" s="10"/>
      <c r="C45" s="10" t="s">
        <v>161</v>
      </c>
      <c r="D45" s="10"/>
      <c r="E45" s="10"/>
      <c r="F45" s="10"/>
      <c r="G45" s="10"/>
      <c r="H45" s="199">
        <f>SUM('Historical Data'!H43:H45)</f>
        <v>290111</v>
      </c>
      <c r="I45" s="199">
        <f>SUM('Historical Data'!I43:I45)</f>
        <v>121135</v>
      </c>
      <c r="J45" s="199">
        <f>SUM('Historical Data'!J43:J45)</f>
        <v>123023</v>
      </c>
      <c r="K45" s="199">
        <f>SUM('Historical Data'!K43:K45)</f>
        <v>130502</v>
      </c>
      <c r="L45" s="199">
        <f>SUM('Historical Data'!L43:L45)</f>
        <v>156626</v>
      </c>
      <c r="M45" s="199">
        <f>L45</f>
        <v>156626</v>
      </c>
      <c r="N45" s="199">
        <f>M45</f>
        <v>156626</v>
      </c>
      <c r="O45" s="199">
        <f>N45</f>
        <v>156626</v>
      </c>
      <c r="P45" s="199">
        <f>O45</f>
        <v>156626</v>
      </c>
      <c r="Q45" s="199">
        <f>P45</f>
        <v>156626</v>
      </c>
    </row>
    <row r="46" ht="16.5" customHeight="1" outlineLevel="1" spans="1:17">
      <c r="B46" s="10"/>
      <c r="C46" s="10" t="s">
        <v>162</v>
      </c>
      <c r="D46" s="10"/>
      <c r="E46" s="10"/>
      <c r="F46" s="10"/>
      <c r="G46" s="10"/>
      <c r="H46" s="199">
        <f>SUM('Historical Data'!H37,'Historical Data'!H41,'Historical Data'!H46:H47)</f>
        <v>62231</v>
      </c>
      <c r="I46" s="199">
        <f>SUM('Historical Data'!I37,'Historical Data'!I41,'Historical Data'!I46:I47)</f>
        <v>240151</v>
      </c>
      <c r="J46" s="199">
        <f>SUM('Historical Data'!J37,'Historical Data'!J41,'Historical Data'!J46:J47)</f>
        <v>243477</v>
      </c>
      <c r="K46" s="199">
        <f>SUM('Historical Data'!K37,'Historical Data'!K41,'Historical Data'!K46:K47)</f>
        <v>259896</v>
      </c>
      <c r="L46" s="199">
        <f>SUM('Historical Data'!L37,'Historical Data'!L41,'Historical Data'!L46:L47)</f>
        <v>261515</v>
      </c>
      <c r="M46" s="199">
        <f>L46</f>
        <v>261515</v>
      </c>
      <c r="N46" s="199">
        <f>M46</f>
        <v>261515</v>
      </c>
      <c r="O46" s="199">
        <f>N46</f>
        <v>261515</v>
      </c>
      <c r="P46" s="199">
        <f>O46</f>
        <v>261515</v>
      </c>
      <c r="Q46" s="199">
        <f>P46</f>
        <v>261515</v>
      </c>
    </row>
    <row r="47" ht="16.5" customHeight="1" outlineLevel="1" spans="1:17">
      <c r="A47" s="10"/>
      <c r="B47" s="140"/>
      <c r="C47" s="175" t="s">
        <v>54</v>
      </c>
      <c r="D47" s="140"/>
      <c r="E47" s="140"/>
      <c r="F47" s="140"/>
      <c r="G47" s="140"/>
      <c r="H47" s="201">
        <f t="shared" ref="H47:Q47" si="11">SUM(H36:H39,H42:H46)</f>
        <v>1499665</v>
      </c>
      <c r="I47" s="201">
        <f t="shared" si="11"/>
        <v>1607431</v>
      </c>
      <c r="J47" s="201">
        <f t="shared" si="11"/>
        <v>1755986</v>
      </c>
      <c r="K47" s="201">
        <f t="shared" si="11"/>
        <v>1950121</v>
      </c>
      <c r="L47" s="201">
        <f t="shared" si="11"/>
        <v>2178140</v>
      </c>
      <c r="M47" s="201">
        <f t="shared" si="11"/>
        <v>2195459.59923838</v>
      </c>
      <c r="N47" s="201">
        <f t="shared" si="11"/>
        <v>2196478.5737258</v>
      </c>
      <c r="O47" s="201">
        <f t="shared" si="11"/>
        <v>2348868.88474524</v>
      </c>
      <c r="P47" s="201">
        <f t="shared" si="11"/>
        <v>2519424.40206047</v>
      </c>
      <c r="Q47" s="201">
        <f t="shared" si="11"/>
        <v>2702918.63614482</v>
      </c>
    </row>
    <row r="48" ht="16.5" customHeight="1" outlineLevel="1" spans="1:17">
      <c r="B48" s="10"/>
      <c r="C48" s="10"/>
      <c r="D48" s="10"/>
      <c r="E48" s="10"/>
      <c r="F48" s="10"/>
      <c r="H48" s="202"/>
      <c r="I48" s="202"/>
      <c r="J48" s="202"/>
      <c r="K48" s="202"/>
      <c r="L48" s="202"/>
      <c r="M48" s="202"/>
      <c r="N48" s="202"/>
      <c r="O48" s="202"/>
      <c r="P48" s="202"/>
      <c r="Q48" s="202"/>
    </row>
    <row r="49" ht="16.5" customHeight="1" outlineLevel="1" spans="2:18">
      <c r="B49" s="203" t="s">
        <v>70</v>
      </c>
      <c r="C49" s="10"/>
      <c r="D49" s="10"/>
      <c r="E49" s="10"/>
      <c r="F49" s="10"/>
      <c r="H49" s="199"/>
      <c r="I49" s="199"/>
      <c r="J49" s="199"/>
      <c r="K49" s="199"/>
      <c r="L49" s="199"/>
      <c r="M49" s="199"/>
      <c r="N49" s="202"/>
      <c r="O49" s="202"/>
      <c r="P49" s="202"/>
      <c r="Q49" s="202"/>
    </row>
    <row r="50" ht="16.5" customHeight="1" outlineLevel="1" spans="2:18">
      <c r="B50" s="10"/>
      <c r="C50" s="10" t="s">
        <v>163</v>
      </c>
      <c r="D50" s="10"/>
      <c r="E50" s="10"/>
      <c r="F50" s="10"/>
      <c r="H50" s="199">
        <f>'Historical Data'!H81</f>
        <v>159330</v>
      </c>
      <c r="I50" s="199">
        <f>'Historical Data'!I81</f>
        <v>147172</v>
      </c>
      <c r="J50" s="199">
        <f>'Historical Data'!J81</f>
        <v>178377</v>
      </c>
      <c r="K50" s="199">
        <f>'Historical Data'!K81</f>
        <v>186789</v>
      </c>
      <c r="L50" s="199">
        <f>'Historical Data'!L81</f>
        <v>158842</v>
      </c>
      <c r="M50" s="199">
        <f>M21/-365*M15</f>
        <v>218964.265410224</v>
      </c>
      <c r="N50" s="199">
        <f>N21/-365*N15</f>
        <v>240168.50988135</v>
      </c>
      <c r="O50" s="199">
        <f>O21/-365*O15</f>
        <v>261100.384812744</v>
      </c>
      <c r="P50" s="199">
        <f>P21/-365*P15</f>
        <v>281580.957148914</v>
      </c>
      <c r="Q50" s="199">
        <f>Q21/-365*Q15</f>
        <v>301459.308722241</v>
      </c>
    </row>
    <row r="51" ht="16.5" customHeight="1" outlineLevel="1" spans="2:18">
      <c r="B51" s="10"/>
      <c r="C51" s="10" t="s">
        <v>72</v>
      </c>
      <c r="D51" s="10"/>
      <c r="E51" s="10"/>
      <c r="F51" s="10"/>
      <c r="H51" s="199">
        <f>SUM('Historical Data'!H82:H84,'Historical Data'!H79:H80)</f>
        <v>149332</v>
      </c>
      <c r="I51" s="199">
        <f>SUM('Historical Data'!I82:I84,'Historical Data'!I79:I80)</f>
        <v>248571</v>
      </c>
      <c r="J51" s="199">
        <f>SUM('Historical Data'!J82:J84,'Historical Data'!J79:J80)</f>
        <v>218990</v>
      </c>
      <c r="K51" s="199">
        <f>SUM('Historical Data'!K82:K84,'Historical Data'!K79:K80)</f>
        <v>266948</v>
      </c>
      <c r="L51" s="199">
        <f>SUM('Historical Data'!L82:L84,'Historical Data'!L79:L80)</f>
        <v>382412</v>
      </c>
      <c r="M51" s="199">
        <f>L51</f>
        <v>382412</v>
      </c>
      <c r="N51" s="199">
        <f>M51</f>
        <v>382412</v>
      </c>
      <c r="O51" s="199">
        <f>N51</f>
        <v>382412</v>
      </c>
      <c r="P51" s="199">
        <f>O51</f>
        <v>382412</v>
      </c>
      <c r="Q51" s="199">
        <f>P51</f>
        <v>382412</v>
      </c>
    </row>
    <row r="52" ht="16.5" customHeight="1" outlineLevel="1" spans="2:18">
      <c r="B52" s="10"/>
      <c r="C52" s="10"/>
      <c r="D52" s="10"/>
      <c r="E52" s="10"/>
      <c r="F52" s="10"/>
      <c r="H52" s="199"/>
      <c r="I52" s="199"/>
      <c r="J52" s="199"/>
      <c r="K52" s="199"/>
      <c r="L52" s="199"/>
      <c r="M52" s="199"/>
      <c r="N52" s="202"/>
      <c r="O52" s="202"/>
      <c r="P52" s="202"/>
      <c r="Q52" s="202"/>
    </row>
    <row r="53" ht="16.5" customHeight="1" outlineLevel="1" spans="2:18">
      <c r="B53" s="203" t="s">
        <v>61</v>
      </c>
      <c r="C53" s="10"/>
      <c r="D53" s="10"/>
      <c r="E53" s="10"/>
      <c r="F53" s="10"/>
      <c r="H53" s="199"/>
      <c r="I53" s="199"/>
      <c r="J53" s="199"/>
      <c r="K53" s="199"/>
      <c r="L53" s="199"/>
      <c r="M53" s="199"/>
      <c r="N53" s="202"/>
      <c r="O53" s="202"/>
      <c r="P53" s="202"/>
      <c r="Q53" s="202"/>
    </row>
    <row r="54" ht="16.5" customHeight="1" outlineLevel="1" spans="2:18">
      <c r="B54" s="10"/>
      <c r="C54" s="10" t="s">
        <v>62</v>
      </c>
      <c r="D54" s="10"/>
      <c r="E54" s="10"/>
      <c r="F54" s="10"/>
      <c r="H54" s="199">
        <f>SUM('Historical Data'!H69)</f>
        <v>187699</v>
      </c>
      <c r="I54" s="199">
        <f>SUM('Historical Data'!I69)</f>
        <v>183176</v>
      </c>
      <c r="J54" s="199">
        <f>SUM('Historical Data'!J69)</f>
        <v>222712</v>
      </c>
      <c r="K54" s="199">
        <f>SUM('Historical Data'!K69)</f>
        <v>236899</v>
      </c>
      <c r="L54" s="199">
        <f>SUM('Historical Data'!L69)</f>
        <v>270751</v>
      </c>
      <c r="M54" s="199">
        <f>M112</f>
        <v>137653</v>
      </c>
      <c r="N54" s="199">
        <f>N112</f>
        <v>4555</v>
      </c>
      <c r="O54" s="204">
        <f>O112</f>
        <v>0</v>
      </c>
      <c r="P54" s="204">
        <f>P112</f>
        <v>0</v>
      </c>
      <c r="Q54" s="204">
        <f>Q112</f>
        <v>0</v>
      </c>
    </row>
    <row r="55" ht="16.5" customHeight="1" outlineLevel="1" spans="2:18">
      <c r="B55" s="10"/>
      <c r="C55" s="10" t="s">
        <v>68</v>
      </c>
      <c r="D55" s="10"/>
      <c r="E55" s="10"/>
      <c r="F55" s="10"/>
      <c r="H55" s="199">
        <f>SUM('Historical Data'!H70:H75)</f>
        <v>114320</v>
      </c>
      <c r="I55" s="199">
        <f>SUM('Historical Data'!I70:I75)</f>
        <v>199631</v>
      </c>
      <c r="J55" s="199">
        <f>SUM('Historical Data'!J70:J75)</f>
        <v>210119</v>
      </c>
      <c r="K55" s="199">
        <f>SUM('Historical Data'!K70:K75)</f>
        <v>249859</v>
      </c>
      <c r="L55" s="199">
        <f>SUM('Historical Data'!L70:L75)</f>
        <v>280269</v>
      </c>
      <c r="M55" s="199">
        <f>L55</f>
        <v>280269</v>
      </c>
      <c r="N55" s="199">
        <f>M55</f>
        <v>280269</v>
      </c>
      <c r="O55" s="199">
        <f>N55</f>
        <v>280269</v>
      </c>
      <c r="P55" s="199">
        <f>O55</f>
        <v>280269</v>
      </c>
      <c r="Q55" s="199">
        <f>P55</f>
        <v>280269</v>
      </c>
    </row>
    <row r="56" ht="16.5" customHeight="1" outlineLevel="1" spans="2:18">
      <c r="B56" s="175"/>
      <c r="C56" s="175" t="s">
        <v>164</v>
      </c>
      <c r="D56" s="175"/>
      <c r="E56" s="175"/>
      <c r="F56" s="175"/>
      <c r="G56" s="200"/>
      <c r="H56" s="201">
        <f t="shared" ref="H56:Q56" si="12">SUM(H50:H51,H54:H55)</f>
        <v>610681</v>
      </c>
      <c r="I56" s="201">
        <f t="shared" si="12"/>
        <v>778550</v>
      </c>
      <c r="J56" s="201">
        <f t="shared" si="12"/>
        <v>830198</v>
      </c>
      <c r="K56" s="201">
        <f t="shared" si="12"/>
        <v>940495</v>
      </c>
      <c r="L56" s="201">
        <f t="shared" si="12"/>
        <v>1092274</v>
      </c>
      <c r="M56" s="201">
        <f t="shared" si="12"/>
        <v>1019298.26541022</v>
      </c>
      <c r="N56" s="201">
        <f t="shared" si="12"/>
        <v>907404.50988135</v>
      </c>
      <c r="O56" s="201">
        <f t="shared" si="12"/>
        <v>923781.384812744</v>
      </c>
      <c r="P56" s="201">
        <f t="shared" si="12"/>
        <v>944261.957148914</v>
      </c>
      <c r="Q56" s="201">
        <f t="shared" si="12"/>
        <v>964140.308722241</v>
      </c>
    </row>
    <row r="57" ht="16.5" customHeight="1" outlineLevel="1" spans="2:18">
      <c r="B57" s="10"/>
      <c r="C57" s="10"/>
      <c r="D57" s="10"/>
      <c r="E57" s="10"/>
      <c r="F57" s="10"/>
      <c r="H57" s="199"/>
      <c r="I57" s="199"/>
      <c r="J57" s="199"/>
      <c r="K57" s="199"/>
      <c r="L57" s="199"/>
      <c r="M57" s="199"/>
      <c r="N57" s="202"/>
      <c r="O57" s="202"/>
      <c r="P57" s="202"/>
      <c r="Q57" s="202"/>
    </row>
    <row r="58" ht="16.5" customHeight="1" outlineLevel="1" spans="2:18">
      <c r="B58" s="10"/>
      <c r="C58" s="10" t="s">
        <v>56</v>
      </c>
      <c r="D58" s="10"/>
      <c r="E58" s="10"/>
      <c r="F58" s="10"/>
      <c r="H58" s="199">
        <f>'Historical Data'!H63</f>
        <v>6765</v>
      </c>
      <c r="I58" s="199">
        <f>'Historical Data'!I63</f>
        <v>6766</v>
      </c>
      <c r="J58" s="199">
        <f>'Historical Data'!J63</f>
        <v>6766</v>
      </c>
      <c r="K58" s="199">
        <f>'Historical Data'!K63</f>
        <v>13532</v>
      </c>
      <c r="L58" s="199">
        <f>'Historical Data'!L63</f>
        <v>13532</v>
      </c>
      <c r="M58" s="199">
        <f>L58</f>
        <v>13532</v>
      </c>
      <c r="N58" s="199">
        <f>M58</f>
        <v>13532</v>
      </c>
      <c r="O58" s="199">
        <f>N58</f>
        <v>13532</v>
      </c>
      <c r="P58" s="199">
        <f>O58</f>
        <v>13532</v>
      </c>
      <c r="Q58" s="199">
        <f>P58</f>
        <v>13532</v>
      </c>
    </row>
    <row r="59" ht="16.5" customHeight="1" outlineLevel="1" spans="2:18">
      <c r="B59" s="10"/>
      <c r="C59" s="10" t="s">
        <v>58</v>
      </c>
      <c r="D59" s="10"/>
      <c r="E59" s="10"/>
      <c r="F59" s="10"/>
      <c r="H59" s="199">
        <f>'Historical Data'!H64</f>
        <v>772720</v>
      </c>
      <c r="I59" s="199">
        <f>'Historical Data'!I64</f>
        <v>709106</v>
      </c>
      <c r="J59" s="199">
        <f>'Historical Data'!J64</f>
        <v>786715</v>
      </c>
      <c r="K59" s="199">
        <f>'Historical Data'!K64</f>
        <v>829668</v>
      </c>
      <c r="L59" s="199">
        <f>'Historical Data'!L64</f>
        <v>890498</v>
      </c>
      <c r="M59" s="199">
        <f>L59+M31+M86</f>
        <v>980793.33382816</v>
      </c>
      <c r="N59" s="199">
        <f>M59+N31+N86</f>
        <v>1093706.06384445</v>
      </c>
      <c r="O59" s="199">
        <f>N59+O31+O86</f>
        <v>1229719.4999325</v>
      </c>
      <c r="P59" s="199">
        <f>O59+P31+P86</f>
        <v>1379794.44491156</v>
      </c>
      <c r="Q59" s="199">
        <f>P59+Q31+Q86</f>
        <v>1543410.32742258</v>
      </c>
    </row>
    <row r="60" ht="16.5" customHeight="1" outlineLevel="1" spans="2:18">
      <c r="B60" s="175"/>
      <c r="C60" s="175" t="s">
        <v>165</v>
      </c>
      <c r="D60" s="175"/>
      <c r="E60" s="175"/>
      <c r="F60" s="175"/>
      <c r="G60" s="200"/>
      <c r="H60" s="201">
        <f t="shared" ref="H60:Q60" si="13">SUM(H58:H59)</f>
        <v>779485</v>
      </c>
      <c r="I60" s="201">
        <f t="shared" si="13"/>
        <v>715872</v>
      </c>
      <c r="J60" s="201">
        <f t="shared" si="13"/>
        <v>793481</v>
      </c>
      <c r="K60" s="201">
        <f t="shared" si="13"/>
        <v>843200</v>
      </c>
      <c r="L60" s="201">
        <f t="shared" si="13"/>
        <v>904030</v>
      </c>
      <c r="M60" s="201">
        <f t="shared" si="13"/>
        <v>994325.33382816</v>
      </c>
      <c r="N60" s="201">
        <f t="shared" si="13"/>
        <v>1107238.06384445</v>
      </c>
      <c r="O60" s="201">
        <f t="shared" si="13"/>
        <v>1243251.4999325</v>
      </c>
      <c r="P60" s="201">
        <f t="shared" si="13"/>
        <v>1393326.44491156</v>
      </c>
      <c r="Q60" s="201">
        <f t="shared" si="13"/>
        <v>1556942.32742258</v>
      </c>
    </row>
    <row r="61" ht="16.5" customHeight="1" outlineLevel="1" spans="2:18">
      <c r="B61" s="10"/>
      <c r="C61" s="10" t="s">
        <v>59</v>
      </c>
      <c r="D61" s="10"/>
      <c r="E61" s="10"/>
      <c r="F61" s="10"/>
      <c r="H61" s="199">
        <f>'Historical Data'!H65</f>
        <v>109499</v>
      </c>
      <c r="I61" s="199">
        <f>'Historical Data'!I65</f>
        <v>113009</v>
      </c>
      <c r="J61" s="199">
        <f>'Historical Data'!J65</f>
        <v>132307</v>
      </c>
      <c r="K61" s="199">
        <f>'Historical Data'!K65</f>
        <v>166426</v>
      </c>
      <c r="L61" s="199">
        <f>'Historical Data'!L65</f>
        <v>181836</v>
      </c>
      <c r="M61" s="199">
        <f>L61</f>
        <v>181836</v>
      </c>
      <c r="N61" s="199">
        <f>M61</f>
        <v>181836</v>
      </c>
      <c r="O61" s="199">
        <f>N61</f>
        <v>181836</v>
      </c>
      <c r="P61" s="199">
        <f>O61</f>
        <v>181836</v>
      </c>
      <c r="Q61" s="199">
        <f>P61</f>
        <v>181836</v>
      </c>
    </row>
    <row r="62" ht="16.5" customHeight="1" outlineLevel="1" spans="2:18">
      <c r="B62" s="175"/>
      <c r="C62" s="175" t="s">
        <v>166</v>
      </c>
      <c r="D62" s="175"/>
      <c r="E62" s="175"/>
      <c r="F62" s="175"/>
      <c r="G62" s="200"/>
      <c r="H62" s="201">
        <f>SUM(H60:H61,H56)</f>
        <v>1499665</v>
      </c>
      <c r="I62" s="201">
        <f>SUM(I60:I61,I56)</f>
        <v>1607431</v>
      </c>
      <c r="J62" s="201">
        <f>SUM(J60:J61,J56)</f>
        <v>1755986</v>
      </c>
      <c r="K62" s="201">
        <f>SUM(K60:K61,K56)</f>
        <v>1950121</v>
      </c>
      <c r="L62" s="201">
        <f>SUM(L60:L61,L56)</f>
        <v>2178140</v>
      </c>
      <c r="M62" s="201">
        <f>SUM(M56,M60:M61)</f>
        <v>2195459.59923838</v>
      </c>
      <c r="N62" s="201">
        <f>SUM(N56,N60:N61)</f>
        <v>2196478.5737258</v>
      </c>
      <c r="O62" s="201">
        <f>SUM(O56,O60:O61)</f>
        <v>2348868.88474524</v>
      </c>
      <c r="P62" s="201">
        <f>SUM(P56,P60:P61)</f>
        <v>2519424.40206047</v>
      </c>
      <c r="Q62" s="201">
        <f>SUM(Q56,Q60:Q61)</f>
        <v>2702918.63614482</v>
      </c>
      <c r="R62" s="205"/>
    </row>
    <row r="63" ht="16.5" customHeight="1" outlineLevel="1" spans="2:18">
      <c r="B63" s="10"/>
      <c r="C63" s="10"/>
      <c r="D63" s="10"/>
      <c r="E63" s="10"/>
      <c r="F63" s="10"/>
      <c r="H63" s="10"/>
      <c r="I63" s="10"/>
      <c r="J63" s="10"/>
      <c r="K63" s="10"/>
      <c r="L63" s="10"/>
      <c r="M63" s="10"/>
    </row>
    <row r="64" ht="16.5" customHeight="1" outlineLevel="1" spans="2:18">
      <c r="B64" s="10"/>
      <c r="C64" s="10"/>
      <c r="D64" s="206" t="s">
        <v>167</v>
      </c>
      <c r="E64" s="10"/>
      <c r="F64" s="10"/>
      <c r="H64" s="207" t="str">
        <f t="shared" ref="H64:Q64" si="14">IF(H47=H62,"TALLIED","ERROR")</f>
        <v>TALLIED</v>
      </c>
      <c r="I64" s="207" t="str">
        <f t="shared" si="14"/>
        <v>TALLIED</v>
      </c>
      <c r="J64" s="207" t="str">
        <f t="shared" si="14"/>
        <v>TALLIED</v>
      </c>
      <c r="K64" s="207" t="str">
        <f t="shared" si="14"/>
        <v>TALLIED</v>
      </c>
      <c r="L64" s="207" t="str">
        <f t="shared" si="14"/>
        <v>TALLIED</v>
      </c>
      <c r="M64" s="207" t="str">
        <f t="shared" si="14"/>
        <v>TALLIED</v>
      </c>
      <c r="N64" s="207" t="str">
        <f t="shared" si="14"/>
        <v>TALLIED</v>
      </c>
      <c r="O64" s="207" t="str">
        <f t="shared" si="14"/>
        <v>TALLIED</v>
      </c>
      <c r="P64" s="207" t="str">
        <f t="shared" si="14"/>
        <v>TALLIED</v>
      </c>
      <c r="Q64" s="207" t="str">
        <f t="shared" si="14"/>
        <v>TALLIED</v>
      </c>
    </row>
    <row r="65" ht="16.5" customHeight="1" spans="1:17">
      <c r="B65" s="10"/>
      <c r="C65" s="10"/>
      <c r="D65" s="10"/>
      <c r="E65" s="10"/>
      <c r="F65" s="10"/>
      <c r="H65" s="10"/>
      <c r="I65" s="10"/>
      <c r="J65" s="10"/>
      <c r="K65" s="10"/>
      <c r="L65" s="10"/>
      <c r="M65" s="10"/>
    </row>
    <row r="66" ht="16.5" customHeight="1" spans="1:17">
      <c r="A66" s="7" t="s">
        <v>168</v>
      </c>
      <c r="B66" s="197"/>
      <c r="C66" s="197"/>
      <c r="D66" s="197"/>
      <c r="E66" s="197"/>
      <c r="F66" s="197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</row>
    <row r="67" ht="16.5" customHeight="1" spans="1:17">
      <c r="B67" s="10"/>
      <c r="C67" s="10"/>
      <c r="D67" s="10"/>
      <c r="E67" s="10"/>
      <c r="F67" s="10"/>
      <c r="H67" s="202"/>
      <c r="I67" s="202"/>
      <c r="J67" s="202"/>
      <c r="K67" s="202"/>
      <c r="L67" s="202"/>
      <c r="M67" s="202"/>
      <c r="N67" s="202"/>
      <c r="O67" s="202"/>
      <c r="P67" s="202"/>
      <c r="Q67" s="202"/>
    </row>
    <row r="68" ht="16.5" customHeight="1" outlineLevel="1" spans="1:17">
      <c r="A68" s="10"/>
      <c r="B68" s="203" t="s">
        <v>169</v>
      </c>
      <c r="C68" s="10"/>
      <c r="D68" s="10"/>
      <c r="E68" s="10"/>
      <c r="F68" s="10"/>
      <c r="G68" s="10"/>
      <c r="H68" s="199"/>
      <c r="I68" s="199"/>
      <c r="J68" s="199"/>
      <c r="K68" s="199"/>
      <c r="L68" s="199"/>
      <c r="M68" s="199"/>
      <c r="N68" s="199"/>
      <c r="O68" s="199"/>
      <c r="P68" s="199"/>
      <c r="Q68" s="199"/>
    </row>
    <row r="69" ht="16.5" customHeight="1" outlineLevel="1" spans="1:17">
      <c r="A69" s="10"/>
      <c r="B69" s="10"/>
      <c r="C69" s="10" t="s">
        <v>153</v>
      </c>
      <c r="D69" s="10"/>
      <c r="E69" s="10"/>
      <c r="F69" s="10"/>
      <c r="G69" s="10"/>
      <c r="H69" s="199">
        <f>'Historical Data'!H91</f>
        <v>84142</v>
      </c>
      <c r="I69" s="199">
        <f>'Historical Data'!I91</f>
        <v>94801</v>
      </c>
      <c r="J69" s="199">
        <f>'Historical Data'!J91</f>
        <v>104727</v>
      </c>
      <c r="K69" s="199">
        <f>'Historical Data'!K91</f>
        <v>106017</v>
      </c>
      <c r="L69" s="199">
        <f>'Historical Data'!L91</f>
        <v>123162</v>
      </c>
      <c r="M69" s="199">
        <f>M31</f>
        <v>97721.7519193679</v>
      </c>
      <c r="N69" s="199">
        <f>N31</f>
        <v>122199.335484928</v>
      </c>
      <c r="O69" s="199">
        <f>O31</f>
        <v>147199.97917491</v>
      </c>
      <c r="P69" s="199">
        <f>P31</f>
        <v>162417.989067589</v>
      </c>
      <c r="Q69" s="199">
        <f>Q31</f>
        <v>177072.61275803</v>
      </c>
    </row>
    <row r="70" ht="16.5" customHeight="1" outlineLevel="1" spans="1:17">
      <c r="A70" s="10"/>
      <c r="B70" s="10"/>
      <c r="C70" s="10" t="s">
        <v>170</v>
      </c>
      <c r="D70" s="10"/>
      <c r="E70" s="10"/>
      <c r="F70" s="10"/>
      <c r="G70" s="10"/>
      <c r="H70" s="199">
        <f>'Historical Data'!H96</f>
        <v>29797</v>
      </c>
      <c r="I70" s="199">
        <f>'Historical Data'!I96</f>
        <v>40319</v>
      </c>
      <c r="J70" s="199">
        <f>'Historical Data'!J96</f>
        <v>50832</v>
      </c>
      <c r="K70" s="199">
        <f>'Historical Data'!K96</f>
        <v>53136</v>
      </c>
      <c r="L70" s="199">
        <f>'Historical Data'!L96</f>
        <v>57688</v>
      </c>
      <c r="M70" s="199">
        <f>-M106</f>
        <v>68576.2030001319</v>
      </c>
      <c r="N70" s="199">
        <f>-N106</f>
        <v>71524.8080181757</v>
      </c>
      <c r="O70" s="199">
        <f>-O106</f>
        <v>74273.2255538467</v>
      </c>
      <c r="P70" s="199">
        <f>-P106</f>
        <v>76765.2172572501</v>
      </c>
      <c r="Q70" s="199">
        <f>-Q106</f>
        <v>78956.658635545</v>
      </c>
    </row>
    <row r="71" ht="16.5" customHeight="1" outlineLevel="1" spans="1:17">
      <c r="A71" s="10"/>
      <c r="B71" s="10"/>
      <c r="C71" s="10" t="s">
        <v>171</v>
      </c>
      <c r="D71" s="10"/>
      <c r="E71" s="10"/>
      <c r="F71" s="10"/>
      <c r="G71" s="10"/>
      <c r="H71" s="199">
        <f>SUM('Historical Data'!H106:H108)</f>
        <v>725</v>
      </c>
      <c r="I71" s="199">
        <f>SUM('Historical Data'!I106:I108)</f>
        <v>-19634</v>
      </c>
      <c r="J71" s="199">
        <f>SUM('Historical Data'!J106:J108)</f>
        <v>6366</v>
      </c>
      <c r="K71" s="199">
        <f>SUM('Historical Data'!K106:K108)</f>
        <v>23724</v>
      </c>
      <c r="L71" s="199">
        <f>SUM('Historical Data'!L106:L108)</f>
        <v>12497</v>
      </c>
      <c r="M71" s="199">
        <f>M101</f>
        <v>53318.3701930788</v>
      </c>
      <c r="N71" s="199">
        <f>N101</f>
        <v>-1285.20917524608</v>
      </c>
      <c r="O71" s="199">
        <f>O101</f>
        <v>-1268.70060159714</v>
      </c>
      <c r="P71" s="199">
        <f>P101</f>
        <v>-1241.34672737718</v>
      </c>
      <c r="Q71" s="199">
        <f>Q101</f>
        <v>-1204.84556125523</v>
      </c>
    </row>
    <row r="72" ht="16.5" customHeight="1" outlineLevel="1" spans="1:17">
      <c r="A72" s="10"/>
      <c r="B72" s="10"/>
      <c r="C72" s="10" t="s">
        <v>172</v>
      </c>
      <c r="D72" s="10"/>
      <c r="E72" s="10"/>
      <c r="F72" s="10"/>
      <c r="G72" s="10"/>
      <c r="H72" s="199">
        <f>SUM('Historical Data'!H93:H95,'Historical Data'!H97:H102,'Historical Data'!H111)</f>
        <v>-4010</v>
      </c>
      <c r="I72" s="199">
        <f>SUM('Historical Data'!I93:I95,'Historical Data'!I97:I102,'Historical Data'!I111)</f>
        <v>-454</v>
      </c>
      <c r="J72" s="199">
        <f>SUM('Historical Data'!J93:J95,'Historical Data'!J97:J102,'Historical Data'!J111)</f>
        <v>-3137</v>
      </c>
      <c r="K72" s="199">
        <f>SUM('Historical Data'!K93:K95,'Historical Data'!K97:K102,'Historical Data'!K111)</f>
        <v>-4174</v>
      </c>
      <c r="L72" s="199">
        <f>SUM('Historical Data'!L93:L95,'Historical Data'!L97:L102,'Historical Data'!L111)</f>
        <v>-1234</v>
      </c>
      <c r="M72" s="199">
        <f>-SUM(M27:M28)</f>
        <v>2235.74393193453</v>
      </c>
      <c r="N72" s="199">
        <f>-SUM(N27:N28)</f>
        <v>-13184.2910418303</v>
      </c>
      <c r="O72" s="199">
        <f>-SUM(O27:O28)</f>
        <v>-29322.07186636</v>
      </c>
      <c r="P72" s="199">
        <f>-SUM(P27:P28)</f>
        <v>-33014.9342176193</v>
      </c>
      <c r="Q72" s="199">
        <f>-SUM(Q27:Q28)</f>
        <v>-36222.719901083</v>
      </c>
    </row>
    <row r="73" ht="16.5" customHeight="1" outlineLevel="1" spans="1:17">
      <c r="A73" s="10"/>
      <c r="B73" s="140"/>
      <c r="C73" s="175" t="s">
        <v>173</v>
      </c>
      <c r="D73" s="175"/>
      <c r="E73" s="175"/>
      <c r="F73" s="175"/>
      <c r="G73" s="175"/>
      <c r="H73" s="201">
        <f t="shared" ref="H73:Q73" si="15">SUM(H69:H72)</f>
        <v>110654</v>
      </c>
      <c r="I73" s="201">
        <f t="shared" si="15"/>
        <v>115032</v>
      </c>
      <c r="J73" s="201">
        <f t="shared" si="15"/>
        <v>158788</v>
      </c>
      <c r="K73" s="201">
        <f t="shared" si="15"/>
        <v>178703</v>
      </c>
      <c r="L73" s="201">
        <f t="shared" si="15"/>
        <v>192113</v>
      </c>
      <c r="M73" s="201">
        <f t="shared" si="15"/>
        <v>221852.069044513</v>
      </c>
      <c r="N73" s="201">
        <f t="shared" si="15"/>
        <v>179254.643286028</v>
      </c>
      <c r="O73" s="201">
        <f t="shared" si="15"/>
        <v>190882.4322608</v>
      </c>
      <c r="P73" s="201">
        <f t="shared" si="15"/>
        <v>204926.925379842</v>
      </c>
      <c r="Q73" s="201">
        <f t="shared" si="15"/>
        <v>218601.705931237</v>
      </c>
    </row>
    <row r="74" ht="16.5" customHeight="1" outlineLevel="1" spans="1:17">
      <c r="A74" s="10"/>
      <c r="B74" s="10"/>
      <c r="C74" s="10"/>
      <c r="D74" s="10"/>
      <c r="E74" s="10"/>
      <c r="F74" s="10"/>
      <c r="G74" s="10"/>
      <c r="H74" s="199"/>
      <c r="I74" s="199"/>
      <c r="J74" s="199"/>
      <c r="K74" s="199"/>
      <c r="L74" s="199"/>
      <c r="M74" s="199"/>
      <c r="N74" s="199"/>
      <c r="O74" s="199"/>
      <c r="P74" s="199"/>
      <c r="Q74" s="199"/>
    </row>
    <row r="75" ht="16.5" customHeight="1" outlineLevel="1" spans="1:17">
      <c r="A75" s="10"/>
      <c r="B75" s="203" t="s">
        <v>174</v>
      </c>
      <c r="C75" s="10"/>
      <c r="D75" s="10"/>
      <c r="E75" s="10"/>
      <c r="F75" s="10"/>
      <c r="G75" s="10"/>
      <c r="H75" s="199"/>
      <c r="I75" s="199"/>
      <c r="J75" s="199"/>
      <c r="K75" s="199"/>
      <c r="L75" s="199"/>
      <c r="M75" s="199"/>
      <c r="N75" s="199"/>
      <c r="O75" s="199"/>
      <c r="P75" s="199"/>
      <c r="Q75" s="199"/>
    </row>
    <row r="76" ht="17.25" customHeight="1" outlineLevel="1" spans="1:17">
      <c r="A76" s="10"/>
      <c r="B76" s="97"/>
      <c r="C76" s="97" t="s">
        <v>175</v>
      </c>
      <c r="D76" s="97"/>
      <c r="E76" s="10"/>
      <c r="F76" s="10"/>
      <c r="G76" s="10"/>
      <c r="H76" s="199">
        <f>'Historical Data'!H115</f>
        <v>-100145</v>
      </c>
      <c r="I76" s="199">
        <f>'Historical Data'!I115</f>
        <v>-140988</v>
      </c>
      <c r="J76" s="199">
        <f>'Historical Data'!J115</f>
        <v>-152883</v>
      </c>
      <c r="K76" s="199">
        <f>'Historical Data'!K115</f>
        <v>-139967</v>
      </c>
      <c r="L76" s="199">
        <f>'Historical Data'!L115</f>
        <v>-122916</v>
      </c>
      <c r="M76" s="199">
        <f>-M105</f>
        <v>-117476.739294836</v>
      </c>
      <c r="N76" s="199">
        <f>-N105</f>
        <v>-117105.375993078</v>
      </c>
      <c r="O76" s="199">
        <f>-O105</f>
        <v>-115601.151808014</v>
      </c>
      <c r="P76" s="199">
        <f>-P105</f>
        <v>-113108.728172158</v>
      </c>
      <c r="Q76" s="199">
        <f>-Q105</f>
        <v>-109782.823825054</v>
      </c>
    </row>
    <row r="77" ht="17.25" customHeight="1" outlineLevel="1" spans="1:17">
      <c r="A77" s="10"/>
      <c r="B77" s="97"/>
      <c r="C77" s="208" t="s">
        <v>176</v>
      </c>
      <c r="D77" s="97"/>
      <c r="E77" s="10"/>
      <c r="F77" s="10"/>
      <c r="G77" s="10"/>
      <c r="H77" s="199">
        <f>'Historical Data'!H116</f>
        <v>3137</v>
      </c>
      <c r="I77" s="199">
        <f>'Historical Data'!I116</f>
        <v>9186</v>
      </c>
      <c r="J77" s="199">
        <f>'Historical Data'!J116</f>
        <v>15307</v>
      </c>
      <c r="K77" s="199">
        <f>'Historical Data'!K116</f>
        <v>2343</v>
      </c>
      <c r="L77" s="199">
        <f>'Historical Data'!L116</f>
        <v>826</v>
      </c>
      <c r="M77" s="204">
        <v>0</v>
      </c>
      <c r="N77" s="204">
        <f>M77</f>
        <v>0</v>
      </c>
      <c r="O77" s="204">
        <f>N77</f>
        <v>0</v>
      </c>
      <c r="P77" s="204">
        <f>O77</f>
        <v>0</v>
      </c>
      <c r="Q77" s="204">
        <f>P77</f>
        <v>0</v>
      </c>
    </row>
    <row r="78" ht="17.25" customHeight="1" outlineLevel="1" spans="1:17">
      <c r="A78" s="10"/>
      <c r="B78" s="97"/>
      <c r="C78" s="208" t="s">
        <v>177</v>
      </c>
      <c r="D78" s="97"/>
      <c r="E78" s="10"/>
      <c r="F78" s="10"/>
      <c r="G78" s="10"/>
      <c r="H78" s="199">
        <f>SUM('Historical Data'!H117:H119)</f>
        <v>-19047</v>
      </c>
      <c r="I78" s="199">
        <f>SUM('Historical Data'!I117:I119)</f>
        <v>29444</v>
      </c>
      <c r="J78" s="199">
        <f>SUM('Historical Data'!J117:J119)</f>
        <v>12552</v>
      </c>
      <c r="K78" s="199">
        <f>SUM('Historical Data'!K117:K119)</f>
        <v>-16356</v>
      </c>
      <c r="L78" s="199">
        <f>SUM('Historical Data'!L117:L119)</f>
        <v>-1637</v>
      </c>
      <c r="M78" s="204">
        <v>0</v>
      </c>
      <c r="N78" s="204">
        <f>M78</f>
        <v>0</v>
      </c>
      <c r="O78" s="204">
        <f>N78</f>
        <v>0</v>
      </c>
      <c r="P78" s="204">
        <f>O78</f>
        <v>0</v>
      </c>
      <c r="Q78" s="204">
        <f>P78</f>
        <v>0</v>
      </c>
    </row>
    <row r="79" ht="17.25" customHeight="1" outlineLevel="1" spans="1:17">
      <c r="A79" s="10"/>
      <c r="B79" s="97"/>
      <c r="C79" s="208" t="s">
        <v>85</v>
      </c>
      <c r="D79" s="97"/>
      <c r="E79" s="10"/>
      <c r="F79" s="10"/>
      <c r="G79" s="10"/>
      <c r="H79" s="199">
        <f>'Historical Data'!H121+'Historical Data'!H122</f>
        <v>19</v>
      </c>
      <c r="I79" s="199">
        <f>'Historical Data'!I121+'Historical Data'!I122</f>
        <v>20</v>
      </c>
      <c r="J79" s="199">
        <f>'Historical Data'!J121+'Historical Data'!J122</f>
        <v>75</v>
      </c>
      <c r="K79" s="199">
        <f>'Historical Data'!K121+'Historical Data'!K122</f>
        <v>612</v>
      </c>
      <c r="L79" s="199">
        <f>'Historical Data'!L121+'Historical Data'!L122</f>
        <v>9100</v>
      </c>
      <c r="M79" s="204">
        <v>0</v>
      </c>
      <c r="N79" s="204">
        <f>M79</f>
        <v>0</v>
      </c>
      <c r="O79" s="204">
        <f>N79</f>
        <v>0</v>
      </c>
      <c r="P79" s="204">
        <f>O79</f>
        <v>0</v>
      </c>
      <c r="Q79" s="204">
        <f>P79</f>
        <v>0</v>
      </c>
    </row>
    <row r="80" ht="17.25" customHeight="1" outlineLevel="1" spans="1:17">
      <c r="B80" s="97"/>
      <c r="C80" s="208" t="s">
        <v>178</v>
      </c>
      <c r="D80" s="97"/>
      <c r="H80" s="199">
        <f>'Historical Data'!H120</f>
        <v>5933</v>
      </c>
      <c r="I80" s="199">
        <f>'Historical Data'!I120</f>
        <v>11103</v>
      </c>
      <c r="J80" s="199">
        <f>'Historical Data'!J120</f>
        <v>10648</v>
      </c>
      <c r="K80" s="199">
        <f>'Historical Data'!K120</f>
        <v>15833</v>
      </c>
      <c r="L80" s="199">
        <f>'Historical Data'!L120</f>
        <v>13538</v>
      </c>
      <c r="M80" s="199">
        <f>M28</f>
        <v>24337.7147127708</v>
      </c>
      <c r="N80" s="199">
        <f>N28</f>
        <v>26694.5506634739</v>
      </c>
      <c r="O80" s="199">
        <f>O28</f>
        <v>29769.1324649418</v>
      </c>
      <c r="P80" s="199">
        <f>P28</f>
        <v>33014.9342176193</v>
      </c>
      <c r="Q80" s="199">
        <f>Q28</f>
        <v>36222.719901083</v>
      </c>
    </row>
    <row r="81" ht="17.25" customHeight="1" outlineLevel="1" spans="1:17">
      <c r="B81" s="108"/>
      <c r="C81" s="209" t="s">
        <v>179</v>
      </c>
      <c r="D81" s="209"/>
      <c r="E81" s="200"/>
      <c r="F81" s="200"/>
      <c r="G81" s="200"/>
      <c r="H81" s="201">
        <f t="shared" ref="H81:Q81" si="16">SUM(H76:H80)</f>
        <v>-110103</v>
      </c>
      <c r="I81" s="201">
        <f t="shared" si="16"/>
        <v>-91235</v>
      </c>
      <c r="J81" s="201">
        <f t="shared" si="16"/>
        <v>-114301</v>
      </c>
      <c r="K81" s="201">
        <f t="shared" si="16"/>
        <v>-137535</v>
      </c>
      <c r="L81" s="201">
        <f t="shared" si="16"/>
        <v>-101089</v>
      </c>
      <c r="M81" s="201">
        <f t="shared" si="16"/>
        <v>-93139.0245820653</v>
      </c>
      <c r="N81" s="201">
        <f t="shared" si="16"/>
        <v>-90410.8253296039</v>
      </c>
      <c r="O81" s="201">
        <f t="shared" si="16"/>
        <v>-85832.019343072</v>
      </c>
      <c r="P81" s="201">
        <f t="shared" si="16"/>
        <v>-80093.7939545391</v>
      </c>
      <c r="Q81" s="201">
        <f t="shared" si="16"/>
        <v>-73560.1039239714</v>
      </c>
    </row>
    <row r="82" ht="17.25" customHeight="1" outlineLevel="1" spans="1:17">
      <c r="B82" s="97"/>
      <c r="C82" s="97"/>
      <c r="D82" s="97"/>
      <c r="H82" s="199"/>
      <c r="I82" s="199"/>
      <c r="J82" s="199"/>
      <c r="K82" s="199"/>
      <c r="L82" s="199"/>
      <c r="M82" s="199"/>
      <c r="N82" s="202"/>
      <c r="O82" s="202"/>
      <c r="P82" s="202"/>
      <c r="Q82" s="202"/>
    </row>
    <row r="83" ht="16.5" customHeight="1" outlineLevel="1" spans="1:17">
      <c r="B83" t="s">
        <v>180</v>
      </c>
      <c r="H83" s="199"/>
      <c r="I83" s="199"/>
      <c r="J83" s="199"/>
      <c r="K83" s="199"/>
      <c r="L83" s="199"/>
      <c r="M83" s="199"/>
      <c r="N83" s="202"/>
      <c r="O83" s="202"/>
      <c r="P83" s="202"/>
      <c r="Q83" s="202"/>
    </row>
    <row r="84" ht="16.5" customHeight="1" outlineLevel="1" spans="1:17">
      <c r="C84" s="210" t="s">
        <v>181</v>
      </c>
      <c r="H84" s="199">
        <f>SUM('Historical Data'!H128:H134)</f>
        <v>47480</v>
      </c>
      <c r="I84" s="199">
        <f>SUM('Historical Data'!I128:I134)</f>
        <v>36709</v>
      </c>
      <c r="J84" s="199">
        <f>SUM('Historical Data'!J128:J134)</f>
        <v>5701</v>
      </c>
      <c r="K84" s="199">
        <f>SUM('Historical Data'!K128:K134)</f>
        <v>16313</v>
      </c>
      <c r="L84" s="199">
        <f>SUM('Historical Data'!L128:L134)</f>
        <v>-3689</v>
      </c>
      <c r="M84" s="199">
        <f>M111</f>
        <v>-133098</v>
      </c>
      <c r="N84" s="199">
        <f>N111</f>
        <v>-133098</v>
      </c>
      <c r="O84" s="199">
        <f>O111</f>
        <v>-4555</v>
      </c>
      <c r="P84" s="199">
        <f>P111</f>
        <v>0</v>
      </c>
      <c r="Q84" s="199">
        <f>Q111</f>
        <v>0</v>
      </c>
    </row>
    <row r="85" ht="16.5" customHeight="1" outlineLevel="1" spans="1:17">
      <c r="C85" s="210" t="s">
        <v>182</v>
      </c>
      <c r="H85" s="199">
        <f>'Historical Data'!H126+'Historical Data'!H127</f>
        <v>455</v>
      </c>
      <c r="I85" s="199">
        <f>'Historical Data'!I126+'Historical Data'!I127</f>
        <v>479</v>
      </c>
      <c r="J85" s="199">
        <f>'Historical Data'!J126+'Historical Data'!J127</f>
        <v>20915</v>
      </c>
      <c r="K85" s="199">
        <f>'Historical Data'!K126+'Historical Data'!K127</f>
        <v>0</v>
      </c>
      <c r="L85" s="199">
        <f>'Historical Data'!L126+'Historical Data'!L127</f>
        <v>0</v>
      </c>
      <c r="M85" s="199">
        <f>'Historical Data'!M126+'Historical Data'!M127</f>
        <v>0</v>
      </c>
      <c r="N85" s="199">
        <f>'Historical Data'!N126+'Historical Data'!N127</f>
        <v>0</v>
      </c>
      <c r="O85" s="199">
        <f>'Historical Data'!O126+'Historical Data'!O127</f>
        <v>0</v>
      </c>
      <c r="P85" s="199">
        <f>'Historical Data'!P126+'Historical Data'!P127</f>
        <v>0</v>
      </c>
      <c r="Q85" s="199">
        <f>'Historical Data'!Q126+'Historical Data'!Q127</f>
        <v>0</v>
      </c>
    </row>
    <row r="86" ht="16.5" customHeight="1" outlineLevel="1" spans="1:17">
      <c r="C86" s="210" t="s">
        <v>183</v>
      </c>
      <c r="H86" s="199">
        <f>'Historical Data'!H135+'Historical Data'!H136</f>
        <v>-4297</v>
      </c>
      <c r="I86" s="199">
        <f>'Historical Data'!I135+'Historical Data'!I136</f>
        <v>-5083</v>
      </c>
      <c r="J86" s="199">
        <f>'Historical Data'!J135+'Historical Data'!J136</f>
        <v>-6089</v>
      </c>
      <c r="K86" s="199">
        <f>'Historical Data'!K135+'Historical Data'!K136</f>
        <v>-7180</v>
      </c>
      <c r="L86" s="199">
        <f>'Historical Data'!L135+'Historical Data'!L136</f>
        <v>-7879</v>
      </c>
      <c r="M86" s="199">
        <f>M31*-M12</f>
        <v>-7426.41809120806</v>
      </c>
      <c r="N86" s="199">
        <f>N31*-N12</f>
        <v>-9286.60546863379</v>
      </c>
      <c r="O86" s="199">
        <f>O31*-O12</f>
        <v>-11186.5430868656</v>
      </c>
      <c r="P86" s="199">
        <f>P31*-P12</f>
        <v>-12343.0440885303</v>
      </c>
      <c r="Q86" s="199">
        <f>Q31*-Q12</f>
        <v>-13456.7302470054</v>
      </c>
    </row>
    <row r="87" ht="16.5" customHeight="1" outlineLevel="1" spans="1:17">
      <c r="C87" s="210" t="s">
        <v>184</v>
      </c>
      <c r="H87" s="199">
        <f>'Historical Data'!H137</f>
        <v>-26349</v>
      </c>
      <c r="I87" s="199">
        <f>'Historical Data'!I137</f>
        <v>-21650</v>
      </c>
      <c r="J87" s="199">
        <f>'Historical Data'!J137</f>
        <v>-37173</v>
      </c>
      <c r="K87" s="199">
        <f>'Historical Data'!K137</f>
        <v>-41024</v>
      </c>
      <c r="L87" s="199">
        <f>'Historical Data'!L137</f>
        <v>-39981</v>
      </c>
      <c r="M87" s="199">
        <f>M113</f>
        <v>-26573.4586447053</v>
      </c>
      <c r="N87" s="199">
        <f>N113</f>
        <v>-13510.2596216436</v>
      </c>
      <c r="O87" s="199">
        <f>O113</f>
        <v>-447.060598581843</v>
      </c>
      <c r="P87" s="199">
        <f>P113</f>
        <v>0</v>
      </c>
      <c r="Q87" s="199">
        <f>Q113</f>
        <v>0</v>
      </c>
    </row>
    <row r="88" ht="16.5" customHeight="1" outlineLevel="1" spans="1:17">
      <c r="C88" s="211" t="s">
        <v>180</v>
      </c>
      <c r="D88" s="212"/>
      <c r="E88" s="212"/>
      <c r="F88" s="212"/>
      <c r="G88" s="212"/>
      <c r="H88" s="201">
        <f t="shared" ref="H88:Q88" si="17">SUM(H84:H87)</f>
        <v>17289</v>
      </c>
      <c r="I88" s="201">
        <f t="shared" si="17"/>
        <v>10455</v>
      </c>
      <c r="J88" s="201">
        <f t="shared" si="17"/>
        <v>-16646</v>
      </c>
      <c r="K88" s="201">
        <f t="shared" si="17"/>
        <v>-31891</v>
      </c>
      <c r="L88" s="201">
        <f t="shared" si="17"/>
        <v>-51549</v>
      </c>
      <c r="M88" s="201">
        <f t="shared" si="17"/>
        <v>-167097.876735913</v>
      </c>
      <c r="N88" s="201">
        <f t="shared" si="17"/>
        <v>-155894.865090277</v>
      </c>
      <c r="O88" s="201">
        <f t="shared" si="17"/>
        <v>-16188.6036854475</v>
      </c>
      <c r="P88" s="201">
        <f t="shared" si="17"/>
        <v>-12343.0440885303</v>
      </c>
      <c r="Q88" s="201">
        <f t="shared" si="17"/>
        <v>-13456.7302470054</v>
      </c>
    </row>
    <row r="89" ht="16.5" customHeight="1" outlineLevel="1" spans="1:17">
      <c r="C89" s="57"/>
      <c r="D89" s="57"/>
      <c r="H89" s="199"/>
      <c r="I89" s="199"/>
      <c r="J89" s="199"/>
      <c r="K89" s="199"/>
      <c r="L89" s="199"/>
      <c r="M89" s="199"/>
      <c r="N89" s="202"/>
      <c r="O89" s="202"/>
      <c r="P89" s="202"/>
      <c r="Q89" s="202"/>
    </row>
    <row r="90" ht="16.5" customHeight="1" outlineLevel="1" spans="1:17">
      <c r="B90" s="213" t="s">
        <v>185</v>
      </c>
      <c r="C90" s="57"/>
      <c r="H90" s="199">
        <f t="shared" ref="H90:Q90" si="18">SUM(H73,H81,H88)</f>
        <v>17840</v>
      </c>
      <c r="I90" s="199">
        <f t="shared" si="18"/>
        <v>34252</v>
      </c>
      <c r="J90" s="199">
        <f t="shared" si="18"/>
        <v>27841</v>
      </c>
      <c r="K90" s="199">
        <f t="shared" si="18"/>
        <v>9277</v>
      </c>
      <c r="L90" s="199">
        <f t="shared" si="18"/>
        <v>39475</v>
      </c>
      <c r="M90" s="199">
        <f t="shared" si="18"/>
        <v>-38384.8322734656</v>
      </c>
      <c r="N90" s="199">
        <f t="shared" si="18"/>
        <v>-67051.0471338536</v>
      </c>
      <c r="O90" s="199">
        <f t="shared" si="18"/>
        <v>88861.8092322802</v>
      </c>
      <c r="P90" s="199">
        <f t="shared" si="18"/>
        <v>112490.087336773</v>
      </c>
      <c r="Q90" s="199">
        <f t="shared" si="18"/>
        <v>131584.87176026</v>
      </c>
    </row>
    <row r="91" ht="16.5" customHeight="1" outlineLevel="1" spans="1:17">
      <c r="B91" s="57"/>
      <c r="C91" s="210" t="s">
        <v>186</v>
      </c>
      <c r="H91" s="199">
        <f>'Historical Data'!H141</f>
        <v>17397</v>
      </c>
      <c r="I91" s="199">
        <f>'Historical Data'!I141</f>
        <v>36178</v>
      </c>
      <c r="J91" s="199">
        <f>'Historical Data'!J141</f>
        <v>68664</v>
      </c>
      <c r="K91" s="199">
        <f>'Historical Data'!K141</f>
        <v>97225</v>
      </c>
      <c r="L91" s="199">
        <f>'Historical Data'!L141</f>
        <v>106502</v>
      </c>
      <c r="M91" s="199">
        <f>L92</f>
        <v>145977</v>
      </c>
      <c r="N91" s="199">
        <f>M92</f>
        <v>107592.167726534</v>
      </c>
      <c r="O91" s="199">
        <f>N92</f>
        <v>40541.1205926809</v>
      </c>
      <c r="P91" s="199">
        <f>O92</f>
        <v>129402.929824961</v>
      </c>
      <c r="Q91" s="199">
        <f>P92</f>
        <v>241893.017161734</v>
      </c>
    </row>
    <row r="92" ht="16.5" customHeight="1" outlineLevel="1" spans="1:17">
      <c r="B92" s="57"/>
      <c r="C92" s="211" t="s">
        <v>187</v>
      </c>
      <c r="D92" s="212"/>
      <c r="E92" s="212"/>
      <c r="F92" s="212"/>
      <c r="G92" s="212"/>
      <c r="H92" s="201">
        <f t="shared" ref="H92:Q92" si="19">SUM(H90:H91)</f>
        <v>35237</v>
      </c>
      <c r="I92" s="201">
        <f t="shared" si="19"/>
        <v>70430</v>
      </c>
      <c r="J92" s="201">
        <f t="shared" si="19"/>
        <v>96505</v>
      </c>
      <c r="K92" s="201">
        <f t="shared" si="19"/>
        <v>106502</v>
      </c>
      <c r="L92" s="201">
        <f t="shared" si="19"/>
        <v>145977</v>
      </c>
      <c r="M92" s="201">
        <f t="shared" si="19"/>
        <v>107592.167726534</v>
      </c>
      <c r="N92" s="201">
        <f t="shared" si="19"/>
        <v>40541.1205926809</v>
      </c>
      <c r="O92" s="201">
        <f t="shared" si="19"/>
        <v>129402.929824961</v>
      </c>
      <c r="P92" s="201">
        <f t="shared" si="19"/>
        <v>241893.017161734</v>
      </c>
      <c r="Q92" s="201">
        <f t="shared" si="19"/>
        <v>373477.888921994</v>
      </c>
    </row>
    <row r="93" ht="16.5" customHeight="1" spans="1:17">
      <c r="H93" s="199"/>
      <c r="I93" s="199"/>
      <c r="J93" s="199"/>
      <c r="K93" s="199"/>
      <c r="L93" s="199"/>
      <c r="M93" s="199"/>
      <c r="N93" s="202"/>
      <c r="O93" s="202"/>
      <c r="P93" s="202"/>
      <c r="Q93" s="202"/>
    </row>
    <row r="94" ht="16.5" customHeight="1" spans="1:17">
      <c r="A94" s="7" t="s">
        <v>188</v>
      </c>
      <c r="B94" s="197"/>
      <c r="C94" s="197"/>
      <c r="D94" s="197"/>
      <c r="E94" s="197"/>
      <c r="F94" s="197"/>
      <c r="G94" s="45"/>
      <c r="H94" s="214"/>
      <c r="I94" s="214"/>
      <c r="J94" s="214"/>
      <c r="K94" s="214"/>
      <c r="L94" s="214"/>
      <c r="M94" s="214"/>
      <c r="N94" s="215"/>
      <c r="O94" s="215"/>
      <c r="P94" s="215"/>
      <c r="Q94" s="215"/>
    </row>
    <row r="95" ht="16.5" customHeight="1" outlineLevel="1" spans="1:17">
      <c r="H95" s="199"/>
      <c r="I95" s="199"/>
      <c r="J95" s="199"/>
      <c r="K95" s="199"/>
      <c r="L95" s="199"/>
      <c r="M95" s="199"/>
      <c r="N95" s="202"/>
      <c r="O95" s="202"/>
      <c r="P95" s="202"/>
      <c r="Q95" s="202"/>
    </row>
    <row r="96" ht="16.5" customHeight="1" outlineLevel="1" spans="1:17">
      <c r="A96" s="10"/>
      <c r="B96" s="203" t="s">
        <v>189</v>
      </c>
      <c r="C96" s="10"/>
      <c r="D96" s="10"/>
      <c r="E96" s="10"/>
      <c r="H96" s="199"/>
      <c r="I96" s="199"/>
      <c r="J96" s="199"/>
      <c r="K96" s="199"/>
      <c r="L96" s="199"/>
      <c r="M96" s="199"/>
      <c r="N96" s="199"/>
      <c r="O96" s="199"/>
      <c r="P96" s="199"/>
      <c r="Q96" s="199"/>
    </row>
    <row r="97" ht="16.5" customHeight="1" outlineLevel="1" spans="1:19">
      <c r="A97" s="10"/>
      <c r="B97" s="10"/>
      <c r="C97" s="10" t="s">
        <v>157</v>
      </c>
      <c r="D97" s="10"/>
      <c r="E97" s="10"/>
      <c r="H97" s="199">
        <f>'Historical Data'!H106</f>
        <v>-14180</v>
      </c>
      <c r="I97" s="199">
        <f>'Historical Data'!I106</f>
        <v>13194</v>
      </c>
      <c r="J97" s="199">
        <f>'Historical Data'!J106</f>
        <v>-15674</v>
      </c>
      <c r="K97" s="199">
        <f>'Historical Data'!K106</f>
        <v>-17837</v>
      </c>
      <c r="L97" s="199">
        <f>'Historical Data'!L106</f>
        <v>-53322</v>
      </c>
      <c r="M97" s="199">
        <f>L37-M37</f>
        <v>11641.4552345252</v>
      </c>
      <c r="N97" s="199">
        <f>M37-N37</f>
        <v>-4536.85535722911</v>
      </c>
      <c r="O97" s="199">
        <f>N37-O37</f>
        <v>-4478.57923203325</v>
      </c>
      <c r="P97" s="199">
        <f>O37-P37</f>
        <v>-4382.01863070371</v>
      </c>
      <c r="Q97" s="199">
        <f>P37-Q37</f>
        <v>-4253.16761232106</v>
      </c>
    </row>
    <row r="98" ht="16.5" customHeight="1" outlineLevel="1" spans="1:19">
      <c r="A98" s="10"/>
      <c r="B98" s="10"/>
      <c r="C98" s="10" t="s">
        <v>190</v>
      </c>
      <c r="D98" s="10"/>
      <c r="E98" s="10"/>
      <c r="H98" s="199">
        <f>'Historical Data'!H108</f>
        <v>39888</v>
      </c>
      <c r="I98" s="199">
        <f>'Historical Data'!I108</f>
        <v>-600</v>
      </c>
      <c r="J98" s="199">
        <f>'Historical Data'!J108</f>
        <v>34796</v>
      </c>
      <c r="K98" s="199">
        <f>'Historical Data'!K108</f>
        <v>38427</v>
      </c>
      <c r="L98" s="199">
        <f>'Historical Data'!L108</f>
        <v>86609</v>
      </c>
      <c r="M98" s="199">
        <f>M50-L50</f>
        <v>60122.2654102238</v>
      </c>
      <c r="N98" s="199">
        <f>N50-M50</f>
        <v>21204.2444711265</v>
      </c>
      <c r="O98" s="199">
        <f>O50-N50</f>
        <v>20931.8749313936</v>
      </c>
      <c r="P98" s="199">
        <f>P50-O50</f>
        <v>20480.5723361702</v>
      </c>
      <c r="Q98" s="199">
        <f>Q50-P50</f>
        <v>19878.3515733271</v>
      </c>
    </row>
    <row r="99" ht="16.5" customHeight="1" outlineLevel="1" spans="1:19">
      <c r="A99" s="10"/>
      <c r="B99" s="10"/>
      <c r="C99" s="10" t="s">
        <v>158</v>
      </c>
      <c r="D99" s="10"/>
      <c r="E99" s="10"/>
      <c r="H99" s="199">
        <f>'Historical Data'!H107</f>
        <v>-24983</v>
      </c>
      <c r="I99" s="199">
        <f>'Historical Data'!I107</f>
        <v>-32228</v>
      </c>
      <c r="J99" s="199">
        <f>'Historical Data'!J107</f>
        <v>-12756</v>
      </c>
      <c r="K99" s="199">
        <f>'Historical Data'!K107</f>
        <v>3134</v>
      </c>
      <c r="L99" s="199">
        <f>'Historical Data'!L107</f>
        <v>-20790</v>
      </c>
      <c r="M99" s="199">
        <f>L38-M38</f>
        <v>-18445.3504516702</v>
      </c>
      <c r="N99" s="199">
        <f>M38-N38</f>
        <v>-17952.5982891435</v>
      </c>
      <c r="O99" s="199">
        <f>N38-O38</f>
        <v>-17721.9963009575</v>
      </c>
      <c r="P99" s="199">
        <f>O38-P38</f>
        <v>-17339.9004328436</v>
      </c>
      <c r="Q99" s="199">
        <f>P38-Q38</f>
        <v>-16830.0295222613</v>
      </c>
    </row>
    <row r="100" ht="16.5" customHeight="1" outlineLevel="1" spans="1:19">
      <c r="A100" s="10"/>
      <c r="B100" s="10"/>
      <c r="C100" s="10" t="s">
        <v>191</v>
      </c>
      <c r="D100" s="10"/>
      <c r="E100" s="10"/>
      <c r="H100" s="199"/>
      <c r="I100" s="199"/>
      <c r="J100" s="199"/>
      <c r="K100" s="199"/>
      <c r="L100" s="199"/>
      <c r="M100" s="199"/>
      <c r="N100" s="199"/>
      <c r="O100" s="199"/>
      <c r="P100" s="199"/>
      <c r="Q100" s="199"/>
    </row>
    <row r="101" ht="16.5" customHeight="1" outlineLevel="1" spans="1:19">
      <c r="A101" s="10"/>
      <c r="B101" s="140"/>
      <c r="C101" s="140" t="s">
        <v>192</v>
      </c>
      <c r="D101" s="140"/>
      <c r="E101" s="140"/>
      <c r="F101" s="212"/>
      <c r="G101" s="212"/>
      <c r="H101" s="201">
        <f t="shared" ref="H101:Q101" si="20">SUM(H97:H100)</f>
        <v>725</v>
      </c>
      <c r="I101" s="201">
        <f t="shared" si="20"/>
        <v>-19634</v>
      </c>
      <c r="J101" s="201">
        <f t="shared" si="20"/>
        <v>6366</v>
      </c>
      <c r="K101" s="201">
        <f t="shared" si="20"/>
        <v>23724</v>
      </c>
      <c r="L101" s="201">
        <f t="shared" si="20"/>
        <v>12497</v>
      </c>
      <c r="M101" s="201">
        <f t="shared" si="20"/>
        <v>53318.3701930788</v>
      </c>
      <c r="N101" s="201">
        <f t="shared" si="20"/>
        <v>-1285.20917524608</v>
      </c>
      <c r="O101" s="201">
        <f t="shared" si="20"/>
        <v>-1268.70060159714</v>
      </c>
      <c r="P101" s="201">
        <f t="shared" si="20"/>
        <v>-1241.34672737718</v>
      </c>
      <c r="Q101" s="201">
        <f t="shared" si="20"/>
        <v>-1204.84556125523</v>
      </c>
    </row>
    <row r="102" ht="16.5" customHeight="1" outlineLevel="1" spans="1:19">
      <c r="A102" s="10"/>
      <c r="B102" s="10"/>
      <c r="C102" s="10"/>
      <c r="D102" s="10"/>
      <c r="E102" s="10"/>
      <c r="H102" s="199"/>
      <c r="I102" s="199"/>
      <c r="J102" s="199"/>
      <c r="K102" s="199"/>
      <c r="L102" s="199"/>
      <c r="M102" s="199"/>
      <c r="N102" s="199"/>
      <c r="O102" s="199"/>
      <c r="P102" s="199"/>
      <c r="Q102" s="199"/>
    </row>
    <row r="103" ht="16.5" customHeight="1" outlineLevel="1" spans="1:19">
      <c r="A103" s="10"/>
      <c r="B103" s="203" t="s">
        <v>193</v>
      </c>
      <c r="C103" s="10"/>
      <c r="D103" s="10"/>
      <c r="E103" s="10"/>
      <c r="H103" s="199"/>
      <c r="I103" s="199"/>
      <c r="J103" s="199"/>
      <c r="K103" s="199"/>
      <c r="L103" s="199"/>
      <c r="M103" s="199"/>
      <c r="N103" s="199"/>
      <c r="O103" s="199"/>
      <c r="P103" s="199"/>
      <c r="Q103" s="199"/>
      <c r="R103" s="10"/>
      <c r="S103" s="10"/>
    </row>
    <row r="104" ht="16.5" customHeight="1" outlineLevel="1" spans="1:19">
      <c r="A104" s="10"/>
      <c r="B104" s="10"/>
      <c r="C104" s="10" t="s">
        <v>194</v>
      </c>
      <c r="D104" s="10"/>
      <c r="E104" s="10"/>
      <c r="H104" s="199"/>
      <c r="I104" s="199">
        <f t="shared" ref="I104:Q104" si="21">H107</f>
        <v>787295</v>
      </c>
      <c r="J104" s="199">
        <f t="shared" si="21"/>
        <v>805579</v>
      </c>
      <c r="K104" s="199">
        <f t="shared" si="21"/>
        <v>904397</v>
      </c>
      <c r="L104" s="199">
        <f t="shared" si="21"/>
        <v>1035923</v>
      </c>
      <c r="M104" s="199">
        <f t="shared" si="21"/>
        <v>1137288</v>
      </c>
      <c r="N104" s="199">
        <f t="shared" si="21"/>
        <v>1186188.5362947</v>
      </c>
      <c r="O104" s="199">
        <f t="shared" si="21"/>
        <v>1231769.10426961</v>
      </c>
      <c r="P104" s="199">
        <f t="shared" si="21"/>
        <v>1273097.03052377</v>
      </c>
      <c r="Q104" s="199">
        <f t="shared" si="21"/>
        <v>1309440.54143868</v>
      </c>
      <c r="R104" s="10"/>
      <c r="S104" s="10"/>
    </row>
    <row r="105" ht="16.5" customHeight="1" outlineLevel="1" spans="1:19">
      <c r="A105" s="10"/>
      <c r="B105" s="10"/>
      <c r="C105" s="10" t="s">
        <v>195</v>
      </c>
      <c r="D105" s="10"/>
      <c r="E105" s="10"/>
      <c r="H105" s="199"/>
      <c r="I105" s="199">
        <f>I107-I104-I106</f>
        <v>58587</v>
      </c>
      <c r="J105" s="199">
        <f>J107-J104-J106</f>
        <v>149650</v>
      </c>
      <c r="K105" s="199">
        <f>K107-K104-K106</f>
        <v>184662</v>
      </c>
      <c r="L105" s="199">
        <f>L107-L104-L106</f>
        <v>159053</v>
      </c>
      <c r="M105" s="199">
        <f>(M20-L20)/M16</f>
        <v>117476.739294836</v>
      </c>
      <c r="N105" s="199">
        <f>(N20-M20)/N16</f>
        <v>117105.375993078</v>
      </c>
      <c r="O105" s="199">
        <f>(O20-N20)/O16</f>
        <v>115601.151808014</v>
      </c>
      <c r="P105" s="199">
        <f>(P20-O20)/P16</f>
        <v>113108.728172158</v>
      </c>
      <c r="Q105" s="199">
        <f>(Q20-P20)/Q16</f>
        <v>109782.823825054</v>
      </c>
      <c r="R105" s="10"/>
      <c r="S105" s="10"/>
    </row>
    <row r="106" ht="16.5" customHeight="1" outlineLevel="1" spans="1:19">
      <c r="A106" s="10"/>
      <c r="B106" s="10"/>
      <c r="C106" s="10" t="s">
        <v>196</v>
      </c>
      <c r="D106" s="10"/>
      <c r="H106" s="199">
        <f>H25</f>
        <v>-29797</v>
      </c>
      <c r="I106" s="199">
        <f>I25</f>
        <v>-40303</v>
      </c>
      <c r="J106" s="199">
        <f>J25</f>
        <v>-50832</v>
      </c>
      <c r="K106" s="199">
        <f>K25</f>
        <v>-53136</v>
      </c>
      <c r="L106" s="199">
        <f>L25</f>
        <v>-57688</v>
      </c>
      <c r="M106" s="199">
        <f>M104*-M8</f>
        <v>-68576.2030001319</v>
      </c>
      <c r="N106" s="199">
        <f>N104*-N8</f>
        <v>-71524.8080181757</v>
      </c>
      <c r="O106" s="199">
        <f>O104*-O8</f>
        <v>-74273.2255538467</v>
      </c>
      <c r="P106" s="199">
        <f>P104*-P8</f>
        <v>-76765.2172572501</v>
      </c>
      <c r="Q106" s="199">
        <f>Q104*-Q8</f>
        <v>-78956.658635545</v>
      </c>
      <c r="R106" s="10"/>
      <c r="S106" s="10"/>
    </row>
    <row r="107" ht="16.5" customHeight="1" outlineLevel="1" spans="1:19">
      <c r="B107" s="140"/>
      <c r="C107" s="140" t="s">
        <v>197</v>
      </c>
      <c r="D107" s="140"/>
      <c r="E107" s="140"/>
      <c r="F107" s="212"/>
      <c r="G107" s="212"/>
      <c r="H107" s="201">
        <f>H42+H43</f>
        <v>787295</v>
      </c>
      <c r="I107" s="201">
        <f>I42+I43</f>
        <v>805579</v>
      </c>
      <c r="J107" s="201">
        <f>J42+J43</f>
        <v>904397</v>
      </c>
      <c r="K107" s="201">
        <f>K42+K43</f>
        <v>1035923</v>
      </c>
      <c r="L107" s="201">
        <f>L42+L43</f>
        <v>1137288</v>
      </c>
      <c r="M107" s="201">
        <f>SUM(M104:M106)</f>
        <v>1186188.5362947</v>
      </c>
      <c r="N107" s="201">
        <f>SUM(N104:N106)</f>
        <v>1231769.10426961</v>
      </c>
      <c r="O107" s="201">
        <f>SUM(O104:O106)</f>
        <v>1273097.03052377</v>
      </c>
      <c r="P107" s="201">
        <f>SUM(P104:P106)</f>
        <v>1309440.54143868</v>
      </c>
      <c r="Q107" s="201">
        <f>SUM(Q104:Q106)</f>
        <v>1340266.70662819</v>
      </c>
      <c r="R107" s="10"/>
      <c r="S107" s="10"/>
    </row>
    <row r="108" ht="16.5" customHeight="1" outlineLevel="1" spans="1:19">
      <c r="B108" s="10"/>
      <c r="C108" s="10"/>
      <c r="D108" s="10"/>
      <c r="H108" s="199"/>
      <c r="I108" s="199"/>
      <c r="J108" s="199"/>
      <c r="K108" s="199"/>
      <c r="L108" s="199"/>
      <c r="M108" s="199"/>
      <c r="N108" s="199"/>
      <c r="O108" s="199"/>
      <c r="P108" s="199"/>
      <c r="Q108" s="199"/>
      <c r="R108" s="10"/>
      <c r="S108" s="10"/>
    </row>
    <row r="109" ht="16.5" customHeight="1" outlineLevel="1" spans="1:19">
      <c r="B109" s="10" t="s">
        <v>198</v>
      </c>
      <c r="C109" s="10"/>
      <c r="D109" s="10"/>
      <c r="H109" s="199"/>
      <c r="I109" s="199"/>
      <c r="J109" s="199"/>
      <c r="K109" s="199"/>
      <c r="L109" s="199"/>
      <c r="M109" s="199"/>
      <c r="N109" s="199"/>
      <c r="O109" s="204"/>
      <c r="P109" s="204"/>
      <c r="Q109" s="204"/>
      <c r="R109" s="10"/>
      <c r="S109" s="10"/>
    </row>
    <row r="110" ht="16.5" customHeight="1" outlineLevel="1" spans="1:19">
      <c r="B110" s="10"/>
      <c r="C110" s="10" t="s">
        <v>194</v>
      </c>
      <c r="D110" s="10"/>
      <c r="H110" s="199"/>
      <c r="I110" s="199">
        <f t="shared" ref="I110:Q110" si="22">H112</f>
        <v>187699</v>
      </c>
      <c r="J110" s="199">
        <f t="shared" si="22"/>
        <v>183176</v>
      </c>
      <c r="K110" s="199">
        <f t="shared" si="22"/>
        <v>222712</v>
      </c>
      <c r="L110" s="199">
        <f t="shared" si="22"/>
        <v>236899</v>
      </c>
      <c r="M110" s="199">
        <f t="shared" si="22"/>
        <v>270751</v>
      </c>
      <c r="N110" s="199">
        <f t="shared" si="22"/>
        <v>137653</v>
      </c>
      <c r="O110" s="204">
        <f t="shared" si="22"/>
        <v>4555</v>
      </c>
      <c r="P110" s="204">
        <f t="shared" si="22"/>
        <v>0</v>
      </c>
      <c r="Q110" s="204">
        <f t="shared" si="22"/>
        <v>0</v>
      </c>
    </row>
    <row r="111" ht="16.5" customHeight="1" outlineLevel="1" spans="1:19">
      <c r="B111" s="10"/>
      <c r="C111" s="10" t="s">
        <v>181</v>
      </c>
      <c r="D111" s="10"/>
      <c r="H111" s="199"/>
      <c r="I111" s="199">
        <f>I112-I110</f>
        <v>-4523</v>
      </c>
      <c r="J111" s="199">
        <f>J112-J110</f>
        <v>39536</v>
      </c>
      <c r="K111" s="199">
        <f>K112-K110</f>
        <v>14187</v>
      </c>
      <c r="L111" s="199">
        <f>L112-L110</f>
        <v>33852</v>
      </c>
      <c r="M111" s="199">
        <f>-AVERAGE('Re-Payment'!H8:L8)</f>
        <v>-133098</v>
      </c>
      <c r="N111" s="199">
        <f>M111</f>
        <v>-133098</v>
      </c>
      <c r="O111" s="204">
        <f>-O110</f>
        <v>-4555</v>
      </c>
      <c r="P111" s="204">
        <v>0</v>
      </c>
      <c r="Q111" s="204">
        <v>0</v>
      </c>
    </row>
    <row r="112" ht="16.5" customHeight="1" outlineLevel="1" spans="1:19">
      <c r="B112" s="140"/>
      <c r="C112" s="140" t="s">
        <v>197</v>
      </c>
      <c r="D112" s="140"/>
      <c r="E112" s="212"/>
      <c r="F112" s="212"/>
      <c r="G112" s="212"/>
      <c r="H112" s="201">
        <f>H54</f>
        <v>187699</v>
      </c>
      <c r="I112" s="201">
        <f>I54</f>
        <v>183176</v>
      </c>
      <c r="J112" s="201">
        <f>J54</f>
        <v>222712</v>
      </c>
      <c r="K112" s="201">
        <f>K54</f>
        <v>236899</v>
      </c>
      <c r="L112" s="201">
        <f>L54</f>
        <v>270751</v>
      </c>
      <c r="M112" s="201">
        <f>SUM(M110:M111)</f>
        <v>137653</v>
      </c>
      <c r="N112" s="201">
        <f>SUM(N110:N111)</f>
        <v>4555</v>
      </c>
      <c r="O112" s="216">
        <f>SUM(O110:O111)</f>
        <v>0</v>
      </c>
      <c r="P112" s="216">
        <f>SUM(P110:P111)</f>
        <v>0</v>
      </c>
      <c r="Q112" s="216">
        <f>SUM(Q110:Q111)</f>
        <v>0</v>
      </c>
    </row>
    <row r="113" ht="16.5" customHeight="1" outlineLevel="1" spans="1:19">
      <c r="C113" s="10" t="s">
        <v>199</v>
      </c>
      <c r="H113" s="199">
        <f>H27</f>
        <v>-14584</v>
      </c>
      <c r="I113" s="199">
        <f>I27</f>
        <v>-19571</v>
      </c>
      <c r="J113" s="199">
        <f>J27</f>
        <v>-23118</v>
      </c>
      <c r="K113" s="199">
        <f>K27</f>
        <v>-24269</v>
      </c>
      <c r="L113" s="199">
        <f>L27</f>
        <v>-27061</v>
      </c>
      <c r="M113" s="199">
        <f>M110*-M9</f>
        <v>-26573.4586447053</v>
      </c>
      <c r="N113" s="199">
        <f>N110*-N9</f>
        <v>-13510.2596216436</v>
      </c>
      <c r="O113" s="204">
        <f>O110*-O9</f>
        <v>-447.060598581843</v>
      </c>
      <c r="P113" s="204">
        <f>P110*-P9</f>
        <v>0</v>
      </c>
      <c r="Q113" s="204">
        <f>Q110*-Q9</f>
        <v>0</v>
      </c>
    </row>
    <row r="114" spans="1:19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</row>
    <row r="115" ht="16.5" customHeight="1" spans="1:19">
      <c r="A115" s="217" t="s">
        <v>200</v>
      </c>
      <c r="B115" s="218"/>
      <c r="C115" s="218"/>
      <c r="D115" s="218"/>
      <c r="E115" s="218"/>
      <c r="F115" s="218"/>
      <c r="G115" s="218"/>
      <c r="H115" s="218"/>
      <c r="I115" s="218"/>
      <c r="J115" s="218"/>
      <c r="K115" s="218"/>
      <c r="L115" s="218"/>
      <c r="M115" s="218"/>
      <c r="N115" s="218"/>
      <c r="O115" s="218"/>
      <c r="P115" s="218"/>
      <c r="Q115" s="218"/>
      <c r="R115" s="219"/>
      <c r="S115" s="219"/>
    </row>
    <row r="116" ht="16.5" customHeight="1" outlineLevel="1" spans="1:19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219"/>
      <c r="S116" s="219"/>
    </row>
    <row r="117" ht="16.5" customHeight="1" outlineLevel="1" spans="1:19">
      <c r="A117" s="220"/>
      <c r="B117" s="220"/>
      <c r="C117" s="220"/>
      <c r="D117" s="220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19"/>
      <c r="S117" s="219"/>
    </row>
    <row r="118" ht="16.5" customHeight="1" outlineLevel="1" spans="1:19">
      <c r="A118" s="220"/>
      <c r="B118" s="220"/>
      <c r="C118" s="120" t="s">
        <v>201</v>
      </c>
      <c r="D118" s="97"/>
      <c r="E118" s="221"/>
      <c r="F118" s="221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19"/>
      <c r="S118" s="219"/>
    </row>
    <row r="119" ht="16.5" customHeight="1" outlineLevel="1" spans="1:19">
      <c r="A119" s="220"/>
      <c r="B119" s="220"/>
      <c r="C119" s="107" t="s">
        <v>202</v>
      </c>
      <c r="D119" s="108"/>
      <c r="E119" s="222">
        <v>46277</v>
      </c>
      <c r="F119" s="97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19"/>
      <c r="S119" s="219"/>
    </row>
    <row r="120" ht="16.5" customHeight="1" outlineLevel="1" spans="1:19">
      <c r="A120" s="220"/>
      <c r="B120" s="220"/>
      <c r="C120" s="112" t="s">
        <v>203</v>
      </c>
      <c r="D120" s="97"/>
      <c r="E120" s="223">
        <v>46112</v>
      </c>
      <c r="F120" s="97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19"/>
      <c r="S120" s="219"/>
    </row>
    <row r="121" ht="16.5" customHeight="1" outlineLevel="1" spans="1:19">
      <c r="A121" s="220"/>
      <c r="B121" s="220"/>
      <c r="C121" s="112" t="s">
        <v>204</v>
      </c>
      <c r="D121" s="97"/>
      <c r="E121" s="224">
        <f>M11</f>
        <v>0.223214001082874</v>
      </c>
      <c r="F121" s="97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19"/>
      <c r="S121" s="219"/>
    </row>
    <row r="122" ht="16.5" customHeight="1" outlineLevel="1" spans="1:19">
      <c r="A122" s="220"/>
      <c r="B122" s="220"/>
      <c r="C122" s="112" t="s">
        <v>205</v>
      </c>
      <c r="D122" s="97"/>
      <c r="E122" s="115">
        <f>Comps!N17/Comps!Q17</f>
        <v>12.9243653219632</v>
      </c>
      <c r="F122" s="97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19"/>
      <c r="S122" s="219"/>
    </row>
    <row r="123" ht="16.5" customHeight="1" outlineLevel="1" spans="1:19">
      <c r="A123" s="220"/>
      <c r="B123" s="220"/>
      <c r="C123" s="112" t="s">
        <v>206</v>
      </c>
      <c r="D123" s="97"/>
      <c r="E123" s="225">
        <v>0.05</v>
      </c>
      <c r="F123" s="97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19"/>
      <c r="S123" s="219"/>
    </row>
    <row r="124" ht="16.5" customHeight="1" outlineLevel="1" spans="1:19">
      <c r="A124" s="220"/>
      <c r="B124" s="220"/>
      <c r="C124" s="112" t="s">
        <v>207</v>
      </c>
      <c r="D124" s="97"/>
      <c r="E124" s="224">
        <f>WACC!I43</f>
        <v>0.0993930197378801</v>
      </c>
      <c r="F124" s="97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19"/>
      <c r="S124" s="219"/>
    </row>
    <row r="125" ht="16.5" customHeight="1" outlineLevel="1" spans="1:19">
      <c r="A125" s="220"/>
      <c r="B125" s="220"/>
      <c r="C125" s="112" t="s">
        <v>208</v>
      </c>
      <c r="D125" s="97"/>
      <c r="E125" s="226">
        <f>'Comps Data'!J5</f>
        <v>1353.5</v>
      </c>
      <c r="F125" s="97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19"/>
      <c r="S125" s="219"/>
    </row>
    <row r="126" ht="16.5" customHeight="1" outlineLevel="1" spans="1:19">
      <c r="A126" s="220"/>
      <c r="B126" s="220"/>
      <c r="C126" s="220"/>
      <c r="D126" s="97"/>
      <c r="E126" s="97"/>
      <c r="F126" s="220"/>
      <c r="G126" s="220"/>
      <c r="H126" s="220"/>
      <c r="I126" s="227"/>
      <c r="J126" s="227"/>
      <c r="K126" s="227"/>
      <c r="L126" s="227"/>
      <c r="M126" s="227"/>
      <c r="N126" s="220"/>
      <c r="O126" s="220"/>
      <c r="P126" s="220"/>
      <c r="Q126" s="220"/>
      <c r="R126" s="219"/>
      <c r="S126" s="219"/>
    </row>
    <row r="127" ht="16.5" customHeight="1" outlineLevel="1" spans="1:19">
      <c r="A127" s="220"/>
      <c r="B127" s="220"/>
      <c r="C127" s="220"/>
      <c r="D127" s="220"/>
      <c r="E127" s="220"/>
      <c r="F127" s="220"/>
      <c r="G127" s="220"/>
      <c r="H127" s="221"/>
      <c r="I127" s="221"/>
      <c r="J127" s="221"/>
      <c r="K127" s="221"/>
      <c r="L127" s="221"/>
      <c r="M127" s="221"/>
      <c r="N127" s="221"/>
      <c r="O127" s="220"/>
      <c r="P127" s="220"/>
      <c r="Q127" s="228"/>
      <c r="R127" s="219"/>
      <c r="S127" s="219"/>
    </row>
    <row r="128" ht="16.5" customHeight="1" outlineLevel="1" spans="1:19">
      <c r="A128" s="220"/>
      <c r="B128" s="220"/>
      <c r="C128" s="220"/>
      <c r="D128" s="120" t="s">
        <v>209</v>
      </c>
      <c r="E128" s="229"/>
      <c r="F128" s="229"/>
      <c r="G128" s="229"/>
      <c r="H128" s="230" t="s">
        <v>210</v>
      </c>
      <c r="I128" s="231">
        <f>YEAR(E119)</f>
        <v>2026</v>
      </c>
      <c r="J128" s="231">
        <f>I128+1</f>
        <v>2027</v>
      </c>
      <c r="K128" s="231">
        <f>J128+1</f>
        <v>2028</v>
      </c>
      <c r="L128" s="231">
        <f>K128+1</f>
        <v>2029</v>
      </c>
      <c r="M128" s="231">
        <f>L128+1</f>
        <v>2030</v>
      </c>
      <c r="N128" s="230" t="s">
        <v>211</v>
      </c>
      <c r="O128" s="220"/>
      <c r="P128" s="120" t="s">
        <v>212</v>
      </c>
      <c r="Q128" s="228"/>
      <c r="R128" s="219"/>
      <c r="S128" s="219"/>
    </row>
    <row r="129" ht="16.5" customHeight="1" outlineLevel="1" spans="1:19">
      <c r="A129" s="220"/>
      <c r="B129" s="220"/>
      <c r="C129" s="232"/>
      <c r="D129" s="233" t="s">
        <v>213</v>
      </c>
      <c r="E129" s="234"/>
      <c r="F129" s="234"/>
      <c r="G129" s="234"/>
      <c r="H129" s="235">
        <f>E119</f>
        <v>46277</v>
      </c>
      <c r="I129" s="235">
        <f>E120</f>
        <v>46112</v>
      </c>
      <c r="J129" s="235">
        <f>DATE(2027,3,31)</f>
        <v>46477</v>
      </c>
      <c r="K129" s="235">
        <f>DATE(2028,3,31)</f>
        <v>46843</v>
      </c>
      <c r="L129" s="235">
        <f>DATE(2029,3,31)</f>
        <v>47208</v>
      </c>
      <c r="M129" s="235">
        <f>DATE(2030,3,31)</f>
        <v>47573</v>
      </c>
      <c r="N129" s="235">
        <f>M129</f>
        <v>47573</v>
      </c>
      <c r="O129" s="220"/>
      <c r="P129" s="107" t="s">
        <v>205</v>
      </c>
      <c r="Q129" s="110">
        <f>(M133+M136)*$E$122</f>
        <v>3498488.72882862</v>
      </c>
      <c r="R129" s="219"/>
      <c r="S129" s="219"/>
    </row>
    <row r="130" ht="16.5" customHeight="1" outlineLevel="1" spans="1:19">
      <c r="A130" s="220"/>
      <c r="B130" s="220"/>
      <c r="C130" s="220"/>
      <c r="D130" s="236" t="s">
        <v>214</v>
      </c>
      <c r="E130" s="237"/>
      <c r="F130" s="237"/>
      <c r="G130" s="237"/>
      <c r="H130" s="238"/>
      <c r="I130" s="239">
        <v>0</v>
      </c>
      <c r="J130" s="239">
        <v>1</v>
      </c>
      <c r="K130" s="239">
        <v>2</v>
      </c>
      <c r="L130" s="239">
        <v>3</v>
      </c>
      <c r="M130" s="239">
        <v>4</v>
      </c>
      <c r="N130" s="238"/>
      <c r="O130" s="220"/>
      <c r="P130" s="112" t="s">
        <v>215</v>
      </c>
      <c r="Q130" s="114">
        <f>M139*(1+$E$123)/($E$124-$E$123)</f>
        <v>7203925.2299661</v>
      </c>
      <c r="R130" s="219"/>
      <c r="S130" s="219"/>
    </row>
    <row r="131" ht="16.5" customHeight="1" outlineLevel="1" spans="1:19">
      <c r="A131" s="220"/>
      <c r="B131" s="220"/>
      <c r="C131" s="220"/>
      <c r="D131" s="236" t="s">
        <v>216</v>
      </c>
      <c r="E131" s="237"/>
      <c r="F131" s="237"/>
      <c r="G131" s="237"/>
      <c r="H131" s="238"/>
      <c r="I131" s="240">
        <f>YEARFRAC(H129,I129)</f>
        <v>0.45</v>
      </c>
      <c r="J131" s="240">
        <f>YEARFRAC(I129,J129)</f>
        <v>1</v>
      </c>
      <c r="K131" s="240">
        <f>YEARFRAC(J129,K129)</f>
        <v>1</v>
      </c>
      <c r="L131" s="240">
        <f>YEARFRAC(K129,L129)</f>
        <v>1</v>
      </c>
      <c r="M131" s="240">
        <f>YEARFRAC(L129,M129)</f>
        <v>1</v>
      </c>
      <c r="N131" s="240">
        <f>M131</f>
        <v>1</v>
      </c>
      <c r="O131" s="220"/>
      <c r="P131" s="107" t="s">
        <v>217</v>
      </c>
      <c r="Q131" s="241">
        <f>AVERAGE(Q129:Q130)</f>
        <v>5351206.97939736</v>
      </c>
      <c r="R131" s="219"/>
      <c r="S131" s="219"/>
    </row>
    <row r="132" ht="16.5" customHeight="1" outlineLevel="1" spans="1:19">
      <c r="A132" s="220"/>
      <c r="B132" s="220"/>
      <c r="C132" s="220"/>
      <c r="D132" s="242"/>
      <c r="E132" s="242"/>
      <c r="F132" s="242"/>
      <c r="G132" s="242"/>
      <c r="H132" s="243"/>
      <c r="I132" s="244"/>
      <c r="J132" s="244"/>
      <c r="K132" s="244"/>
      <c r="L132" s="244"/>
      <c r="M132" s="244"/>
      <c r="N132" s="243"/>
      <c r="O132" s="220"/>
      <c r="P132" s="220"/>
      <c r="Q132" s="220"/>
      <c r="R132" s="219"/>
      <c r="S132" s="219"/>
    </row>
    <row r="133" ht="16.5" customHeight="1" outlineLevel="1" spans="1:19">
      <c r="A133" s="220"/>
      <c r="B133" s="220"/>
      <c r="C133" s="220"/>
      <c r="D133" s="245" t="s">
        <v>150</v>
      </c>
      <c r="E133" s="246"/>
      <c r="F133" s="246"/>
      <c r="G133" s="246"/>
      <c r="H133" s="247"/>
      <c r="I133" s="248">
        <f>M26</f>
        <v>128038.412949652</v>
      </c>
      <c r="J133" s="248">
        <f>N26</f>
        <v>144129.738375898</v>
      </c>
      <c r="K133" s="248">
        <f>O26</f>
        <v>160176.68246252</v>
      </c>
      <c r="L133" s="248">
        <f>P26</f>
        <v>176074.814173838</v>
      </c>
      <c r="M133" s="248">
        <f>Q26</f>
        <v>191732.744029622</v>
      </c>
      <c r="N133" s="243"/>
      <c r="O133" s="220"/>
      <c r="P133" s="220"/>
      <c r="Q133" s="220"/>
      <c r="R133" s="219"/>
      <c r="S133" s="219"/>
    </row>
    <row r="134" ht="16.5" customHeight="1" outlineLevel="1" spans="1:19">
      <c r="A134" s="220"/>
      <c r="B134" s="220"/>
      <c r="C134" s="220"/>
      <c r="D134" s="249" t="s">
        <v>218</v>
      </c>
      <c r="E134" s="242"/>
      <c r="F134" s="242"/>
      <c r="G134" s="242"/>
      <c r="H134" s="243"/>
      <c r="I134" s="250">
        <f>I133*-$E$121</f>
        <v>-28579.966446793</v>
      </c>
      <c r="J134" s="250">
        <f>J133*-$E$121</f>
        <v>-32171.7755779121</v>
      </c>
      <c r="K134" s="250">
        <f>K133*-$E$121</f>
        <v>-35753.6781726401</v>
      </c>
      <c r="L134" s="250">
        <f>L133*-$E$121</f>
        <v>-39302.363761666</v>
      </c>
      <c r="M134" s="250">
        <f>M133*-$E$121</f>
        <v>-42797.4329334505</v>
      </c>
      <c r="N134" s="243"/>
      <c r="O134" s="220"/>
      <c r="P134" s="220"/>
      <c r="Q134" s="220"/>
      <c r="R134" s="219"/>
      <c r="S134" s="219"/>
    </row>
    <row r="135" ht="16.5" customHeight="1" outlineLevel="1" spans="1:19">
      <c r="A135" s="220"/>
      <c r="B135" s="220"/>
      <c r="C135" s="232"/>
      <c r="D135" s="251" t="s">
        <v>219</v>
      </c>
      <c r="E135" s="252"/>
      <c r="F135" s="252"/>
      <c r="G135" s="252"/>
      <c r="H135" s="253"/>
      <c r="I135" s="254">
        <f>SUM(I133:I134)</f>
        <v>99458.4465028585</v>
      </c>
      <c r="J135" s="254">
        <f>SUM(J133:J134)</f>
        <v>111957.962797986</v>
      </c>
      <c r="K135" s="254">
        <f>SUM(K133:K134)</f>
        <v>124423.00428988</v>
      </c>
      <c r="L135" s="254">
        <f>SUM(L133:L134)</f>
        <v>136772.450412172</v>
      </c>
      <c r="M135" s="254">
        <f>SUM(M133:M134)</f>
        <v>148935.311096172</v>
      </c>
      <c r="N135" s="255"/>
      <c r="O135" s="220"/>
      <c r="P135" s="220"/>
      <c r="Q135" s="220"/>
      <c r="R135" s="219"/>
      <c r="S135" s="219"/>
    </row>
    <row r="136" ht="16.5" customHeight="1" outlineLevel="1" spans="1:19">
      <c r="A136" s="220"/>
      <c r="B136" s="220"/>
      <c r="C136" s="220"/>
      <c r="D136" s="249" t="s">
        <v>220</v>
      </c>
      <c r="E136" s="242"/>
      <c r="F136" s="242"/>
      <c r="G136" s="242"/>
      <c r="H136" s="243"/>
      <c r="I136" s="250">
        <f>-M25</f>
        <v>68576.2030001319</v>
      </c>
      <c r="J136" s="250">
        <f>-N25</f>
        <v>71524.8080181757</v>
      </c>
      <c r="K136" s="250">
        <f>-O25</f>
        <v>74273.2255538467</v>
      </c>
      <c r="L136" s="250">
        <f>-P25</f>
        <v>76765.2172572501</v>
      </c>
      <c r="M136" s="250">
        <f>-Q25</f>
        <v>78956.658635545</v>
      </c>
      <c r="N136" s="243"/>
      <c r="O136" s="220"/>
      <c r="P136" s="220"/>
      <c r="Q136" s="220"/>
      <c r="R136" s="219"/>
      <c r="S136" s="219"/>
    </row>
    <row r="137" ht="16.5" customHeight="1" outlineLevel="1" spans="1:19">
      <c r="A137" s="220"/>
      <c r="B137" s="220"/>
      <c r="C137" s="220"/>
      <c r="D137" s="249" t="s">
        <v>221</v>
      </c>
      <c r="E137" s="242"/>
      <c r="F137" s="242"/>
      <c r="G137" s="242"/>
      <c r="H137" s="243"/>
      <c r="I137" s="250">
        <f>-M76</f>
        <v>117476.739294836</v>
      </c>
      <c r="J137" s="250">
        <f>-N76</f>
        <v>117105.375993078</v>
      </c>
      <c r="K137" s="250">
        <f>-O76</f>
        <v>115601.151808014</v>
      </c>
      <c r="L137" s="250">
        <f>-P76</f>
        <v>113108.728172158</v>
      </c>
      <c r="M137" s="250">
        <f>-Q76</f>
        <v>109782.823825054</v>
      </c>
      <c r="N137" s="243"/>
      <c r="O137" s="220"/>
      <c r="P137" s="220"/>
      <c r="Q137" s="220"/>
      <c r="R137" s="219"/>
      <c r="S137" s="219"/>
    </row>
    <row r="138" ht="16.5" customHeight="1" outlineLevel="1" spans="1:19">
      <c r="A138" s="220"/>
      <c r="B138" s="220"/>
      <c r="C138" s="220"/>
      <c r="D138" s="249" t="s">
        <v>222</v>
      </c>
      <c r="E138" s="242"/>
      <c r="F138" s="242"/>
      <c r="G138" s="242"/>
      <c r="H138" s="243"/>
      <c r="I138" s="250">
        <f>-M71</f>
        <v>-53318.3701930788</v>
      </c>
      <c r="J138" s="250">
        <f>-N71</f>
        <v>1285.20917524608</v>
      </c>
      <c r="K138" s="250">
        <f>-O71</f>
        <v>1268.70060159714</v>
      </c>
      <c r="L138" s="250">
        <f>-P71</f>
        <v>1241.34672737718</v>
      </c>
      <c r="M138" s="250">
        <f>-Q71</f>
        <v>1204.84556125523</v>
      </c>
      <c r="N138" s="243"/>
      <c r="O138" s="220"/>
      <c r="P138" s="220"/>
      <c r="Q138" s="220"/>
      <c r="R138" s="219"/>
      <c r="S138" s="219"/>
    </row>
    <row r="139" ht="16.5" customHeight="1" outlineLevel="1" spans="1:19">
      <c r="A139" s="220"/>
      <c r="B139" s="220"/>
      <c r="C139" s="232"/>
      <c r="D139" s="251" t="s">
        <v>223</v>
      </c>
      <c r="E139" s="256"/>
      <c r="F139" s="256"/>
      <c r="G139" s="256"/>
      <c r="H139" s="255"/>
      <c r="I139" s="254">
        <f>SUM(I135:I138)</f>
        <v>232193.018604748</v>
      </c>
      <c r="J139" s="254">
        <f>SUM(J135:J138)</f>
        <v>301873.355984486</v>
      </c>
      <c r="K139" s="254">
        <f>SUM(K135:K138)</f>
        <v>315566.082253338</v>
      </c>
      <c r="L139" s="254">
        <f>SUM(L135:L138)</f>
        <v>327887.742568958</v>
      </c>
      <c r="M139" s="254">
        <f>SUM(M135:M138)</f>
        <v>338879.639118026</v>
      </c>
      <c r="N139" s="257"/>
      <c r="O139" s="220"/>
      <c r="P139" s="220"/>
      <c r="Q139" s="220"/>
      <c r="R139" s="219"/>
      <c r="S139" s="219"/>
    </row>
    <row r="140" ht="16.5" customHeight="1" outlineLevel="1" spans="1:19">
      <c r="A140" s="220"/>
      <c r="B140" s="220"/>
      <c r="C140" s="220"/>
      <c r="D140" s="242"/>
      <c r="E140" s="242"/>
      <c r="F140" s="242"/>
      <c r="G140" s="242"/>
      <c r="H140" s="243"/>
      <c r="I140" s="244"/>
      <c r="J140" s="244"/>
      <c r="K140" s="244"/>
      <c r="L140" s="244"/>
      <c r="M140" s="244"/>
      <c r="N140" s="243"/>
      <c r="O140" s="220"/>
      <c r="P140" s="220"/>
      <c r="Q140" s="220"/>
      <c r="R140" s="219"/>
      <c r="S140" s="219"/>
    </row>
    <row r="141" ht="16.5" customHeight="1" outlineLevel="1" spans="1:19">
      <c r="A141" s="220"/>
      <c r="B141" s="220"/>
      <c r="C141" s="220"/>
      <c r="D141" s="245" t="s">
        <v>224</v>
      </c>
      <c r="E141" s="246"/>
      <c r="F141" s="258"/>
      <c r="G141" s="246"/>
      <c r="H141" s="247"/>
      <c r="I141" s="248">
        <f>I139*I131</f>
        <v>104486.858372136</v>
      </c>
      <c r="J141" s="248">
        <f>J139*J131</f>
        <v>301873.355984486</v>
      </c>
      <c r="K141" s="248">
        <f>K139*K131</f>
        <v>315566.082253338</v>
      </c>
      <c r="L141" s="248">
        <f>L139*L131</f>
        <v>327887.742568958</v>
      </c>
      <c r="M141" s="248">
        <f>M139*M131</f>
        <v>338879.639118026</v>
      </c>
      <c r="N141" s="248">
        <f>Q131</f>
        <v>5351206.97939736</v>
      </c>
      <c r="O141" s="220"/>
      <c r="P141" s="220"/>
      <c r="Q141" s="220"/>
      <c r="R141" s="219"/>
      <c r="S141" s="219"/>
    </row>
    <row r="142" ht="16.5" customHeight="1" outlineLevel="1" spans="1:19">
      <c r="A142" s="220"/>
      <c r="B142" s="220"/>
      <c r="C142" s="220"/>
      <c r="D142" s="242"/>
      <c r="E142" s="242"/>
      <c r="F142" s="259"/>
      <c r="G142" s="242"/>
      <c r="H142" s="243"/>
      <c r="I142" s="243"/>
      <c r="J142" s="243"/>
      <c r="K142" s="243"/>
      <c r="L142" s="244"/>
      <c r="M142" s="243"/>
      <c r="N142" s="243"/>
      <c r="O142" s="220"/>
      <c r="P142" s="220"/>
      <c r="Q142" s="220"/>
      <c r="R142" s="219"/>
      <c r="S142" s="219"/>
    </row>
    <row r="143" ht="16.5" customHeight="1" outlineLevel="1" spans="1:19">
      <c r="A143" s="220"/>
      <c r="B143" s="220"/>
      <c r="C143" s="245" t="s">
        <v>225</v>
      </c>
      <c r="D143" s="260"/>
      <c r="E143" s="243"/>
      <c r="F143" s="259"/>
      <c r="G143" s="242"/>
      <c r="H143" s="242"/>
      <c r="I143" s="245" t="s">
        <v>226</v>
      </c>
      <c r="J143" s="242"/>
      <c r="K143" s="259"/>
      <c r="M143" s="259"/>
      <c r="N143" s="242"/>
      <c r="O143" s="220"/>
      <c r="P143" s="220"/>
      <c r="Q143" s="220"/>
      <c r="R143" s="219"/>
      <c r="S143" s="219"/>
    </row>
    <row r="144" ht="16.5" customHeight="1" outlineLevel="1" spans="1:19">
      <c r="A144" s="220"/>
      <c r="B144" s="220"/>
      <c r="C144" s="261" t="s">
        <v>227</v>
      </c>
      <c r="D144" s="262"/>
      <c r="E144" s="263">
        <f>XNPV(E124,I141:N141,I129:N129)</f>
        <v>4780763.10280808</v>
      </c>
      <c r="F144" s="108"/>
      <c r="G144" s="242"/>
      <c r="H144" s="242"/>
      <c r="I144" s="261" t="s">
        <v>228</v>
      </c>
      <c r="J144" s="256"/>
      <c r="K144" s="264">
        <v>1257.5</v>
      </c>
      <c r="M144" s="259"/>
      <c r="N144" s="242"/>
      <c r="O144" s="220"/>
      <c r="P144" s="220"/>
      <c r="Q144" s="220"/>
      <c r="R144" s="219"/>
      <c r="S144" s="219"/>
    </row>
    <row r="145" ht="16.5" customHeight="1" outlineLevel="1" spans="1:19">
      <c r="A145" s="220"/>
      <c r="B145" s="220"/>
      <c r="C145" s="249" t="s">
        <v>229</v>
      </c>
      <c r="D145" s="260"/>
      <c r="E145" s="250">
        <f>M36+M45</f>
        <v>264218.167726534</v>
      </c>
      <c r="F145" s="97"/>
      <c r="G145" s="242"/>
      <c r="H145" s="242"/>
      <c r="I145" s="249" t="s">
        <v>230</v>
      </c>
      <c r="J145" s="242"/>
      <c r="K145" s="265">
        <f>E150</f>
        <v>3345.20448506436</v>
      </c>
      <c r="M145" s="259"/>
      <c r="N145" s="242"/>
      <c r="O145" s="220"/>
      <c r="P145" s="220"/>
      <c r="Q145" s="220"/>
      <c r="R145" s="219"/>
      <c r="S145" s="219"/>
    </row>
    <row r="146" ht="16.5" customHeight="1" outlineLevel="1" spans="1:19">
      <c r="A146" s="220"/>
      <c r="B146" s="220"/>
      <c r="C146" s="249" t="s">
        <v>231</v>
      </c>
      <c r="D146" s="260"/>
      <c r="E146" s="250">
        <f>-(L54+'Historical Data'!L82)</f>
        <v>-335411</v>
      </c>
      <c r="F146" s="97"/>
      <c r="G146" s="242"/>
      <c r="H146" s="242"/>
      <c r="I146" s="249" t="s">
        <v>232</v>
      </c>
      <c r="J146" s="242"/>
      <c r="K146" s="266">
        <f>K145/K144-1</f>
        <v>1.66020237380864</v>
      </c>
      <c r="M146" s="259"/>
      <c r="N146" s="242"/>
      <c r="O146" s="220"/>
      <c r="P146" s="220"/>
      <c r="Q146" s="220"/>
      <c r="R146" s="219"/>
      <c r="S146" s="219"/>
    </row>
    <row r="147" ht="16.5" customHeight="1" outlineLevel="1" spans="1:19">
      <c r="A147" s="220"/>
      <c r="B147" s="220"/>
      <c r="C147" s="249" t="s">
        <v>233</v>
      </c>
      <c r="D147" s="260"/>
      <c r="E147" s="250">
        <f>-L61</f>
        <v>-181836</v>
      </c>
      <c r="F147" s="97"/>
      <c r="G147" s="242"/>
      <c r="H147" s="242"/>
      <c r="I147" s="242"/>
      <c r="J147" s="242"/>
      <c r="K147" s="242"/>
      <c r="L147" s="242"/>
      <c r="M147" s="242"/>
      <c r="N147" s="242"/>
      <c r="O147" s="220"/>
      <c r="P147" s="220"/>
      <c r="Q147" s="220"/>
      <c r="R147" s="219"/>
      <c r="S147" s="219"/>
    </row>
    <row r="148" ht="16.5" customHeight="1" outlineLevel="1" spans="1:19">
      <c r="A148" s="220"/>
      <c r="B148" s="220"/>
      <c r="C148" s="251" t="s">
        <v>234</v>
      </c>
      <c r="D148" s="262"/>
      <c r="E148" s="254">
        <f>SUM(E144:E147)</f>
        <v>4527734.27053462</v>
      </c>
      <c r="F148" s="108"/>
      <c r="G148" s="242"/>
      <c r="H148" s="242"/>
      <c r="I148" s="242"/>
      <c r="J148" s="242"/>
      <c r="K148" s="242"/>
      <c r="L148" s="242"/>
      <c r="M148" s="242"/>
      <c r="N148" s="242"/>
      <c r="O148" s="220"/>
      <c r="P148" s="220"/>
      <c r="Q148" s="220"/>
      <c r="R148" s="219"/>
      <c r="S148" s="219"/>
    </row>
    <row r="149" ht="16.5" customHeight="1" outlineLevel="1" spans="1:19">
      <c r="A149" s="220"/>
      <c r="B149" s="220"/>
      <c r="C149" s="242"/>
      <c r="D149" s="260"/>
      <c r="E149" s="244"/>
      <c r="F149" s="97"/>
      <c r="G149" s="242"/>
      <c r="H149" s="242"/>
      <c r="I149" s="242"/>
      <c r="J149" s="242"/>
      <c r="K149" s="242"/>
      <c r="L149" s="242"/>
      <c r="M149" s="242"/>
      <c r="N149" s="242"/>
      <c r="O149" s="220"/>
      <c r="P149" s="220"/>
      <c r="Q149" s="220"/>
      <c r="R149" s="219"/>
      <c r="S149" s="219"/>
    </row>
    <row r="150" ht="16.5" customHeight="1" outlineLevel="1" spans="1:19">
      <c r="A150" s="220"/>
      <c r="B150" s="220"/>
      <c r="C150" s="245" t="s">
        <v>235</v>
      </c>
      <c r="D150" s="260"/>
      <c r="E150" s="267">
        <f>E148/E125</f>
        <v>3345.20448506436</v>
      </c>
      <c r="F150" s="97"/>
      <c r="G150" s="242"/>
      <c r="H150" s="242"/>
      <c r="I150" s="242"/>
      <c r="J150" s="242"/>
      <c r="K150" s="242"/>
      <c r="L150" s="242"/>
      <c r="M150" s="242"/>
      <c r="N150" s="242"/>
      <c r="O150" s="220"/>
      <c r="P150" s="220"/>
      <c r="Q150" s="220"/>
      <c r="R150" s="219"/>
      <c r="S150" s="219"/>
    </row>
    <row r="151" ht="16.5" customHeight="1" spans="1:19">
      <c r="A151" s="30"/>
      <c r="B151" s="30"/>
      <c r="C151" s="30"/>
      <c r="D151" s="268"/>
      <c r="E151" s="268"/>
      <c r="F151" s="269"/>
      <c r="G151" s="270"/>
      <c r="H151" s="270"/>
      <c r="I151" s="270"/>
      <c r="J151" s="270"/>
      <c r="K151" s="270"/>
      <c r="L151" s="270"/>
      <c r="M151" s="270"/>
      <c r="N151" s="270"/>
      <c r="O151" s="30"/>
      <c r="P151" s="30"/>
      <c r="Q151" s="30"/>
      <c r="R151" s="219"/>
      <c r="S151" s="219"/>
    </row>
    <row r="152" ht="16.5" customHeight="1" spans="1:19">
      <c r="A152" s="271" t="s">
        <v>236</v>
      </c>
      <c r="B152" s="218"/>
      <c r="C152" s="218"/>
      <c r="D152" s="218"/>
      <c r="E152" s="218"/>
      <c r="F152" s="272"/>
      <c r="G152" s="218"/>
      <c r="H152" s="218"/>
      <c r="I152" s="218"/>
      <c r="J152" s="218"/>
      <c r="K152" s="218"/>
      <c r="L152" s="218"/>
      <c r="M152" s="218"/>
      <c r="N152" s="218"/>
      <c r="O152" s="218"/>
      <c r="P152" s="218"/>
      <c r="Q152" s="218"/>
      <c r="R152" s="219"/>
      <c r="S152" s="219"/>
    </row>
    <row r="153" ht="16.5" customHeight="1" outlineLevel="1" spans="1:19">
      <c r="A153" s="30"/>
      <c r="B153" s="30"/>
      <c r="C153" s="30"/>
      <c r="D153" s="30"/>
      <c r="E153" s="30"/>
      <c r="F153" s="273"/>
      <c r="G153" s="30"/>
      <c r="H153" s="30"/>
      <c r="I153" s="30"/>
      <c r="J153" s="30"/>
      <c r="K153" s="274"/>
      <c r="L153" s="30"/>
      <c r="M153" s="30"/>
      <c r="N153" s="30"/>
      <c r="O153" s="30"/>
      <c r="P153" s="30"/>
      <c r="Q153" s="30"/>
      <c r="R153" s="219"/>
      <c r="S153" s="219"/>
    </row>
    <row r="154" ht="16.5" customHeight="1" outlineLevel="1" spans="1:19">
      <c r="A154" s="30"/>
      <c r="B154" s="275"/>
      <c r="C154" s="275"/>
      <c r="D154" s="275"/>
      <c r="E154" s="275"/>
      <c r="F154" s="276"/>
      <c r="G154" s="30"/>
      <c r="H154" s="30"/>
      <c r="I154" s="277" t="s">
        <v>237</v>
      </c>
      <c r="J154" s="278"/>
      <c r="K154" s="279"/>
      <c r="L154" s="279"/>
      <c r="M154" s="279"/>
      <c r="N154" s="279"/>
      <c r="O154" s="278"/>
      <c r="P154" s="278"/>
      <c r="Q154" s="30"/>
      <c r="R154" s="219"/>
      <c r="S154" s="219"/>
    </row>
    <row r="155" ht="16.5" customHeight="1" outlineLevel="1" spans="1:19">
      <c r="A155" s="30"/>
      <c r="B155" s="275"/>
      <c r="C155" s="275"/>
      <c r="D155" s="275"/>
      <c r="E155" s="275"/>
      <c r="F155" s="276"/>
      <c r="G155" s="30"/>
      <c r="H155" s="30"/>
      <c r="I155" s="274"/>
      <c r="J155" s="280"/>
      <c r="K155" s="281"/>
      <c r="L155" s="281"/>
      <c r="M155" s="281"/>
      <c r="N155" s="281"/>
      <c r="O155" s="281"/>
      <c r="P155" s="30"/>
      <c r="Q155" s="30"/>
      <c r="R155" s="219"/>
      <c r="S155" s="219"/>
    </row>
    <row r="156" ht="16.5" customHeight="1" outlineLevel="1" spans="1:19">
      <c r="A156" s="30"/>
      <c r="B156" s="275"/>
      <c r="C156" s="275"/>
      <c r="D156" s="275"/>
      <c r="E156" s="275"/>
      <c r="F156" s="276"/>
      <c r="G156" s="30"/>
      <c r="H156" s="30"/>
      <c r="I156" s="30"/>
      <c r="J156" s="280"/>
      <c r="K156" s="281"/>
      <c r="L156" s="281"/>
      <c r="M156" s="281"/>
      <c r="N156" s="281"/>
      <c r="O156" s="281"/>
      <c r="P156" s="30"/>
      <c r="Q156" s="30"/>
      <c r="R156" s="219"/>
      <c r="S156" s="219"/>
    </row>
    <row r="157" ht="16.5" customHeight="1" outlineLevel="1" spans="1:19">
      <c r="A157" s="30"/>
      <c r="B157" s="275"/>
      <c r="C157" s="275"/>
      <c r="D157" s="275"/>
      <c r="E157" s="275"/>
      <c r="F157" s="282"/>
      <c r="G157" s="30"/>
      <c r="H157" s="30"/>
      <c r="I157" s="283" t="s">
        <v>207</v>
      </c>
      <c r="J157" s="280"/>
      <c r="K157" s="284" t="s">
        <v>238</v>
      </c>
      <c r="P157" s="30"/>
      <c r="Q157" s="30"/>
      <c r="R157" s="219"/>
      <c r="S157" s="219"/>
    </row>
    <row r="158" ht="16.5" customHeight="1" outlineLevel="1" spans="1:19">
      <c r="A158" s="30"/>
      <c r="B158" s="275"/>
      <c r="C158" s="275"/>
      <c r="D158" s="275"/>
      <c r="E158" s="275"/>
      <c r="F158" s="282"/>
      <c r="G158" s="30"/>
      <c r="H158" s="30"/>
      <c r="J158" s="285">
        <f>E150</f>
        <v>3345.20448506436</v>
      </c>
      <c r="K158" s="286">
        <f>$E$122+(-5)</f>
        <v>7.92436532196324</v>
      </c>
      <c r="L158" s="286">
        <f>$E$122+(-2.5)</f>
        <v>10.4243653219632</v>
      </c>
      <c r="M158" s="286">
        <f>E122</f>
        <v>12.9243653219632</v>
      </c>
      <c r="N158" s="286">
        <f>$E$122+(2.5)</f>
        <v>15.4243653219632</v>
      </c>
      <c r="O158" s="286">
        <f>$E$122+(5)</f>
        <v>17.9243653219632</v>
      </c>
      <c r="P158" s="30"/>
      <c r="Q158" s="30"/>
      <c r="R158" s="219"/>
      <c r="S158" s="219"/>
    </row>
    <row r="159" ht="16.5" customHeight="1" outlineLevel="1" spans="1:19">
      <c r="A159" s="30"/>
      <c r="B159" s="275"/>
      <c r="C159" s="275"/>
      <c r="D159" s="275"/>
      <c r="E159" s="275"/>
      <c r="F159" s="275"/>
      <c r="G159" s="30"/>
      <c r="H159" s="30"/>
      <c r="J159" s="287">
        <f>$E$124+(-0.02)</f>
        <v>0.0793930197378801</v>
      </c>
      <c r="K159" s="288">
        <f>($I$141+$J$141/(1+$J159)^(($J$129-$I$129)/365)+$K$141/(1+$J159)^(($K$129-$I$129)/365)+$L$141/(1+$J159)^(($L$129-$I$129)/365)+$M$141/(1+$J159)^(($M$129-$I$129)/365)+(((($M$133+$M$136)*K$158)+$Q$130)/2)/(1+$J159)^(($N$129-$I$129)/365)+$E$145+$E$146+$E$147)/$E$125</f>
        <v>3217.65000288749</v>
      </c>
      <c r="L159" s="289">
        <f>($I$141+$J$141/(1+$J159)^(($J$129-$I$129)/365)+$K$141/(1+$J159)^(($K$129-$I$129)/365)+$L$141/(1+$J159)^(($L$129-$I$129)/365)+$M$141/(1+$J159)^(($M$129-$I$129)/365)+(((($M$133+$M$136)*L$158)+$Q$130)/2)/(1+$J159)^(($N$129-$I$129)/365)+$E$145+$E$146+$E$147)/$E$125</f>
        <v>3401.77539414055</v>
      </c>
      <c r="M159" s="289">
        <f>($I$141+$J$141/(1+$J159)^(($J$129-$I$129)/365)+$K$141/(1+$J159)^(($K$129-$I$129)/365)+$L$141/(1+$J159)^(($L$129-$I$129)/365)+$M$141/(1+$J159)^(($M$129-$I$129)/365)+(((($M$133+$M$136)*M$158)+$Q$130)/2)/(1+$J159)^(($N$129-$I$129)/365)+$E$145+$E$146+$E$147)/$E$125</f>
        <v>3585.90078539362</v>
      </c>
      <c r="N159" s="289">
        <f>($I$141+$J$141/(1+$J159)^(($J$129-$I$129)/365)+$K$141/(1+$J159)^(($K$129-$I$129)/365)+$L$141/(1+$J159)^(($L$129-$I$129)/365)+$M$141/(1+$J159)^(($M$129-$I$129)/365)+(((($M$133+$M$136)*N$158)+$Q$130)/2)/(1+$J159)^(($N$129-$I$129)/365)+$E$145+$E$146+$E$147)/$E$125</f>
        <v>3770.02617664669</v>
      </c>
      <c r="O159" s="289">
        <f>($I$141+$J$141/(1+$J159)^(($J$129-$I$129)/365)+$K$141/(1+$J159)^(($K$129-$I$129)/365)+$L$141/(1+$J159)^(($L$129-$I$129)/365)+$M$141/(1+$J159)^(($M$129-$I$129)/365)+(((($M$133+$M$136)*O$158)+$Q$130)/2)/(1+$J159)^(($N$129-$I$129)/365)+$E$145+$E$146+$E$147)/$E$125</f>
        <v>3954.15156789976</v>
      </c>
      <c r="P159" s="30"/>
      <c r="Q159" s="30"/>
      <c r="R159" s="219"/>
      <c r="S159" s="219"/>
    </row>
    <row r="160" ht="16.5" customHeight="1" outlineLevel="1" spans="1:19">
      <c r="A160" s="30"/>
      <c r="B160" s="275"/>
      <c r="C160" s="275"/>
      <c r="D160" s="275"/>
      <c r="E160" s="275"/>
      <c r="F160" s="275"/>
      <c r="G160" s="30"/>
      <c r="H160" s="30"/>
      <c r="J160" s="287">
        <f>$E$124+(-0.01)</f>
        <v>0.0893930197378801</v>
      </c>
      <c r="K160" s="290">
        <f>($I$141+$J$141/(1+$J160)^(($J$129-$I$129)/365)+$K$141/(1+$J160)^(($K$129-$I$129)/365)+$L$141/(1+$J160)^(($L$129-$I$129)/365)+$M$141/(1+$J160)^(($M$129-$I$129)/365)+(((($M$133+$M$136)*K$158)+$Q$130)/2)/(1+$J160)^(($N$129-$I$129)/365)+$E$145+$E$146+$E$147)/$E$125</f>
        <v>3107.9668543617</v>
      </c>
      <c r="L160" s="291">
        <f>($I$141+$J$141/(1+$J160)^(($J$129-$I$129)/365)+$K$141/(1+$J160)^(($K$129-$I$129)/365)+$L$141/(1+$J160)^(($L$129-$I$129)/365)+$M$141/(1+$J160)^(($M$129-$I$129)/365)+(((($M$133+$M$136)*L$158)+$Q$130)/2)/(1+$J160)^(($N$129-$I$129)/365)+$E$145+$E$146+$E$147)/$E$125</f>
        <v>3285.4196224027</v>
      </c>
      <c r="M160" s="291">
        <f>($I$141+$J$141/(1+$J160)^(($J$129-$I$129)/365)+$K$141/(1+$J160)^(($K$129-$I$129)/365)+$L$141/(1+$J160)^(($L$129-$I$129)/365)+$M$141/(1+$J160)^(($M$129-$I$129)/365)+(((($M$133+$M$136)*M$158)+$Q$130)/2)/(1+$J160)^(($N$129-$I$129)/365)+$E$145+$E$146+$E$147)/$E$125</f>
        <v>3462.8723904437</v>
      </c>
      <c r="N160" s="291">
        <f>($I$141+$J$141/(1+$J160)^(($J$129-$I$129)/365)+$K$141/(1+$J160)^(($K$129-$I$129)/365)+$L$141/(1+$J160)^(($L$129-$I$129)/365)+$M$141/(1+$J160)^(($M$129-$I$129)/365)+(((($M$133+$M$136)*N$158)+$Q$130)/2)/(1+$J160)^(($N$129-$I$129)/365)+$E$145+$E$146+$E$147)/$E$125</f>
        <v>3640.3251584847</v>
      </c>
      <c r="O160" s="292">
        <f>($I$141+$J$141/(1+$J160)^(($J$129-$I$129)/365)+$K$141/(1+$J160)^(($K$129-$I$129)/365)+$L$141/(1+$J160)^(($L$129-$I$129)/365)+$M$141/(1+$J160)^(($M$129-$I$129)/365)+(((($M$133+$M$136)*O$158)+$Q$130)/2)/(1+$J160)^(($N$129-$I$129)/365)+$E$145+$E$146+$E$147)/$E$125</f>
        <v>3817.7779265257</v>
      </c>
      <c r="P160" s="30"/>
      <c r="Q160" s="30"/>
      <c r="R160" s="219"/>
      <c r="S160" s="219"/>
    </row>
    <row r="161" ht="16.5" customHeight="1" outlineLevel="1" spans="1:19">
      <c r="A161" s="30"/>
      <c r="B161" s="275"/>
      <c r="C161" s="275"/>
      <c r="D161" s="275"/>
      <c r="E161" s="275"/>
      <c r="F161" s="282"/>
      <c r="G161" s="30"/>
      <c r="H161" s="30"/>
      <c r="J161" s="287">
        <f>E124</f>
        <v>0.0993930197378801</v>
      </c>
      <c r="K161" s="290">
        <f>($I$141+$J$141/(1+$J161)^(($J$129-$I$129)/365)+$K$141/(1+$J161)^(($K$129-$I$129)/365)+$L$141/(1+$J161)^(($L$129-$I$129)/365)+$M$141/(1+$J161)^(($M$129-$I$129)/365)+(((($M$133+$M$136)*K$158)+$Q$130)/2)/(1+$J161)^(($N$129-$I$129)/365)+$E$145+$E$146+$E$147)/$E$125</f>
        <v>3003.04518129461</v>
      </c>
      <c r="L161" s="291">
        <f>($I$141+$J$141/(1+$J161)^(($J$129-$I$129)/365)+$K$141/(1+$J161)^(($K$129-$I$129)/365)+$L$141/(1+$J161)^(($L$129-$I$129)/365)+$M$141/(1+$J161)^(($M$129-$I$129)/365)+(((($M$133+$M$136)*L$158)+$Q$130)/2)/(1+$J161)^(($N$129-$I$129)/365)+$E$145+$E$146+$E$147)/$E$125</f>
        <v>3174.12483317949</v>
      </c>
      <c r="M161" s="293">
        <f>($I$141+$J$141/(1+$J161)^(($J$129-$I$129)/365)+$K$141/(1+$J161)^(($K$129-$I$129)/365)+$L$141/(1+$J161)^(($L$129-$I$129)/365)+$M$141/(1+$J161)^(($M$129-$I$129)/365)+(((($M$133+$M$136)*M$158)+$Q$130)/2)/(1+$J161)^(($N$129-$I$129)/365)+$E$145+$E$146+$E$147)/$E$125</f>
        <v>3345.20448506436</v>
      </c>
      <c r="N161" s="291">
        <f>($I$141+$J$141/(1+$J161)^(($J$129-$I$129)/365)+$K$141/(1+$J161)^(($K$129-$I$129)/365)+$L$141/(1+$J161)^(($L$129-$I$129)/365)+$M$141/(1+$J161)^(($M$129-$I$129)/365)+(((($M$133+$M$136)*N$158)+$Q$130)/2)/(1+$J161)^(($N$129-$I$129)/365)+$E$145+$E$146+$E$147)/$E$125</f>
        <v>3516.28413694924</v>
      </c>
      <c r="O161" s="292">
        <f>($I$141+$J$141/(1+$J161)^(($J$129-$I$129)/365)+$K$141/(1+$J161)^(($K$129-$I$129)/365)+$L$141/(1+$J161)^(($L$129-$I$129)/365)+$M$141/(1+$J161)^(($M$129-$I$129)/365)+(((($M$133+$M$136)*O$158)+$Q$130)/2)/(1+$J161)^(($N$129-$I$129)/365)+$E$145+$E$146+$E$147)/$E$125</f>
        <v>3687.36378883412</v>
      </c>
      <c r="P161" s="30"/>
      <c r="Q161" s="30"/>
      <c r="R161" s="219"/>
      <c r="S161" s="219"/>
    </row>
    <row r="162" ht="16.5" customHeight="1" outlineLevel="1" spans="1:19">
      <c r="A162" s="30"/>
      <c r="B162" s="275"/>
      <c r="C162" s="275"/>
      <c r="D162" s="275"/>
      <c r="E162" s="275"/>
      <c r="F162" s="282"/>
      <c r="G162" s="30"/>
      <c r="H162" s="30"/>
      <c r="J162" s="287">
        <f>$E$124+(0.01)</f>
        <v>0.10939301973788</v>
      </c>
      <c r="K162" s="290">
        <f>($I$141+$J$141/(1+$J162)^(($J$129-$I$129)/365)+$K$141/(1+$J162)^(($K$129-$I$129)/365)+$L$141/(1+$J162)^(($L$129-$I$129)/365)+$M$141/(1+$J162)^(($M$129-$I$129)/365)+(((($M$133+$M$136)*K$158)+$Q$130)/2)/(1+$J162)^(($N$129-$I$129)/365)+$E$145+$E$146+$E$147)/$E$125</f>
        <v>2902.63512053905</v>
      </c>
      <c r="L162" s="291">
        <f>($I$141+$J$141/(1+$J162)^(($J$129-$I$129)/365)+$K$141/(1+$J162)^(($K$129-$I$129)/365)+$L$141/(1+$J162)^(($L$129-$I$129)/365)+$M$141/(1+$J162)^(($M$129-$I$129)/365)+(((($M$133+$M$136)*L$158)+$Q$130)/2)/(1+$J162)^(($N$129-$I$129)/365)+$E$145+$E$146+$E$147)/$E$125</f>
        <v>3067.62517616467</v>
      </c>
      <c r="M162" s="291">
        <f>($I$141+$J$141/(1+$J162)^(($J$129-$I$129)/365)+$K$141/(1+$J162)^(($K$129-$I$129)/365)+$L$141/(1+$J162)^(($L$129-$I$129)/365)+$M$141/(1+$J162)^(($M$129-$I$129)/365)+(((($M$133+$M$136)*M$158)+$Q$130)/2)/(1+$J162)^(($N$129-$I$129)/365)+$E$145+$E$146+$E$147)/$E$125</f>
        <v>3232.61523179028</v>
      </c>
      <c r="N162" s="291">
        <f>($I$141+$J$141/(1+$J162)^(($J$129-$I$129)/365)+$K$141/(1+$J162)^(($K$129-$I$129)/365)+$L$141/(1+$J162)^(($L$129-$I$129)/365)+$M$141/(1+$J162)^(($M$129-$I$129)/365)+(((($M$133+$M$136)*N$158)+$Q$130)/2)/(1+$J162)^(($N$129-$I$129)/365)+$E$145+$E$146+$E$147)/$E$125</f>
        <v>3397.6052874159</v>
      </c>
      <c r="O162" s="292">
        <f>($I$141+$J$141/(1+$J162)^(($J$129-$I$129)/365)+$K$141/(1+$J162)^(($K$129-$I$129)/365)+$L$141/(1+$J162)^(($L$129-$I$129)/365)+$M$141/(1+$J162)^(($M$129-$I$129)/365)+(((($M$133+$M$136)*O$158)+$Q$130)/2)/(1+$J162)^(($N$129-$I$129)/365)+$E$145+$E$146+$E$147)/$E$125</f>
        <v>3562.59534304152</v>
      </c>
      <c r="P162" s="30"/>
      <c r="Q162" s="30"/>
      <c r="R162" s="219"/>
      <c r="S162" s="219"/>
    </row>
    <row r="163" ht="16.5" customHeight="1" outlineLevel="1" spans="1:19">
      <c r="A163" s="30"/>
      <c r="B163" s="275"/>
      <c r="C163" s="275"/>
      <c r="D163" s="275"/>
      <c r="E163" s="275"/>
      <c r="F163" s="294"/>
      <c r="G163" s="30"/>
      <c r="H163" s="30"/>
      <c r="J163" s="287">
        <f>$E$124+(0.02)</f>
        <v>0.11939301973788</v>
      </c>
      <c r="K163" s="290">
        <f>($I$141+$J$141/(1+$J163)^(($J$129-$I$129)/365)+$K$141/(1+$J163)^(($K$129-$I$129)/365)+$L$141/(1+$J163)^(($L$129-$I$129)/365)+$M$141/(1+$J163)^(($M$129-$I$129)/365)+(((($M$133+$M$136)*K$158)+$Q$130)/2)/(1+$J163)^(($N$129-$I$129)/365)+$E$145+$E$146+$E$147)/$E$125</f>
        <v>2806.50207205539</v>
      </c>
      <c r="L163" s="292">
        <f>($I$141+$J$141/(1+$J163)^(($J$129-$I$129)/365)+$K$141/(1+$J163)^(($K$129-$I$129)/365)+$L$141/(1+$J163)^(($L$129-$I$129)/365)+$M$141/(1+$J163)^(($M$129-$I$129)/365)+(((($M$133+$M$136)*L$158)+$Q$130)/2)/(1+$J163)^(($N$129-$I$129)/365)+$E$145+$E$146+$E$147)/$E$125</f>
        <v>2965.67105089504</v>
      </c>
      <c r="M163" s="292">
        <f>($I$141+$J$141/(1+$J163)^(($J$129-$I$129)/365)+$K$141/(1+$J163)^(($K$129-$I$129)/365)+$L$141/(1+$J163)^(($L$129-$I$129)/365)+$M$141/(1+$J163)^(($M$129-$I$129)/365)+(((($M$133+$M$136)*M$158)+$Q$130)/2)/(1+$J163)^(($N$129-$I$129)/365)+$E$145+$E$146+$E$147)/$E$125</f>
        <v>3124.84002973468</v>
      </c>
      <c r="N163" s="292">
        <f>($I$141+$J$141/(1+$J163)^(($J$129-$I$129)/365)+$K$141/(1+$J163)^(($K$129-$I$129)/365)+$L$141/(1+$J163)^(($L$129-$I$129)/365)+$M$141/(1+$J163)^(($M$129-$I$129)/365)+(((($M$133+$M$136)*N$158)+$Q$130)/2)/(1+$J163)^(($N$129-$I$129)/365)+$E$145+$E$146+$E$147)/$E$125</f>
        <v>3284.00900857433</v>
      </c>
      <c r="O163" s="292">
        <f>($I$141+$J$141/(1+$J163)^(($J$129-$I$129)/365)+$K$141/(1+$J163)^(($K$129-$I$129)/365)+$L$141/(1+$J163)^(($L$129-$I$129)/365)+$M$141/(1+$J163)^(($M$129-$I$129)/365)+(((($M$133+$M$136)*O$158)+$Q$130)/2)/(1+$J163)^(($N$129-$I$129)/365)+$E$145+$E$146+$E$147)/$E$125</f>
        <v>3443.17798741397</v>
      </c>
      <c r="P163" s="30"/>
      <c r="Q163" s="30"/>
      <c r="R163" s="219"/>
      <c r="S163" s="219"/>
    </row>
    <row r="164" ht="16.5" customHeight="1" outlineLevel="1" spans="1:19">
      <c r="A164" s="30"/>
      <c r="B164" s="275"/>
      <c r="C164" s="275"/>
      <c r="D164" s="275"/>
      <c r="E164" s="275"/>
      <c r="F164" s="275"/>
      <c r="G164" s="30"/>
      <c r="H164" s="30"/>
      <c r="I164" s="274"/>
      <c r="J164" s="280"/>
      <c r="K164" s="281"/>
      <c r="L164" s="281"/>
      <c r="M164" s="281"/>
      <c r="N164" s="281"/>
      <c r="O164" s="281"/>
      <c r="P164" s="30"/>
      <c r="Q164" s="30"/>
      <c r="R164" s="219"/>
      <c r="S164" s="219"/>
    </row>
    <row r="165" ht="16.5" customHeight="1" outlineLevel="1" spans="1:19">
      <c r="A165" s="30"/>
      <c r="B165" s="275"/>
      <c r="C165" s="275"/>
      <c r="D165" s="275"/>
      <c r="E165" s="275"/>
      <c r="F165" s="275"/>
      <c r="G165" s="30"/>
      <c r="H165" s="30"/>
      <c r="I165" s="30"/>
      <c r="J165" s="280"/>
      <c r="K165" s="281"/>
      <c r="L165" s="281"/>
      <c r="M165" s="281"/>
      <c r="N165" s="281"/>
      <c r="O165" s="281"/>
      <c r="P165" s="30"/>
      <c r="Q165" s="30"/>
      <c r="R165" s="219"/>
      <c r="S165" s="219"/>
    </row>
    <row r="166" ht="16.5" customHeight="1" outlineLevel="1" spans="1:19">
      <c r="A166" s="30"/>
      <c r="B166" s="275"/>
      <c r="C166" s="275"/>
      <c r="D166" s="275"/>
      <c r="E166" s="275"/>
      <c r="F166" s="275"/>
      <c r="G166" s="30"/>
      <c r="H166" s="30"/>
      <c r="I166" s="30"/>
      <c r="J166" s="280"/>
      <c r="K166" s="281"/>
      <c r="L166" s="281"/>
      <c r="M166" s="281"/>
      <c r="N166" s="281"/>
      <c r="O166" s="281"/>
      <c r="P166" s="30"/>
      <c r="Q166" s="30"/>
      <c r="R166" s="219"/>
      <c r="S166" s="219"/>
    </row>
    <row r="167" ht="16.5" customHeight="1" outlineLevel="1" spans="1:19">
      <c r="A167" s="30"/>
      <c r="B167" s="275"/>
      <c r="C167" s="275"/>
      <c r="D167" s="275"/>
      <c r="E167" s="275"/>
      <c r="F167" s="275"/>
      <c r="G167" s="30"/>
      <c r="H167" s="30"/>
      <c r="I167" s="283" t="s">
        <v>207</v>
      </c>
      <c r="J167" s="280"/>
      <c r="K167" s="284" t="s">
        <v>239</v>
      </c>
      <c r="P167" s="30"/>
      <c r="Q167" s="30"/>
      <c r="R167" s="219"/>
      <c r="S167" s="219"/>
    </row>
    <row r="168" ht="16.5" customHeight="1" outlineLevel="1" spans="1:19">
      <c r="A168" s="30"/>
      <c r="B168" s="275"/>
      <c r="C168" s="275"/>
      <c r="D168" s="275"/>
      <c r="E168" s="275"/>
      <c r="F168" s="275"/>
      <c r="G168" s="30"/>
      <c r="H168" s="30"/>
      <c r="J168" s="295">
        <f>E150</f>
        <v>3345.20448506436</v>
      </c>
      <c r="K168" s="296">
        <f>$E$123+(-0.02)</f>
        <v>0.03</v>
      </c>
      <c r="L168" s="296">
        <f>$E$123+(-0.01)</f>
        <v>0.04</v>
      </c>
      <c r="M168" s="296">
        <f>E123</f>
        <v>0.05</v>
      </c>
      <c r="N168" s="296">
        <f>$E$123+(0.01)</f>
        <v>0.06</v>
      </c>
      <c r="O168" s="296">
        <f>$E$123+(0.02)</f>
        <v>0.07</v>
      </c>
      <c r="P168" s="30"/>
      <c r="Q168" s="30"/>
      <c r="R168" s="219"/>
      <c r="S168" s="219"/>
    </row>
    <row r="169" ht="16.5" customHeight="1" outlineLevel="1" spans="1:19">
      <c r="A169" s="30"/>
      <c r="B169" s="275"/>
      <c r="C169" s="275"/>
      <c r="D169" s="275"/>
      <c r="E169" s="275"/>
      <c r="F169" s="275"/>
      <c r="G169" s="30"/>
      <c r="H169" s="30"/>
      <c r="J169" s="287">
        <f>$E$124+(-0.02)</f>
        <v>0.0793930197378801</v>
      </c>
      <c r="K169" s="288">
        <f>($I$141+$J$141/(1+$J169)^(($J$129-$I$129)/365)+$K$141/(1+$J169)^(($K$129-$I$129)/365)+$L$141/(1+$J169)^(($L$129-$I$129)/365)+$M$141/(1+$J169)^(($M$129-$I$129)/365)+($Q$129+($M$139*(1+K$168)/($J169-K$168)))/2/(1+$J169)^(($N$129-$I$129)/365)+$E$145+$E$146+$E$147)/$E$125</f>
        <v>3548.56611569215</v>
      </c>
      <c r="L169" s="289">
        <f>($I$141+$J$141/(1+$J169)^(($J$129-$I$129)/365)+$K$141/(1+$J169)^(($K$129-$I$129)/365)+$L$141/(1+$J169)^(($L$129-$I$129)/365)+$M$141/(1+$J169)^(($M$129-$I$129)/365)+($Q$129+($M$139*(1+L$168)/($J169-L$168)))/2/(1+$J169)^(($N$129-$I$129)/365)+$E$145+$E$146+$E$147)/$E$125</f>
        <v>4060.06259575559</v>
      </c>
      <c r="M169" s="289">
        <f>($I$141+$J$141/(1+$J169)^(($J$129-$I$129)/365)+$K$141/(1+$J169)^(($K$129-$I$129)/365)+$L$141/(1+$J169)^(($L$129-$I$129)/365)+$M$141/(1+$J169)^(($M$129-$I$129)/365)+($Q$129+($M$139*(1+M$168)/($J169-M$168)))/2/(1+$J169)^(($N$129-$I$129)/365)+$E$145+$E$146+$E$147)/$E$125</f>
        <v>4919.59849784836</v>
      </c>
      <c r="N169" s="289">
        <f>($I$141+$J$141/(1+$J169)^(($J$129-$I$129)/365)+$K$141/(1+$J169)^(($K$129-$I$129)/365)+$L$141/(1+$J169)^(($L$129-$I$129)/365)+$M$141/(1+$J169)^(($M$129-$I$129)/365)+($Q$129+($M$139*(1+N$168)/($J169-N$168)))/2/(1+$J169)^(($N$129-$I$129)/365)+$E$145+$E$146+$E$147)/$E$125</f>
        <v>6665.57283367703</v>
      </c>
      <c r="O169" s="289">
        <f>($I$141+$J$141/(1+$J169)^(($J$129-$I$129)/365)+$K$141/(1+$J169)^(($K$129-$I$129)/365)+$L$141/(1+$J169)^(($L$129-$I$129)/365)+$M$141/(1+$J169)^(($M$129-$I$129)/365)+($Q$129+($M$139*(1+O$168)/($J169-O$168)))/2/(1+$J169)^(($N$129-$I$129)/365)+$E$145+$E$146+$E$147)/$E$125</f>
        <v>12129.1468010438</v>
      </c>
      <c r="P169" s="30"/>
      <c r="Q169" s="30"/>
      <c r="R169" s="219"/>
      <c r="S169" s="219"/>
    </row>
    <row r="170" ht="16.5" customHeight="1" outlineLevel="1" spans="1:19">
      <c r="A170" s="30"/>
      <c r="B170" s="275"/>
      <c r="C170" s="275"/>
      <c r="D170" s="275"/>
      <c r="E170" s="275"/>
      <c r="F170" s="275"/>
      <c r="G170" s="30"/>
      <c r="H170" s="30"/>
      <c r="J170" s="287">
        <f>$E$124+(-0.01)</f>
        <v>0.0893930197378801</v>
      </c>
      <c r="K170" s="290">
        <f>($I$141+$J$141/(1+$J170)^(($J$129-$I$129)/365)+$K$141/(1+$J170)^(($K$129-$I$129)/365)+$L$141/(1+$J170)^(($L$129-$I$129)/365)+$M$141/(1+$J170)^(($M$129-$I$129)/365)+($Q$129+($M$139*(1+K$168)/($J170-K$168)))/2/(1+$J170)^(($N$129-$I$129)/365)+$E$145+$E$146+$E$147)/$E$125</f>
        <v>3114.89169179908</v>
      </c>
      <c r="L170" s="291">
        <f>($I$141+$J$141/(1+$J170)^(($J$129-$I$129)/365)+$K$141/(1+$J170)^(($K$129-$I$129)/365)+$L$141/(1+$J170)^(($L$129-$I$129)/365)+$M$141/(1+$J170)^(($M$129-$I$129)/365)+($Q$129+($M$139*(1+L$168)/($J170-L$168)))/2/(1+$J170)^(($N$129-$I$129)/365)+$E$145+$E$146+$E$147)/$E$125</f>
        <v>3444.88155159922</v>
      </c>
      <c r="M170" s="291">
        <f>($I$141+$J$141/(1+$J170)^(($J$129-$I$129)/365)+$K$141/(1+$J170)^(($K$129-$I$129)/365)+$L$141/(1+$J170)^(($L$129-$I$129)/365)+$M$141/(1+$J170)^(($M$129-$I$129)/365)+($Q$129+($M$139*(1+M$168)/($J170-M$168)))/2/(1+$J170)^(($N$129-$I$129)/365)+$E$145+$E$146+$E$147)/$E$125</f>
        <v>3942.40863601218</v>
      </c>
      <c r="N170" s="291">
        <f>($I$141+$J$141/(1+$J170)^(($J$129-$I$129)/365)+$K$141/(1+$J170)^(($K$129-$I$129)/365)+$L$141/(1+$J170)^(($L$129-$I$129)/365)+$M$141/(1+$J170)^(($M$129-$I$129)/365)+($Q$129+($M$139*(1+N$168)/($J170-N$168)))/2/(1+$J170)^(($N$129-$I$129)/365)+$E$145+$E$146+$E$147)/$E$125</f>
        <v>4778.46989544342</v>
      </c>
      <c r="O170" s="292">
        <f>($I$141+$J$141/(1+$J170)^(($J$129-$I$129)/365)+$K$141/(1+$J170)^(($K$129-$I$129)/365)+$L$141/(1+$J170)^(($L$129-$I$129)/365)+$M$141/(1+$J170)^(($M$129-$I$129)/365)+($Q$129+($M$139*(1+O$168)/($J170-O$168)))/2/(1+$J170)^(($N$129-$I$129)/365)+$E$145+$E$146+$E$147)/$E$125</f>
        <v>6476.76021536304</v>
      </c>
      <c r="P170" s="30"/>
      <c r="Q170" s="30"/>
      <c r="R170" s="219"/>
      <c r="S170" s="219"/>
    </row>
    <row r="171" ht="16.5" customHeight="1" outlineLevel="1" spans="1:19">
      <c r="A171" s="30"/>
      <c r="B171" s="275"/>
      <c r="C171" s="275"/>
      <c r="D171" s="275"/>
      <c r="E171" s="275"/>
      <c r="F171" s="275"/>
      <c r="G171" s="30"/>
      <c r="H171" s="30"/>
      <c r="J171" s="287">
        <f>E124</f>
        <v>0.0993930197378801</v>
      </c>
      <c r="K171" s="290">
        <f>($I$141+$J$141/(1+$J171)^(($J$129-$I$129)/365)+$K$141/(1+$J171)^(($K$129-$I$129)/365)+$L$141/(1+$J171)^(($L$129-$I$129)/365)+$M$141/(1+$J171)^(($M$129-$I$129)/365)+($Q$129+($M$139*(1+K$168)/($J171-K$168)))/2/(1+$J171)^(($N$129-$I$129)/365)+$E$145+$E$146+$E$147)/$E$125</f>
        <v>2795.62036309191</v>
      </c>
      <c r="L171" s="291">
        <f>($I$141+$J$141/(1+$J171)^(($J$129-$I$129)/365)+$K$141/(1+$J171)^(($K$129-$I$129)/365)+$L$141/(1+$J171)^(($L$129-$I$129)/365)+$M$141/(1+$J171)^(($M$129-$I$129)/365)+($Q$129+($M$139*(1+L$168)/($J171-L$168)))/2/(1+$J171)^(($N$129-$I$129)/365)+$E$145+$E$146+$E$147)/$E$125</f>
        <v>3024.14569741582</v>
      </c>
      <c r="M171" s="293">
        <f>($I$141+$J$141/(1+$J171)^(($J$129-$I$129)/365)+$K$141/(1+$J171)^(($K$129-$I$129)/365)+$L$141/(1+$J171)^(($L$129-$I$129)/365)+$M$141/(1+$J171)^(($M$129-$I$129)/365)+($Q$129+($M$139*(1+M$168)/($J171-M$168)))/2/(1+$J171)^(($N$129-$I$129)/365)+$E$145+$E$146+$E$147)/$E$125</f>
        <v>3345.20448506436</v>
      </c>
      <c r="N171" s="291">
        <f>($I$141+$J$141/(1+$J171)^(($J$129-$I$129)/365)+$K$141/(1+$J171)^(($K$129-$I$129)/365)+$L$141/(1+$J171)^(($L$129-$I$129)/365)+$M$141/(1+$J171)^(($M$129-$I$129)/365)+($Q$129+($M$139*(1+N$168)/($J171-N$168)))/2/(1+$J171)^(($N$129-$I$129)/365)+$E$145+$E$146+$E$147)/$E$125</f>
        <v>3829.26615484018</v>
      </c>
      <c r="O171" s="292">
        <f>($I$141+$J$141/(1+$J171)^(($J$129-$I$129)/365)+$K$141/(1+$J171)^(($K$129-$I$129)/365)+$L$141/(1+$J171)^(($L$129-$I$129)/365)+$M$141/(1+$J171)^(($M$129-$I$129)/365)+($Q$129+($M$139*(1+O$168)/($J171-O$168)))/2/(1+$J171)^(($N$129-$I$129)/365)+$E$145+$E$146+$E$147)/$E$125</f>
        <v>4642.69967826872</v>
      </c>
      <c r="P171" s="30"/>
      <c r="Q171" s="30"/>
      <c r="R171" s="219"/>
      <c r="S171" s="219"/>
    </row>
    <row r="172" ht="16.5" customHeight="1" outlineLevel="1" spans="1:19">
      <c r="A172" s="30"/>
      <c r="B172" s="275"/>
      <c r="C172" s="275"/>
      <c r="D172" s="275"/>
      <c r="E172" s="275"/>
      <c r="F172" s="275"/>
      <c r="G172" s="30"/>
      <c r="H172" s="30"/>
      <c r="J172" s="287">
        <f>$E$124+(0.01)</f>
        <v>0.10939301973788</v>
      </c>
      <c r="K172" s="290">
        <f>($I$141+$J$141/(1+$J172)^(($J$129-$I$129)/365)+$K$141/(1+$J172)^(($K$129-$I$129)/365)+$L$141/(1+$J172)^(($L$129-$I$129)/365)+$M$141/(1+$J172)^(($M$129-$I$129)/365)+($Q$129+($M$139*(1+K$168)/($J172-K$168)))/2/(1+$J172)^(($N$129-$I$129)/365)+$E$145+$E$146+$E$147)/$E$125</f>
        <v>2548.12824868505</v>
      </c>
      <c r="L172" s="291">
        <f>($I$141+$J$141/(1+$J172)^(($J$129-$I$129)/365)+$K$141/(1+$J172)^(($K$129-$I$129)/365)+$L$141/(1+$J172)^(($L$129-$I$129)/365)+$M$141/(1+$J172)^(($M$129-$I$129)/365)+($Q$129+($M$139*(1+L$168)/($J172-L$168)))/2/(1+$J172)^(($N$129-$I$129)/365)+$E$145+$E$146+$E$147)/$E$125</f>
        <v>2714.49989105183</v>
      </c>
      <c r="M172" s="291">
        <f>($I$141+$J$141/(1+$J172)^(($J$129-$I$129)/365)+$K$141/(1+$J172)^(($K$129-$I$129)/365)+$L$141/(1+$J172)^(($L$129-$I$129)/365)+$M$141/(1+$J172)^(($M$129-$I$129)/365)+($Q$129+($M$139*(1+M$168)/($J172-M$168)))/2/(1+$J172)^(($N$129-$I$129)/365)+$E$145+$E$146+$E$147)/$E$125</f>
        <v>2936.89550495634</v>
      </c>
      <c r="N172" s="291">
        <f>($I$141+$J$141/(1+$J172)^(($J$129-$I$129)/365)+$K$141/(1+$J172)^(($K$129-$I$129)/365)+$L$141/(1+$J172)^(($L$129-$I$129)/365)+$M$141/(1+$J172)^(($M$129-$I$129)/365)+($Q$129+($M$139*(1+N$168)/($J172-N$168)))/2/(1+$J172)^(($N$129-$I$129)/365)+$E$145+$E$146+$E$147)/$E$125</f>
        <v>3249.34255328812</v>
      </c>
      <c r="O172" s="292">
        <f>($I$141+$J$141/(1+$J172)^(($J$129-$I$129)/365)+$K$141/(1+$J172)^(($K$129-$I$129)/365)+$L$141/(1+$J172)^(($L$129-$I$129)/365)+$M$141/(1+$J172)^(($M$129-$I$129)/365)+($Q$129+($M$139*(1+O$168)/($J172-O$168)))/2/(1+$J172)^(($N$129-$I$129)/365)+$E$145+$E$146+$E$147)/$E$125</f>
        <v>3720.42026787031</v>
      </c>
      <c r="P172" s="30"/>
      <c r="Q172" s="30"/>
      <c r="R172" s="219"/>
      <c r="S172" s="219"/>
    </row>
    <row r="173" ht="16.5" customHeight="1" outlineLevel="1" spans="1:19">
      <c r="A173" s="30"/>
      <c r="B173" s="275"/>
      <c r="C173" s="275"/>
      <c r="D173" s="275"/>
      <c r="E173" s="275"/>
      <c r="F173" s="275"/>
      <c r="G173" s="30"/>
      <c r="H173" s="30"/>
      <c r="J173" s="287">
        <f>$E$124+(0.02)</f>
        <v>0.11939301973788</v>
      </c>
      <c r="K173" s="290">
        <f>($I$141+$J$141/(1+$J173)^(($J$129-$I$129)/365)+$K$141/(1+$J173)^(($K$129-$I$129)/365)+$L$141/(1+$J173)^(($L$129-$I$129)/365)+$M$141/(1+$J173)^(($M$129-$I$129)/365)+($Q$129+($M$139*(1+K$168)/($J173-K$168)))/2/(1+$J173)^(($N$129-$I$129)/365)+$E$145+$E$146+$E$147)/$E$125</f>
        <v>2348.82651147982</v>
      </c>
      <c r="L173" s="292">
        <f>($I$141+$J$141/(1+$J173)^(($J$129-$I$129)/365)+$K$141/(1+$J173)^(($K$129-$I$129)/365)+$L$141/(1+$J173)^(($L$129-$I$129)/365)+$M$141/(1+$J173)^(($M$129-$I$129)/365)+($Q$129+($M$139*(1+L$168)/($J173-L$168)))/2/(1+$J173)^(($N$129-$I$129)/365)+$E$145+$E$146+$E$147)/$E$125</f>
        <v>2474.5421510103</v>
      </c>
      <c r="M173" s="292">
        <f>($I$141+$J$141/(1+$J173)^(($J$129-$I$129)/365)+$K$141/(1+$J173)^(($K$129-$I$129)/365)+$L$141/(1+$J173)^(($L$129-$I$129)/365)+$M$141/(1+$J173)^(($M$129-$I$129)/365)+($Q$129+($M$139*(1+M$168)/($J173-M$168)))/2/(1+$J173)^(($N$129-$I$129)/365)+$E$145+$E$146+$E$147)/$E$125</f>
        <v>2636.49072578567</v>
      </c>
      <c r="N173" s="292">
        <f>($I$141+$J$141/(1+$J173)^(($J$129-$I$129)/365)+$K$141/(1+$J173)^(($K$129-$I$129)/365)+$L$141/(1+$J173)^(($L$129-$I$129)/365)+$M$141/(1+$J173)^(($M$129-$I$129)/365)+($Q$129+($M$139*(1+N$168)/($J173-N$168)))/2/(1+$J173)^(($N$129-$I$129)/365)+$E$145+$E$146+$E$147)/$E$125</f>
        <v>2852.97384872515</v>
      </c>
      <c r="O173" s="292">
        <f>($I$141+$J$141/(1+$J173)^(($J$129-$I$129)/365)+$K$141/(1+$J173)^(($K$129-$I$129)/365)+$L$141/(1+$J173)^(($L$129-$I$129)/365)+$M$141/(1+$J173)^(($M$129-$I$129)/365)+($Q$129+($M$139*(1+O$168)/($J173-O$168)))/2/(1+$J173)^(($N$129-$I$129)/365)+$E$145+$E$146+$E$147)/$E$125</f>
        <v>3157.11434677079</v>
      </c>
      <c r="P173" s="30"/>
      <c r="Q173" s="30"/>
      <c r="R173" s="219"/>
      <c r="S173" s="219"/>
    </row>
    <row r="174" ht="16.5" customHeight="1" outlineLevel="1" spans="1:19">
      <c r="A174" s="30"/>
      <c r="B174" s="275"/>
      <c r="C174" s="275"/>
      <c r="D174" s="275"/>
      <c r="E174" s="275"/>
      <c r="F174" s="275"/>
      <c r="G174" s="30"/>
      <c r="H174" s="30"/>
      <c r="I174" s="30"/>
      <c r="J174" s="280"/>
      <c r="K174" s="281"/>
      <c r="L174" s="281"/>
      <c r="M174" s="281"/>
      <c r="N174" s="281"/>
      <c r="O174" s="281"/>
      <c r="P174" s="30"/>
      <c r="Q174" s="30"/>
      <c r="R174" s="219"/>
      <c r="S174" s="219"/>
    </row>
    <row r="175" ht="16.5" customHeight="1" outlineLevel="1" spans="1:19">
      <c r="A175" s="30"/>
      <c r="B175" s="275"/>
      <c r="C175" s="275"/>
      <c r="D175" s="275"/>
      <c r="E175" s="275"/>
      <c r="F175" s="275"/>
      <c r="G175" s="30"/>
      <c r="H175" s="30"/>
      <c r="I175" s="30"/>
      <c r="J175" s="280"/>
      <c r="K175" s="281"/>
      <c r="L175" s="281"/>
      <c r="M175" s="281"/>
      <c r="N175" s="281"/>
      <c r="O175" s="281"/>
      <c r="P175" s="30"/>
      <c r="Q175" s="30"/>
      <c r="R175" s="219"/>
      <c r="S175" s="219"/>
    </row>
    <row r="176" ht="16.5" customHeight="1" outlineLevel="1" spans="1:19">
      <c r="A176" s="30"/>
      <c r="B176" s="275"/>
      <c r="C176" s="275"/>
      <c r="D176" s="275"/>
      <c r="E176" s="275"/>
      <c r="F176" s="275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219"/>
      <c r="S176" s="219"/>
    </row>
    <row r="177" ht="16.5" customHeight="1" outlineLevel="1" spans="1:19">
      <c r="A177" s="30"/>
      <c r="B177" s="275"/>
      <c r="C177" s="275"/>
      <c r="D177" s="275"/>
      <c r="E177" s="275"/>
      <c r="F177" s="275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219"/>
      <c r="S177" s="219"/>
    </row>
    <row r="178" ht="16.5" customHeight="1" outlineLevel="1" spans="1:19">
      <c r="A178" s="219"/>
      <c r="B178" s="219"/>
      <c r="C178" s="219"/>
      <c r="D178" s="219"/>
      <c r="E178" s="219"/>
      <c r="F178" s="219"/>
      <c r="G178" s="219"/>
      <c r="H178" s="219"/>
      <c r="I178" s="219"/>
      <c r="J178" s="219"/>
      <c r="K178" s="219"/>
      <c r="L178" s="219"/>
      <c r="M178" s="219"/>
      <c r="N178" s="219"/>
      <c r="O178" s="219"/>
      <c r="P178" s="219"/>
      <c r="Q178" s="219"/>
      <c r="R178" s="219"/>
      <c r="S178" s="219"/>
    </row>
    <row r="179" ht="16.5" customHeight="1" spans="1:19">
      <c r="A179" s="219"/>
      <c r="B179" s="219"/>
      <c r="C179" s="219"/>
      <c r="D179" s="219"/>
      <c r="E179" s="219"/>
      <c r="F179" s="219"/>
      <c r="G179" s="219"/>
      <c r="H179" s="219"/>
      <c r="I179" s="219"/>
      <c r="J179" s="297"/>
      <c r="K179" s="298"/>
      <c r="L179" s="298"/>
      <c r="M179" s="298"/>
      <c r="N179" s="298"/>
      <c r="O179" s="298"/>
      <c r="P179" s="219"/>
      <c r="Q179" s="219"/>
      <c r="R179" s="219"/>
      <c r="S179" s="219"/>
    </row>
    <row r="180" ht="16.5" customHeight="1" spans="1:19">
      <c r="A180" s="219"/>
      <c r="B180" s="219"/>
      <c r="C180" s="219"/>
      <c r="D180" s="219"/>
      <c r="E180" s="219"/>
      <c r="F180" s="219"/>
      <c r="G180" s="219"/>
      <c r="H180" s="219"/>
      <c r="I180" s="219"/>
      <c r="J180" s="298"/>
      <c r="K180" s="299"/>
      <c r="L180" s="299"/>
      <c r="M180" s="299"/>
      <c r="N180" s="299"/>
      <c r="O180" s="299"/>
      <c r="P180" s="219"/>
      <c r="Q180" s="219"/>
      <c r="R180" s="219"/>
      <c r="S180" s="219"/>
    </row>
    <row r="181" ht="16.5" customHeight="1" spans="1:19">
      <c r="A181" s="219"/>
      <c r="B181" s="219"/>
      <c r="C181" s="219"/>
      <c r="D181" s="219"/>
      <c r="E181" s="219"/>
      <c r="F181" s="219"/>
      <c r="G181" s="219"/>
      <c r="H181" s="219"/>
      <c r="I181" s="219"/>
      <c r="J181" s="298"/>
      <c r="K181" s="299"/>
      <c r="L181" s="299"/>
      <c r="M181" s="299"/>
      <c r="N181" s="299"/>
      <c r="O181" s="299"/>
      <c r="P181" s="219"/>
      <c r="Q181" s="219"/>
      <c r="R181" s="219"/>
      <c r="S181" s="219"/>
    </row>
    <row r="182" ht="16.5" customHeight="1" spans="1:19">
      <c r="A182" s="219"/>
      <c r="B182" s="219"/>
      <c r="C182" s="219"/>
      <c r="D182" s="219"/>
      <c r="E182" s="219"/>
      <c r="F182" s="219"/>
      <c r="G182" s="219"/>
      <c r="H182" s="219"/>
      <c r="I182" s="219"/>
      <c r="J182" s="298"/>
      <c r="K182" s="299"/>
      <c r="L182" s="299"/>
      <c r="M182" s="299"/>
      <c r="N182" s="299"/>
      <c r="O182" s="299"/>
      <c r="P182" s="219"/>
      <c r="Q182" s="219"/>
      <c r="R182" s="219"/>
      <c r="S182" s="219"/>
    </row>
    <row r="183" ht="16.5" customHeight="1" spans="1:19">
      <c r="A183" s="219"/>
      <c r="B183" s="219"/>
      <c r="C183" s="219"/>
      <c r="D183" s="219"/>
      <c r="E183" s="219"/>
      <c r="F183" s="219"/>
      <c r="G183" s="219"/>
      <c r="H183" s="219"/>
      <c r="I183" s="219"/>
      <c r="J183" s="298"/>
      <c r="K183" s="299"/>
      <c r="L183" s="299"/>
      <c r="M183" s="299"/>
      <c r="N183" s="299"/>
      <c r="O183" s="299"/>
      <c r="P183" s="219"/>
      <c r="Q183" s="219"/>
      <c r="R183" s="219"/>
      <c r="S183" s="219"/>
    </row>
    <row r="184" ht="16.5" customHeight="1" spans="1:19">
      <c r="A184" s="219"/>
      <c r="B184" s="219"/>
      <c r="C184" s="219"/>
      <c r="D184" s="219"/>
      <c r="E184" s="219"/>
      <c r="F184" s="219"/>
      <c r="G184" s="219"/>
      <c r="H184" s="219"/>
      <c r="I184" s="219"/>
      <c r="J184" s="298"/>
      <c r="K184" s="299"/>
      <c r="L184" s="299"/>
      <c r="M184" s="299"/>
      <c r="N184" s="299"/>
      <c r="O184" s="299"/>
      <c r="P184" s="219"/>
      <c r="Q184" s="219"/>
      <c r="R184" s="219"/>
      <c r="S184" s="219"/>
    </row>
    <row r="185" ht="16.5" customHeight="1" spans="1:19">
      <c r="A185" s="219"/>
      <c r="B185" s="219"/>
      <c r="C185" s="219"/>
      <c r="D185" s="219"/>
      <c r="E185" s="219"/>
      <c r="F185" s="219"/>
      <c r="G185" s="219"/>
      <c r="H185" s="219"/>
      <c r="I185" s="219"/>
      <c r="J185" s="219"/>
      <c r="K185" s="219"/>
      <c r="L185" s="219"/>
      <c r="M185" s="219"/>
      <c r="N185" s="219"/>
      <c r="O185" s="219"/>
      <c r="P185" s="219"/>
      <c r="Q185" s="219"/>
      <c r="R185" s="219"/>
      <c r="S185" s="219"/>
    </row>
    <row r="186" ht="16.5" customHeight="1" spans="1:19">
      <c r="A186" s="219"/>
      <c r="B186" s="219"/>
      <c r="C186" s="219"/>
      <c r="D186" s="219"/>
      <c r="E186" s="219"/>
      <c r="F186" s="219"/>
      <c r="G186" s="219"/>
      <c r="H186" s="219"/>
      <c r="I186" s="219"/>
      <c r="J186" s="219"/>
      <c r="K186" s="219"/>
      <c r="L186" s="219"/>
      <c r="M186" s="219"/>
      <c r="N186" s="219"/>
      <c r="O186" s="219"/>
      <c r="P186" s="219"/>
      <c r="Q186" s="219"/>
      <c r="R186" s="219"/>
      <c r="S186" s="219"/>
    </row>
    <row r="187" ht="27.75" customHeight="1" spans="1:19">
      <c r="A187" s="219"/>
      <c r="B187" s="219"/>
      <c r="C187" s="219"/>
      <c r="D187" s="219"/>
      <c r="E187" s="219"/>
      <c r="F187" s="219"/>
      <c r="G187" s="219"/>
      <c r="H187" s="219"/>
      <c r="I187" s="219"/>
      <c r="J187" s="219"/>
      <c r="K187" s="219"/>
      <c r="L187" s="219"/>
      <c r="M187" s="219"/>
      <c r="N187" s="219"/>
      <c r="O187" s="219"/>
      <c r="P187" s="219"/>
      <c r="Q187" s="219"/>
      <c r="R187" s="219"/>
      <c r="S187" s="219"/>
    </row>
    <row r="188" ht="16.5" customHeight="1" spans="1:19">
      <c r="A188" s="219"/>
      <c r="B188" s="219"/>
      <c r="C188" s="219"/>
      <c r="D188" s="219"/>
      <c r="E188" s="219"/>
      <c r="F188" s="219"/>
      <c r="G188" s="219"/>
      <c r="H188" s="219"/>
      <c r="I188" s="219"/>
      <c r="J188" s="219"/>
      <c r="K188" s="219"/>
      <c r="L188" s="219"/>
      <c r="M188" s="219"/>
      <c r="N188" s="219"/>
      <c r="O188" s="219"/>
      <c r="P188" s="219"/>
      <c r="Q188" s="219"/>
      <c r="R188" s="219"/>
      <c r="S188" s="219"/>
    </row>
    <row r="189" ht="16.5" customHeight="1" spans="1:19">
      <c r="A189" s="219"/>
      <c r="B189" s="219"/>
      <c r="C189" s="219"/>
      <c r="D189" s="219"/>
      <c r="E189" s="219"/>
      <c r="F189" s="219"/>
      <c r="G189" s="219"/>
      <c r="H189" s="219"/>
      <c r="I189" s="219"/>
      <c r="J189" s="219"/>
      <c r="K189" s="219"/>
      <c r="L189" s="219"/>
      <c r="M189" s="219"/>
      <c r="N189" s="219"/>
      <c r="O189" s="219"/>
      <c r="P189" s="219"/>
      <c r="Q189" s="219"/>
      <c r="R189" s="219"/>
      <c r="S189" s="219"/>
    </row>
    <row r="190" ht="16.5" customHeight="1" spans="1:19">
      <c r="A190" s="219"/>
      <c r="B190" s="219"/>
      <c r="C190" s="219"/>
      <c r="D190" s="219"/>
      <c r="E190" s="219"/>
      <c r="F190" s="219"/>
      <c r="G190" s="219"/>
      <c r="H190" s="219"/>
      <c r="I190" s="219"/>
      <c r="J190" s="219"/>
      <c r="K190" s="219"/>
      <c r="L190" s="219"/>
      <c r="M190" s="219"/>
      <c r="N190" s="219"/>
      <c r="O190" s="219"/>
      <c r="P190" s="219"/>
      <c r="Q190" s="219"/>
      <c r="R190" s="219"/>
      <c r="S190" s="219"/>
    </row>
    <row r="191" ht="16.5" customHeight="1" spans="1:19">
      <c r="A191" s="219"/>
      <c r="B191" s="219"/>
      <c r="C191" s="219"/>
      <c r="D191" s="219"/>
      <c r="E191" s="219"/>
      <c r="F191" s="219"/>
      <c r="G191" s="219"/>
      <c r="H191" s="219"/>
      <c r="I191" s="219"/>
      <c r="J191" s="219"/>
      <c r="K191" s="219"/>
      <c r="L191" s="219"/>
      <c r="M191" s="219"/>
      <c r="N191" s="219"/>
      <c r="O191" s="219"/>
      <c r="P191" s="219"/>
      <c r="Q191" s="219"/>
      <c r="R191" s="219"/>
      <c r="S191" s="219"/>
    </row>
    <row r="192" ht="16.5" customHeight="1" spans="1:19">
      <c r="A192" s="219"/>
      <c r="B192" s="219"/>
      <c r="C192" s="219"/>
      <c r="D192" s="219"/>
      <c r="E192" s="219"/>
      <c r="F192" s="219"/>
      <c r="G192" s="219"/>
      <c r="H192" s="219"/>
      <c r="I192" s="219"/>
      <c r="J192" s="219"/>
      <c r="K192" s="219"/>
      <c r="L192" s="219"/>
      <c r="M192" s="219"/>
      <c r="N192" s="219"/>
      <c r="O192" s="219"/>
      <c r="P192" s="219"/>
      <c r="Q192" s="219"/>
      <c r="R192" s="219"/>
      <c r="S192" s="219"/>
    </row>
    <row r="193" ht="16.5" customHeight="1" spans="1:19">
      <c r="A193" s="219"/>
      <c r="B193" s="219"/>
      <c r="C193" s="219"/>
      <c r="D193" s="219"/>
      <c r="E193" s="219"/>
      <c r="F193" s="219"/>
      <c r="G193" s="219"/>
      <c r="H193" s="219"/>
      <c r="I193" s="219"/>
      <c r="J193" s="219"/>
      <c r="K193" s="219"/>
      <c r="L193" s="219"/>
      <c r="M193" s="219"/>
      <c r="N193" s="219"/>
      <c r="O193" s="219"/>
      <c r="P193" s="219"/>
      <c r="Q193" s="219"/>
      <c r="R193" s="219"/>
      <c r="S193" s="219"/>
    </row>
    <row r="194" ht="16.5" customHeight="1" spans="1:19">
      <c r="A194" s="219"/>
      <c r="B194" s="219"/>
      <c r="C194" s="219"/>
      <c r="D194" s="219"/>
      <c r="E194" s="219"/>
      <c r="F194" s="219"/>
      <c r="G194" s="219"/>
      <c r="H194" s="219"/>
      <c r="I194" s="219"/>
      <c r="J194" s="219"/>
      <c r="K194" s="219"/>
      <c r="L194" s="219"/>
      <c r="M194" s="219"/>
      <c r="N194" s="219"/>
      <c r="O194" s="219"/>
      <c r="P194" s="219"/>
      <c r="Q194" s="219"/>
      <c r="R194" s="219"/>
      <c r="S194" s="219"/>
    </row>
    <row r="195" ht="16.5" customHeight="1" spans="1:19">
      <c r="A195" s="219"/>
      <c r="B195" s="219"/>
      <c r="C195" s="219"/>
      <c r="D195" s="219"/>
      <c r="E195" s="219"/>
      <c r="F195" s="219"/>
      <c r="G195" s="219"/>
      <c r="H195" s="219"/>
      <c r="I195" s="219"/>
      <c r="J195" s="219"/>
      <c r="K195" s="219"/>
      <c r="L195" s="219"/>
      <c r="M195" s="219"/>
      <c r="N195" s="219"/>
      <c r="O195" s="219"/>
      <c r="P195" s="219"/>
      <c r="Q195" s="219"/>
      <c r="R195" s="219"/>
      <c r="S195" s="219"/>
    </row>
  </sheetData>
  <mergeCells count="6">
    <mergeCell ref="H1:L1"/>
    <mergeCell ref="M1:Q1"/>
    <mergeCell ref="K157:O157"/>
    <mergeCell ref="K167:O167"/>
    <mergeCell ref="I157:I163"/>
    <mergeCell ref="I167:I173"/>
  </mergeCells>
  <dataValidations count="1">
    <dataValidation type="list" allowBlank="1" showInputMessage="1" showErrorMessage="1" sqref="E4">
      <formula1>Scenario!$D$6:$D$8</formula1>
    </dataValidation>
  </dataValidations>
  <pageMargins left="0.75" right="0.75" top="1" bottom="1" header="0.511811023622047" footer="0.511811023622047"/>
  <pageSetup paperSize="9" orientation="portrait" horizontalDpi="300" verticalDpi="300"/>
  <headerFooter/>
  <ignoredErrors>
    <ignoredError sqref="A1:S3 A4:D4 F4:S4 A5:S84 A85:K85 R85:S85 A86:S195" formula="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showGridLines="0" zoomScale="126" zoomScaleNormal="126" workbookViewId="0">
      <selection activeCell="D21" sqref="D21"/>
    </sheetView>
  </sheetViews>
  <sheetFormatPr defaultColWidth="9.16071428571429" defaultRowHeight="16.8"/>
  <cols>
    <col min="1" max="3" width="1.24107142857143" customWidth="1"/>
    <col min="4" max="4" width="40.6428571428571" customWidth="1"/>
    <col min="7" max="7" width="2.64285714285714" customWidth="1"/>
    <col min="8" max="17" width="12.6428571428571" customWidth="1"/>
  </cols>
  <sheetData>
    <row r="1" ht="31.5" customHeight="1" spans="1:12">
      <c r="A1" s="1" t="s">
        <v>0</v>
      </c>
      <c r="B1" s="3"/>
      <c r="C1" s="3"/>
      <c r="D1" s="3"/>
      <c r="E1" s="4"/>
      <c r="F1" s="5"/>
      <c r="G1" s="5"/>
      <c r="H1" s="5"/>
      <c r="I1" s="5"/>
      <c r="J1" s="5"/>
      <c r="K1" s="5"/>
      <c r="L1" s="5"/>
    </row>
    <row r="2" ht="20.25" customHeight="1" spans="1:12">
      <c r="A2" s="33" t="s">
        <v>240</v>
      </c>
      <c r="B2" s="3"/>
      <c r="C2" s="3"/>
      <c r="D2" s="3"/>
      <c r="E2" s="4"/>
      <c r="F2" s="5"/>
      <c r="G2" s="5"/>
      <c r="H2" s="5"/>
      <c r="I2" s="5"/>
      <c r="J2" s="5"/>
      <c r="K2" s="5"/>
      <c r="L2" s="46"/>
    </row>
    <row r="4" ht="16.5" customHeight="1" spans="1:12">
      <c r="B4" s="57"/>
      <c r="C4" s="57"/>
      <c r="D4" s="57"/>
      <c r="E4" s="66"/>
      <c r="F4" s="66"/>
      <c r="G4" s="57"/>
      <c r="H4" s="57"/>
      <c r="I4" s="57"/>
      <c r="J4" s="57"/>
      <c r="K4" s="57"/>
      <c r="L4" s="57"/>
    </row>
    <row r="5" ht="16.5" customHeight="1" spans="1:12">
      <c r="B5" s="57"/>
      <c r="C5" s="57"/>
      <c r="D5" s="177" t="s">
        <v>241</v>
      </c>
      <c r="E5" s="178" t="s">
        <v>242</v>
      </c>
      <c r="F5" s="66"/>
      <c r="G5" s="57"/>
      <c r="H5" s="179">
        <f>Model!M2</f>
        <v>2027</v>
      </c>
      <c r="I5" s="179">
        <f>Model!N2</f>
        <v>2028</v>
      </c>
      <c r="J5" s="179">
        <f>Model!O2</f>
        <v>2029</v>
      </c>
      <c r="K5" s="179">
        <f>Model!P2</f>
        <v>2030</v>
      </c>
      <c r="L5" s="179">
        <f>Model!Q2</f>
        <v>2031</v>
      </c>
    </row>
    <row r="6" ht="16.5" customHeight="1" spans="1:12">
      <c r="B6" s="57"/>
      <c r="C6" s="180"/>
      <c r="D6" s="181" t="s">
        <v>130</v>
      </c>
      <c r="E6" s="182">
        <f>AVERAGE(Model!I5:L5)</f>
        <v>0.107598706074005</v>
      </c>
      <c r="F6" s="183"/>
      <c r="G6" s="183"/>
      <c r="H6" s="184">
        <f>E6</f>
        <v>0.107598706074005</v>
      </c>
      <c r="I6" s="184">
        <f>H6*(1-$E$9)</f>
        <v>0.0968388354666041</v>
      </c>
      <c r="J6" s="184">
        <f>I6*(1-$E$9)</f>
        <v>0.0871549519199437</v>
      </c>
      <c r="K6" s="184">
        <f>J6*(1-$E$9)</f>
        <v>0.0784394567279493</v>
      </c>
      <c r="L6" s="184">
        <f>K6*(1-$E$9)</f>
        <v>0.0705955110551544</v>
      </c>
    </row>
    <row r="7" ht="16.5" customHeight="1" spans="1:12">
      <c r="B7" s="57"/>
      <c r="C7" s="57"/>
      <c r="D7" s="185" t="s">
        <v>243</v>
      </c>
      <c r="E7" s="186">
        <f>MAX(Model!I5:L5)</f>
        <v>0.235128888051284</v>
      </c>
      <c r="F7" s="66"/>
      <c r="G7" s="57"/>
      <c r="H7" s="187">
        <f>E7</f>
        <v>0.235128888051284</v>
      </c>
      <c r="I7" s="187">
        <f>H7*(1-$E$9)</f>
        <v>0.211615999246155</v>
      </c>
      <c r="J7" s="187">
        <f>I7*(1-$E$9)</f>
        <v>0.19045439932154</v>
      </c>
      <c r="K7" s="187">
        <f>J7*(1-$E$9)</f>
        <v>0.171408959389386</v>
      </c>
      <c r="L7" s="187">
        <f>K7*(1-$E$9)</f>
        <v>0.154268063450447</v>
      </c>
    </row>
    <row r="8" ht="16.5" customHeight="1" spans="1:12">
      <c r="B8" s="57"/>
      <c r="C8" s="57"/>
      <c r="D8" s="185" t="s">
        <v>244</v>
      </c>
      <c r="E8" s="186">
        <f>MIN(Model!I5:L5)</f>
        <v>0.0259853182559174</v>
      </c>
      <c r="F8" s="66"/>
      <c r="G8" s="57"/>
      <c r="H8" s="187">
        <f>E8</f>
        <v>0.0259853182559174</v>
      </c>
      <c r="I8" s="187">
        <f>H8*(1-$E$9)</f>
        <v>0.0233867864303257</v>
      </c>
      <c r="J8" s="187">
        <f>I8*(1-$E$9)</f>
        <v>0.0210481077872931</v>
      </c>
      <c r="K8" s="187">
        <f>J8*(1-$E$9)</f>
        <v>0.0189432970085638</v>
      </c>
      <c r="L8" s="187">
        <f>K8*(1-$E$9)</f>
        <v>0.0170489673077074</v>
      </c>
    </row>
    <row r="9" ht="16.5" customHeight="1" spans="1:12">
      <c r="B9" s="57"/>
      <c r="C9" s="57"/>
      <c r="D9" s="185" t="s">
        <v>245</v>
      </c>
      <c r="E9" s="188">
        <v>0.1</v>
      </c>
      <c r="F9" s="66"/>
      <c r="G9" s="57"/>
      <c r="H9" s="189"/>
      <c r="I9" s="189"/>
      <c r="J9" s="189"/>
      <c r="K9" s="189"/>
      <c r="L9" s="189"/>
    </row>
    <row r="10" ht="16.5" customHeight="1" spans="1:12">
      <c r="B10" s="57"/>
      <c r="C10" s="57"/>
      <c r="D10" s="57"/>
      <c r="E10" s="66"/>
      <c r="F10" s="66"/>
      <c r="G10" s="57"/>
      <c r="H10" s="57"/>
      <c r="I10" s="57"/>
      <c r="J10" s="57"/>
      <c r="K10" s="57"/>
      <c r="L10" s="57"/>
    </row>
    <row r="11" ht="16.5" customHeight="1" spans="1:12">
      <c r="B11" s="57"/>
      <c r="C11" s="57"/>
      <c r="D11" s="57"/>
      <c r="E11" s="66"/>
      <c r="F11" s="66"/>
      <c r="G11" s="57"/>
      <c r="H11" s="57"/>
      <c r="I11" s="57"/>
      <c r="J11" s="57"/>
      <c r="K11" s="57"/>
      <c r="L11" s="57"/>
    </row>
    <row r="12" ht="16.5" customHeight="1" spans="1:12">
      <c r="B12" s="57"/>
      <c r="C12" s="57"/>
      <c r="D12" s="57"/>
      <c r="E12" s="66"/>
      <c r="F12" s="66"/>
      <c r="G12" s="57"/>
      <c r="H12" s="57"/>
      <c r="I12" s="57"/>
      <c r="J12" s="57"/>
      <c r="K12" s="57"/>
      <c r="L12" s="57"/>
    </row>
    <row r="13" ht="16.5" customHeight="1" spans="1:12">
      <c r="B13" s="57"/>
      <c r="C13" s="57"/>
      <c r="D13" s="57"/>
      <c r="E13" s="66"/>
      <c r="F13" s="66"/>
      <c r="G13" s="57"/>
      <c r="H13" s="57"/>
      <c r="I13" s="57"/>
      <c r="J13" s="57"/>
      <c r="K13" s="57"/>
      <c r="L13" s="57"/>
    </row>
    <row r="14" ht="16.5" customHeight="1" spans="1:12">
      <c r="B14" s="57"/>
      <c r="C14" s="57"/>
      <c r="D14" s="57"/>
      <c r="E14" s="66"/>
      <c r="F14" s="66"/>
      <c r="G14" s="57"/>
      <c r="H14" s="57"/>
      <c r="I14" s="57"/>
      <c r="J14" s="57"/>
      <c r="K14" s="57"/>
      <c r="L14" s="57"/>
    </row>
    <row r="15" ht="16.5" customHeight="1" spans="1:12">
      <c r="B15" s="57"/>
      <c r="C15" s="57"/>
      <c r="D15" s="57"/>
      <c r="E15" s="66"/>
      <c r="F15" s="66"/>
      <c r="G15" s="57"/>
      <c r="H15" s="57"/>
      <c r="I15" s="57"/>
      <c r="J15" s="57"/>
      <c r="K15" s="57"/>
      <c r="L15" s="57"/>
    </row>
    <row r="16" ht="16.5" customHeight="1" spans="1:12">
      <c r="B16" s="57"/>
      <c r="C16" s="57"/>
      <c r="D16" s="57"/>
      <c r="E16" s="66"/>
      <c r="F16" s="66"/>
      <c r="G16" s="57"/>
      <c r="H16" s="57"/>
      <c r="I16" s="57"/>
      <c r="J16" s="57"/>
      <c r="K16" s="57"/>
      <c r="L16" s="57"/>
    </row>
    <row r="17" ht="16.5" customHeight="1" spans="2:12">
      <c r="B17" s="57"/>
      <c r="C17" s="57"/>
      <c r="D17" s="57"/>
      <c r="E17" s="66"/>
      <c r="F17" s="66"/>
      <c r="G17" s="57"/>
      <c r="H17" s="57"/>
      <c r="I17" s="57"/>
      <c r="J17" s="57"/>
      <c r="K17" s="57"/>
      <c r="L17" s="57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3"/>
  <sheetViews>
    <sheetView showGridLines="0" workbookViewId="0">
      <selection activeCell="A1" sqref="A1"/>
    </sheetView>
  </sheetViews>
  <sheetFormatPr defaultColWidth="9.16071428571429" defaultRowHeight="16.8"/>
  <cols>
    <col min="1" max="3" width="1.24107142857143" customWidth="1"/>
    <col min="4" max="4" width="56.9285714285714" customWidth="1"/>
    <col min="5" max="5" width="32.0714285714286" customWidth="1"/>
    <col min="7" max="7" width="2.64285714285714" customWidth="1"/>
    <col min="8" max="14" width="12.6428571428571" customWidth="1"/>
  </cols>
  <sheetData>
    <row r="1" ht="33.75" customHeight="1" spans="1:15">
      <c r="A1" s="1" t="s">
        <v>0</v>
      </c>
      <c r="B1" s="3"/>
      <c r="C1" s="3"/>
      <c r="D1" s="3"/>
      <c r="E1" s="4"/>
      <c r="F1" s="5"/>
      <c r="G1" s="5"/>
      <c r="H1" s="5"/>
      <c r="I1" s="5"/>
      <c r="J1" s="5"/>
      <c r="K1" s="5"/>
      <c r="L1" s="5"/>
      <c r="M1" s="45"/>
      <c r="N1" s="45"/>
    </row>
    <row r="2" ht="20.25" customHeight="1" spans="1:15">
      <c r="A2" s="33" t="s">
        <v>246</v>
      </c>
      <c r="B2" s="3"/>
      <c r="C2" s="3"/>
      <c r="D2" s="3"/>
      <c r="E2" s="4"/>
      <c r="F2" s="5"/>
      <c r="G2" s="5"/>
      <c r="H2" s="5"/>
      <c r="I2" s="5"/>
      <c r="J2" s="5"/>
      <c r="K2" s="5"/>
      <c r="L2" s="46"/>
      <c r="M2" s="45"/>
      <c r="N2" s="45"/>
    </row>
    <row r="3" ht="16.5" customHeight="1" spans="1:15"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</row>
    <row r="4" ht="16.5" customHeight="1" spans="1:15">
      <c r="B4" s="10"/>
      <c r="C4" s="7" t="s">
        <v>247</v>
      </c>
      <c r="D4" s="7"/>
      <c r="E4" s="7" t="s">
        <v>248</v>
      </c>
      <c r="F4" s="7"/>
      <c r="G4" s="7"/>
      <c r="H4" s="173" t="s">
        <v>249</v>
      </c>
      <c r="I4" s="173" t="s">
        <v>250</v>
      </c>
      <c r="J4" s="173" t="s">
        <v>251</v>
      </c>
      <c r="K4" s="173" t="s">
        <v>252</v>
      </c>
      <c r="L4" s="173" t="s">
        <v>253</v>
      </c>
      <c r="M4" s="173" t="s">
        <v>254</v>
      </c>
      <c r="N4" s="173" t="s">
        <v>255</v>
      </c>
      <c r="O4" s="10"/>
    </row>
    <row r="5" ht="16.5" customHeight="1" spans="1:15">
      <c r="B5" s="10"/>
      <c r="C5" s="10"/>
      <c r="D5" s="10" t="s">
        <v>256</v>
      </c>
      <c r="E5" s="10" t="s">
        <v>257</v>
      </c>
      <c r="F5" s="10"/>
      <c r="G5" s="10"/>
      <c r="H5" s="174">
        <v>298384</v>
      </c>
      <c r="I5" s="174">
        <v>26374</v>
      </c>
      <c r="J5" s="174">
        <v>61079</v>
      </c>
      <c r="K5" s="174">
        <v>61079</v>
      </c>
      <c r="L5" s="174">
        <v>30512.5</v>
      </c>
      <c r="M5" s="174">
        <v>30512.5</v>
      </c>
      <c r="N5" s="174">
        <v>88827</v>
      </c>
      <c r="O5" s="10"/>
    </row>
    <row r="6" ht="16.5" customHeight="1" spans="1:15">
      <c r="B6" s="10"/>
      <c r="C6" s="10"/>
      <c r="D6" s="10" t="s">
        <v>258</v>
      </c>
      <c r="E6" s="10" t="s">
        <v>259</v>
      </c>
      <c r="F6" s="10"/>
      <c r="G6" s="10"/>
      <c r="H6" s="174">
        <v>41513</v>
      </c>
      <c r="I6" s="174">
        <v>9110</v>
      </c>
      <c r="J6" s="174">
        <v>4752</v>
      </c>
      <c r="K6" s="174">
        <v>4752</v>
      </c>
      <c r="L6" s="174">
        <v>2284</v>
      </c>
      <c r="M6" s="174">
        <v>2284</v>
      </c>
      <c r="N6" s="174">
        <v>18331</v>
      </c>
      <c r="O6" s="10"/>
    </row>
    <row r="7" ht="16.5" customHeight="1" spans="1:15">
      <c r="B7" s="10"/>
      <c r="C7" s="10"/>
      <c r="D7" s="10" t="s">
        <v>260</v>
      </c>
      <c r="E7" s="10" t="s">
        <v>261</v>
      </c>
      <c r="F7" s="10"/>
      <c r="G7" s="10"/>
      <c r="H7" s="174">
        <v>104514</v>
      </c>
      <c r="I7" s="174">
        <v>4962</v>
      </c>
      <c r="J7" s="174">
        <v>5248.5</v>
      </c>
      <c r="K7" s="174">
        <v>5248.5</v>
      </c>
      <c r="L7" s="174">
        <v>5677.5</v>
      </c>
      <c r="M7" s="174">
        <v>5677.5</v>
      </c>
      <c r="N7" s="174">
        <v>77700</v>
      </c>
      <c r="O7" s="10"/>
    </row>
    <row r="8" ht="16.5" customHeight="1" spans="1:15">
      <c r="B8" s="10"/>
      <c r="C8" s="175"/>
      <c r="D8" s="175" t="s">
        <v>262</v>
      </c>
      <c r="E8" s="175"/>
      <c r="F8" s="175"/>
      <c r="G8" s="175"/>
      <c r="H8" s="176">
        <f t="shared" ref="H8:N8" si="0">SUM(H5:H7)</f>
        <v>444411</v>
      </c>
      <c r="I8" s="176">
        <f t="shared" si="0"/>
        <v>40446</v>
      </c>
      <c r="J8" s="176">
        <f t="shared" si="0"/>
        <v>71079.5</v>
      </c>
      <c r="K8" s="176">
        <f t="shared" si="0"/>
        <v>71079.5</v>
      </c>
      <c r="L8" s="176">
        <f t="shared" si="0"/>
        <v>38474</v>
      </c>
      <c r="M8" s="176">
        <f t="shared" si="0"/>
        <v>38474</v>
      </c>
      <c r="N8" s="176">
        <f t="shared" si="0"/>
        <v>184858</v>
      </c>
      <c r="O8" s="10"/>
    </row>
    <row r="9" ht="16.5" customHeight="1" spans="1:15">
      <c r="B9" s="10"/>
      <c r="C9" s="10"/>
      <c r="D9" s="10"/>
      <c r="E9" s="10"/>
      <c r="F9" s="10"/>
      <c r="G9" s="10"/>
      <c r="H9" s="174"/>
      <c r="I9" s="174"/>
      <c r="J9" s="174"/>
      <c r="K9" s="174"/>
      <c r="L9" s="174"/>
      <c r="M9" s="174"/>
      <c r="N9" s="174"/>
      <c r="O9" s="10"/>
    </row>
    <row r="10" ht="16.5" customHeight="1" spans="1:15"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</row>
    <row r="11" ht="16.5" customHeight="1" spans="1:15"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</row>
    <row r="12" ht="16.5" customHeight="1" spans="1:15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  <row r="13" ht="16.5" customHeight="1" spans="1:15"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622"/>
  <sheetViews>
    <sheetView showGridLines="0" workbookViewId="0">
      <selection activeCell="K8" sqref="K8"/>
    </sheetView>
  </sheetViews>
  <sheetFormatPr defaultColWidth="9.16071428571429" defaultRowHeight="16.8"/>
  <cols>
    <col min="1" max="3" width="1.24107142857143" customWidth="1"/>
    <col min="4" max="4" width="11.4285714285714" style="164" customWidth="1"/>
    <col min="5" max="5" width="16.2857142857143" style="164" customWidth="1"/>
    <col min="6" max="6" width="9.14285714285714" style="165" customWidth="1"/>
    <col min="7" max="7" width="2.64285714285714" style="164" customWidth="1"/>
    <col min="8" max="11" width="12.6428571428571" style="164" customWidth="1"/>
    <col min="12" max="15" width="12.6428571428571" customWidth="1"/>
  </cols>
  <sheetData>
    <row r="1" ht="33.75" customHeight="1" spans="1:14">
      <c r="A1" s="1" t="s">
        <v>0</v>
      </c>
      <c r="B1" s="3"/>
      <c r="C1" s="3"/>
      <c r="D1" s="3"/>
      <c r="E1" s="4"/>
      <c r="F1" s="5"/>
      <c r="G1" s="5"/>
      <c r="H1" s="5"/>
      <c r="I1" s="5"/>
      <c r="J1" s="5"/>
      <c r="K1" s="5"/>
      <c r="L1" s="5"/>
      <c r="M1" s="45"/>
      <c r="N1" s="45"/>
    </row>
    <row r="2" ht="20.25" customHeight="1" spans="1:14">
      <c r="A2" s="7" t="s">
        <v>263</v>
      </c>
      <c r="B2" s="3"/>
      <c r="C2" s="3"/>
      <c r="D2" s="3"/>
      <c r="E2" s="4"/>
      <c r="F2" s="5"/>
      <c r="G2" s="5"/>
      <c r="H2" s="5"/>
      <c r="I2" s="5"/>
      <c r="J2" s="5"/>
      <c r="K2" s="5"/>
      <c r="L2" s="46"/>
      <c r="M2" s="45"/>
      <c r="N2" s="45"/>
    </row>
    <row r="4" ht="17.25" customHeight="1" spans="1:14">
      <c r="D4" s="166"/>
      <c r="E4" s="167" t="s">
        <v>264</v>
      </c>
    </row>
    <row r="5" ht="17.25" customHeight="1" spans="1:14">
      <c r="D5" s="167" t="s">
        <v>213</v>
      </c>
      <c r="E5" s="167" t="s">
        <v>265</v>
      </c>
      <c r="I5" s="168" t="s">
        <v>266</v>
      </c>
      <c r="K5" s="169">
        <v>9</v>
      </c>
    </row>
    <row r="6" ht="17.25" customHeight="1" spans="1:14">
      <c r="D6" s="170">
        <v>46230</v>
      </c>
      <c r="E6" s="171">
        <v>23995.95</v>
      </c>
    </row>
    <row r="7" ht="17.25" customHeight="1" spans="1:14">
      <c r="D7" s="170">
        <v>46227</v>
      </c>
      <c r="E7" s="171">
        <v>23767.45</v>
      </c>
      <c r="I7" s="168" t="s">
        <v>267</v>
      </c>
      <c r="K7" s="172">
        <f>_xlfn.RRI(K5,E2622,E6)</f>
        <v>0.130388716842143</v>
      </c>
    </row>
    <row r="8" ht="17.25" customHeight="1" spans="1:14">
      <c r="D8" s="170">
        <v>46226</v>
      </c>
      <c r="E8" s="171">
        <v>23869.6</v>
      </c>
    </row>
    <row r="9" ht="17.25" customHeight="1" spans="1:14">
      <c r="D9" s="170">
        <v>46225</v>
      </c>
      <c r="E9" s="171">
        <v>23996.25</v>
      </c>
    </row>
    <row r="10" ht="17.25" customHeight="1" spans="1:14">
      <c r="D10" s="170">
        <v>46224</v>
      </c>
      <c r="E10" s="171">
        <v>24187.7</v>
      </c>
    </row>
    <row r="11" ht="17.25" customHeight="1" spans="1:14">
      <c r="D11" s="170">
        <v>46223</v>
      </c>
      <c r="E11" s="171">
        <v>24238.5</v>
      </c>
    </row>
    <row r="12" ht="17.25" customHeight="1" spans="1:14">
      <c r="D12" s="170">
        <v>46220</v>
      </c>
      <c r="E12" s="171">
        <v>24334.3</v>
      </c>
    </row>
    <row r="13" ht="17.25" customHeight="1" spans="1:14">
      <c r="D13" s="170">
        <v>46219</v>
      </c>
      <c r="E13" s="171">
        <v>24072.75</v>
      </c>
    </row>
    <row r="14" ht="17.25" customHeight="1" spans="1:14">
      <c r="D14" s="170">
        <v>46218</v>
      </c>
      <c r="E14" s="171">
        <v>24078.5</v>
      </c>
    </row>
    <row r="15" ht="17.25" customHeight="1" spans="1:14">
      <c r="D15" s="170">
        <v>46217</v>
      </c>
      <c r="E15" s="171">
        <v>24052.05</v>
      </c>
    </row>
    <row r="16" ht="17.25" customHeight="1" spans="1:14">
      <c r="D16" s="170">
        <v>46216</v>
      </c>
      <c r="E16" s="171">
        <v>24211</v>
      </c>
    </row>
    <row r="17" ht="17.25" customHeight="1" spans="4:5">
      <c r="D17" s="170">
        <v>46213</v>
      </c>
      <c r="E17" s="171">
        <v>24206.9</v>
      </c>
    </row>
    <row r="18" ht="17.25" customHeight="1" spans="4:5">
      <c r="D18" s="170">
        <v>46212</v>
      </c>
      <c r="E18" s="171">
        <v>23962.8</v>
      </c>
    </row>
    <row r="19" ht="17.25" customHeight="1" spans="4:5">
      <c r="D19" s="170">
        <v>46211</v>
      </c>
      <c r="E19" s="171">
        <v>23882.05</v>
      </c>
    </row>
    <row r="20" ht="17.25" customHeight="1" spans="4:5">
      <c r="D20" s="170">
        <v>46210</v>
      </c>
      <c r="E20" s="171">
        <v>24398.7</v>
      </c>
    </row>
    <row r="21" ht="17.25" customHeight="1" spans="4:5">
      <c r="D21" s="170">
        <v>46209</v>
      </c>
      <c r="E21" s="171">
        <v>24430.35</v>
      </c>
    </row>
    <row r="22" ht="17.25" customHeight="1" spans="4:5">
      <c r="D22" s="170">
        <v>46206</v>
      </c>
      <c r="E22" s="171">
        <v>24270.85</v>
      </c>
    </row>
    <row r="23" ht="17.25" customHeight="1" spans="4:5">
      <c r="D23" s="170">
        <v>46205</v>
      </c>
      <c r="E23" s="171">
        <v>24175.7</v>
      </c>
    </row>
    <row r="24" ht="17.25" customHeight="1" spans="4:5">
      <c r="D24" s="170">
        <v>46204</v>
      </c>
      <c r="E24" s="171">
        <v>24005.85</v>
      </c>
    </row>
    <row r="25" ht="17.25" customHeight="1" spans="4:5">
      <c r="D25" s="170">
        <v>46203</v>
      </c>
      <c r="E25" s="171">
        <v>23865.75</v>
      </c>
    </row>
    <row r="26" ht="17.25" customHeight="1" spans="4:5">
      <c r="D26" s="170">
        <v>46202</v>
      </c>
      <c r="E26" s="171">
        <v>23946.25</v>
      </c>
    </row>
    <row r="27" ht="17.25" customHeight="1" spans="4:5">
      <c r="D27" s="170">
        <v>46198</v>
      </c>
      <c r="E27" s="171">
        <v>24056</v>
      </c>
    </row>
    <row r="28" ht="17.25" customHeight="1" spans="4:5">
      <c r="D28" s="170">
        <v>46197</v>
      </c>
      <c r="E28" s="171">
        <v>24021.65</v>
      </c>
    </row>
    <row r="29" ht="17.25" customHeight="1" spans="4:5">
      <c r="D29" s="170">
        <v>46196</v>
      </c>
      <c r="E29" s="171">
        <v>23824.1</v>
      </c>
    </row>
    <row r="30" ht="17.25" customHeight="1" spans="4:5">
      <c r="D30" s="170">
        <v>46195</v>
      </c>
      <c r="E30" s="171">
        <v>24102.9</v>
      </c>
    </row>
    <row r="31" ht="17.25" customHeight="1" spans="4:5">
      <c r="D31" s="170">
        <v>46192</v>
      </c>
      <c r="E31" s="171">
        <v>24013.1</v>
      </c>
    </row>
    <row r="32" ht="17.25" customHeight="1" spans="4:5">
      <c r="D32" s="170">
        <v>46191</v>
      </c>
      <c r="E32" s="171">
        <v>24168</v>
      </c>
    </row>
    <row r="33" ht="17.25" customHeight="1" spans="4:5">
      <c r="D33" s="170">
        <v>46190</v>
      </c>
      <c r="E33" s="171">
        <v>24085.7</v>
      </c>
    </row>
    <row r="34" ht="17.25" customHeight="1" spans="4:5">
      <c r="D34" s="170">
        <v>46189</v>
      </c>
      <c r="E34" s="171">
        <v>23989.15</v>
      </c>
    </row>
    <row r="35" ht="17.25" customHeight="1" spans="4:5">
      <c r="D35" s="170">
        <v>46188</v>
      </c>
      <c r="E35" s="171">
        <v>23853.9</v>
      </c>
    </row>
    <row r="36" ht="17.25" customHeight="1" spans="4:5">
      <c r="D36" s="170">
        <v>46185</v>
      </c>
      <c r="E36" s="171">
        <v>23622.9</v>
      </c>
    </row>
    <row r="37" ht="17.25" customHeight="1" spans="4:5">
      <c r="D37" s="170">
        <v>46184</v>
      </c>
      <c r="E37" s="171">
        <v>23161.6</v>
      </c>
    </row>
    <row r="38" ht="17.25" customHeight="1" spans="4:5">
      <c r="D38" s="170">
        <v>46183</v>
      </c>
      <c r="E38" s="171">
        <v>23214.95</v>
      </c>
    </row>
    <row r="39" ht="17.25" customHeight="1" spans="4:5">
      <c r="D39" s="170">
        <v>46182</v>
      </c>
      <c r="E39" s="171">
        <v>23242.1</v>
      </c>
    </row>
    <row r="40" ht="17.25" customHeight="1" spans="4:5">
      <c r="D40" s="170">
        <v>46181</v>
      </c>
      <c r="E40" s="171">
        <v>23123</v>
      </c>
    </row>
    <row r="41" ht="17.25" customHeight="1" spans="4:5">
      <c r="D41" s="170">
        <v>46178</v>
      </c>
      <c r="E41" s="171">
        <v>23366.7</v>
      </c>
    </row>
    <row r="42" ht="17.25" customHeight="1" spans="4:5">
      <c r="D42" s="170">
        <v>46177</v>
      </c>
      <c r="E42" s="171">
        <v>23416.55</v>
      </c>
    </row>
    <row r="43" ht="17.25" customHeight="1" spans="4:5">
      <c r="D43" s="170">
        <v>46176</v>
      </c>
      <c r="E43" s="171">
        <v>23405.6</v>
      </c>
    </row>
    <row r="44" ht="17.25" customHeight="1" spans="4:5">
      <c r="D44" s="170">
        <v>46175</v>
      </c>
      <c r="E44" s="171">
        <v>23483.55</v>
      </c>
    </row>
    <row r="45" ht="17.25" customHeight="1" spans="4:5">
      <c r="D45" s="170">
        <v>46174</v>
      </c>
      <c r="E45" s="171">
        <v>23382.6</v>
      </c>
    </row>
    <row r="46" ht="17.25" customHeight="1" spans="4:5">
      <c r="D46" s="170">
        <v>46171</v>
      </c>
      <c r="E46" s="171">
        <v>23547.75</v>
      </c>
    </row>
    <row r="47" ht="17.25" customHeight="1" spans="4:5">
      <c r="D47" s="170">
        <v>46169</v>
      </c>
      <c r="E47" s="171">
        <v>23907.15</v>
      </c>
    </row>
    <row r="48" ht="17.25" customHeight="1" spans="4:5">
      <c r="D48" s="170">
        <v>46168</v>
      </c>
      <c r="E48" s="171">
        <v>23913.7</v>
      </c>
    </row>
    <row r="49" ht="17.25" customHeight="1" spans="4:5">
      <c r="D49" s="170">
        <v>46167</v>
      </c>
      <c r="E49" s="171">
        <v>24031.7</v>
      </c>
    </row>
    <row r="50" ht="17.25" customHeight="1" spans="4:5">
      <c r="D50" s="170">
        <v>46164</v>
      </c>
      <c r="E50" s="171">
        <v>23719.3</v>
      </c>
    </row>
    <row r="51" ht="17.25" customHeight="1" spans="4:5">
      <c r="D51" s="170">
        <v>46163</v>
      </c>
      <c r="E51" s="171">
        <v>23654.7</v>
      </c>
    </row>
    <row r="52" ht="17.25" customHeight="1" spans="4:5">
      <c r="D52" s="170">
        <v>46162</v>
      </c>
      <c r="E52" s="171">
        <v>23659</v>
      </c>
    </row>
    <row r="53" ht="17.25" customHeight="1" spans="4:5">
      <c r="D53" s="170">
        <v>46161</v>
      </c>
      <c r="E53" s="171">
        <v>23618</v>
      </c>
    </row>
    <row r="54" ht="17.25" customHeight="1" spans="4:5">
      <c r="D54" s="170">
        <v>46160</v>
      </c>
      <c r="E54" s="171">
        <v>23649.95</v>
      </c>
    </row>
    <row r="55" ht="17.25" customHeight="1" spans="4:5">
      <c r="D55" s="170">
        <v>46157</v>
      </c>
      <c r="E55" s="171">
        <v>23643.5</v>
      </c>
    </row>
    <row r="56" ht="17.25" customHeight="1" spans="4:5">
      <c r="D56" s="170">
        <v>46156</v>
      </c>
      <c r="E56" s="171">
        <v>23689.6</v>
      </c>
    </row>
    <row r="57" ht="17.25" customHeight="1" spans="4:5">
      <c r="D57" s="170">
        <v>46155</v>
      </c>
      <c r="E57" s="171">
        <v>23412.6</v>
      </c>
    </row>
    <row r="58" ht="17.25" customHeight="1" spans="4:5">
      <c r="D58" s="170">
        <v>46154</v>
      </c>
      <c r="E58" s="171">
        <v>23379.55</v>
      </c>
    </row>
    <row r="59" ht="17.25" customHeight="1" spans="4:5">
      <c r="D59" s="170">
        <v>46153</v>
      </c>
      <c r="E59" s="171">
        <v>23815.85</v>
      </c>
    </row>
    <row r="60" ht="17.25" customHeight="1" spans="4:5">
      <c r="D60" s="170">
        <v>46150</v>
      </c>
      <c r="E60" s="171">
        <v>24176.15</v>
      </c>
    </row>
    <row r="61" ht="17.25" customHeight="1" spans="4:5">
      <c r="D61" s="170">
        <v>46149</v>
      </c>
      <c r="E61" s="171">
        <v>24326.65</v>
      </c>
    </row>
    <row r="62" ht="17.25" customHeight="1" spans="4:5">
      <c r="D62" s="170">
        <v>46148</v>
      </c>
      <c r="E62" s="171">
        <v>24330.95</v>
      </c>
    </row>
    <row r="63" ht="17.25" customHeight="1" spans="4:5">
      <c r="D63" s="170">
        <v>46147</v>
      </c>
      <c r="E63" s="171">
        <v>24032.8</v>
      </c>
    </row>
    <row r="64" ht="17.25" customHeight="1" spans="4:5">
      <c r="D64" s="170">
        <v>46146</v>
      </c>
      <c r="E64" s="171">
        <v>24119.3</v>
      </c>
    </row>
    <row r="65" ht="17.25" customHeight="1" spans="4:5">
      <c r="D65" s="170">
        <v>46142</v>
      </c>
      <c r="E65" s="171">
        <v>23997.55</v>
      </c>
    </row>
    <row r="66" ht="17.25" customHeight="1" spans="4:5">
      <c r="D66" s="170">
        <v>46141</v>
      </c>
      <c r="E66" s="171">
        <v>24177.65</v>
      </c>
    </row>
    <row r="67" ht="17.25" customHeight="1" spans="4:5">
      <c r="D67" s="170">
        <v>46140</v>
      </c>
      <c r="E67" s="171">
        <v>23995.7</v>
      </c>
    </row>
    <row r="68" ht="17.25" customHeight="1" spans="4:5">
      <c r="D68" s="170">
        <v>46139</v>
      </c>
      <c r="E68" s="171">
        <v>24092.7</v>
      </c>
    </row>
    <row r="69" ht="17.25" customHeight="1" spans="4:5">
      <c r="D69" s="170">
        <v>46136</v>
      </c>
      <c r="E69" s="171">
        <v>23897.95</v>
      </c>
    </row>
    <row r="70" ht="17.25" customHeight="1" spans="4:5">
      <c r="D70" s="170">
        <v>46135</v>
      </c>
      <c r="E70" s="171">
        <v>24173.05</v>
      </c>
    </row>
    <row r="71" ht="17.25" customHeight="1" spans="4:5">
      <c r="D71" s="170">
        <v>46134</v>
      </c>
      <c r="E71" s="171">
        <v>24378.1</v>
      </c>
    </row>
    <row r="72" ht="17.25" customHeight="1" spans="4:5">
      <c r="D72" s="170">
        <v>46133</v>
      </c>
      <c r="E72" s="171">
        <v>24576.6</v>
      </c>
    </row>
    <row r="73" ht="17.25" customHeight="1" spans="4:5">
      <c r="D73" s="170">
        <v>46132</v>
      </c>
      <c r="E73" s="171">
        <v>24364.85</v>
      </c>
    </row>
    <row r="74" ht="17.25" customHeight="1" spans="4:5">
      <c r="D74" s="170">
        <v>46129</v>
      </c>
      <c r="E74" s="171">
        <v>24353.55</v>
      </c>
    </row>
    <row r="75" ht="17.25" customHeight="1" spans="4:5">
      <c r="D75" s="170">
        <v>46128</v>
      </c>
      <c r="E75" s="171">
        <v>24196.75</v>
      </c>
    </row>
    <row r="76" ht="17.25" customHeight="1" spans="4:5">
      <c r="D76" s="170">
        <v>46127</v>
      </c>
      <c r="E76" s="171">
        <v>24231.3</v>
      </c>
    </row>
    <row r="77" ht="17.25" customHeight="1" spans="4:5">
      <c r="D77" s="170">
        <v>46125</v>
      </c>
      <c r="E77" s="171">
        <v>23842.65</v>
      </c>
    </row>
    <row r="78" ht="17.25" customHeight="1" spans="4:5">
      <c r="D78" s="170">
        <v>46122</v>
      </c>
      <c r="E78" s="171">
        <v>24050.6</v>
      </c>
    </row>
    <row r="79" ht="17.25" customHeight="1" spans="4:5">
      <c r="D79" s="170">
        <v>46121</v>
      </c>
      <c r="E79" s="171">
        <v>23775.1</v>
      </c>
    </row>
    <row r="80" ht="17.25" customHeight="1" spans="4:5">
      <c r="D80" s="170">
        <v>46120</v>
      </c>
      <c r="E80" s="171">
        <v>23997.35</v>
      </c>
    </row>
    <row r="81" ht="17.25" customHeight="1" spans="4:5">
      <c r="D81" s="170">
        <v>46119</v>
      </c>
      <c r="E81" s="171">
        <v>23123.65</v>
      </c>
    </row>
    <row r="82" ht="17.25" customHeight="1" spans="4:5">
      <c r="D82" s="170">
        <v>46118</v>
      </c>
      <c r="E82" s="171">
        <v>22968.25</v>
      </c>
    </row>
    <row r="83" ht="17.25" customHeight="1" spans="4:5">
      <c r="D83" s="170">
        <v>46114</v>
      </c>
      <c r="E83" s="171">
        <v>22713.1</v>
      </c>
    </row>
    <row r="84" ht="17.25" customHeight="1" spans="4:5">
      <c r="D84" s="170">
        <v>46113</v>
      </c>
      <c r="E84" s="171">
        <v>22679.4</v>
      </c>
    </row>
    <row r="85" ht="17.25" customHeight="1" spans="4:5">
      <c r="D85" s="170">
        <v>46111</v>
      </c>
      <c r="E85" s="171">
        <v>22331.4</v>
      </c>
    </row>
    <row r="86" ht="17.25" customHeight="1" spans="4:5">
      <c r="D86" s="170">
        <v>46108</v>
      </c>
      <c r="E86" s="171">
        <v>22819.6</v>
      </c>
    </row>
    <row r="87" ht="17.25" customHeight="1" spans="4:5">
      <c r="D87" s="170">
        <v>46106</v>
      </c>
      <c r="E87" s="171">
        <v>23306.45</v>
      </c>
    </row>
    <row r="88" ht="17.25" customHeight="1" spans="4:5">
      <c r="D88" s="170">
        <v>46105</v>
      </c>
      <c r="E88" s="171">
        <v>22912.4</v>
      </c>
    </row>
    <row r="89" ht="17.25" customHeight="1" spans="4:5">
      <c r="D89" s="170">
        <v>46104</v>
      </c>
      <c r="E89" s="171">
        <v>22512.65</v>
      </c>
    </row>
    <row r="90" ht="17.25" customHeight="1" spans="4:5">
      <c r="D90" s="170">
        <v>46101</v>
      </c>
      <c r="E90" s="171">
        <v>23114.5</v>
      </c>
    </row>
    <row r="91" ht="17.25" customHeight="1" spans="4:5">
      <c r="D91" s="170">
        <v>46100</v>
      </c>
      <c r="E91" s="171">
        <v>23002.15</v>
      </c>
    </row>
    <row r="92" ht="17.25" customHeight="1" spans="4:5">
      <c r="D92" s="170">
        <v>46099</v>
      </c>
      <c r="E92" s="171">
        <v>23777.8</v>
      </c>
    </row>
    <row r="93" ht="17.25" customHeight="1" spans="4:5">
      <c r="D93" s="170">
        <v>46098</v>
      </c>
      <c r="E93" s="171">
        <v>23581.15</v>
      </c>
    </row>
    <row r="94" ht="17.25" customHeight="1" spans="4:5">
      <c r="D94" s="170">
        <v>46097</v>
      </c>
      <c r="E94" s="171">
        <v>23408.8</v>
      </c>
    </row>
    <row r="95" ht="17.25" customHeight="1" spans="4:5">
      <c r="D95" s="170">
        <v>46094</v>
      </c>
      <c r="E95" s="171">
        <v>23151.1</v>
      </c>
    </row>
    <row r="96" ht="17.25" customHeight="1" spans="4:5">
      <c r="D96" s="170">
        <v>46093</v>
      </c>
      <c r="E96" s="171">
        <v>23639.15</v>
      </c>
    </row>
    <row r="97" ht="17.25" customHeight="1" spans="4:5">
      <c r="D97" s="170">
        <v>46092</v>
      </c>
      <c r="E97" s="171">
        <v>23866.85</v>
      </c>
    </row>
    <row r="98" ht="17.25" customHeight="1" spans="4:5">
      <c r="D98" s="170">
        <v>46091</v>
      </c>
      <c r="E98" s="171">
        <v>24261.6</v>
      </c>
    </row>
    <row r="99" ht="17.25" customHeight="1" spans="4:5">
      <c r="D99" s="170">
        <v>46090</v>
      </c>
      <c r="E99" s="171">
        <v>24028.05</v>
      </c>
    </row>
    <row r="100" ht="17.25" customHeight="1" spans="4:5">
      <c r="D100" s="170">
        <v>46087</v>
      </c>
      <c r="E100" s="171">
        <v>24450.45</v>
      </c>
    </row>
    <row r="101" ht="17.25" customHeight="1" spans="4:5">
      <c r="D101" s="170">
        <v>46086</v>
      </c>
      <c r="E101" s="171">
        <v>24765.9</v>
      </c>
    </row>
    <row r="102" ht="17.25" customHeight="1" spans="4:5">
      <c r="D102" s="170">
        <v>46085</v>
      </c>
      <c r="E102" s="171">
        <v>24480.5</v>
      </c>
    </row>
    <row r="103" ht="17.25" customHeight="1" spans="4:5">
      <c r="D103" s="170">
        <v>46083</v>
      </c>
      <c r="E103" s="171">
        <v>24865.7</v>
      </c>
    </row>
    <row r="104" ht="17.25" customHeight="1" spans="4:5">
      <c r="D104" s="170">
        <v>46080</v>
      </c>
      <c r="E104" s="171">
        <v>25178.65</v>
      </c>
    </row>
    <row r="105" ht="17.25" customHeight="1" spans="4:5">
      <c r="D105" s="170">
        <v>46079</v>
      </c>
      <c r="E105" s="171">
        <v>25496.55</v>
      </c>
    </row>
    <row r="106" ht="17.25" customHeight="1" spans="4:5">
      <c r="D106" s="170">
        <v>46078</v>
      </c>
      <c r="E106" s="171">
        <v>25482.5</v>
      </c>
    </row>
    <row r="107" ht="17.25" customHeight="1" spans="4:5">
      <c r="D107" s="170">
        <v>46077</v>
      </c>
      <c r="E107" s="171">
        <v>25424.65</v>
      </c>
    </row>
    <row r="108" ht="17.25" customHeight="1" spans="4:5">
      <c r="D108" s="170">
        <v>46076</v>
      </c>
      <c r="E108" s="171">
        <v>25713</v>
      </c>
    </row>
    <row r="109" ht="17.25" customHeight="1" spans="4:5">
      <c r="D109" s="170">
        <v>46073</v>
      </c>
      <c r="E109" s="171">
        <v>25571.25</v>
      </c>
    </row>
    <row r="110" ht="17.25" customHeight="1" spans="4:5">
      <c r="D110" s="170">
        <v>46072</v>
      </c>
      <c r="E110" s="171">
        <v>25454.35</v>
      </c>
    </row>
    <row r="111" ht="17.25" customHeight="1" spans="4:5">
      <c r="D111" s="170">
        <v>46071</v>
      </c>
      <c r="E111" s="171">
        <v>25819.35</v>
      </c>
    </row>
    <row r="112" ht="17.25" customHeight="1" spans="4:5">
      <c r="D112" s="170">
        <v>46070</v>
      </c>
      <c r="E112" s="171">
        <v>25725.4</v>
      </c>
    </row>
    <row r="113" ht="17.25" customHeight="1" spans="4:5">
      <c r="D113" s="170">
        <v>46069</v>
      </c>
      <c r="E113" s="171">
        <v>25682.75</v>
      </c>
    </row>
    <row r="114" ht="17.25" customHeight="1" spans="4:5">
      <c r="D114" s="170">
        <v>46066</v>
      </c>
      <c r="E114" s="171">
        <v>25471.1</v>
      </c>
    </row>
    <row r="115" ht="17.25" customHeight="1" spans="4:5">
      <c r="D115" s="170">
        <v>46065</v>
      </c>
      <c r="E115" s="171">
        <v>25807.2</v>
      </c>
    </row>
    <row r="116" ht="17.25" customHeight="1" spans="4:5">
      <c r="D116" s="170">
        <v>46064</v>
      </c>
      <c r="E116" s="171">
        <v>25953.85</v>
      </c>
    </row>
    <row r="117" ht="17.25" customHeight="1" spans="4:5">
      <c r="D117" s="170">
        <v>46063</v>
      </c>
      <c r="E117" s="171">
        <v>25935.15</v>
      </c>
    </row>
    <row r="118" ht="17.25" customHeight="1" spans="4:5">
      <c r="D118" s="170">
        <v>46062</v>
      </c>
      <c r="E118" s="171">
        <v>25867.3</v>
      </c>
    </row>
    <row r="119" ht="17.25" customHeight="1" spans="4:5">
      <c r="D119" s="170">
        <v>46059</v>
      </c>
      <c r="E119" s="171">
        <v>25693.7</v>
      </c>
    </row>
    <row r="120" ht="17.25" customHeight="1" spans="4:5">
      <c r="D120" s="170">
        <v>46058</v>
      </c>
      <c r="E120" s="171">
        <v>25642.8</v>
      </c>
    </row>
    <row r="121" ht="17.25" customHeight="1" spans="4:5">
      <c r="D121" s="170">
        <v>46057</v>
      </c>
      <c r="E121" s="171">
        <v>25776</v>
      </c>
    </row>
    <row r="122" ht="17.25" customHeight="1" spans="4:5">
      <c r="D122" s="170">
        <v>46056</v>
      </c>
      <c r="E122" s="171">
        <v>25727.55</v>
      </c>
    </row>
    <row r="123" ht="17.25" customHeight="1" spans="4:5">
      <c r="D123" s="170">
        <v>46055</v>
      </c>
      <c r="E123" s="171">
        <v>25088.4</v>
      </c>
    </row>
    <row r="124" ht="17.25" customHeight="1" spans="4:5">
      <c r="D124" s="170">
        <v>46054</v>
      </c>
      <c r="E124" s="171">
        <v>24825.45</v>
      </c>
    </row>
    <row r="125" ht="17.25" customHeight="1" spans="4:5">
      <c r="D125" s="170">
        <v>46052</v>
      </c>
      <c r="E125" s="171">
        <v>25320.65</v>
      </c>
    </row>
    <row r="126" ht="17.25" customHeight="1" spans="4:5">
      <c r="D126" s="170">
        <v>46051</v>
      </c>
      <c r="E126" s="171">
        <v>25418.9</v>
      </c>
    </row>
    <row r="127" ht="17.25" customHeight="1" spans="4:5">
      <c r="D127" s="170">
        <v>46050</v>
      </c>
      <c r="E127" s="171">
        <v>25342.75</v>
      </c>
    </row>
    <row r="128" ht="17.25" customHeight="1" spans="4:5">
      <c r="D128" s="170">
        <v>46049</v>
      </c>
      <c r="E128" s="171">
        <v>25175.4</v>
      </c>
    </row>
    <row r="129" ht="17.25" customHeight="1" spans="4:5">
      <c r="D129" s="170">
        <v>46045</v>
      </c>
      <c r="E129" s="171">
        <v>25048.65</v>
      </c>
    </row>
    <row r="130" ht="17.25" customHeight="1" spans="4:5">
      <c r="D130" s="170">
        <v>46044</v>
      </c>
      <c r="E130" s="171">
        <v>25289.9</v>
      </c>
    </row>
    <row r="131" ht="17.25" customHeight="1" spans="4:5">
      <c r="D131" s="170">
        <v>46043</v>
      </c>
      <c r="E131" s="171">
        <v>25157.5</v>
      </c>
    </row>
    <row r="132" ht="17.25" customHeight="1" spans="4:5">
      <c r="D132" s="170">
        <v>46042</v>
      </c>
      <c r="E132" s="171">
        <v>25232.5</v>
      </c>
    </row>
    <row r="133" ht="17.25" customHeight="1" spans="4:5">
      <c r="D133" s="170">
        <v>46041</v>
      </c>
      <c r="E133" s="171">
        <v>25585.5</v>
      </c>
    </row>
    <row r="134" ht="17.25" customHeight="1" spans="4:5">
      <c r="D134" s="170">
        <v>46038</v>
      </c>
      <c r="E134" s="171">
        <v>25694.35</v>
      </c>
    </row>
    <row r="135" ht="17.25" customHeight="1" spans="4:5">
      <c r="D135" s="170">
        <v>46036</v>
      </c>
      <c r="E135" s="171">
        <v>25665.6</v>
      </c>
    </row>
    <row r="136" ht="17.25" customHeight="1" spans="4:5">
      <c r="D136" s="170">
        <v>46035</v>
      </c>
      <c r="E136" s="171">
        <v>25732.3</v>
      </c>
    </row>
    <row r="137" ht="17.25" customHeight="1" spans="4:5">
      <c r="D137" s="170">
        <v>46034</v>
      </c>
      <c r="E137" s="171">
        <v>25790.25</v>
      </c>
    </row>
    <row r="138" ht="17.25" customHeight="1" spans="4:5">
      <c r="D138" s="170">
        <v>46031</v>
      </c>
      <c r="E138" s="171">
        <v>25683.3</v>
      </c>
    </row>
    <row r="139" ht="17.25" customHeight="1" spans="4:5">
      <c r="D139" s="170">
        <v>46030</v>
      </c>
      <c r="E139" s="171">
        <v>25876.85</v>
      </c>
    </row>
    <row r="140" ht="17.25" customHeight="1" spans="4:5">
      <c r="D140" s="170">
        <v>46029</v>
      </c>
      <c r="E140" s="171">
        <v>26140.75</v>
      </c>
    </row>
    <row r="141" ht="17.25" customHeight="1" spans="4:5">
      <c r="D141" s="170">
        <v>46028</v>
      </c>
      <c r="E141" s="171">
        <v>26178.7</v>
      </c>
    </row>
    <row r="142" ht="17.25" customHeight="1" spans="4:5">
      <c r="D142" s="170">
        <v>46027</v>
      </c>
      <c r="E142" s="171">
        <v>26250.3</v>
      </c>
    </row>
    <row r="143" ht="17.25" customHeight="1" spans="4:5">
      <c r="D143" s="170">
        <v>46024</v>
      </c>
      <c r="E143" s="171">
        <v>26328.55</v>
      </c>
    </row>
    <row r="144" ht="17.25" customHeight="1" spans="4:5">
      <c r="D144" s="170">
        <v>46023</v>
      </c>
      <c r="E144" s="171">
        <v>26146.55</v>
      </c>
    </row>
    <row r="145" ht="17.25" customHeight="1" spans="4:5">
      <c r="D145" s="170">
        <v>46022</v>
      </c>
      <c r="E145" s="171">
        <v>26129.6</v>
      </c>
    </row>
    <row r="146" ht="17.25" customHeight="1" spans="4:5">
      <c r="D146" s="170">
        <v>46021</v>
      </c>
      <c r="E146" s="171">
        <v>25938.85</v>
      </c>
    </row>
    <row r="147" ht="17.25" customHeight="1" spans="4:5">
      <c r="D147" s="170">
        <v>46020</v>
      </c>
      <c r="E147" s="171">
        <v>25942.1</v>
      </c>
    </row>
    <row r="148" ht="17.25" customHeight="1" spans="4:5">
      <c r="D148" s="170">
        <v>46017</v>
      </c>
      <c r="E148" s="171">
        <v>26042.3</v>
      </c>
    </row>
    <row r="149" ht="17.25" customHeight="1" spans="4:5">
      <c r="D149" s="170">
        <v>46015</v>
      </c>
      <c r="E149" s="171">
        <v>26142.1</v>
      </c>
    </row>
    <row r="150" ht="17.25" customHeight="1" spans="4:5">
      <c r="D150" s="170">
        <v>46014</v>
      </c>
      <c r="E150" s="171">
        <v>26177.15</v>
      </c>
    </row>
    <row r="151" ht="17.25" customHeight="1" spans="4:5">
      <c r="D151" s="170">
        <v>46013</v>
      </c>
      <c r="E151" s="171">
        <v>26172.4</v>
      </c>
    </row>
    <row r="152" ht="17.25" customHeight="1" spans="4:5">
      <c r="D152" s="170">
        <v>46010</v>
      </c>
      <c r="E152" s="171">
        <v>25966.4</v>
      </c>
    </row>
    <row r="153" ht="17.25" customHeight="1" spans="4:5">
      <c r="D153" s="170">
        <v>46009</v>
      </c>
      <c r="E153" s="171">
        <v>25815.55</v>
      </c>
    </row>
    <row r="154" ht="17.25" customHeight="1" spans="4:5">
      <c r="D154" s="170">
        <v>46008</v>
      </c>
      <c r="E154" s="171">
        <v>25818.55</v>
      </c>
    </row>
    <row r="155" ht="17.25" customHeight="1" spans="4:5">
      <c r="D155" s="170">
        <v>46007</v>
      </c>
      <c r="E155" s="171">
        <v>25860.1</v>
      </c>
    </row>
    <row r="156" ht="17.25" customHeight="1" spans="4:5">
      <c r="D156" s="170">
        <v>46006</v>
      </c>
      <c r="E156" s="171">
        <v>26027.3</v>
      </c>
    </row>
    <row r="157" ht="17.25" customHeight="1" spans="4:5">
      <c r="D157" s="170">
        <v>46003</v>
      </c>
      <c r="E157" s="171">
        <v>26046.95</v>
      </c>
    </row>
    <row r="158" ht="17.25" customHeight="1" spans="4:5">
      <c r="D158" s="170">
        <v>46002</v>
      </c>
      <c r="E158" s="171">
        <v>25898.55</v>
      </c>
    </row>
    <row r="159" ht="17.25" customHeight="1" spans="4:5">
      <c r="D159" s="170">
        <v>46001</v>
      </c>
      <c r="E159" s="171">
        <v>25758</v>
      </c>
    </row>
    <row r="160" ht="17.25" customHeight="1" spans="4:5">
      <c r="D160" s="170">
        <v>46000</v>
      </c>
      <c r="E160" s="171">
        <v>25839.65</v>
      </c>
    </row>
    <row r="161" ht="17.25" customHeight="1" spans="4:5">
      <c r="D161" s="170">
        <v>45999</v>
      </c>
      <c r="E161" s="171">
        <v>25960.55</v>
      </c>
    </row>
    <row r="162" ht="17.25" customHeight="1" spans="4:5">
      <c r="D162" s="170">
        <v>45996</v>
      </c>
      <c r="E162" s="171">
        <v>26186.45</v>
      </c>
    </row>
    <row r="163" ht="17.25" customHeight="1" spans="4:5">
      <c r="D163" s="170">
        <v>45995</v>
      </c>
      <c r="E163" s="171">
        <v>26033.75</v>
      </c>
    </row>
    <row r="164" ht="17.25" customHeight="1" spans="4:5">
      <c r="D164" s="170">
        <v>45994</v>
      </c>
      <c r="E164" s="171">
        <v>25986</v>
      </c>
    </row>
    <row r="165" ht="17.25" customHeight="1" spans="4:5">
      <c r="D165" s="170">
        <v>45993</v>
      </c>
      <c r="E165" s="171">
        <v>26032.2</v>
      </c>
    </row>
    <row r="166" ht="17.25" customHeight="1" spans="4:5">
      <c r="D166" s="170">
        <v>45992</v>
      </c>
      <c r="E166" s="171">
        <v>26175.75</v>
      </c>
    </row>
    <row r="167" ht="17.25" customHeight="1" spans="4:5">
      <c r="D167" s="170">
        <v>45989</v>
      </c>
      <c r="E167" s="171">
        <v>26202.95</v>
      </c>
    </row>
    <row r="168" ht="17.25" customHeight="1" spans="4:5">
      <c r="D168" s="170">
        <v>45988</v>
      </c>
      <c r="E168" s="171">
        <v>26215.55</v>
      </c>
    </row>
    <row r="169" ht="17.25" customHeight="1" spans="4:5">
      <c r="D169" s="170">
        <v>45987</v>
      </c>
      <c r="E169" s="171">
        <v>26205.3</v>
      </c>
    </row>
    <row r="170" ht="17.25" customHeight="1" spans="4:5">
      <c r="D170" s="170">
        <v>45986</v>
      </c>
      <c r="E170" s="171">
        <v>25884.8</v>
      </c>
    </row>
    <row r="171" ht="17.25" customHeight="1" spans="4:5">
      <c r="D171" s="170">
        <v>45985</v>
      </c>
      <c r="E171" s="171">
        <v>25959.5</v>
      </c>
    </row>
    <row r="172" ht="17.25" customHeight="1" spans="4:5">
      <c r="D172" s="170">
        <v>45982</v>
      </c>
      <c r="E172" s="171">
        <v>26068.15</v>
      </c>
    </row>
    <row r="173" ht="17.25" customHeight="1" spans="4:5">
      <c r="D173" s="170">
        <v>45981</v>
      </c>
      <c r="E173" s="171">
        <v>26192.15</v>
      </c>
    </row>
    <row r="174" ht="17.25" customHeight="1" spans="4:5">
      <c r="D174" s="170">
        <v>45980</v>
      </c>
      <c r="E174" s="171">
        <v>26052.65</v>
      </c>
    </row>
    <row r="175" ht="17.25" customHeight="1" spans="4:5">
      <c r="D175" s="170">
        <v>45979</v>
      </c>
      <c r="E175" s="171">
        <v>25910.05</v>
      </c>
    </row>
    <row r="176" ht="17.25" customHeight="1" spans="4:5">
      <c r="D176" s="170">
        <v>45978</v>
      </c>
      <c r="E176" s="171">
        <v>26013.45</v>
      </c>
    </row>
    <row r="177" ht="17.25" customHeight="1" spans="4:5">
      <c r="D177" s="170">
        <v>45975</v>
      </c>
      <c r="E177" s="171">
        <v>25910.05</v>
      </c>
    </row>
    <row r="178" ht="17.25" customHeight="1" spans="4:5">
      <c r="D178" s="170">
        <v>45974</v>
      </c>
      <c r="E178" s="171">
        <v>25879.15</v>
      </c>
    </row>
    <row r="179" ht="17.25" customHeight="1" spans="4:5">
      <c r="D179" s="170">
        <v>45973</v>
      </c>
      <c r="E179" s="171">
        <v>25875.8</v>
      </c>
    </row>
    <row r="180" ht="17.25" customHeight="1" spans="4:5">
      <c r="D180" s="170">
        <v>45972</v>
      </c>
      <c r="E180" s="171">
        <v>25694.95</v>
      </c>
    </row>
    <row r="181" ht="17.25" customHeight="1" spans="4:5">
      <c r="D181" s="170">
        <v>45971</v>
      </c>
      <c r="E181" s="171">
        <v>25574.35</v>
      </c>
    </row>
    <row r="182" ht="17.25" customHeight="1" spans="4:5">
      <c r="D182" s="170">
        <v>45968</v>
      </c>
      <c r="E182" s="171">
        <v>25492.3</v>
      </c>
    </row>
    <row r="183" ht="17.25" customHeight="1" spans="4:5">
      <c r="D183" s="170">
        <v>45967</v>
      </c>
      <c r="E183" s="171">
        <v>25509.7</v>
      </c>
    </row>
    <row r="184" ht="17.25" customHeight="1" spans="4:5">
      <c r="D184" s="170">
        <v>45965</v>
      </c>
      <c r="E184" s="171">
        <v>25597.65</v>
      </c>
    </row>
    <row r="185" ht="17.25" customHeight="1" spans="4:5">
      <c r="D185" s="170">
        <v>45964</v>
      </c>
      <c r="E185" s="171">
        <v>25763.35</v>
      </c>
    </row>
    <row r="186" ht="17.25" customHeight="1" spans="4:5">
      <c r="D186" s="170">
        <v>45961</v>
      </c>
      <c r="E186" s="171">
        <v>25722.1</v>
      </c>
    </row>
    <row r="187" ht="17.25" customHeight="1" spans="4:5">
      <c r="D187" s="170">
        <v>45960</v>
      </c>
      <c r="E187" s="171">
        <v>25877.85</v>
      </c>
    </row>
    <row r="188" ht="17.25" customHeight="1" spans="4:5">
      <c r="D188" s="170">
        <v>45959</v>
      </c>
      <c r="E188" s="171">
        <v>26053.9</v>
      </c>
    </row>
    <row r="189" ht="17.25" customHeight="1" spans="4:5">
      <c r="D189" s="170">
        <v>45958</v>
      </c>
      <c r="E189" s="171">
        <v>25936.2</v>
      </c>
    </row>
    <row r="190" ht="17.25" customHeight="1" spans="4:5">
      <c r="D190" s="170">
        <v>45957</v>
      </c>
      <c r="E190" s="171">
        <v>25966.05</v>
      </c>
    </row>
    <row r="191" ht="17.25" customHeight="1" spans="4:5">
      <c r="D191" s="170">
        <v>45954</v>
      </c>
      <c r="E191" s="171">
        <v>25795.15</v>
      </c>
    </row>
    <row r="192" ht="17.25" customHeight="1" spans="4:5">
      <c r="D192" s="170">
        <v>45953</v>
      </c>
      <c r="E192" s="171">
        <v>25891.4</v>
      </c>
    </row>
    <row r="193" ht="17.25" customHeight="1" spans="4:5">
      <c r="D193" s="170">
        <v>45951</v>
      </c>
      <c r="E193" s="171">
        <v>25868.6</v>
      </c>
    </row>
    <row r="194" ht="17.25" customHeight="1" spans="4:5">
      <c r="D194" s="170">
        <v>45950</v>
      </c>
      <c r="E194" s="171">
        <v>25843.15</v>
      </c>
    </row>
    <row r="195" ht="17.25" customHeight="1" spans="4:5">
      <c r="D195" s="170">
        <v>45947</v>
      </c>
      <c r="E195" s="171">
        <v>25709.85</v>
      </c>
    </row>
    <row r="196" ht="17.25" customHeight="1" spans="4:5">
      <c r="D196" s="170">
        <v>45946</v>
      </c>
      <c r="E196" s="171">
        <v>25585.3</v>
      </c>
    </row>
    <row r="197" ht="17.25" customHeight="1" spans="4:5">
      <c r="D197" s="170">
        <v>45945</v>
      </c>
      <c r="E197" s="171">
        <v>25323.55</v>
      </c>
    </row>
    <row r="198" ht="17.25" customHeight="1" spans="4:5">
      <c r="D198" s="170">
        <v>45944</v>
      </c>
      <c r="E198" s="171">
        <v>25145.5</v>
      </c>
    </row>
    <row r="199" ht="17.25" customHeight="1" spans="4:5">
      <c r="D199" s="170">
        <v>45943</v>
      </c>
      <c r="E199" s="171">
        <v>25227.35</v>
      </c>
    </row>
    <row r="200" ht="17.25" customHeight="1" spans="4:5">
      <c r="D200" s="170">
        <v>45940</v>
      </c>
      <c r="E200" s="171">
        <v>25285.35</v>
      </c>
    </row>
    <row r="201" ht="17.25" customHeight="1" spans="4:5">
      <c r="D201" s="170">
        <v>45939</v>
      </c>
      <c r="E201" s="171">
        <v>25181.8</v>
      </c>
    </row>
    <row r="202" ht="17.25" customHeight="1" spans="4:5">
      <c r="D202" s="170">
        <v>45938</v>
      </c>
      <c r="E202" s="171">
        <v>25046.15</v>
      </c>
    </row>
    <row r="203" ht="17.25" customHeight="1" spans="4:5">
      <c r="D203" s="170">
        <v>45937</v>
      </c>
      <c r="E203" s="171">
        <v>25108.3</v>
      </c>
    </row>
    <row r="204" ht="17.25" customHeight="1" spans="4:5">
      <c r="D204" s="170">
        <v>45936</v>
      </c>
      <c r="E204" s="171">
        <v>25077.65</v>
      </c>
    </row>
    <row r="205" ht="17.25" customHeight="1" spans="4:5">
      <c r="D205" s="170">
        <v>45933</v>
      </c>
      <c r="E205" s="171">
        <v>24894.25</v>
      </c>
    </row>
    <row r="206" ht="17.25" customHeight="1" spans="4:5">
      <c r="D206" s="170">
        <v>45931</v>
      </c>
      <c r="E206" s="171">
        <v>24836.3</v>
      </c>
    </row>
    <row r="207" ht="17.25" customHeight="1" spans="4:5">
      <c r="D207" s="170">
        <v>45930</v>
      </c>
      <c r="E207" s="171">
        <v>24611.1</v>
      </c>
    </row>
    <row r="208" ht="17.25" customHeight="1" spans="4:5">
      <c r="D208" s="170">
        <v>45929</v>
      </c>
      <c r="E208" s="171">
        <v>24634.9</v>
      </c>
    </row>
    <row r="209" ht="17.25" customHeight="1" spans="4:5">
      <c r="D209" s="170">
        <v>45926</v>
      </c>
      <c r="E209" s="171">
        <v>24654.7</v>
      </c>
    </row>
    <row r="210" ht="17.25" customHeight="1" spans="4:5">
      <c r="D210" s="170">
        <v>45925</v>
      </c>
      <c r="E210" s="171">
        <v>24890.85</v>
      </c>
    </row>
    <row r="211" ht="17.25" customHeight="1" spans="4:5">
      <c r="D211" s="170">
        <v>45924</v>
      </c>
      <c r="E211" s="171">
        <v>25056.9</v>
      </c>
    </row>
    <row r="212" ht="17.25" customHeight="1" spans="4:5">
      <c r="D212" s="170">
        <v>45923</v>
      </c>
      <c r="E212" s="171">
        <v>25169.5</v>
      </c>
    </row>
    <row r="213" ht="17.25" customHeight="1" spans="4:5">
      <c r="D213" s="170">
        <v>45922</v>
      </c>
      <c r="E213" s="171">
        <v>25202.35</v>
      </c>
    </row>
    <row r="214" ht="17.25" customHeight="1" spans="4:5">
      <c r="D214" s="170">
        <v>45919</v>
      </c>
      <c r="E214" s="171">
        <v>25327.05</v>
      </c>
    </row>
    <row r="215" ht="17.25" customHeight="1" spans="4:5">
      <c r="D215" s="170">
        <v>45918</v>
      </c>
      <c r="E215" s="171">
        <v>25423.6</v>
      </c>
    </row>
    <row r="216" ht="17.25" customHeight="1" spans="4:5">
      <c r="D216" s="170">
        <v>45917</v>
      </c>
      <c r="E216" s="171">
        <v>25330.25</v>
      </c>
    </row>
    <row r="217" ht="17.25" customHeight="1" spans="4:5">
      <c r="D217" s="170">
        <v>45916</v>
      </c>
      <c r="E217" s="171">
        <v>25239.1</v>
      </c>
    </row>
    <row r="218" ht="17.25" customHeight="1" spans="4:5">
      <c r="D218" s="170">
        <v>45915</v>
      </c>
      <c r="E218" s="171">
        <v>25069.2</v>
      </c>
    </row>
    <row r="219" ht="17.25" customHeight="1" spans="4:5">
      <c r="D219" s="170">
        <v>45912</v>
      </c>
      <c r="E219" s="171">
        <v>25114</v>
      </c>
    </row>
    <row r="220" ht="17.25" customHeight="1" spans="4:5">
      <c r="D220" s="170">
        <v>45911</v>
      </c>
      <c r="E220" s="171">
        <v>25005.5</v>
      </c>
    </row>
    <row r="221" ht="17.25" customHeight="1" spans="4:5">
      <c r="D221" s="170">
        <v>45910</v>
      </c>
      <c r="E221" s="171">
        <v>24973.1</v>
      </c>
    </row>
    <row r="222" ht="17.25" customHeight="1" spans="4:5">
      <c r="D222" s="170">
        <v>45909</v>
      </c>
      <c r="E222" s="171">
        <v>24868.6</v>
      </c>
    </row>
    <row r="223" ht="17.25" customHeight="1" spans="4:5">
      <c r="D223" s="170">
        <v>45908</v>
      </c>
      <c r="E223" s="171">
        <v>24773.15</v>
      </c>
    </row>
    <row r="224" ht="17.25" customHeight="1" spans="4:5">
      <c r="D224" s="170">
        <v>45905</v>
      </c>
      <c r="E224" s="171">
        <v>24741</v>
      </c>
    </row>
    <row r="225" ht="17.25" customHeight="1" spans="4:5">
      <c r="D225" s="170">
        <v>45904</v>
      </c>
      <c r="E225" s="171">
        <v>24734.3</v>
      </c>
    </row>
    <row r="226" ht="17.25" customHeight="1" spans="4:5">
      <c r="D226" s="170">
        <v>45903</v>
      </c>
      <c r="E226" s="171">
        <v>24715.05</v>
      </c>
    </row>
    <row r="227" ht="17.25" customHeight="1" spans="4:5">
      <c r="D227" s="170">
        <v>45902</v>
      </c>
      <c r="E227" s="171">
        <v>24579.6</v>
      </c>
    </row>
    <row r="228" ht="17.25" customHeight="1" spans="4:5">
      <c r="D228" s="170">
        <v>45901</v>
      </c>
      <c r="E228" s="171">
        <v>24625.05</v>
      </c>
    </row>
    <row r="229" ht="17.25" customHeight="1" spans="4:5">
      <c r="D229" s="170">
        <v>45898</v>
      </c>
      <c r="E229" s="171">
        <v>24426.85</v>
      </c>
    </row>
    <row r="230" ht="17.25" customHeight="1" spans="4:5">
      <c r="D230" s="170">
        <v>45897</v>
      </c>
      <c r="E230" s="171">
        <v>24500.9</v>
      </c>
    </row>
    <row r="231" ht="17.25" customHeight="1" spans="4:5">
      <c r="D231" s="170">
        <v>45895</v>
      </c>
      <c r="E231" s="171">
        <v>24712.05</v>
      </c>
    </row>
    <row r="232" ht="17.25" customHeight="1" spans="4:5">
      <c r="D232" s="170">
        <v>45894</v>
      </c>
      <c r="E232" s="171">
        <v>24967.75</v>
      </c>
    </row>
    <row r="233" ht="17.25" customHeight="1" spans="4:5">
      <c r="D233" s="170">
        <v>45891</v>
      </c>
      <c r="E233" s="171">
        <v>24870.1</v>
      </c>
    </row>
    <row r="234" ht="17.25" customHeight="1" spans="4:5">
      <c r="D234" s="170">
        <v>45890</v>
      </c>
      <c r="E234" s="171">
        <v>25083.75</v>
      </c>
    </row>
    <row r="235" ht="17.25" customHeight="1" spans="4:5">
      <c r="D235" s="170">
        <v>45889</v>
      </c>
      <c r="E235" s="171">
        <v>25050.55</v>
      </c>
    </row>
    <row r="236" ht="17.25" customHeight="1" spans="4:5">
      <c r="D236" s="170">
        <v>45888</v>
      </c>
      <c r="E236" s="171">
        <v>24980.65</v>
      </c>
    </row>
    <row r="237" ht="17.25" customHeight="1" spans="4:5">
      <c r="D237" s="170">
        <v>45887</v>
      </c>
      <c r="E237" s="171">
        <v>24876.95</v>
      </c>
    </row>
    <row r="238" ht="17.25" customHeight="1" spans="4:5">
      <c r="D238" s="170">
        <v>45883</v>
      </c>
      <c r="E238" s="171">
        <v>24631.3</v>
      </c>
    </row>
    <row r="239" ht="17.25" customHeight="1" spans="4:5">
      <c r="D239" s="170">
        <v>45882</v>
      </c>
      <c r="E239" s="171">
        <v>24619.35</v>
      </c>
    </row>
    <row r="240" ht="17.25" customHeight="1" spans="4:5">
      <c r="D240" s="170">
        <v>45881</v>
      </c>
      <c r="E240" s="171">
        <v>24487.4</v>
      </c>
    </row>
    <row r="241" ht="17.25" customHeight="1" spans="4:5">
      <c r="D241" s="170">
        <v>45880</v>
      </c>
      <c r="E241" s="171">
        <v>24585.05</v>
      </c>
    </row>
    <row r="242" ht="17.25" customHeight="1" spans="4:5">
      <c r="D242" s="170">
        <v>45877</v>
      </c>
      <c r="E242" s="171">
        <v>24363.3</v>
      </c>
    </row>
    <row r="243" ht="17.25" customHeight="1" spans="4:5">
      <c r="D243" s="170">
        <v>45876</v>
      </c>
      <c r="E243" s="171">
        <v>24596.15</v>
      </c>
    </row>
    <row r="244" ht="17.25" customHeight="1" spans="4:5">
      <c r="D244" s="170">
        <v>45875</v>
      </c>
      <c r="E244" s="171">
        <v>24574.2</v>
      </c>
    </row>
    <row r="245" ht="17.25" customHeight="1" spans="4:5">
      <c r="D245" s="170">
        <v>45874</v>
      </c>
      <c r="E245" s="171">
        <v>24649.55</v>
      </c>
    </row>
    <row r="246" ht="17.25" customHeight="1" spans="4:5">
      <c r="D246" s="170">
        <v>45873</v>
      </c>
      <c r="E246" s="171">
        <v>24722.75</v>
      </c>
    </row>
    <row r="247" ht="17.25" customHeight="1" spans="4:5">
      <c r="D247" s="170">
        <v>45870</v>
      </c>
      <c r="E247" s="171">
        <v>24565.35</v>
      </c>
    </row>
    <row r="248" ht="17.25" customHeight="1" spans="4:5">
      <c r="D248" s="170">
        <v>45869</v>
      </c>
      <c r="E248" s="171">
        <v>24768.35</v>
      </c>
    </row>
    <row r="249" ht="17.25" customHeight="1" spans="4:5">
      <c r="D249" s="170">
        <v>45868</v>
      </c>
      <c r="E249" s="171">
        <v>24855.05</v>
      </c>
    </row>
    <row r="250" ht="17.25" customHeight="1" spans="4:5">
      <c r="D250" s="170">
        <v>45867</v>
      </c>
      <c r="E250" s="171">
        <v>24821.1</v>
      </c>
    </row>
    <row r="251" ht="17.25" customHeight="1" spans="4:5">
      <c r="D251" s="170">
        <v>45866</v>
      </c>
      <c r="E251" s="171">
        <v>24680.9</v>
      </c>
    </row>
    <row r="252" ht="17.25" customHeight="1" spans="4:5">
      <c r="D252" s="170">
        <v>45863</v>
      </c>
      <c r="E252" s="171">
        <v>24837</v>
      </c>
    </row>
    <row r="253" ht="17.25" customHeight="1" spans="4:5">
      <c r="D253" s="170">
        <v>45862</v>
      </c>
      <c r="E253" s="171">
        <v>25062.1</v>
      </c>
    </row>
    <row r="254" ht="17.25" customHeight="1" spans="4:5">
      <c r="D254" s="170">
        <v>45861</v>
      </c>
      <c r="E254" s="171">
        <v>25219.9</v>
      </c>
    </row>
    <row r="255" ht="17.25" customHeight="1" spans="4:5">
      <c r="D255" s="170">
        <v>45860</v>
      </c>
      <c r="E255" s="171">
        <v>25060.9</v>
      </c>
    </row>
    <row r="256" ht="17.25" customHeight="1" spans="4:5">
      <c r="D256" s="170">
        <v>45859</v>
      </c>
      <c r="E256" s="171">
        <v>25090.7</v>
      </c>
    </row>
    <row r="257" ht="17.25" customHeight="1" spans="4:5">
      <c r="D257" s="170">
        <v>45856</v>
      </c>
      <c r="E257" s="171">
        <v>24968.4</v>
      </c>
    </row>
    <row r="258" ht="17.25" customHeight="1" spans="4:5">
      <c r="D258" s="170">
        <v>45855</v>
      </c>
      <c r="E258" s="171">
        <v>25111.45</v>
      </c>
    </row>
    <row r="259" ht="17.25" customHeight="1" spans="4:5">
      <c r="D259" s="170">
        <v>45854</v>
      </c>
      <c r="E259" s="171">
        <v>25212.05</v>
      </c>
    </row>
    <row r="260" ht="17.25" customHeight="1" spans="4:5">
      <c r="D260" s="170">
        <v>45853</v>
      </c>
      <c r="E260" s="171">
        <v>25195.8</v>
      </c>
    </row>
    <row r="261" ht="17.25" customHeight="1" spans="4:5">
      <c r="D261" s="170">
        <v>45852</v>
      </c>
      <c r="E261" s="171">
        <v>25082.3</v>
      </c>
    </row>
    <row r="262" ht="17.25" customHeight="1" spans="4:5">
      <c r="D262" s="170">
        <v>45849</v>
      </c>
      <c r="E262" s="171">
        <v>25149.85</v>
      </c>
    </row>
    <row r="263" ht="17.25" customHeight="1" spans="4:5">
      <c r="D263" s="170">
        <v>45848</v>
      </c>
      <c r="E263" s="171">
        <v>25355.25</v>
      </c>
    </row>
    <row r="264" ht="17.25" customHeight="1" spans="4:5">
      <c r="D264" s="170">
        <v>45847</v>
      </c>
      <c r="E264" s="171">
        <v>25476.1</v>
      </c>
    </row>
    <row r="265" ht="17.25" customHeight="1" spans="4:5">
      <c r="D265" s="170">
        <v>45846</v>
      </c>
      <c r="E265" s="171">
        <v>25522.5</v>
      </c>
    </row>
    <row r="266" ht="17.25" customHeight="1" spans="4:5">
      <c r="D266" s="170">
        <v>45845</v>
      </c>
      <c r="E266" s="171">
        <v>25461.3</v>
      </c>
    </row>
    <row r="267" ht="17.25" customHeight="1" spans="4:5">
      <c r="D267" s="170">
        <v>45842</v>
      </c>
      <c r="E267" s="171">
        <v>25461</v>
      </c>
    </row>
    <row r="268" ht="17.25" customHeight="1" spans="4:5">
      <c r="D268" s="170">
        <v>45841</v>
      </c>
      <c r="E268" s="171">
        <v>25405.3</v>
      </c>
    </row>
    <row r="269" ht="17.25" customHeight="1" spans="4:5">
      <c r="D269" s="170">
        <v>45840</v>
      </c>
      <c r="E269" s="171">
        <v>25453.4</v>
      </c>
    </row>
    <row r="270" ht="17.25" customHeight="1" spans="4:5">
      <c r="D270" s="170">
        <v>45839</v>
      </c>
      <c r="E270" s="171">
        <v>25541.8</v>
      </c>
    </row>
    <row r="271" ht="17.25" customHeight="1" spans="4:5">
      <c r="D271" s="170">
        <v>45838</v>
      </c>
      <c r="E271" s="171">
        <v>25517.05</v>
      </c>
    </row>
    <row r="272" ht="17.25" customHeight="1" spans="4:5">
      <c r="D272" s="170">
        <v>45835</v>
      </c>
      <c r="E272" s="171">
        <v>25637.8</v>
      </c>
    </row>
    <row r="273" ht="17.25" customHeight="1" spans="4:5">
      <c r="D273" s="170">
        <v>45834</v>
      </c>
      <c r="E273" s="171">
        <v>25549</v>
      </c>
    </row>
    <row r="274" ht="17.25" customHeight="1" spans="4:5">
      <c r="D274" s="170">
        <v>45833</v>
      </c>
      <c r="E274" s="171">
        <v>25244.75</v>
      </c>
    </row>
    <row r="275" ht="17.25" customHeight="1" spans="4:5">
      <c r="D275" s="170">
        <v>45832</v>
      </c>
      <c r="E275" s="171">
        <v>25044.35</v>
      </c>
    </row>
    <row r="276" ht="17.25" customHeight="1" spans="4:5">
      <c r="D276" s="170">
        <v>45831</v>
      </c>
      <c r="E276" s="171">
        <v>24971.9</v>
      </c>
    </row>
    <row r="277" ht="17.25" customHeight="1" spans="4:5">
      <c r="D277" s="170">
        <v>45828</v>
      </c>
      <c r="E277" s="171">
        <v>25112.4</v>
      </c>
    </row>
    <row r="278" ht="17.25" customHeight="1" spans="4:5">
      <c r="D278" s="170">
        <v>45827</v>
      </c>
      <c r="E278" s="171">
        <v>24793.25</v>
      </c>
    </row>
    <row r="279" ht="17.25" customHeight="1" spans="4:5">
      <c r="D279" s="170">
        <v>45826</v>
      </c>
      <c r="E279" s="171">
        <v>24812.05</v>
      </c>
    </row>
    <row r="280" ht="17.25" customHeight="1" spans="4:5">
      <c r="D280" s="170">
        <v>45825</v>
      </c>
      <c r="E280" s="171">
        <v>24853.4</v>
      </c>
    </row>
    <row r="281" ht="17.25" customHeight="1" spans="4:5">
      <c r="D281" s="170">
        <v>45824</v>
      </c>
      <c r="E281" s="171">
        <v>24946.5</v>
      </c>
    </row>
    <row r="282" ht="17.25" customHeight="1" spans="4:5">
      <c r="D282" s="170">
        <v>45821</v>
      </c>
      <c r="E282" s="171">
        <v>24718.6</v>
      </c>
    </row>
    <row r="283" ht="17.25" customHeight="1" spans="4:5">
      <c r="D283" s="170">
        <v>45820</v>
      </c>
      <c r="E283" s="171">
        <v>24888.2</v>
      </c>
    </row>
    <row r="284" ht="17.25" customHeight="1" spans="4:5">
      <c r="D284" s="170">
        <v>45819</v>
      </c>
      <c r="E284" s="171">
        <v>25141.4</v>
      </c>
    </row>
    <row r="285" ht="17.25" customHeight="1" spans="4:5">
      <c r="D285" s="170">
        <v>45818</v>
      </c>
      <c r="E285" s="171">
        <v>25104.25</v>
      </c>
    </row>
    <row r="286" ht="17.25" customHeight="1" spans="4:5">
      <c r="D286" s="170">
        <v>45817</v>
      </c>
      <c r="E286" s="171">
        <v>25103.2</v>
      </c>
    </row>
    <row r="287" ht="17.25" customHeight="1" spans="4:5">
      <c r="D287" s="170">
        <v>45814</v>
      </c>
      <c r="E287" s="171">
        <v>25003.05</v>
      </c>
    </row>
    <row r="288" ht="17.25" customHeight="1" spans="4:5">
      <c r="D288" s="170">
        <v>45813</v>
      </c>
      <c r="E288" s="171">
        <v>24750.9</v>
      </c>
    </row>
    <row r="289" ht="17.25" customHeight="1" spans="4:5">
      <c r="D289" s="170">
        <v>45812</v>
      </c>
      <c r="E289" s="171">
        <v>24620.2</v>
      </c>
    </row>
    <row r="290" ht="17.25" customHeight="1" spans="4:5">
      <c r="D290" s="170">
        <v>45811</v>
      </c>
      <c r="E290" s="171">
        <v>24542.5</v>
      </c>
    </row>
    <row r="291" ht="17.25" customHeight="1" spans="4:5">
      <c r="D291" s="170">
        <v>45810</v>
      </c>
      <c r="E291" s="171">
        <v>24716.6</v>
      </c>
    </row>
    <row r="292" ht="17.25" customHeight="1" spans="4:5">
      <c r="D292" s="170">
        <v>45807</v>
      </c>
      <c r="E292" s="171">
        <v>24750.7</v>
      </c>
    </row>
    <row r="293" ht="17.25" customHeight="1" spans="4:5">
      <c r="D293" s="170">
        <v>45806</v>
      </c>
      <c r="E293" s="171">
        <v>24833.6</v>
      </c>
    </row>
    <row r="294" ht="17.25" customHeight="1" spans="4:5">
      <c r="D294" s="170">
        <v>45805</v>
      </c>
      <c r="E294" s="171">
        <v>24752.45</v>
      </c>
    </row>
    <row r="295" ht="17.25" customHeight="1" spans="4:5">
      <c r="D295" s="170">
        <v>45804</v>
      </c>
      <c r="E295" s="171">
        <v>24826.2</v>
      </c>
    </row>
    <row r="296" ht="17.25" customHeight="1" spans="4:5">
      <c r="D296" s="170">
        <v>45803</v>
      </c>
      <c r="E296" s="171">
        <v>25001.15</v>
      </c>
    </row>
    <row r="297" ht="17.25" customHeight="1" spans="4:5">
      <c r="D297" s="170">
        <v>45800</v>
      </c>
      <c r="E297" s="171">
        <v>24853.15</v>
      </c>
    </row>
    <row r="298" ht="17.25" customHeight="1" spans="4:5">
      <c r="D298" s="170">
        <v>45799</v>
      </c>
      <c r="E298" s="171">
        <v>24609.7</v>
      </c>
    </row>
    <row r="299" ht="17.25" customHeight="1" spans="4:5">
      <c r="D299" s="170">
        <v>45798</v>
      </c>
      <c r="E299" s="171">
        <v>24813.45</v>
      </c>
    </row>
    <row r="300" ht="17.25" customHeight="1" spans="4:5">
      <c r="D300" s="170">
        <v>45797</v>
      </c>
      <c r="E300" s="171">
        <v>24683.9</v>
      </c>
    </row>
    <row r="301" ht="17.25" customHeight="1" spans="4:5">
      <c r="D301" s="170">
        <v>45796</v>
      </c>
      <c r="E301" s="171">
        <v>24945.45</v>
      </c>
    </row>
    <row r="302" ht="17.25" customHeight="1" spans="4:5">
      <c r="D302" s="170">
        <v>45793</v>
      </c>
      <c r="E302" s="171">
        <v>25019.8</v>
      </c>
    </row>
    <row r="303" ht="17.25" customHeight="1" spans="4:5">
      <c r="D303" s="170">
        <v>45792</v>
      </c>
      <c r="E303" s="171">
        <v>25062.1</v>
      </c>
    </row>
    <row r="304" ht="17.25" customHeight="1" spans="4:5">
      <c r="D304" s="170">
        <v>45791</v>
      </c>
      <c r="E304" s="171">
        <v>24666.9</v>
      </c>
    </row>
    <row r="305" ht="17.25" customHeight="1" spans="4:5">
      <c r="D305" s="170">
        <v>45790</v>
      </c>
      <c r="E305" s="171">
        <v>24578.35</v>
      </c>
    </row>
    <row r="306" ht="17.25" customHeight="1" spans="4:5">
      <c r="D306" s="170">
        <v>45789</v>
      </c>
      <c r="E306" s="171">
        <v>24924.7</v>
      </c>
    </row>
    <row r="307" ht="17.25" customHeight="1" spans="4:5">
      <c r="D307" s="170">
        <v>45786</v>
      </c>
      <c r="E307" s="171">
        <v>24008</v>
      </c>
    </row>
    <row r="308" ht="17.25" customHeight="1" spans="4:5">
      <c r="D308" s="170">
        <v>45785</v>
      </c>
      <c r="E308" s="171">
        <v>24273.8</v>
      </c>
    </row>
    <row r="309" ht="17.25" customHeight="1" spans="4:5">
      <c r="D309" s="170">
        <v>45784</v>
      </c>
      <c r="E309" s="171">
        <v>24414.4</v>
      </c>
    </row>
    <row r="310" ht="17.25" customHeight="1" spans="4:5">
      <c r="D310" s="170">
        <v>45783</v>
      </c>
      <c r="E310" s="171">
        <v>24379.6</v>
      </c>
    </row>
    <row r="311" ht="17.25" customHeight="1" spans="4:5">
      <c r="D311" s="170">
        <v>45782</v>
      </c>
      <c r="E311" s="171">
        <v>24461.15</v>
      </c>
    </row>
    <row r="312" ht="17.25" customHeight="1" spans="4:5">
      <c r="D312" s="170">
        <v>45779</v>
      </c>
      <c r="E312" s="171">
        <v>24346.7</v>
      </c>
    </row>
    <row r="313" ht="17.25" customHeight="1" spans="4:5">
      <c r="D313" s="170">
        <v>45777</v>
      </c>
      <c r="E313" s="171">
        <v>24334.2</v>
      </c>
    </row>
    <row r="314" ht="17.25" customHeight="1" spans="4:5">
      <c r="D314" s="170">
        <v>45776</v>
      </c>
      <c r="E314" s="171">
        <v>24335.95</v>
      </c>
    </row>
    <row r="315" ht="17.25" customHeight="1" spans="4:5">
      <c r="D315" s="170">
        <v>45775</v>
      </c>
      <c r="E315" s="171">
        <v>24328.5</v>
      </c>
    </row>
    <row r="316" ht="17.25" customHeight="1" spans="4:5">
      <c r="D316" s="170">
        <v>45772</v>
      </c>
      <c r="E316" s="171">
        <v>24039.35</v>
      </c>
    </row>
    <row r="317" ht="17.25" customHeight="1" spans="4:5">
      <c r="D317" s="170">
        <v>45771</v>
      </c>
      <c r="E317" s="171">
        <v>24246.7</v>
      </c>
    </row>
    <row r="318" ht="17.25" customHeight="1" spans="4:5">
      <c r="D318" s="170">
        <v>45770</v>
      </c>
      <c r="E318" s="171">
        <v>24328.95</v>
      </c>
    </row>
    <row r="319" ht="17.25" customHeight="1" spans="4:5">
      <c r="D319" s="170">
        <v>45769</v>
      </c>
      <c r="E319" s="171">
        <v>24167.25</v>
      </c>
    </row>
    <row r="320" ht="17.25" customHeight="1" spans="4:5">
      <c r="D320" s="170">
        <v>45768</v>
      </c>
      <c r="E320" s="171">
        <v>24125.55</v>
      </c>
    </row>
    <row r="321" ht="17.25" customHeight="1" spans="4:5">
      <c r="D321" s="170">
        <v>45764</v>
      </c>
      <c r="E321" s="171">
        <v>23851.65</v>
      </c>
    </row>
    <row r="322" ht="17.25" customHeight="1" spans="4:5">
      <c r="D322" s="170">
        <v>45763</v>
      </c>
      <c r="E322" s="171">
        <v>23437.2</v>
      </c>
    </row>
    <row r="323" ht="17.25" customHeight="1" spans="4:5">
      <c r="D323" s="170">
        <v>45762</v>
      </c>
      <c r="E323" s="171">
        <v>23328.55</v>
      </c>
    </row>
    <row r="324" ht="17.25" customHeight="1" spans="4:5">
      <c r="D324" s="170">
        <v>45758</v>
      </c>
      <c r="E324" s="171">
        <v>22828.55</v>
      </c>
    </row>
    <row r="325" ht="17.25" customHeight="1" spans="4:5">
      <c r="D325" s="170">
        <v>45756</v>
      </c>
      <c r="E325" s="171">
        <v>22399.15</v>
      </c>
    </row>
    <row r="326" ht="17.25" customHeight="1" spans="4:5">
      <c r="D326" s="170">
        <v>45755</v>
      </c>
      <c r="E326" s="171">
        <v>22535.85</v>
      </c>
    </row>
    <row r="327" ht="17.25" customHeight="1" spans="4:5">
      <c r="D327" s="170">
        <v>45754</v>
      </c>
      <c r="E327" s="171">
        <v>22161.6</v>
      </c>
    </row>
    <row r="328" ht="17.25" customHeight="1" spans="4:5">
      <c r="D328" s="170">
        <v>45751</v>
      </c>
      <c r="E328" s="171">
        <v>22904.45</v>
      </c>
    </row>
    <row r="329" ht="17.25" customHeight="1" spans="4:5">
      <c r="D329" s="170">
        <v>45750</v>
      </c>
      <c r="E329" s="171">
        <v>23250.1</v>
      </c>
    </row>
    <row r="330" ht="17.25" customHeight="1" spans="4:5">
      <c r="D330" s="170">
        <v>45749</v>
      </c>
      <c r="E330" s="171">
        <v>23332.35</v>
      </c>
    </row>
    <row r="331" ht="17.25" customHeight="1" spans="4:5">
      <c r="D331" s="170">
        <v>45748</v>
      </c>
      <c r="E331" s="171">
        <v>23165.7</v>
      </c>
    </row>
    <row r="332" ht="17.25" customHeight="1" spans="4:5">
      <c r="D332" s="170">
        <v>45744</v>
      </c>
      <c r="E332" s="171">
        <v>23519.35</v>
      </c>
    </row>
    <row r="333" ht="17.25" customHeight="1" spans="4:5">
      <c r="D333" s="170">
        <v>45743</v>
      </c>
      <c r="E333" s="171">
        <v>23591.95</v>
      </c>
    </row>
    <row r="334" ht="17.25" customHeight="1" spans="4:5">
      <c r="D334" s="170">
        <v>45742</v>
      </c>
      <c r="E334" s="171">
        <v>23486.85</v>
      </c>
    </row>
    <row r="335" ht="17.25" customHeight="1" spans="4:5">
      <c r="D335" s="170">
        <v>45741</v>
      </c>
      <c r="E335" s="171">
        <v>23668.65</v>
      </c>
    </row>
    <row r="336" ht="17.25" customHeight="1" spans="4:5">
      <c r="D336" s="170">
        <v>45740</v>
      </c>
      <c r="E336" s="171">
        <v>23658.35</v>
      </c>
    </row>
    <row r="337" ht="17.25" customHeight="1" spans="4:5">
      <c r="D337" s="170">
        <v>45737</v>
      </c>
      <c r="E337" s="171">
        <v>23350.4</v>
      </c>
    </row>
    <row r="338" ht="17.25" customHeight="1" spans="4:5">
      <c r="D338" s="170">
        <v>45736</v>
      </c>
      <c r="E338" s="171">
        <v>23190.65</v>
      </c>
    </row>
    <row r="339" ht="17.25" customHeight="1" spans="4:5">
      <c r="D339" s="170">
        <v>45735</v>
      </c>
      <c r="E339" s="171">
        <v>22907.6</v>
      </c>
    </row>
    <row r="340" ht="17.25" customHeight="1" spans="4:5">
      <c r="D340" s="170">
        <v>45734</v>
      </c>
      <c r="E340" s="171">
        <v>22834.3</v>
      </c>
    </row>
    <row r="341" ht="17.25" customHeight="1" spans="4:5">
      <c r="D341" s="170">
        <v>45733</v>
      </c>
      <c r="E341" s="171">
        <v>22508.75</v>
      </c>
    </row>
    <row r="342" ht="17.25" customHeight="1" spans="4:5">
      <c r="D342" s="170">
        <v>45729</v>
      </c>
      <c r="E342" s="171">
        <v>22397.2</v>
      </c>
    </row>
    <row r="343" ht="17.25" customHeight="1" spans="4:5">
      <c r="D343" s="170">
        <v>45728</v>
      </c>
      <c r="E343" s="171">
        <v>22470.5</v>
      </c>
    </row>
    <row r="344" ht="17.25" customHeight="1" spans="4:5">
      <c r="D344" s="170">
        <v>45727</v>
      </c>
      <c r="E344" s="171">
        <v>22497.9</v>
      </c>
    </row>
    <row r="345" ht="17.25" customHeight="1" spans="4:5">
      <c r="D345" s="170">
        <v>45726</v>
      </c>
      <c r="E345" s="171">
        <v>22460.3</v>
      </c>
    </row>
    <row r="346" ht="17.25" customHeight="1" spans="4:5">
      <c r="D346" s="170">
        <v>45723</v>
      </c>
      <c r="E346" s="171">
        <v>22552.5</v>
      </c>
    </row>
    <row r="347" ht="17.25" customHeight="1" spans="4:5">
      <c r="D347" s="170">
        <v>45722</v>
      </c>
      <c r="E347" s="171">
        <v>22544.7</v>
      </c>
    </row>
    <row r="348" ht="17.25" customHeight="1" spans="4:5">
      <c r="D348" s="170">
        <v>45721</v>
      </c>
      <c r="E348" s="171">
        <v>22337.3</v>
      </c>
    </row>
    <row r="349" ht="17.25" customHeight="1" spans="4:5">
      <c r="D349" s="170">
        <v>45720</v>
      </c>
      <c r="E349" s="171">
        <v>22082.65</v>
      </c>
    </row>
    <row r="350" ht="17.25" customHeight="1" spans="4:5">
      <c r="D350" s="170">
        <v>45719</v>
      </c>
      <c r="E350" s="171">
        <v>22119.3</v>
      </c>
    </row>
    <row r="351" ht="17.25" customHeight="1" spans="4:5">
      <c r="D351" s="170">
        <v>45716</v>
      </c>
      <c r="E351" s="171">
        <v>22124.7</v>
      </c>
    </row>
    <row r="352" ht="17.25" customHeight="1" spans="4:5">
      <c r="D352" s="170">
        <v>45715</v>
      </c>
      <c r="E352" s="171">
        <v>22545.05</v>
      </c>
    </row>
    <row r="353" ht="17.25" customHeight="1" spans="4:5">
      <c r="D353" s="170">
        <v>45713</v>
      </c>
      <c r="E353" s="171">
        <v>22547.55</v>
      </c>
    </row>
    <row r="354" ht="17.25" customHeight="1" spans="4:5">
      <c r="D354" s="170">
        <v>45712</v>
      </c>
      <c r="E354" s="171">
        <v>22553.35</v>
      </c>
    </row>
    <row r="355" ht="17.25" customHeight="1" spans="4:5">
      <c r="D355" s="170">
        <v>45709</v>
      </c>
      <c r="E355" s="171">
        <v>22795.9</v>
      </c>
    </row>
    <row r="356" ht="17.25" customHeight="1" spans="4:5">
      <c r="D356" s="170">
        <v>45708</v>
      </c>
      <c r="E356" s="171">
        <v>22913.15</v>
      </c>
    </row>
    <row r="357" ht="17.25" customHeight="1" spans="4:5">
      <c r="D357" s="170">
        <v>45707</v>
      </c>
      <c r="E357" s="171">
        <v>22932.9</v>
      </c>
    </row>
    <row r="358" ht="17.25" customHeight="1" spans="4:5">
      <c r="D358" s="170">
        <v>45706</v>
      </c>
      <c r="E358" s="171">
        <v>22945.3</v>
      </c>
    </row>
    <row r="359" ht="17.25" customHeight="1" spans="4:5">
      <c r="D359" s="170">
        <v>45705</v>
      </c>
      <c r="E359" s="171">
        <v>22959.5</v>
      </c>
    </row>
    <row r="360" ht="17.25" customHeight="1" spans="4:5">
      <c r="D360" s="170">
        <v>45702</v>
      </c>
      <c r="E360" s="171">
        <v>22929.25</v>
      </c>
    </row>
    <row r="361" ht="17.25" customHeight="1" spans="4:5">
      <c r="D361" s="170">
        <v>45701</v>
      </c>
      <c r="E361" s="171">
        <v>23031.4</v>
      </c>
    </row>
    <row r="362" ht="17.25" customHeight="1" spans="4:5">
      <c r="D362" s="170">
        <v>45700</v>
      </c>
      <c r="E362" s="171">
        <v>23045.25</v>
      </c>
    </row>
    <row r="363" ht="17.25" customHeight="1" spans="4:5">
      <c r="D363" s="170">
        <v>45699</v>
      </c>
      <c r="E363" s="171">
        <v>23071.8</v>
      </c>
    </row>
    <row r="364" ht="17.25" customHeight="1" spans="4:5">
      <c r="D364" s="170">
        <v>45698</v>
      </c>
      <c r="E364" s="171">
        <v>23381.6</v>
      </c>
    </row>
    <row r="365" ht="17.25" customHeight="1" spans="4:5">
      <c r="D365" s="170">
        <v>45695</v>
      </c>
      <c r="E365" s="171">
        <v>23559.95</v>
      </c>
    </row>
    <row r="366" ht="17.25" customHeight="1" spans="4:5">
      <c r="D366" s="170">
        <v>45694</v>
      </c>
      <c r="E366" s="171">
        <v>23603.35</v>
      </c>
    </row>
    <row r="367" ht="17.25" customHeight="1" spans="4:5">
      <c r="D367" s="170">
        <v>45693</v>
      </c>
      <c r="E367" s="171">
        <v>23696.3</v>
      </c>
    </row>
    <row r="368" ht="17.25" customHeight="1" spans="4:5">
      <c r="D368" s="170">
        <v>45692</v>
      </c>
      <c r="E368" s="171">
        <v>23739.25</v>
      </c>
    </row>
    <row r="369" ht="17.25" customHeight="1" spans="4:5">
      <c r="D369" s="170">
        <v>45691</v>
      </c>
      <c r="E369" s="171">
        <v>23361.05</v>
      </c>
    </row>
    <row r="370" ht="17.25" customHeight="1" spans="4:5">
      <c r="D370" s="170">
        <v>45689</v>
      </c>
      <c r="E370" s="171">
        <v>23482.15</v>
      </c>
    </row>
    <row r="371" ht="17.25" customHeight="1" spans="4:5">
      <c r="D371" s="170">
        <v>45688</v>
      </c>
      <c r="E371" s="171">
        <v>23508.4</v>
      </c>
    </row>
    <row r="372" ht="17.25" customHeight="1" spans="4:5">
      <c r="D372" s="170">
        <v>45687</v>
      </c>
      <c r="E372" s="171">
        <v>23249.5</v>
      </c>
    </row>
    <row r="373" ht="17.25" customHeight="1" spans="4:5">
      <c r="D373" s="170">
        <v>45686</v>
      </c>
      <c r="E373" s="171">
        <v>23163.1</v>
      </c>
    </row>
    <row r="374" ht="17.25" customHeight="1" spans="4:5">
      <c r="D374" s="170">
        <v>45685</v>
      </c>
      <c r="E374" s="171">
        <v>22957.25</v>
      </c>
    </row>
    <row r="375" ht="17.25" customHeight="1" spans="4:5">
      <c r="D375" s="170">
        <v>45684</v>
      </c>
      <c r="E375" s="171">
        <v>22829.15</v>
      </c>
    </row>
    <row r="376" ht="17.25" customHeight="1" spans="4:5">
      <c r="D376" s="170">
        <v>45681</v>
      </c>
      <c r="E376" s="171">
        <v>23092.2</v>
      </c>
    </row>
    <row r="377" ht="17.25" customHeight="1" spans="4:5">
      <c r="D377" s="170">
        <v>45680</v>
      </c>
      <c r="E377" s="171">
        <v>23205.35</v>
      </c>
    </row>
    <row r="378" ht="17.25" customHeight="1" spans="4:5">
      <c r="D378" s="170">
        <v>45679</v>
      </c>
      <c r="E378" s="171">
        <v>23155.35</v>
      </c>
    </row>
    <row r="379" ht="17.25" customHeight="1" spans="4:5">
      <c r="D379" s="170">
        <v>45678</v>
      </c>
      <c r="E379" s="171">
        <v>23024.65</v>
      </c>
    </row>
    <row r="380" ht="17.25" customHeight="1" spans="4:5">
      <c r="D380" s="170">
        <v>45677</v>
      </c>
      <c r="E380" s="171">
        <v>23344.75</v>
      </c>
    </row>
    <row r="381" ht="17.25" customHeight="1" spans="4:5">
      <c r="D381" s="170">
        <v>45674</v>
      </c>
      <c r="E381" s="171">
        <v>23203.2</v>
      </c>
    </row>
    <row r="382" ht="17.25" customHeight="1" spans="4:5">
      <c r="D382" s="170">
        <v>45673</v>
      </c>
      <c r="E382" s="171">
        <v>23311.8</v>
      </c>
    </row>
    <row r="383" ht="17.25" customHeight="1" spans="4:5">
      <c r="D383" s="170">
        <v>45672</v>
      </c>
      <c r="E383" s="171">
        <v>23213.2</v>
      </c>
    </row>
    <row r="384" ht="17.25" customHeight="1" spans="4:5">
      <c r="D384" s="170">
        <v>45671</v>
      </c>
      <c r="E384" s="171">
        <v>23176.05</v>
      </c>
    </row>
    <row r="385" ht="17.25" customHeight="1" spans="4:5">
      <c r="D385" s="170">
        <v>45670</v>
      </c>
      <c r="E385" s="171">
        <v>23085.95</v>
      </c>
    </row>
    <row r="386" ht="17.25" customHeight="1" spans="4:5">
      <c r="D386" s="170">
        <v>45667</v>
      </c>
      <c r="E386" s="171">
        <v>23431.5</v>
      </c>
    </row>
    <row r="387" ht="17.25" customHeight="1" spans="4:5">
      <c r="D387" s="170">
        <v>45666</v>
      </c>
      <c r="E387" s="171">
        <v>23526.5</v>
      </c>
    </row>
    <row r="388" ht="17.25" customHeight="1" spans="4:5">
      <c r="D388" s="170">
        <v>45665</v>
      </c>
      <c r="E388" s="171">
        <v>23688.95</v>
      </c>
    </row>
    <row r="389" ht="17.25" customHeight="1" spans="4:5">
      <c r="D389" s="170">
        <v>45664</v>
      </c>
      <c r="E389" s="171">
        <v>23707.9</v>
      </c>
    </row>
    <row r="390" ht="17.25" customHeight="1" spans="4:5">
      <c r="D390" s="170">
        <v>45663</v>
      </c>
      <c r="E390" s="171">
        <v>23616.05</v>
      </c>
    </row>
    <row r="391" ht="17.25" customHeight="1" spans="4:5">
      <c r="D391" s="170">
        <v>45660</v>
      </c>
      <c r="E391" s="171">
        <v>24004.75</v>
      </c>
    </row>
    <row r="392" ht="17.25" customHeight="1" spans="4:5">
      <c r="D392" s="170">
        <v>45659</v>
      </c>
      <c r="E392" s="171">
        <v>24188.65</v>
      </c>
    </row>
    <row r="393" ht="17.25" customHeight="1" spans="4:5">
      <c r="D393" s="170">
        <v>45658</v>
      </c>
      <c r="E393" s="171">
        <v>23742.9</v>
      </c>
    </row>
    <row r="394" ht="17.25" customHeight="1" spans="4:5">
      <c r="D394" s="170">
        <v>45657</v>
      </c>
      <c r="E394" s="171">
        <v>23644.8</v>
      </c>
    </row>
    <row r="395" ht="17.25" customHeight="1" spans="4:5">
      <c r="D395" s="170">
        <v>45656</v>
      </c>
      <c r="E395" s="171">
        <v>23644.9</v>
      </c>
    </row>
    <row r="396" ht="17.25" customHeight="1" spans="4:5">
      <c r="D396" s="170">
        <v>45653</v>
      </c>
      <c r="E396" s="171">
        <v>23813.4</v>
      </c>
    </row>
    <row r="397" ht="17.25" customHeight="1" spans="4:5">
      <c r="D397" s="170">
        <v>45652</v>
      </c>
      <c r="E397" s="171">
        <v>23750.2</v>
      </c>
    </row>
    <row r="398" ht="17.25" customHeight="1" spans="4:5">
      <c r="D398" s="170">
        <v>45650</v>
      </c>
      <c r="E398" s="171">
        <v>23727.65</v>
      </c>
    </row>
    <row r="399" ht="17.25" customHeight="1" spans="4:5">
      <c r="D399" s="170">
        <v>45649</v>
      </c>
      <c r="E399" s="171">
        <v>23753.45</v>
      </c>
    </row>
    <row r="400" ht="17.25" customHeight="1" spans="4:5">
      <c r="D400" s="170">
        <v>45646</v>
      </c>
      <c r="E400" s="171">
        <v>23587.5</v>
      </c>
    </row>
    <row r="401" ht="17.25" customHeight="1" spans="4:5">
      <c r="D401" s="170">
        <v>45645</v>
      </c>
      <c r="E401" s="171">
        <v>23951.7</v>
      </c>
    </row>
    <row r="402" ht="17.25" customHeight="1" spans="4:5">
      <c r="D402" s="170">
        <v>45644</v>
      </c>
      <c r="E402" s="171">
        <v>24198.85</v>
      </c>
    </row>
    <row r="403" ht="17.25" customHeight="1" spans="4:5">
      <c r="D403" s="170">
        <v>45643</v>
      </c>
      <c r="E403" s="171">
        <v>24336</v>
      </c>
    </row>
    <row r="404" ht="17.25" customHeight="1" spans="4:5">
      <c r="D404" s="170">
        <v>45642</v>
      </c>
      <c r="E404" s="171">
        <v>24668.25</v>
      </c>
    </row>
    <row r="405" ht="17.25" customHeight="1" spans="4:5">
      <c r="D405" s="170">
        <v>45639</v>
      </c>
      <c r="E405" s="171">
        <v>24768.3</v>
      </c>
    </row>
    <row r="406" ht="17.25" customHeight="1" spans="4:5">
      <c r="D406" s="170">
        <v>45638</v>
      </c>
      <c r="E406" s="171">
        <v>24548.7</v>
      </c>
    </row>
    <row r="407" ht="17.25" customHeight="1" spans="4:5">
      <c r="D407" s="170">
        <v>45637</v>
      </c>
      <c r="E407" s="171">
        <v>24641.8</v>
      </c>
    </row>
    <row r="408" ht="17.25" customHeight="1" spans="4:5">
      <c r="D408" s="170">
        <v>45636</v>
      </c>
      <c r="E408" s="171">
        <v>24610.05</v>
      </c>
    </row>
    <row r="409" ht="17.25" customHeight="1" spans="4:5">
      <c r="D409" s="170">
        <v>45635</v>
      </c>
      <c r="E409" s="171">
        <v>24619</v>
      </c>
    </row>
    <row r="410" ht="17.25" customHeight="1" spans="4:5">
      <c r="D410" s="170">
        <v>45632</v>
      </c>
      <c r="E410" s="171">
        <v>24677.8</v>
      </c>
    </row>
    <row r="411" ht="17.25" customHeight="1" spans="4:5">
      <c r="D411" s="170">
        <v>45631</v>
      </c>
      <c r="E411" s="171">
        <v>24708.4</v>
      </c>
    </row>
    <row r="412" ht="17.25" customHeight="1" spans="4:5">
      <c r="D412" s="170">
        <v>45630</v>
      </c>
      <c r="E412" s="171">
        <v>24467.45</v>
      </c>
    </row>
    <row r="413" ht="17.25" customHeight="1" spans="4:5">
      <c r="D413" s="170">
        <v>45629</v>
      </c>
      <c r="E413" s="171">
        <v>24457.15</v>
      </c>
    </row>
    <row r="414" ht="17.25" customHeight="1" spans="4:5">
      <c r="D414" s="170">
        <v>45628</v>
      </c>
      <c r="E414" s="171">
        <v>24276.05</v>
      </c>
    </row>
    <row r="415" ht="17.25" customHeight="1" spans="4:5">
      <c r="D415" s="170">
        <v>45625</v>
      </c>
      <c r="E415" s="171">
        <v>24131.1</v>
      </c>
    </row>
    <row r="416" ht="17.25" customHeight="1" spans="4:5">
      <c r="D416" s="170">
        <v>45624</v>
      </c>
      <c r="E416" s="171">
        <v>23914.15</v>
      </c>
    </row>
    <row r="417" ht="17.25" customHeight="1" spans="4:5">
      <c r="D417" s="170">
        <v>45623</v>
      </c>
      <c r="E417" s="171">
        <v>24274.9</v>
      </c>
    </row>
    <row r="418" ht="17.25" customHeight="1" spans="4:5">
      <c r="D418" s="170">
        <v>45622</v>
      </c>
      <c r="E418" s="171">
        <v>24194.5</v>
      </c>
    </row>
    <row r="419" ht="17.25" customHeight="1" spans="4:5">
      <c r="D419" s="170">
        <v>45621</v>
      </c>
      <c r="E419" s="171">
        <v>24221.9</v>
      </c>
    </row>
    <row r="420" ht="17.25" customHeight="1" spans="4:5">
      <c r="D420" s="170">
        <v>45618</v>
      </c>
      <c r="E420" s="171">
        <v>23907.25</v>
      </c>
    </row>
    <row r="421" ht="17.25" customHeight="1" spans="4:5">
      <c r="D421" s="170">
        <v>45617</v>
      </c>
      <c r="E421" s="171">
        <v>23349.9</v>
      </c>
    </row>
    <row r="422" ht="17.25" customHeight="1" spans="4:5">
      <c r="D422" s="170">
        <v>45615</v>
      </c>
      <c r="E422" s="171">
        <v>23518.5</v>
      </c>
    </row>
    <row r="423" ht="17.25" customHeight="1" spans="4:5">
      <c r="D423" s="170">
        <v>45614</v>
      </c>
      <c r="E423" s="171">
        <v>23453.8</v>
      </c>
    </row>
    <row r="424" ht="17.25" customHeight="1" spans="4:5">
      <c r="D424" s="170">
        <v>45610</v>
      </c>
      <c r="E424" s="171">
        <v>23532.7</v>
      </c>
    </row>
    <row r="425" ht="17.25" customHeight="1" spans="4:5">
      <c r="D425" s="170">
        <v>45609</v>
      </c>
      <c r="E425" s="171">
        <v>23559.05</v>
      </c>
    </row>
    <row r="426" ht="17.25" customHeight="1" spans="4:5">
      <c r="D426" s="170">
        <v>45608</v>
      </c>
      <c r="E426" s="171">
        <v>23883.45</v>
      </c>
    </row>
    <row r="427" ht="17.25" customHeight="1" spans="4:5">
      <c r="D427" s="170">
        <v>45607</v>
      </c>
      <c r="E427" s="171">
        <v>24141.3</v>
      </c>
    </row>
    <row r="428" ht="17.25" customHeight="1" spans="4:5">
      <c r="D428" s="170">
        <v>45604</v>
      </c>
      <c r="E428" s="171">
        <v>24148.2</v>
      </c>
    </row>
    <row r="429" ht="17.25" customHeight="1" spans="4:5">
      <c r="D429" s="170">
        <v>45603</v>
      </c>
      <c r="E429" s="171">
        <v>24199.35</v>
      </c>
    </row>
    <row r="430" ht="17.25" customHeight="1" spans="4:5">
      <c r="D430" s="170">
        <v>45602</v>
      </c>
      <c r="E430" s="171">
        <v>24484.05</v>
      </c>
    </row>
    <row r="431" ht="17.25" customHeight="1" spans="4:5">
      <c r="D431" s="170">
        <v>45601</v>
      </c>
      <c r="E431" s="171">
        <v>24213.3</v>
      </c>
    </row>
    <row r="432" ht="17.25" customHeight="1" spans="4:5">
      <c r="D432" s="170">
        <v>45600</v>
      </c>
      <c r="E432" s="171">
        <v>23995.35</v>
      </c>
    </row>
    <row r="433" ht="17.25" customHeight="1" spans="4:5">
      <c r="D433" s="170">
        <v>45597</v>
      </c>
      <c r="E433" s="171">
        <v>24304.35</v>
      </c>
    </row>
    <row r="434" ht="17.25" customHeight="1" spans="4:5">
      <c r="D434" s="170">
        <v>45596</v>
      </c>
      <c r="E434" s="171">
        <v>24205.35</v>
      </c>
    </row>
    <row r="435" ht="17.25" customHeight="1" spans="4:5">
      <c r="D435" s="170">
        <v>45595</v>
      </c>
      <c r="E435" s="171">
        <v>24340.85</v>
      </c>
    </row>
    <row r="436" ht="17.25" customHeight="1" spans="4:5">
      <c r="D436" s="170">
        <v>45594</v>
      </c>
      <c r="E436" s="171">
        <v>24466.85</v>
      </c>
    </row>
    <row r="437" ht="17.25" customHeight="1" spans="4:5">
      <c r="D437" s="170">
        <v>45593</v>
      </c>
      <c r="E437" s="171">
        <v>24339.15</v>
      </c>
    </row>
    <row r="438" ht="17.25" customHeight="1" spans="4:5">
      <c r="D438" s="170">
        <v>45590</v>
      </c>
      <c r="E438" s="171">
        <v>24180.8</v>
      </c>
    </row>
    <row r="439" ht="17.25" customHeight="1" spans="4:5">
      <c r="D439" s="170">
        <v>45589</v>
      </c>
      <c r="E439" s="171">
        <v>24399.4</v>
      </c>
    </row>
    <row r="440" ht="17.25" customHeight="1" spans="4:5">
      <c r="D440" s="170">
        <v>45588</v>
      </c>
      <c r="E440" s="171">
        <v>24435.5</v>
      </c>
    </row>
    <row r="441" ht="17.25" customHeight="1" spans="4:5">
      <c r="D441" s="170">
        <v>45587</v>
      </c>
      <c r="E441" s="171">
        <v>24472.1</v>
      </c>
    </row>
    <row r="442" ht="17.25" customHeight="1" spans="4:5">
      <c r="D442" s="170">
        <v>45586</v>
      </c>
      <c r="E442" s="171">
        <v>24781.1</v>
      </c>
    </row>
    <row r="443" ht="17.25" customHeight="1" spans="4:5">
      <c r="D443" s="170">
        <v>45583</v>
      </c>
      <c r="E443" s="171">
        <v>24854.05</v>
      </c>
    </row>
    <row r="444" ht="17.25" customHeight="1" spans="4:5">
      <c r="D444" s="170">
        <v>45582</v>
      </c>
      <c r="E444" s="171">
        <v>24749.85</v>
      </c>
    </row>
    <row r="445" ht="17.25" customHeight="1" spans="4:5">
      <c r="D445" s="170">
        <v>45581</v>
      </c>
      <c r="E445" s="171">
        <v>24971.3</v>
      </c>
    </row>
    <row r="446" ht="17.25" customHeight="1" spans="4:5">
      <c r="D446" s="170">
        <v>45580</v>
      </c>
      <c r="E446" s="171">
        <v>25057.35</v>
      </c>
    </row>
    <row r="447" ht="17.25" customHeight="1" spans="4:5">
      <c r="D447" s="170">
        <v>45579</v>
      </c>
      <c r="E447" s="171">
        <v>25127.95</v>
      </c>
    </row>
    <row r="448" ht="17.25" customHeight="1" spans="4:5">
      <c r="D448" s="170">
        <v>45576</v>
      </c>
      <c r="E448" s="171">
        <v>24964.25</v>
      </c>
    </row>
    <row r="449" ht="17.25" customHeight="1" spans="4:5">
      <c r="D449" s="170">
        <v>45575</v>
      </c>
      <c r="E449" s="171">
        <v>24998.45</v>
      </c>
    </row>
    <row r="450" ht="17.25" customHeight="1" spans="4:5">
      <c r="D450" s="170">
        <v>45574</v>
      </c>
      <c r="E450" s="171">
        <v>24981.95</v>
      </c>
    </row>
    <row r="451" ht="17.25" customHeight="1" spans="4:5">
      <c r="D451" s="170">
        <v>45573</v>
      </c>
      <c r="E451" s="171">
        <v>25013.15</v>
      </c>
    </row>
    <row r="452" ht="17.25" customHeight="1" spans="4:5">
      <c r="D452" s="170">
        <v>45572</v>
      </c>
      <c r="E452" s="171">
        <v>24795.75</v>
      </c>
    </row>
    <row r="453" ht="17.25" customHeight="1" spans="4:5">
      <c r="D453" s="170">
        <v>45569</v>
      </c>
      <c r="E453" s="171">
        <v>25014.6</v>
      </c>
    </row>
    <row r="454" ht="17.25" customHeight="1" spans="4:5">
      <c r="D454" s="170">
        <v>45568</v>
      </c>
      <c r="E454" s="171">
        <v>25250.1</v>
      </c>
    </row>
    <row r="455" ht="17.25" customHeight="1" spans="4:5">
      <c r="D455" s="170">
        <v>45566</v>
      </c>
      <c r="E455" s="171">
        <v>25796.9</v>
      </c>
    </row>
    <row r="456" ht="17.25" customHeight="1" spans="4:5">
      <c r="D456" s="170">
        <v>45565</v>
      </c>
      <c r="E456" s="171">
        <v>25810.85</v>
      </c>
    </row>
    <row r="457" ht="17.25" customHeight="1" spans="4:5">
      <c r="D457" s="170">
        <v>45562</v>
      </c>
      <c r="E457" s="171">
        <v>26178.95</v>
      </c>
    </row>
    <row r="458" ht="17.25" customHeight="1" spans="4:5">
      <c r="D458" s="170">
        <v>45561</v>
      </c>
      <c r="E458" s="171">
        <v>26216.05</v>
      </c>
    </row>
    <row r="459" ht="17.25" customHeight="1" spans="4:5">
      <c r="D459" s="170">
        <v>45560</v>
      </c>
      <c r="E459" s="171">
        <v>26004.15</v>
      </c>
    </row>
    <row r="460" ht="17.25" customHeight="1" spans="4:5">
      <c r="D460" s="170">
        <v>45559</v>
      </c>
      <c r="E460" s="171">
        <v>25940.4</v>
      </c>
    </row>
    <row r="461" ht="17.25" customHeight="1" spans="4:5">
      <c r="D461" s="170">
        <v>45558</v>
      </c>
      <c r="E461" s="171">
        <v>25939.05</v>
      </c>
    </row>
    <row r="462" ht="17.25" customHeight="1" spans="4:5">
      <c r="D462" s="170">
        <v>45555</v>
      </c>
      <c r="E462" s="171">
        <v>25790.95</v>
      </c>
    </row>
    <row r="463" ht="17.25" customHeight="1" spans="4:5">
      <c r="D463" s="170">
        <v>45554</v>
      </c>
      <c r="E463" s="171">
        <v>25415.8</v>
      </c>
    </row>
    <row r="464" ht="17.25" customHeight="1" spans="4:5">
      <c r="D464" s="170">
        <v>45553</v>
      </c>
      <c r="E464" s="171">
        <v>25377.55</v>
      </c>
    </row>
    <row r="465" ht="17.25" customHeight="1" spans="4:5">
      <c r="D465" s="170">
        <v>45552</v>
      </c>
      <c r="E465" s="171">
        <v>25418.55</v>
      </c>
    </row>
    <row r="466" ht="17.25" customHeight="1" spans="4:5">
      <c r="D466" s="170">
        <v>45551</v>
      </c>
      <c r="E466" s="171">
        <v>25383.75</v>
      </c>
    </row>
    <row r="467" ht="17.25" customHeight="1" spans="4:5">
      <c r="D467" s="170">
        <v>45548</v>
      </c>
      <c r="E467" s="171">
        <v>25356.5</v>
      </c>
    </row>
    <row r="468" ht="17.25" customHeight="1" spans="4:5">
      <c r="D468" s="170">
        <v>45547</v>
      </c>
      <c r="E468" s="171">
        <v>25388.9</v>
      </c>
    </row>
    <row r="469" ht="17.25" customHeight="1" spans="4:5">
      <c r="D469" s="170">
        <v>45546</v>
      </c>
      <c r="E469" s="171">
        <v>24918.45</v>
      </c>
    </row>
    <row r="470" ht="17.25" customHeight="1" spans="4:5">
      <c r="D470" s="170">
        <v>45545</v>
      </c>
      <c r="E470" s="171">
        <v>25041.1</v>
      </c>
    </row>
    <row r="471" ht="17.25" customHeight="1" spans="4:5">
      <c r="D471" s="170">
        <v>45544</v>
      </c>
      <c r="E471" s="171">
        <v>24936.4</v>
      </c>
    </row>
    <row r="472" ht="17.25" customHeight="1" spans="4:5">
      <c r="D472" s="170">
        <v>45541</v>
      </c>
      <c r="E472" s="171">
        <v>24852.15</v>
      </c>
    </row>
    <row r="473" ht="17.25" customHeight="1" spans="4:5">
      <c r="D473" s="170">
        <v>45540</v>
      </c>
      <c r="E473" s="171">
        <v>25145.1</v>
      </c>
    </row>
    <row r="474" ht="17.25" customHeight="1" spans="4:5">
      <c r="D474" s="170">
        <v>45539</v>
      </c>
      <c r="E474" s="171">
        <v>25198.7</v>
      </c>
    </row>
    <row r="475" ht="17.25" customHeight="1" spans="4:5">
      <c r="D475" s="170">
        <v>45538</v>
      </c>
      <c r="E475" s="171">
        <v>25279.85</v>
      </c>
    </row>
    <row r="476" ht="17.25" customHeight="1" spans="4:5">
      <c r="D476" s="170">
        <v>45537</v>
      </c>
      <c r="E476" s="171">
        <v>25278.7</v>
      </c>
    </row>
    <row r="477" ht="17.25" customHeight="1" spans="4:5">
      <c r="D477" s="170">
        <v>45534</v>
      </c>
      <c r="E477" s="171">
        <v>25235.9</v>
      </c>
    </row>
    <row r="478" ht="17.25" customHeight="1" spans="4:5">
      <c r="D478" s="170">
        <v>45533</v>
      </c>
      <c r="E478" s="171">
        <v>25151.95</v>
      </c>
    </row>
    <row r="479" ht="17.25" customHeight="1" spans="4:5">
      <c r="D479" s="170">
        <v>45532</v>
      </c>
      <c r="E479" s="171">
        <v>25052.35</v>
      </c>
    </row>
    <row r="480" ht="17.25" customHeight="1" spans="4:5">
      <c r="D480" s="170">
        <v>45531</v>
      </c>
      <c r="E480" s="171">
        <v>25017.75</v>
      </c>
    </row>
    <row r="481" ht="17.25" customHeight="1" spans="4:5">
      <c r="D481" s="170">
        <v>45530</v>
      </c>
      <c r="E481" s="171">
        <v>25010.6</v>
      </c>
    </row>
    <row r="482" ht="17.25" customHeight="1" spans="4:5">
      <c r="D482" s="170">
        <v>45527</v>
      </c>
      <c r="E482" s="171">
        <v>24823.15</v>
      </c>
    </row>
    <row r="483" ht="17.25" customHeight="1" spans="4:5">
      <c r="D483" s="170">
        <v>45526</v>
      </c>
      <c r="E483" s="171">
        <v>24811.5</v>
      </c>
    </row>
    <row r="484" ht="17.25" customHeight="1" spans="4:5">
      <c r="D484" s="170">
        <v>45525</v>
      </c>
      <c r="E484" s="171">
        <v>24770.2</v>
      </c>
    </row>
    <row r="485" ht="17.25" customHeight="1" spans="4:5">
      <c r="D485" s="170">
        <v>45524</v>
      </c>
      <c r="E485" s="171">
        <v>24698.85</v>
      </c>
    </row>
    <row r="486" ht="17.25" customHeight="1" spans="4:5">
      <c r="D486" s="170">
        <v>45523</v>
      </c>
      <c r="E486" s="171">
        <v>24572.65</v>
      </c>
    </row>
    <row r="487" ht="17.25" customHeight="1" spans="4:5">
      <c r="D487" s="170">
        <v>45520</v>
      </c>
      <c r="E487" s="171">
        <v>24541.15</v>
      </c>
    </row>
    <row r="488" ht="17.25" customHeight="1" spans="4:5">
      <c r="D488" s="170">
        <v>45518</v>
      </c>
      <c r="E488" s="171">
        <v>24143.75</v>
      </c>
    </row>
    <row r="489" ht="17.25" customHeight="1" spans="4:5">
      <c r="D489" s="170">
        <v>45517</v>
      </c>
      <c r="E489" s="171">
        <v>24139</v>
      </c>
    </row>
    <row r="490" ht="17.25" customHeight="1" spans="4:5">
      <c r="D490" s="170">
        <v>45516</v>
      </c>
      <c r="E490" s="171">
        <v>24347</v>
      </c>
    </row>
    <row r="491" ht="17.25" customHeight="1" spans="4:5">
      <c r="D491" s="170">
        <v>45513</v>
      </c>
      <c r="E491" s="171">
        <v>24367.5</v>
      </c>
    </row>
    <row r="492" ht="17.25" customHeight="1" spans="4:5">
      <c r="D492" s="170">
        <v>45512</v>
      </c>
      <c r="E492" s="171">
        <v>24117</v>
      </c>
    </row>
    <row r="493" ht="17.25" customHeight="1" spans="4:5">
      <c r="D493" s="170">
        <v>45511</v>
      </c>
      <c r="E493" s="171">
        <v>24297.5</v>
      </c>
    </row>
    <row r="494" ht="17.25" customHeight="1" spans="4:5">
      <c r="D494" s="170">
        <v>45510</v>
      </c>
      <c r="E494" s="171">
        <v>23992.55</v>
      </c>
    </row>
    <row r="495" ht="17.25" customHeight="1" spans="4:5">
      <c r="D495" s="170">
        <v>45509</v>
      </c>
      <c r="E495" s="171">
        <v>24055.6</v>
      </c>
    </row>
    <row r="496" ht="17.25" customHeight="1" spans="4:5">
      <c r="D496" s="170">
        <v>45506</v>
      </c>
      <c r="E496" s="171">
        <v>24717.7</v>
      </c>
    </row>
    <row r="497" ht="17.25" customHeight="1" spans="4:5">
      <c r="D497" s="170">
        <v>45505</v>
      </c>
      <c r="E497" s="171">
        <v>25010.9</v>
      </c>
    </row>
    <row r="498" ht="17.25" customHeight="1" spans="4:5">
      <c r="D498" s="170">
        <v>45504</v>
      </c>
      <c r="E498" s="171">
        <v>24951.15</v>
      </c>
    </row>
    <row r="499" ht="17.25" customHeight="1" spans="4:5">
      <c r="D499" s="170">
        <v>45503</v>
      </c>
      <c r="E499" s="171">
        <v>24857.3</v>
      </c>
    </row>
    <row r="500" ht="17.25" customHeight="1" spans="4:5">
      <c r="D500" s="170">
        <v>45502</v>
      </c>
      <c r="E500" s="171">
        <v>24836.1</v>
      </c>
    </row>
    <row r="501" ht="17.25" customHeight="1" spans="4:5">
      <c r="D501" s="170">
        <v>45499</v>
      </c>
      <c r="E501" s="171">
        <v>24834.85</v>
      </c>
    </row>
    <row r="502" ht="17.25" customHeight="1" spans="4:5">
      <c r="D502" s="170">
        <v>45498</v>
      </c>
      <c r="E502" s="171">
        <v>24406.1</v>
      </c>
    </row>
    <row r="503" ht="17.25" customHeight="1" spans="4:5">
      <c r="D503" s="170">
        <v>45497</v>
      </c>
      <c r="E503" s="171">
        <v>24413.5</v>
      </c>
    </row>
    <row r="504" ht="17.25" customHeight="1" spans="4:5">
      <c r="D504" s="170">
        <v>45496</v>
      </c>
      <c r="E504" s="171">
        <v>24479.05</v>
      </c>
    </row>
    <row r="505" ht="17.25" customHeight="1" spans="4:5">
      <c r="D505" s="170">
        <v>45495</v>
      </c>
      <c r="E505" s="171">
        <v>24509.25</v>
      </c>
    </row>
    <row r="506" ht="17.25" customHeight="1" spans="4:5">
      <c r="D506" s="170">
        <v>45492</v>
      </c>
      <c r="E506" s="171">
        <v>24530.9</v>
      </c>
    </row>
    <row r="507" ht="17.25" customHeight="1" spans="4:5">
      <c r="D507" s="170">
        <v>45491</v>
      </c>
      <c r="E507" s="171">
        <v>24800.85</v>
      </c>
    </row>
    <row r="508" ht="17.25" customHeight="1" spans="4:5">
      <c r="D508" s="170">
        <v>45489</v>
      </c>
      <c r="E508" s="171">
        <v>24613</v>
      </c>
    </row>
    <row r="509" ht="17.25" customHeight="1" spans="4:5">
      <c r="D509" s="170">
        <v>45488</v>
      </c>
      <c r="E509" s="171">
        <v>24586.7</v>
      </c>
    </row>
    <row r="510" ht="17.25" customHeight="1" spans="4:5">
      <c r="D510" s="170">
        <v>45485</v>
      </c>
      <c r="E510" s="171">
        <v>24502.15</v>
      </c>
    </row>
    <row r="511" ht="17.25" customHeight="1" spans="4:5">
      <c r="D511" s="170">
        <v>45484</v>
      </c>
      <c r="E511" s="171">
        <v>24315.95</v>
      </c>
    </row>
    <row r="512" ht="17.25" customHeight="1" spans="4:5">
      <c r="D512" s="170">
        <v>45483</v>
      </c>
      <c r="E512" s="171">
        <v>24324.45</v>
      </c>
    </row>
    <row r="513" ht="17.25" customHeight="1" spans="4:5">
      <c r="D513" s="170">
        <v>45482</v>
      </c>
      <c r="E513" s="171">
        <v>24433.2</v>
      </c>
    </row>
    <row r="514" ht="17.25" customHeight="1" spans="4:5">
      <c r="D514" s="170">
        <v>45481</v>
      </c>
      <c r="E514" s="171">
        <v>24320.55</v>
      </c>
    </row>
    <row r="515" ht="17.25" customHeight="1" spans="4:5">
      <c r="D515" s="170">
        <v>45478</v>
      </c>
      <c r="E515" s="171">
        <v>24323.85</v>
      </c>
    </row>
    <row r="516" ht="17.25" customHeight="1" spans="4:5">
      <c r="D516" s="170">
        <v>45477</v>
      </c>
      <c r="E516" s="171">
        <v>24302.15</v>
      </c>
    </row>
    <row r="517" ht="17.25" customHeight="1" spans="4:5">
      <c r="D517" s="170">
        <v>45476</v>
      </c>
      <c r="E517" s="171">
        <v>24286.5</v>
      </c>
    </row>
    <row r="518" ht="17.25" customHeight="1" spans="4:5">
      <c r="D518" s="170">
        <v>45475</v>
      </c>
      <c r="E518" s="171">
        <v>24123.85</v>
      </c>
    </row>
    <row r="519" ht="17.25" customHeight="1" spans="4:5">
      <c r="D519" s="170">
        <v>45474</v>
      </c>
      <c r="E519" s="171">
        <v>24141.95</v>
      </c>
    </row>
    <row r="520" ht="17.25" customHeight="1" spans="4:5">
      <c r="D520" s="170">
        <v>45471</v>
      </c>
      <c r="E520" s="171">
        <v>24010.6</v>
      </c>
    </row>
    <row r="521" ht="17.25" customHeight="1" spans="4:5">
      <c r="D521" s="170">
        <v>45470</v>
      </c>
      <c r="E521" s="171">
        <v>24044.5</v>
      </c>
    </row>
    <row r="522" ht="17.25" customHeight="1" spans="4:5">
      <c r="D522" s="170">
        <v>45469</v>
      </c>
      <c r="E522" s="171">
        <v>23868.8</v>
      </c>
    </row>
    <row r="523" ht="17.25" customHeight="1" spans="4:5">
      <c r="D523" s="170">
        <v>45468</v>
      </c>
      <c r="E523" s="171">
        <v>23721.3</v>
      </c>
    </row>
    <row r="524" ht="17.25" customHeight="1" spans="4:5">
      <c r="D524" s="170">
        <v>45467</v>
      </c>
      <c r="E524" s="171">
        <v>23537.85</v>
      </c>
    </row>
    <row r="525" ht="17.25" customHeight="1" spans="4:5">
      <c r="D525" s="170">
        <v>45464</v>
      </c>
      <c r="E525" s="171">
        <v>23501.1</v>
      </c>
    </row>
    <row r="526" ht="17.25" customHeight="1" spans="4:5">
      <c r="D526" s="170">
        <v>45463</v>
      </c>
      <c r="E526" s="171">
        <v>23567</v>
      </c>
    </row>
    <row r="527" ht="17.25" customHeight="1" spans="4:5">
      <c r="D527" s="170">
        <v>45462</v>
      </c>
      <c r="E527" s="171">
        <v>23516</v>
      </c>
    </row>
    <row r="528" ht="17.25" customHeight="1" spans="4:5">
      <c r="D528" s="170">
        <v>45461</v>
      </c>
      <c r="E528" s="171">
        <v>23557.9</v>
      </c>
    </row>
    <row r="529" ht="17.25" customHeight="1" spans="4:5">
      <c r="D529" s="170">
        <v>45457</v>
      </c>
      <c r="E529" s="171">
        <v>23465.6</v>
      </c>
    </row>
    <row r="530" ht="17.25" customHeight="1" spans="4:5">
      <c r="D530" s="170">
        <v>45456</v>
      </c>
      <c r="E530" s="171">
        <v>23398.9</v>
      </c>
    </row>
    <row r="531" ht="17.25" customHeight="1" spans="4:5">
      <c r="D531" s="170">
        <v>45455</v>
      </c>
      <c r="E531" s="171">
        <v>23322.95</v>
      </c>
    </row>
    <row r="532" ht="17.25" customHeight="1" spans="4:5">
      <c r="D532" s="170">
        <v>45454</v>
      </c>
      <c r="E532" s="171">
        <v>23264.85</v>
      </c>
    </row>
    <row r="533" ht="17.25" customHeight="1" spans="4:5">
      <c r="D533" s="170">
        <v>45453</v>
      </c>
      <c r="E533" s="171">
        <v>23259.2</v>
      </c>
    </row>
    <row r="534" ht="17.25" customHeight="1" spans="4:5">
      <c r="D534" s="170">
        <v>45450</v>
      </c>
      <c r="E534" s="171">
        <v>23290.15</v>
      </c>
    </row>
    <row r="535" ht="17.25" customHeight="1" spans="4:5">
      <c r="D535" s="170">
        <v>45449</v>
      </c>
      <c r="E535" s="171">
        <v>22821.4</v>
      </c>
    </row>
    <row r="536" ht="17.25" customHeight="1" spans="4:5">
      <c r="D536" s="170">
        <v>45448</v>
      </c>
      <c r="E536" s="171">
        <v>22620.35</v>
      </c>
    </row>
    <row r="537" ht="17.25" customHeight="1" spans="4:5">
      <c r="D537" s="170">
        <v>45447</v>
      </c>
      <c r="E537" s="171">
        <v>21884.5</v>
      </c>
    </row>
    <row r="538" ht="17.25" customHeight="1" spans="4:5">
      <c r="D538" s="170">
        <v>45446</v>
      </c>
      <c r="E538" s="171">
        <v>23263.9</v>
      </c>
    </row>
    <row r="539" ht="17.25" customHeight="1" spans="4:5">
      <c r="D539" s="170">
        <v>45443</v>
      </c>
      <c r="E539" s="171">
        <v>22530.7</v>
      </c>
    </row>
    <row r="540" ht="17.25" customHeight="1" spans="4:5">
      <c r="D540" s="170">
        <v>45442</v>
      </c>
      <c r="E540" s="171">
        <v>22488.65</v>
      </c>
    </row>
    <row r="541" ht="17.25" customHeight="1" spans="4:5">
      <c r="D541" s="170">
        <v>45441</v>
      </c>
      <c r="E541" s="171">
        <v>22704.7</v>
      </c>
    </row>
    <row r="542" ht="17.25" customHeight="1" spans="4:5">
      <c r="D542" s="170">
        <v>45440</v>
      </c>
      <c r="E542" s="171">
        <v>22888.15</v>
      </c>
    </row>
    <row r="543" ht="17.25" customHeight="1" spans="4:5">
      <c r="D543" s="170">
        <v>45439</v>
      </c>
      <c r="E543" s="171">
        <v>22932.45</v>
      </c>
    </row>
    <row r="544" ht="17.25" customHeight="1" spans="4:5">
      <c r="D544" s="170">
        <v>45436</v>
      </c>
      <c r="E544" s="171">
        <v>22957.1</v>
      </c>
    </row>
    <row r="545" ht="17.25" customHeight="1" spans="4:5">
      <c r="D545" s="170">
        <v>45435</v>
      </c>
      <c r="E545" s="171">
        <v>22967.65</v>
      </c>
    </row>
    <row r="546" ht="17.25" customHeight="1" spans="4:5">
      <c r="D546" s="170">
        <v>45434</v>
      </c>
      <c r="E546" s="171">
        <v>22597.8</v>
      </c>
    </row>
    <row r="547" ht="17.25" customHeight="1" spans="4:5">
      <c r="D547" s="170">
        <v>45433</v>
      </c>
      <c r="E547" s="171">
        <v>22529.05</v>
      </c>
    </row>
    <row r="548" ht="17.25" customHeight="1" spans="4:5">
      <c r="D548" s="170">
        <v>45430</v>
      </c>
      <c r="E548" s="171">
        <v>22502</v>
      </c>
    </row>
    <row r="549" ht="17.25" customHeight="1" spans="4:5">
      <c r="D549" s="170">
        <v>45429</v>
      </c>
      <c r="E549" s="171">
        <v>22466.1</v>
      </c>
    </row>
    <row r="550" ht="17.25" customHeight="1" spans="4:5">
      <c r="D550" s="170">
        <v>45428</v>
      </c>
      <c r="E550" s="171">
        <v>22403.85</v>
      </c>
    </row>
    <row r="551" ht="17.25" customHeight="1" spans="4:5">
      <c r="D551" s="170">
        <v>45427</v>
      </c>
      <c r="E551" s="171">
        <v>22200.55</v>
      </c>
    </row>
    <row r="552" ht="17.25" customHeight="1" spans="4:5">
      <c r="D552" s="170">
        <v>45426</v>
      </c>
      <c r="E552" s="171">
        <v>22217.85</v>
      </c>
    </row>
    <row r="553" ht="17.25" customHeight="1" spans="4:5">
      <c r="D553" s="170">
        <v>45425</v>
      </c>
      <c r="E553" s="171">
        <v>22104.05</v>
      </c>
    </row>
    <row r="554" ht="17.25" customHeight="1" spans="4:5">
      <c r="D554" s="170">
        <v>45422</v>
      </c>
      <c r="E554" s="171">
        <v>22055.2</v>
      </c>
    </row>
    <row r="555" ht="17.25" customHeight="1" spans="4:5">
      <c r="D555" s="170">
        <v>45421</v>
      </c>
      <c r="E555" s="171">
        <v>21957.5</v>
      </c>
    </row>
    <row r="556" ht="17.25" customHeight="1" spans="4:5">
      <c r="D556" s="170">
        <v>45420</v>
      </c>
      <c r="E556" s="171">
        <v>22302.5</v>
      </c>
    </row>
    <row r="557" ht="17.25" customHeight="1" spans="4:5">
      <c r="D557" s="170">
        <v>45419</v>
      </c>
      <c r="E557" s="171">
        <v>22302.5</v>
      </c>
    </row>
    <row r="558" ht="17.25" customHeight="1" spans="4:5">
      <c r="D558" s="170">
        <v>45418</v>
      </c>
      <c r="E558" s="171">
        <v>22442.7</v>
      </c>
    </row>
    <row r="559" ht="17.25" customHeight="1" spans="4:5">
      <c r="D559" s="170">
        <v>45415</v>
      </c>
      <c r="E559" s="171">
        <v>22475.85</v>
      </c>
    </row>
    <row r="560" ht="17.25" customHeight="1" spans="4:5">
      <c r="D560" s="170">
        <v>45414</v>
      </c>
      <c r="E560" s="171">
        <v>22648.2</v>
      </c>
    </row>
    <row r="561" ht="17.25" customHeight="1" spans="4:5">
      <c r="D561" s="170">
        <v>45412</v>
      </c>
      <c r="E561" s="171">
        <v>22604.85</v>
      </c>
    </row>
    <row r="562" ht="17.25" customHeight="1" spans="4:5">
      <c r="D562" s="170">
        <v>45411</v>
      </c>
      <c r="E562" s="171">
        <v>22643.4</v>
      </c>
    </row>
    <row r="563" ht="17.25" customHeight="1" spans="4:5">
      <c r="D563" s="170">
        <v>45408</v>
      </c>
      <c r="E563" s="171">
        <v>22419.95</v>
      </c>
    </row>
    <row r="564" ht="17.25" customHeight="1" spans="4:5">
      <c r="D564" s="170">
        <v>45407</v>
      </c>
      <c r="E564" s="171">
        <v>22570.35</v>
      </c>
    </row>
    <row r="565" ht="17.25" customHeight="1" spans="4:5">
      <c r="D565" s="170">
        <v>45406</v>
      </c>
      <c r="E565" s="171">
        <v>22402.4</v>
      </c>
    </row>
    <row r="566" ht="17.25" customHeight="1" spans="4:5">
      <c r="D566" s="170">
        <v>45405</v>
      </c>
      <c r="E566" s="171">
        <v>22368</v>
      </c>
    </row>
    <row r="567" ht="17.25" customHeight="1" spans="4:5">
      <c r="D567" s="170">
        <v>45404</v>
      </c>
      <c r="E567" s="171">
        <v>22336.4</v>
      </c>
    </row>
    <row r="568" ht="17.25" customHeight="1" spans="4:5">
      <c r="D568" s="170">
        <v>45401</v>
      </c>
      <c r="E568" s="171">
        <v>22147</v>
      </c>
    </row>
    <row r="569" ht="17.25" customHeight="1" spans="4:5">
      <c r="D569" s="170">
        <v>45400</v>
      </c>
      <c r="E569" s="171">
        <v>21995.85</v>
      </c>
    </row>
    <row r="570" ht="17.25" customHeight="1" spans="4:5">
      <c r="D570" s="170">
        <v>45398</v>
      </c>
      <c r="E570" s="171">
        <v>22147.9</v>
      </c>
    </row>
    <row r="571" ht="17.25" customHeight="1" spans="4:5">
      <c r="D571" s="170">
        <v>45397</v>
      </c>
      <c r="E571" s="171">
        <v>22272.5</v>
      </c>
    </row>
    <row r="572" ht="17.25" customHeight="1" spans="4:5">
      <c r="D572" s="170">
        <v>45394</v>
      </c>
      <c r="E572" s="171">
        <v>22519.4</v>
      </c>
    </row>
    <row r="573" ht="17.25" customHeight="1" spans="4:5">
      <c r="D573" s="170">
        <v>45392</v>
      </c>
      <c r="E573" s="171">
        <v>22753.8</v>
      </c>
    </row>
    <row r="574" ht="17.25" customHeight="1" spans="4:5">
      <c r="D574" s="170">
        <v>45391</v>
      </c>
      <c r="E574" s="171">
        <v>22642.75</v>
      </c>
    </row>
    <row r="575" ht="17.25" customHeight="1" spans="4:5">
      <c r="D575" s="170">
        <v>45390</v>
      </c>
      <c r="E575" s="171">
        <v>22666.3</v>
      </c>
    </row>
    <row r="576" ht="17.25" customHeight="1" spans="4:5">
      <c r="D576" s="170">
        <v>45387</v>
      </c>
      <c r="E576" s="171">
        <v>22513.7</v>
      </c>
    </row>
    <row r="577" ht="17.25" customHeight="1" spans="4:5">
      <c r="D577" s="170">
        <v>45386</v>
      </c>
      <c r="E577" s="171">
        <v>22514.65</v>
      </c>
    </row>
    <row r="578" ht="17.25" customHeight="1" spans="4:5">
      <c r="D578" s="170">
        <v>45385</v>
      </c>
      <c r="E578" s="171">
        <v>22434.65</v>
      </c>
    </row>
    <row r="579" ht="17.25" customHeight="1" spans="4:5">
      <c r="D579" s="170">
        <v>45384</v>
      </c>
      <c r="E579" s="171">
        <v>22453.3</v>
      </c>
    </row>
    <row r="580" ht="17.25" customHeight="1" spans="4:5">
      <c r="D580" s="170">
        <v>45383</v>
      </c>
      <c r="E580" s="171">
        <v>22462</v>
      </c>
    </row>
    <row r="581" ht="17.25" customHeight="1" spans="4:5">
      <c r="D581" s="170">
        <v>45379</v>
      </c>
      <c r="E581" s="171">
        <v>22326.9</v>
      </c>
    </row>
    <row r="582" ht="17.25" customHeight="1" spans="4:5">
      <c r="D582" s="170">
        <v>45378</v>
      </c>
      <c r="E582" s="171">
        <v>22123.65</v>
      </c>
    </row>
    <row r="583" ht="17.25" customHeight="1" spans="4:5">
      <c r="D583" s="170">
        <v>45377</v>
      </c>
      <c r="E583" s="171">
        <v>22004.7</v>
      </c>
    </row>
    <row r="584" ht="17.25" customHeight="1" spans="4:5">
      <c r="D584" s="170">
        <v>45373</v>
      </c>
      <c r="E584" s="171">
        <v>22096.75</v>
      </c>
    </row>
    <row r="585" ht="17.25" customHeight="1" spans="4:5">
      <c r="D585" s="170">
        <v>45372</v>
      </c>
      <c r="E585" s="171">
        <v>22011.95</v>
      </c>
    </row>
    <row r="586" ht="17.25" customHeight="1" spans="4:5">
      <c r="D586" s="170">
        <v>45371</v>
      </c>
      <c r="E586" s="171">
        <v>21839.1</v>
      </c>
    </row>
    <row r="587" ht="17.25" customHeight="1" spans="4:5">
      <c r="D587" s="170">
        <v>45370</v>
      </c>
      <c r="E587" s="171">
        <v>21817.45</v>
      </c>
    </row>
    <row r="588" ht="17.25" customHeight="1" spans="4:5">
      <c r="D588" s="170">
        <v>45369</v>
      </c>
      <c r="E588" s="171">
        <v>22055.7</v>
      </c>
    </row>
    <row r="589" ht="17.25" customHeight="1" spans="4:5">
      <c r="D589" s="170">
        <v>45366</v>
      </c>
      <c r="E589" s="171">
        <v>22023.35</v>
      </c>
    </row>
    <row r="590" ht="17.25" customHeight="1" spans="4:5">
      <c r="D590" s="170">
        <v>45365</v>
      </c>
      <c r="E590" s="171">
        <v>22146.65</v>
      </c>
    </row>
    <row r="591" ht="17.25" customHeight="1" spans="4:5">
      <c r="D591" s="170">
        <v>45364</v>
      </c>
      <c r="E591" s="171">
        <v>21997.7</v>
      </c>
    </row>
    <row r="592" ht="17.25" customHeight="1" spans="4:5">
      <c r="D592" s="170">
        <v>45363</v>
      </c>
      <c r="E592" s="171">
        <v>22335.7</v>
      </c>
    </row>
    <row r="593" ht="17.25" customHeight="1" spans="4:5">
      <c r="D593" s="170">
        <v>45362</v>
      </c>
      <c r="E593" s="171">
        <v>22332.65</v>
      </c>
    </row>
    <row r="594" ht="17.25" customHeight="1" spans="4:5">
      <c r="D594" s="170">
        <v>45358</v>
      </c>
      <c r="E594" s="171">
        <v>22493.55</v>
      </c>
    </row>
    <row r="595" ht="17.25" customHeight="1" spans="4:5">
      <c r="D595" s="170">
        <v>45357</v>
      </c>
      <c r="E595" s="171">
        <v>22474.05</v>
      </c>
    </row>
    <row r="596" ht="17.25" customHeight="1" spans="4:5">
      <c r="D596" s="170">
        <v>45356</v>
      </c>
      <c r="E596" s="171">
        <v>22356.3</v>
      </c>
    </row>
    <row r="597" ht="17.25" customHeight="1" spans="4:5">
      <c r="D597" s="170">
        <v>45355</v>
      </c>
      <c r="E597" s="171">
        <v>22405.6</v>
      </c>
    </row>
    <row r="598" ht="17.25" customHeight="1" spans="4:5">
      <c r="D598" s="170">
        <v>45353</v>
      </c>
      <c r="E598" s="171">
        <v>22378.4</v>
      </c>
    </row>
    <row r="599" ht="17.25" customHeight="1" spans="4:5">
      <c r="D599" s="170">
        <v>45352</v>
      </c>
      <c r="E599" s="171">
        <v>22338.75</v>
      </c>
    </row>
    <row r="600" ht="17.25" customHeight="1" spans="4:5">
      <c r="D600" s="170">
        <v>45351</v>
      </c>
      <c r="E600" s="171">
        <v>21982.8</v>
      </c>
    </row>
    <row r="601" ht="17.25" customHeight="1" spans="4:5">
      <c r="D601" s="170">
        <v>45350</v>
      </c>
      <c r="E601" s="171">
        <v>21951.15</v>
      </c>
    </row>
    <row r="602" ht="17.25" customHeight="1" spans="4:5">
      <c r="D602" s="170">
        <v>45349</v>
      </c>
      <c r="E602" s="171">
        <v>22198.35</v>
      </c>
    </row>
    <row r="603" ht="17.25" customHeight="1" spans="4:5">
      <c r="D603" s="170">
        <v>45348</v>
      </c>
      <c r="E603" s="171">
        <v>22122.05</v>
      </c>
    </row>
    <row r="604" ht="17.25" customHeight="1" spans="4:5">
      <c r="D604" s="170">
        <v>45345</v>
      </c>
      <c r="E604" s="171">
        <v>22212.7</v>
      </c>
    </row>
    <row r="605" ht="17.25" customHeight="1" spans="4:5">
      <c r="D605" s="170">
        <v>45344</v>
      </c>
      <c r="E605" s="171">
        <v>22217.45</v>
      </c>
    </row>
    <row r="606" ht="17.25" customHeight="1" spans="4:5">
      <c r="D606" s="170">
        <v>45343</v>
      </c>
      <c r="E606" s="171">
        <v>22055.05</v>
      </c>
    </row>
    <row r="607" ht="17.25" customHeight="1" spans="4:5">
      <c r="D607" s="170">
        <v>45342</v>
      </c>
      <c r="E607" s="171">
        <v>22196.95</v>
      </c>
    </row>
    <row r="608" ht="17.25" customHeight="1" spans="4:5">
      <c r="D608" s="170">
        <v>45341</v>
      </c>
      <c r="E608" s="171">
        <v>22122.25</v>
      </c>
    </row>
    <row r="609" ht="17.25" customHeight="1" spans="4:5">
      <c r="D609" s="170">
        <v>45338</v>
      </c>
      <c r="E609" s="171">
        <v>22040.7</v>
      </c>
    </row>
    <row r="610" ht="17.25" customHeight="1" spans="4:5">
      <c r="D610" s="170">
        <v>45337</v>
      </c>
      <c r="E610" s="171">
        <v>21910.75</v>
      </c>
    </row>
    <row r="611" ht="17.25" customHeight="1" spans="4:5">
      <c r="D611" s="170">
        <v>45336</v>
      </c>
      <c r="E611" s="171">
        <v>21840.05</v>
      </c>
    </row>
    <row r="612" ht="17.25" customHeight="1" spans="4:5">
      <c r="D612" s="170">
        <v>45335</v>
      </c>
      <c r="E612" s="171">
        <v>21743.25</v>
      </c>
    </row>
    <row r="613" ht="17.25" customHeight="1" spans="4:5">
      <c r="D613" s="170">
        <v>45334</v>
      </c>
      <c r="E613" s="171">
        <v>21616.05</v>
      </c>
    </row>
    <row r="614" ht="17.25" customHeight="1" spans="4:5">
      <c r="D614" s="170">
        <v>45331</v>
      </c>
      <c r="E614" s="171">
        <v>21782.5</v>
      </c>
    </row>
    <row r="615" ht="17.25" customHeight="1" spans="4:5">
      <c r="D615" s="170">
        <v>45330</v>
      </c>
      <c r="E615" s="171">
        <v>21717.95</v>
      </c>
    </row>
    <row r="616" ht="17.25" customHeight="1" spans="4:5">
      <c r="D616" s="170">
        <v>45329</v>
      </c>
      <c r="E616" s="171">
        <v>21930.5</v>
      </c>
    </row>
    <row r="617" ht="17.25" customHeight="1" spans="4:5">
      <c r="D617" s="170">
        <v>45328</v>
      </c>
      <c r="E617" s="171">
        <v>21929.4</v>
      </c>
    </row>
    <row r="618" ht="17.25" customHeight="1" spans="4:5">
      <c r="D618" s="170">
        <v>45327</v>
      </c>
      <c r="E618" s="171">
        <v>21771.7</v>
      </c>
    </row>
    <row r="619" ht="17.25" customHeight="1" spans="4:5">
      <c r="D619" s="170">
        <v>45324</v>
      </c>
      <c r="E619" s="171">
        <v>21853.8</v>
      </c>
    </row>
    <row r="620" ht="17.25" customHeight="1" spans="4:5">
      <c r="D620" s="170">
        <v>45323</v>
      </c>
      <c r="E620" s="171">
        <v>21697.45</v>
      </c>
    </row>
    <row r="621" ht="17.25" customHeight="1" spans="4:5">
      <c r="D621" s="170">
        <v>45322</v>
      </c>
      <c r="E621" s="171">
        <v>21725.7</v>
      </c>
    </row>
    <row r="622" ht="17.25" customHeight="1" spans="4:5">
      <c r="D622" s="170">
        <v>45321</v>
      </c>
      <c r="E622" s="171">
        <v>21522.1</v>
      </c>
    </row>
    <row r="623" ht="17.25" customHeight="1" spans="4:5">
      <c r="D623" s="170">
        <v>45320</v>
      </c>
      <c r="E623" s="171">
        <v>21737.6</v>
      </c>
    </row>
    <row r="624" ht="17.25" customHeight="1" spans="4:5">
      <c r="D624" s="170">
        <v>45316</v>
      </c>
      <c r="E624" s="171">
        <v>21352.6</v>
      </c>
    </row>
    <row r="625" ht="17.25" customHeight="1" spans="4:5">
      <c r="D625" s="170">
        <v>45315</v>
      </c>
      <c r="E625" s="171">
        <v>21453.95</v>
      </c>
    </row>
    <row r="626" ht="17.25" customHeight="1" spans="4:5">
      <c r="D626" s="170">
        <v>45314</v>
      </c>
      <c r="E626" s="171">
        <v>21238.8</v>
      </c>
    </row>
    <row r="627" ht="17.25" customHeight="1" spans="4:5">
      <c r="D627" s="170">
        <v>45311</v>
      </c>
      <c r="E627" s="171">
        <v>21571.8</v>
      </c>
    </row>
    <row r="628" ht="17.25" customHeight="1" spans="4:5">
      <c r="D628" s="170">
        <v>45310</v>
      </c>
      <c r="E628" s="171">
        <v>21622.4</v>
      </c>
    </row>
    <row r="629" ht="17.25" customHeight="1" spans="4:5">
      <c r="D629" s="170">
        <v>45309</v>
      </c>
      <c r="E629" s="171">
        <v>21462.25</v>
      </c>
    </row>
    <row r="630" ht="17.25" customHeight="1" spans="4:5">
      <c r="D630" s="170">
        <v>45308</v>
      </c>
      <c r="E630" s="171">
        <v>21571.95</v>
      </c>
    </row>
    <row r="631" ht="17.25" customHeight="1" spans="4:5">
      <c r="D631" s="170">
        <v>45307</v>
      </c>
      <c r="E631" s="171">
        <v>22032.3</v>
      </c>
    </row>
    <row r="632" ht="17.25" customHeight="1" spans="4:5">
      <c r="D632" s="170">
        <v>45306</v>
      </c>
      <c r="E632" s="171">
        <v>22097.45</v>
      </c>
    </row>
    <row r="633" ht="17.25" customHeight="1" spans="4:5">
      <c r="D633" s="170">
        <v>45303</v>
      </c>
      <c r="E633" s="171">
        <v>21894.55</v>
      </c>
    </row>
    <row r="634" ht="17.25" customHeight="1" spans="4:5">
      <c r="D634" s="170">
        <v>45302</v>
      </c>
      <c r="E634" s="171">
        <v>21647.2</v>
      </c>
    </row>
    <row r="635" ht="17.25" customHeight="1" spans="4:5">
      <c r="D635" s="170">
        <v>45301</v>
      </c>
      <c r="E635" s="171">
        <v>21618.7</v>
      </c>
    </row>
    <row r="636" ht="17.25" customHeight="1" spans="4:5">
      <c r="D636" s="170">
        <v>45300</v>
      </c>
      <c r="E636" s="171">
        <v>21544.85</v>
      </c>
    </row>
    <row r="637" ht="17.25" customHeight="1" spans="4:5">
      <c r="D637" s="170">
        <v>45299</v>
      </c>
      <c r="E637" s="171">
        <v>21513</v>
      </c>
    </row>
    <row r="638" ht="17.25" customHeight="1" spans="4:5">
      <c r="D638" s="170">
        <v>45296</v>
      </c>
      <c r="E638" s="171">
        <v>21710.8</v>
      </c>
    </row>
    <row r="639" ht="17.25" customHeight="1" spans="4:5">
      <c r="D639" s="170">
        <v>45295</v>
      </c>
      <c r="E639" s="171">
        <v>21658.6</v>
      </c>
    </row>
    <row r="640" ht="17.25" customHeight="1" spans="4:5">
      <c r="D640" s="170">
        <v>45294</v>
      </c>
      <c r="E640" s="171">
        <v>21517.35</v>
      </c>
    </row>
    <row r="641" ht="17.25" customHeight="1" spans="4:5">
      <c r="D641" s="170">
        <v>45293</v>
      </c>
      <c r="E641" s="171">
        <v>21665.8</v>
      </c>
    </row>
    <row r="642" ht="17.25" customHeight="1" spans="4:5">
      <c r="D642" s="170">
        <v>45292</v>
      </c>
      <c r="E642" s="171">
        <v>21741.9</v>
      </c>
    </row>
    <row r="643" ht="17.25" customHeight="1" spans="4:5">
      <c r="D643" s="170">
        <v>45289</v>
      </c>
      <c r="E643" s="171">
        <v>21731.4</v>
      </c>
    </row>
    <row r="644" ht="17.25" customHeight="1" spans="4:5">
      <c r="D644" s="170">
        <v>45288</v>
      </c>
      <c r="E644" s="171">
        <v>21778.7</v>
      </c>
    </row>
    <row r="645" ht="17.25" customHeight="1" spans="4:5">
      <c r="D645" s="170">
        <v>45287</v>
      </c>
      <c r="E645" s="171">
        <v>21654.75</v>
      </c>
    </row>
    <row r="646" ht="17.25" customHeight="1" spans="4:5">
      <c r="D646" s="170">
        <v>45286</v>
      </c>
      <c r="E646" s="171">
        <v>21441.35</v>
      </c>
    </row>
    <row r="647" ht="17.25" customHeight="1" spans="4:5">
      <c r="D647" s="170">
        <v>45282</v>
      </c>
      <c r="E647" s="171">
        <v>21349.4</v>
      </c>
    </row>
    <row r="648" ht="17.25" customHeight="1" spans="4:5">
      <c r="D648" s="170">
        <v>45281</v>
      </c>
      <c r="E648" s="171">
        <v>21255.05</v>
      </c>
    </row>
    <row r="649" ht="17.25" customHeight="1" spans="4:5">
      <c r="D649" s="170">
        <v>45280</v>
      </c>
      <c r="E649" s="171">
        <v>21150.15</v>
      </c>
    </row>
    <row r="650" ht="17.25" customHeight="1" spans="4:5">
      <c r="D650" s="170">
        <v>45279</v>
      </c>
      <c r="E650" s="171">
        <v>21453.1</v>
      </c>
    </row>
    <row r="651" ht="17.25" customHeight="1" spans="4:5">
      <c r="D651" s="170">
        <v>45278</v>
      </c>
      <c r="E651" s="171">
        <v>21418.65</v>
      </c>
    </row>
    <row r="652" ht="17.25" customHeight="1" spans="4:5">
      <c r="D652" s="170">
        <v>45275</v>
      </c>
      <c r="E652" s="171">
        <v>21456.65</v>
      </c>
    </row>
    <row r="653" ht="17.25" customHeight="1" spans="4:5">
      <c r="D653" s="170">
        <v>45274</v>
      </c>
      <c r="E653" s="171">
        <v>21182.7</v>
      </c>
    </row>
    <row r="654" ht="17.25" customHeight="1" spans="4:5">
      <c r="D654" s="170">
        <v>45273</v>
      </c>
      <c r="E654" s="171">
        <v>20926.35</v>
      </c>
    </row>
    <row r="655" ht="17.25" customHeight="1" spans="4:5">
      <c r="D655" s="170">
        <v>45272</v>
      </c>
      <c r="E655" s="171">
        <v>20906.4</v>
      </c>
    </row>
    <row r="656" ht="17.25" customHeight="1" spans="4:5">
      <c r="D656" s="170">
        <v>45271</v>
      </c>
      <c r="E656" s="171">
        <v>20997.1</v>
      </c>
    </row>
    <row r="657" ht="17.25" customHeight="1" spans="4:5">
      <c r="D657" s="170">
        <v>45268</v>
      </c>
      <c r="E657" s="171">
        <v>20969.4</v>
      </c>
    </row>
    <row r="658" ht="17.25" customHeight="1" spans="4:5">
      <c r="D658" s="170">
        <v>45267</v>
      </c>
      <c r="E658" s="171">
        <v>20901.15</v>
      </c>
    </row>
    <row r="659" ht="17.25" customHeight="1" spans="4:5">
      <c r="D659" s="170">
        <v>45266</v>
      </c>
      <c r="E659" s="171">
        <v>20937.7</v>
      </c>
    </row>
    <row r="660" ht="17.25" customHeight="1" spans="4:5">
      <c r="D660" s="170">
        <v>45265</v>
      </c>
      <c r="E660" s="171">
        <v>20855.1</v>
      </c>
    </row>
    <row r="661" ht="17.25" customHeight="1" spans="4:5">
      <c r="D661" s="170">
        <v>45264</v>
      </c>
      <c r="E661" s="171">
        <v>20686.8</v>
      </c>
    </row>
    <row r="662" ht="17.25" customHeight="1" spans="4:5">
      <c r="D662" s="170">
        <v>45261</v>
      </c>
      <c r="E662" s="171">
        <v>20267.9</v>
      </c>
    </row>
    <row r="663" ht="17.25" customHeight="1" spans="4:5">
      <c r="D663" s="170">
        <v>45260</v>
      </c>
      <c r="E663" s="171">
        <v>20133.15</v>
      </c>
    </row>
    <row r="664" ht="17.25" customHeight="1" spans="4:5">
      <c r="D664" s="170">
        <v>45259</v>
      </c>
      <c r="E664" s="171">
        <v>20096.6</v>
      </c>
    </row>
    <row r="665" ht="17.25" customHeight="1" spans="4:5">
      <c r="D665" s="170">
        <v>45258</v>
      </c>
      <c r="E665" s="171">
        <v>19889.7</v>
      </c>
    </row>
    <row r="666" ht="17.25" customHeight="1" spans="4:5">
      <c r="D666" s="170">
        <v>45254</v>
      </c>
      <c r="E666" s="171">
        <v>19794.7</v>
      </c>
    </row>
    <row r="667" ht="17.25" customHeight="1" spans="4:5">
      <c r="D667" s="170">
        <v>45253</v>
      </c>
      <c r="E667" s="171">
        <v>19802</v>
      </c>
    </row>
    <row r="668" ht="17.25" customHeight="1" spans="4:5">
      <c r="D668" s="170">
        <v>45252</v>
      </c>
      <c r="E668" s="171">
        <v>19811.85</v>
      </c>
    </row>
    <row r="669" ht="17.25" customHeight="1" spans="4:5">
      <c r="D669" s="170">
        <v>45251</v>
      </c>
      <c r="E669" s="171">
        <v>19783.4</v>
      </c>
    </row>
    <row r="670" ht="17.25" customHeight="1" spans="4:5">
      <c r="D670" s="170">
        <v>45250</v>
      </c>
      <c r="E670" s="171">
        <v>19694</v>
      </c>
    </row>
    <row r="671" ht="17.25" customHeight="1" spans="4:5">
      <c r="D671" s="170">
        <v>45247</v>
      </c>
      <c r="E671" s="171">
        <v>19731.8</v>
      </c>
    </row>
    <row r="672" ht="17.25" customHeight="1" spans="4:5">
      <c r="D672" s="170">
        <v>45246</v>
      </c>
      <c r="E672" s="171">
        <v>19765.2</v>
      </c>
    </row>
    <row r="673" ht="17.25" customHeight="1" spans="4:5">
      <c r="D673" s="170">
        <v>45245</v>
      </c>
      <c r="E673" s="171">
        <v>19675.45</v>
      </c>
    </row>
    <row r="674" ht="17.25" customHeight="1" spans="4:5">
      <c r="D674" s="170">
        <v>45243</v>
      </c>
      <c r="E674" s="171">
        <v>19443.55</v>
      </c>
    </row>
    <row r="675" ht="17.25" customHeight="1" spans="4:5">
      <c r="D675" s="170">
        <v>45242</v>
      </c>
      <c r="E675" s="171">
        <v>19525.55</v>
      </c>
    </row>
    <row r="676" ht="17.25" customHeight="1" spans="4:5">
      <c r="D676" s="170">
        <v>45240</v>
      </c>
      <c r="E676" s="171">
        <v>19425.35</v>
      </c>
    </row>
    <row r="677" ht="17.25" customHeight="1" spans="4:5">
      <c r="D677" s="170">
        <v>45239</v>
      </c>
      <c r="E677" s="171">
        <v>19395.3</v>
      </c>
    </row>
    <row r="678" ht="17.25" customHeight="1" spans="4:5">
      <c r="D678" s="170">
        <v>45238</v>
      </c>
      <c r="E678" s="171">
        <v>19443.5</v>
      </c>
    </row>
    <row r="679" ht="17.25" customHeight="1" spans="4:5">
      <c r="D679" s="170">
        <v>45237</v>
      </c>
      <c r="E679" s="171">
        <v>19406.7</v>
      </c>
    </row>
    <row r="680" ht="17.25" customHeight="1" spans="4:5">
      <c r="D680" s="170">
        <v>45236</v>
      </c>
      <c r="E680" s="171">
        <v>19411.75</v>
      </c>
    </row>
    <row r="681" ht="17.25" customHeight="1" spans="4:5">
      <c r="D681" s="170">
        <v>45233</v>
      </c>
      <c r="E681" s="171">
        <v>19230.6</v>
      </c>
    </row>
    <row r="682" ht="17.25" customHeight="1" spans="4:5">
      <c r="D682" s="170">
        <v>45232</v>
      </c>
      <c r="E682" s="171">
        <v>19133.25</v>
      </c>
    </row>
    <row r="683" ht="17.25" customHeight="1" spans="4:5">
      <c r="D683" s="170">
        <v>45231</v>
      </c>
      <c r="E683" s="171">
        <v>18989.15</v>
      </c>
    </row>
    <row r="684" ht="17.25" customHeight="1" spans="4:5">
      <c r="D684" s="170">
        <v>45230</v>
      </c>
      <c r="E684" s="171">
        <v>19079.6</v>
      </c>
    </row>
    <row r="685" ht="17.25" customHeight="1" spans="4:5">
      <c r="D685" s="170">
        <v>45229</v>
      </c>
      <c r="E685" s="171">
        <v>19140.9</v>
      </c>
    </row>
    <row r="686" ht="17.25" customHeight="1" spans="4:5">
      <c r="D686" s="170">
        <v>45226</v>
      </c>
      <c r="E686" s="171">
        <v>19047.25</v>
      </c>
    </row>
    <row r="687" ht="17.25" customHeight="1" spans="4:5">
      <c r="D687" s="170">
        <v>45225</v>
      </c>
      <c r="E687" s="171">
        <v>18857.25</v>
      </c>
    </row>
    <row r="688" ht="17.25" customHeight="1" spans="4:5">
      <c r="D688" s="170">
        <v>45224</v>
      </c>
      <c r="E688" s="171">
        <v>19122.15</v>
      </c>
    </row>
    <row r="689" ht="17.25" customHeight="1" spans="4:5">
      <c r="D689" s="170">
        <v>45222</v>
      </c>
      <c r="E689" s="171">
        <v>19281.75</v>
      </c>
    </row>
    <row r="690" ht="17.25" customHeight="1" spans="4:5">
      <c r="D690" s="170">
        <v>45219</v>
      </c>
      <c r="E690" s="171">
        <v>19542.65</v>
      </c>
    </row>
    <row r="691" ht="17.25" customHeight="1" spans="4:5">
      <c r="D691" s="170">
        <v>45218</v>
      </c>
      <c r="E691" s="171">
        <v>19624.7</v>
      </c>
    </row>
    <row r="692" ht="17.25" customHeight="1" spans="4:5">
      <c r="D692" s="170">
        <v>45217</v>
      </c>
      <c r="E692" s="171">
        <v>19671.1</v>
      </c>
    </row>
    <row r="693" ht="17.25" customHeight="1" spans="4:5">
      <c r="D693" s="170">
        <v>45216</v>
      </c>
      <c r="E693" s="171">
        <v>19811.5</v>
      </c>
    </row>
    <row r="694" ht="17.25" customHeight="1" spans="4:5">
      <c r="D694" s="170">
        <v>45215</v>
      </c>
      <c r="E694" s="171">
        <v>19731.75</v>
      </c>
    </row>
    <row r="695" ht="17.25" customHeight="1" spans="4:5">
      <c r="D695" s="170">
        <v>45212</v>
      </c>
      <c r="E695" s="171">
        <v>19751.05</v>
      </c>
    </row>
    <row r="696" ht="17.25" customHeight="1" spans="4:5">
      <c r="D696" s="170">
        <v>45211</v>
      </c>
      <c r="E696" s="171">
        <v>19794</v>
      </c>
    </row>
    <row r="697" ht="17.25" customHeight="1" spans="4:5">
      <c r="D697" s="170">
        <v>45210</v>
      </c>
      <c r="E697" s="171">
        <v>19811.35</v>
      </c>
    </row>
    <row r="698" ht="17.25" customHeight="1" spans="4:5">
      <c r="D698" s="170">
        <v>45209</v>
      </c>
      <c r="E698" s="171">
        <v>19689.85</v>
      </c>
    </row>
    <row r="699" ht="17.25" customHeight="1" spans="4:5">
      <c r="D699" s="170">
        <v>45208</v>
      </c>
      <c r="E699" s="171">
        <v>19512.35</v>
      </c>
    </row>
    <row r="700" ht="17.25" customHeight="1" spans="4:5">
      <c r="D700" s="170">
        <v>45205</v>
      </c>
      <c r="E700" s="171">
        <v>19653.5</v>
      </c>
    </row>
    <row r="701" ht="17.25" customHeight="1" spans="4:5">
      <c r="D701" s="170">
        <v>45204</v>
      </c>
      <c r="E701" s="171">
        <v>19545.75</v>
      </c>
    </row>
    <row r="702" ht="17.25" customHeight="1" spans="4:5">
      <c r="D702" s="170">
        <v>45203</v>
      </c>
      <c r="E702" s="171">
        <v>19436.1</v>
      </c>
    </row>
    <row r="703" ht="17.25" customHeight="1" spans="4:5">
      <c r="D703" s="170">
        <v>45202</v>
      </c>
      <c r="E703" s="171">
        <v>19528.75</v>
      </c>
    </row>
    <row r="704" ht="17.25" customHeight="1" spans="4:5">
      <c r="D704" s="170">
        <v>45198</v>
      </c>
      <c r="E704" s="171">
        <v>19638.3</v>
      </c>
    </row>
    <row r="705" ht="17.25" customHeight="1" spans="4:5">
      <c r="D705" s="170">
        <v>45197</v>
      </c>
      <c r="E705" s="171">
        <v>19523.55</v>
      </c>
    </row>
    <row r="706" ht="17.25" customHeight="1" spans="4:5">
      <c r="D706" s="170">
        <v>45196</v>
      </c>
      <c r="E706" s="171">
        <v>19716.45</v>
      </c>
    </row>
    <row r="707" ht="17.25" customHeight="1" spans="4:5">
      <c r="D707" s="170">
        <v>45195</v>
      </c>
      <c r="E707" s="171">
        <v>19664.7</v>
      </c>
    </row>
    <row r="708" ht="17.25" customHeight="1" spans="4:5">
      <c r="D708" s="170">
        <v>45194</v>
      </c>
      <c r="E708" s="171">
        <v>19674.55</v>
      </c>
    </row>
    <row r="709" ht="17.25" customHeight="1" spans="4:5">
      <c r="D709" s="170">
        <v>45191</v>
      </c>
      <c r="E709" s="171">
        <v>19674.25</v>
      </c>
    </row>
    <row r="710" ht="17.25" customHeight="1" spans="4:5">
      <c r="D710" s="170">
        <v>45190</v>
      </c>
      <c r="E710" s="171">
        <v>19742.35</v>
      </c>
    </row>
    <row r="711" ht="17.25" customHeight="1" spans="4:5">
      <c r="D711" s="170">
        <v>45189</v>
      </c>
      <c r="E711" s="171">
        <v>19901.4</v>
      </c>
    </row>
    <row r="712" ht="17.25" customHeight="1" spans="4:5">
      <c r="D712" s="170">
        <v>45187</v>
      </c>
      <c r="E712" s="171">
        <v>20133.3</v>
      </c>
    </row>
    <row r="713" ht="17.25" customHeight="1" spans="4:5">
      <c r="D713" s="170">
        <v>45184</v>
      </c>
      <c r="E713" s="171">
        <v>20192.35</v>
      </c>
    </row>
    <row r="714" ht="17.25" customHeight="1" spans="4:5">
      <c r="D714" s="170">
        <v>45183</v>
      </c>
      <c r="E714" s="171">
        <v>20103.1</v>
      </c>
    </row>
    <row r="715" ht="17.25" customHeight="1" spans="4:5">
      <c r="D715" s="170">
        <v>45182</v>
      </c>
      <c r="E715" s="171">
        <v>20070</v>
      </c>
    </row>
    <row r="716" ht="17.25" customHeight="1" spans="4:5">
      <c r="D716" s="170">
        <v>45181</v>
      </c>
      <c r="E716" s="171">
        <v>19993.2</v>
      </c>
    </row>
    <row r="717" ht="17.25" customHeight="1" spans="4:5">
      <c r="D717" s="170">
        <v>45180</v>
      </c>
      <c r="E717" s="171">
        <v>19996.35</v>
      </c>
    </row>
    <row r="718" ht="17.25" customHeight="1" spans="4:5">
      <c r="D718" s="170">
        <v>45177</v>
      </c>
      <c r="E718" s="171">
        <v>19819.95</v>
      </c>
    </row>
    <row r="719" ht="17.25" customHeight="1" spans="4:5">
      <c r="D719" s="170">
        <v>45176</v>
      </c>
      <c r="E719" s="171">
        <v>19727.05</v>
      </c>
    </row>
    <row r="720" ht="17.25" customHeight="1" spans="4:5">
      <c r="D720" s="170">
        <v>45175</v>
      </c>
      <c r="E720" s="171">
        <v>19611.05</v>
      </c>
    </row>
    <row r="721" ht="17.25" customHeight="1" spans="4:5">
      <c r="D721" s="170">
        <v>45174</v>
      </c>
      <c r="E721" s="171">
        <v>19574.9</v>
      </c>
    </row>
    <row r="722" ht="17.25" customHeight="1" spans="4:5">
      <c r="D722" s="170">
        <v>45173</v>
      </c>
      <c r="E722" s="171">
        <v>19528.8</v>
      </c>
    </row>
    <row r="723" ht="17.25" customHeight="1" spans="4:5">
      <c r="D723" s="170">
        <v>45170</v>
      </c>
      <c r="E723" s="171">
        <v>19435.3</v>
      </c>
    </row>
    <row r="724" ht="17.25" customHeight="1" spans="4:5">
      <c r="D724" s="170">
        <v>45169</v>
      </c>
      <c r="E724" s="171">
        <v>19253.8</v>
      </c>
    </row>
    <row r="725" ht="17.25" customHeight="1" spans="4:5">
      <c r="D725" s="170">
        <v>45168</v>
      </c>
      <c r="E725" s="171">
        <v>19347.45</v>
      </c>
    </row>
    <row r="726" ht="17.25" customHeight="1" spans="4:5">
      <c r="D726" s="170">
        <v>45167</v>
      </c>
      <c r="E726" s="171">
        <v>19342.65</v>
      </c>
    </row>
    <row r="727" ht="17.25" customHeight="1" spans="4:5">
      <c r="D727" s="170">
        <v>45166</v>
      </c>
      <c r="E727" s="171">
        <v>19306.05</v>
      </c>
    </row>
    <row r="728" ht="17.25" customHeight="1" spans="4:5">
      <c r="D728" s="170">
        <v>45163</v>
      </c>
      <c r="E728" s="171">
        <v>19265.8</v>
      </c>
    </row>
    <row r="729" ht="17.25" customHeight="1" spans="4:5">
      <c r="D729" s="170">
        <v>45162</v>
      </c>
      <c r="E729" s="171">
        <v>19386.7</v>
      </c>
    </row>
    <row r="730" ht="17.25" customHeight="1" spans="4:5">
      <c r="D730" s="170">
        <v>45161</v>
      </c>
      <c r="E730" s="171">
        <v>19444</v>
      </c>
    </row>
    <row r="731" ht="17.25" customHeight="1" spans="4:5">
      <c r="D731" s="170">
        <v>45160</v>
      </c>
      <c r="E731" s="171">
        <v>19396.45</v>
      </c>
    </row>
    <row r="732" ht="17.25" customHeight="1" spans="4:5">
      <c r="D732" s="170">
        <v>45159</v>
      </c>
      <c r="E732" s="171">
        <v>19393.6</v>
      </c>
    </row>
    <row r="733" ht="17.25" customHeight="1" spans="4:5">
      <c r="D733" s="170">
        <v>45156</v>
      </c>
      <c r="E733" s="171">
        <v>19310.15</v>
      </c>
    </row>
    <row r="734" ht="17.25" customHeight="1" spans="4:5">
      <c r="D734" s="170">
        <v>45155</v>
      </c>
      <c r="E734" s="171">
        <v>19365.25</v>
      </c>
    </row>
    <row r="735" ht="17.25" customHeight="1" spans="4:5">
      <c r="D735" s="170">
        <v>45154</v>
      </c>
      <c r="E735" s="171">
        <v>19465</v>
      </c>
    </row>
    <row r="736" ht="17.25" customHeight="1" spans="4:5">
      <c r="D736" s="170">
        <v>45152</v>
      </c>
      <c r="E736" s="171">
        <v>19434.55</v>
      </c>
    </row>
    <row r="737" ht="17.25" customHeight="1" spans="4:5">
      <c r="D737" s="170">
        <v>45149</v>
      </c>
      <c r="E737" s="171">
        <v>19428.3</v>
      </c>
    </row>
    <row r="738" ht="17.25" customHeight="1" spans="4:5">
      <c r="D738" s="170">
        <v>45148</v>
      </c>
      <c r="E738" s="171">
        <v>19543.1</v>
      </c>
    </row>
    <row r="739" ht="17.25" customHeight="1" spans="4:5">
      <c r="D739" s="170">
        <v>45147</v>
      </c>
      <c r="E739" s="171">
        <v>19632.55</v>
      </c>
    </row>
    <row r="740" ht="17.25" customHeight="1" spans="4:5">
      <c r="D740" s="170">
        <v>45146</v>
      </c>
      <c r="E740" s="171">
        <v>19570.85</v>
      </c>
    </row>
    <row r="741" ht="17.25" customHeight="1" spans="4:5">
      <c r="D741" s="170">
        <v>45145</v>
      </c>
      <c r="E741" s="171">
        <v>19597.3</v>
      </c>
    </row>
    <row r="742" ht="17.25" customHeight="1" spans="4:5">
      <c r="D742" s="170">
        <v>45142</v>
      </c>
      <c r="E742" s="171">
        <v>19517</v>
      </c>
    </row>
    <row r="743" ht="17.25" customHeight="1" spans="4:5">
      <c r="D743" s="170">
        <v>45141</v>
      </c>
      <c r="E743" s="171">
        <v>19381.65</v>
      </c>
    </row>
    <row r="744" ht="17.25" customHeight="1" spans="4:5">
      <c r="D744" s="170">
        <v>45140</v>
      </c>
      <c r="E744" s="171">
        <v>19526.55</v>
      </c>
    </row>
    <row r="745" ht="17.25" customHeight="1" spans="4:5">
      <c r="D745" s="170">
        <v>45139</v>
      </c>
      <c r="E745" s="171">
        <v>19733.55</v>
      </c>
    </row>
    <row r="746" ht="17.25" customHeight="1" spans="4:5">
      <c r="D746" s="170">
        <v>45138</v>
      </c>
      <c r="E746" s="171">
        <v>19753.8</v>
      </c>
    </row>
    <row r="747" ht="17.25" customHeight="1" spans="4:5">
      <c r="D747" s="170">
        <v>45135</v>
      </c>
      <c r="E747" s="171">
        <v>19646.05</v>
      </c>
    </row>
    <row r="748" ht="17.25" customHeight="1" spans="4:5">
      <c r="D748" s="170">
        <v>45134</v>
      </c>
      <c r="E748" s="171">
        <v>19659.9</v>
      </c>
    </row>
    <row r="749" ht="17.25" customHeight="1" spans="4:5">
      <c r="D749" s="170">
        <v>45133</v>
      </c>
      <c r="E749" s="171">
        <v>19778.3</v>
      </c>
    </row>
    <row r="750" ht="17.25" customHeight="1" spans="4:5">
      <c r="D750" s="170">
        <v>45132</v>
      </c>
      <c r="E750" s="171">
        <v>19680.6</v>
      </c>
    </row>
    <row r="751" ht="17.25" customHeight="1" spans="4:5">
      <c r="D751" s="170">
        <v>45131</v>
      </c>
      <c r="E751" s="171">
        <v>19672.35</v>
      </c>
    </row>
    <row r="752" ht="17.25" customHeight="1" spans="4:5">
      <c r="D752" s="170">
        <v>45128</v>
      </c>
      <c r="E752" s="171">
        <v>19745</v>
      </c>
    </row>
    <row r="753" ht="17.25" customHeight="1" spans="4:5">
      <c r="D753" s="170">
        <v>45127</v>
      </c>
      <c r="E753" s="171">
        <v>19979.15</v>
      </c>
    </row>
    <row r="754" ht="17.25" customHeight="1" spans="4:5">
      <c r="D754" s="170">
        <v>45126</v>
      </c>
      <c r="E754" s="171">
        <v>19833.15</v>
      </c>
    </row>
    <row r="755" ht="17.25" customHeight="1" spans="4:5">
      <c r="D755" s="170">
        <v>45125</v>
      </c>
      <c r="E755" s="171">
        <v>19749.25</v>
      </c>
    </row>
    <row r="756" ht="17.25" customHeight="1" spans="4:5">
      <c r="D756" s="170">
        <v>45124</v>
      </c>
      <c r="E756" s="171">
        <v>19711.45</v>
      </c>
    </row>
    <row r="757" ht="17.25" customHeight="1" spans="4:5">
      <c r="D757" s="170">
        <v>45121</v>
      </c>
      <c r="E757" s="171">
        <v>19564.5</v>
      </c>
    </row>
    <row r="758" ht="17.25" customHeight="1" spans="4:5">
      <c r="D758" s="170">
        <v>45120</v>
      </c>
      <c r="E758" s="171">
        <v>19413.75</v>
      </c>
    </row>
    <row r="759" ht="17.25" customHeight="1" spans="4:5">
      <c r="D759" s="170">
        <v>45119</v>
      </c>
      <c r="E759" s="171">
        <v>19384.3</v>
      </c>
    </row>
    <row r="760" ht="17.25" customHeight="1" spans="4:5">
      <c r="D760" s="170">
        <v>45118</v>
      </c>
      <c r="E760" s="171">
        <v>19439.4</v>
      </c>
    </row>
    <row r="761" ht="17.25" customHeight="1" spans="4:5">
      <c r="D761" s="170">
        <v>45117</v>
      </c>
      <c r="E761" s="171">
        <v>19355.9</v>
      </c>
    </row>
    <row r="762" ht="17.25" customHeight="1" spans="4:5">
      <c r="D762" s="170">
        <v>45114</v>
      </c>
      <c r="E762" s="171">
        <v>19331.8</v>
      </c>
    </row>
    <row r="763" ht="17.25" customHeight="1" spans="4:5">
      <c r="D763" s="170">
        <v>45113</v>
      </c>
      <c r="E763" s="171">
        <v>19497.3</v>
      </c>
    </row>
    <row r="764" ht="17.25" customHeight="1" spans="4:5">
      <c r="D764" s="170">
        <v>45112</v>
      </c>
      <c r="E764" s="171">
        <v>19398.5</v>
      </c>
    </row>
    <row r="765" ht="17.25" customHeight="1" spans="4:5">
      <c r="D765" s="170">
        <v>45111</v>
      </c>
      <c r="E765" s="171">
        <v>19389</v>
      </c>
    </row>
    <row r="766" ht="17.25" customHeight="1" spans="4:5">
      <c r="D766" s="170">
        <v>45110</v>
      </c>
      <c r="E766" s="171">
        <v>19322.55</v>
      </c>
    </row>
    <row r="767" ht="17.25" customHeight="1" spans="4:5">
      <c r="D767" s="170">
        <v>45107</v>
      </c>
      <c r="E767" s="171">
        <v>19189.05</v>
      </c>
    </row>
    <row r="768" ht="17.25" customHeight="1" spans="4:5">
      <c r="D768" s="170">
        <v>45105</v>
      </c>
      <c r="E768" s="171">
        <v>18972.1</v>
      </c>
    </row>
    <row r="769" ht="17.25" customHeight="1" spans="4:5">
      <c r="D769" s="170">
        <v>45104</v>
      </c>
      <c r="E769" s="171">
        <v>18817.4</v>
      </c>
    </row>
    <row r="770" ht="17.25" customHeight="1" spans="4:5">
      <c r="D770" s="170">
        <v>45103</v>
      </c>
      <c r="E770" s="171">
        <v>18691.2</v>
      </c>
    </row>
    <row r="771" ht="17.25" customHeight="1" spans="4:5">
      <c r="D771" s="170">
        <v>45100</v>
      </c>
      <c r="E771" s="171">
        <v>18665.5</v>
      </c>
    </row>
    <row r="772" ht="17.25" customHeight="1" spans="4:5">
      <c r="D772" s="170">
        <v>45099</v>
      </c>
      <c r="E772" s="171">
        <v>18771.25</v>
      </c>
    </row>
    <row r="773" ht="17.25" customHeight="1" spans="4:5">
      <c r="D773" s="170">
        <v>45098</v>
      </c>
      <c r="E773" s="171">
        <v>18856.85</v>
      </c>
    </row>
    <row r="774" ht="17.25" customHeight="1" spans="4:5">
      <c r="D774" s="170">
        <v>45097</v>
      </c>
      <c r="E774" s="171">
        <v>18816.7</v>
      </c>
    </row>
    <row r="775" ht="17.25" customHeight="1" spans="4:5">
      <c r="D775" s="170">
        <v>45096</v>
      </c>
      <c r="E775" s="171">
        <v>18755.45</v>
      </c>
    </row>
    <row r="776" ht="17.25" customHeight="1" spans="4:5">
      <c r="D776" s="170">
        <v>45093</v>
      </c>
      <c r="E776" s="171">
        <v>18826</v>
      </c>
    </row>
    <row r="777" ht="17.25" customHeight="1" spans="4:5">
      <c r="D777" s="170">
        <v>45092</v>
      </c>
      <c r="E777" s="171">
        <v>18688.1</v>
      </c>
    </row>
    <row r="778" ht="17.25" customHeight="1" spans="4:5">
      <c r="D778" s="170">
        <v>45091</v>
      </c>
      <c r="E778" s="171">
        <v>18755.9</v>
      </c>
    </row>
    <row r="779" ht="17.25" customHeight="1" spans="4:5">
      <c r="D779" s="170">
        <v>45090</v>
      </c>
      <c r="E779" s="171">
        <v>18716.15</v>
      </c>
    </row>
    <row r="780" ht="17.25" customHeight="1" spans="4:5">
      <c r="D780" s="170">
        <v>45089</v>
      </c>
      <c r="E780" s="171">
        <v>18601.5</v>
      </c>
    </row>
    <row r="781" ht="17.25" customHeight="1" spans="4:5">
      <c r="D781" s="170">
        <v>45086</v>
      </c>
      <c r="E781" s="171">
        <v>18563.4</v>
      </c>
    </row>
    <row r="782" ht="17.25" customHeight="1" spans="4:5">
      <c r="D782" s="170">
        <v>45085</v>
      </c>
      <c r="E782" s="171">
        <v>18634.55</v>
      </c>
    </row>
    <row r="783" ht="17.25" customHeight="1" spans="4:5">
      <c r="D783" s="170">
        <v>45084</v>
      </c>
      <c r="E783" s="171">
        <v>18726.4</v>
      </c>
    </row>
    <row r="784" ht="17.25" customHeight="1" spans="4:5">
      <c r="D784" s="170">
        <v>45083</v>
      </c>
      <c r="E784" s="171">
        <v>18599</v>
      </c>
    </row>
    <row r="785" ht="17.25" customHeight="1" spans="4:5">
      <c r="D785" s="170">
        <v>45082</v>
      </c>
      <c r="E785" s="171">
        <v>18593.85</v>
      </c>
    </row>
    <row r="786" ht="17.25" customHeight="1" spans="4:5">
      <c r="D786" s="170">
        <v>45079</v>
      </c>
      <c r="E786" s="171">
        <v>18534.1</v>
      </c>
    </row>
    <row r="787" ht="17.25" customHeight="1" spans="4:5">
      <c r="D787" s="170">
        <v>45078</v>
      </c>
      <c r="E787" s="171">
        <v>18487.75</v>
      </c>
    </row>
    <row r="788" ht="17.25" customHeight="1" spans="4:5">
      <c r="D788" s="170">
        <v>45077</v>
      </c>
      <c r="E788" s="171">
        <v>18534.4</v>
      </c>
    </row>
    <row r="789" ht="17.25" customHeight="1" spans="4:5">
      <c r="D789" s="170">
        <v>45076</v>
      </c>
      <c r="E789" s="171">
        <v>18633.85</v>
      </c>
    </row>
    <row r="790" ht="17.25" customHeight="1" spans="4:5">
      <c r="D790" s="170">
        <v>45075</v>
      </c>
      <c r="E790" s="171">
        <v>18598.65</v>
      </c>
    </row>
    <row r="791" ht="17.25" customHeight="1" spans="4:5">
      <c r="D791" s="170">
        <v>45072</v>
      </c>
      <c r="E791" s="171">
        <v>18499.35</v>
      </c>
    </row>
    <row r="792" ht="17.25" customHeight="1" spans="4:5">
      <c r="D792" s="170">
        <v>45071</v>
      </c>
      <c r="E792" s="171">
        <v>18321.15</v>
      </c>
    </row>
    <row r="793" ht="17.25" customHeight="1" spans="4:5">
      <c r="D793" s="170">
        <v>45070</v>
      </c>
      <c r="E793" s="171">
        <v>18285.4</v>
      </c>
    </row>
    <row r="794" ht="17.25" customHeight="1" spans="4:5">
      <c r="D794" s="170">
        <v>45069</v>
      </c>
      <c r="E794" s="171">
        <v>18348</v>
      </c>
    </row>
    <row r="795" ht="17.25" customHeight="1" spans="4:5">
      <c r="D795" s="170">
        <v>45068</v>
      </c>
      <c r="E795" s="171">
        <v>18314.4</v>
      </c>
    </row>
    <row r="796" ht="17.25" customHeight="1" spans="4:5">
      <c r="D796" s="170">
        <v>45065</v>
      </c>
      <c r="E796" s="171">
        <v>18203.4</v>
      </c>
    </row>
    <row r="797" ht="17.25" customHeight="1" spans="4:5">
      <c r="D797" s="170">
        <v>45064</v>
      </c>
      <c r="E797" s="171">
        <v>18129.95</v>
      </c>
    </row>
    <row r="798" ht="17.25" customHeight="1" spans="4:5">
      <c r="D798" s="170">
        <v>45063</v>
      </c>
      <c r="E798" s="171">
        <v>18181.75</v>
      </c>
    </row>
    <row r="799" ht="17.25" customHeight="1" spans="4:5">
      <c r="D799" s="170">
        <v>45062</v>
      </c>
      <c r="E799" s="171">
        <v>18286.5</v>
      </c>
    </row>
    <row r="800" ht="17.25" customHeight="1" spans="4:5">
      <c r="D800" s="170">
        <v>45061</v>
      </c>
      <c r="E800" s="171">
        <v>18398.85</v>
      </c>
    </row>
    <row r="801" ht="17.25" customHeight="1" spans="4:5">
      <c r="D801" s="170">
        <v>45058</v>
      </c>
      <c r="E801" s="171">
        <v>18314.8</v>
      </c>
    </row>
    <row r="802" ht="17.25" customHeight="1" spans="4:5">
      <c r="D802" s="170">
        <v>45057</v>
      </c>
      <c r="E802" s="171">
        <v>18297</v>
      </c>
    </row>
    <row r="803" ht="17.25" customHeight="1" spans="4:5">
      <c r="D803" s="170">
        <v>45056</v>
      </c>
      <c r="E803" s="171">
        <v>18315.1</v>
      </c>
    </row>
    <row r="804" ht="17.25" customHeight="1" spans="4:5">
      <c r="D804" s="170">
        <v>45055</v>
      </c>
      <c r="E804" s="171">
        <v>18265.95</v>
      </c>
    </row>
    <row r="805" ht="17.25" customHeight="1" spans="4:5">
      <c r="D805" s="170">
        <v>45054</v>
      </c>
      <c r="E805" s="171">
        <v>18264.4</v>
      </c>
    </row>
    <row r="806" ht="17.25" customHeight="1" spans="4:5">
      <c r="D806" s="170">
        <v>45051</v>
      </c>
      <c r="E806" s="171">
        <v>18069</v>
      </c>
    </row>
    <row r="807" ht="17.25" customHeight="1" spans="4:5">
      <c r="D807" s="170">
        <v>45050</v>
      </c>
      <c r="E807" s="171">
        <v>18255.8</v>
      </c>
    </row>
    <row r="808" ht="17.25" customHeight="1" spans="4:5">
      <c r="D808" s="170">
        <v>45049</v>
      </c>
      <c r="E808" s="171">
        <v>18089.85</v>
      </c>
    </row>
    <row r="809" ht="17.25" customHeight="1" spans="4:5">
      <c r="D809" s="170">
        <v>45048</v>
      </c>
      <c r="E809" s="171">
        <v>18147.65</v>
      </c>
    </row>
    <row r="810" ht="17.25" customHeight="1" spans="4:5">
      <c r="D810" s="170">
        <v>45044</v>
      </c>
      <c r="E810" s="171">
        <v>18065</v>
      </c>
    </row>
    <row r="811" ht="17.25" customHeight="1" spans="4:5">
      <c r="D811" s="170">
        <v>45043</v>
      </c>
      <c r="E811" s="171">
        <v>17915.05</v>
      </c>
    </row>
    <row r="812" ht="17.25" customHeight="1" spans="4:5">
      <c r="D812" s="170">
        <v>45042</v>
      </c>
      <c r="E812" s="171">
        <v>17813.6</v>
      </c>
    </row>
    <row r="813" ht="17.25" customHeight="1" spans="4:5">
      <c r="D813" s="170">
        <v>45041</v>
      </c>
      <c r="E813" s="171">
        <v>17769.25</v>
      </c>
    </row>
    <row r="814" ht="17.25" customHeight="1" spans="4:5">
      <c r="D814" s="170">
        <v>45040</v>
      </c>
      <c r="E814" s="171">
        <v>17743.4</v>
      </c>
    </row>
    <row r="815" ht="17.25" customHeight="1" spans="4:5">
      <c r="D815" s="170">
        <v>45037</v>
      </c>
      <c r="E815" s="171">
        <v>17624.05</v>
      </c>
    </row>
    <row r="816" ht="17.25" customHeight="1" spans="4:5">
      <c r="D816" s="170">
        <v>45036</v>
      </c>
      <c r="E816" s="171">
        <v>17624.45</v>
      </c>
    </row>
    <row r="817" ht="17.25" customHeight="1" spans="4:5">
      <c r="D817" s="170">
        <v>45035</v>
      </c>
      <c r="E817" s="171">
        <v>17618.75</v>
      </c>
    </row>
    <row r="818" ht="17.25" customHeight="1" spans="4:5">
      <c r="D818" s="170">
        <v>45034</v>
      </c>
      <c r="E818" s="171">
        <v>17660.15</v>
      </c>
    </row>
    <row r="819" ht="17.25" customHeight="1" spans="4:5">
      <c r="D819" s="170">
        <v>45033</v>
      </c>
      <c r="E819" s="171">
        <v>17706.85</v>
      </c>
    </row>
    <row r="820" ht="17.25" customHeight="1" spans="4:5">
      <c r="D820" s="170">
        <v>45029</v>
      </c>
      <c r="E820" s="171">
        <v>17828</v>
      </c>
    </row>
    <row r="821" ht="17.25" customHeight="1" spans="4:5">
      <c r="D821" s="170">
        <v>45028</v>
      </c>
      <c r="E821" s="171">
        <v>17812.4</v>
      </c>
    </row>
    <row r="822" ht="17.25" customHeight="1" spans="4:5">
      <c r="D822" s="170">
        <v>45027</v>
      </c>
      <c r="E822" s="171">
        <v>17722.3</v>
      </c>
    </row>
    <row r="823" ht="17.25" customHeight="1" spans="4:5">
      <c r="D823" s="170">
        <v>45026</v>
      </c>
      <c r="E823" s="171">
        <v>17624.05</v>
      </c>
    </row>
    <row r="824" ht="17.25" customHeight="1" spans="4:5">
      <c r="D824" s="170">
        <v>45022</v>
      </c>
      <c r="E824" s="171">
        <v>17599.15</v>
      </c>
    </row>
    <row r="825" ht="17.25" customHeight="1" spans="4:5">
      <c r="D825" s="170">
        <v>45021</v>
      </c>
      <c r="E825" s="171">
        <v>17557.05</v>
      </c>
    </row>
    <row r="826" ht="17.25" customHeight="1" spans="4:5">
      <c r="D826" s="170">
        <v>45019</v>
      </c>
      <c r="E826" s="171">
        <v>17398.05</v>
      </c>
    </row>
    <row r="827" ht="17.25" customHeight="1" spans="4:5">
      <c r="D827" s="170">
        <v>45016</v>
      </c>
      <c r="E827" s="171">
        <v>17359.75</v>
      </c>
    </row>
    <row r="828" ht="17.25" customHeight="1" spans="4:5">
      <c r="D828" s="170">
        <v>45014</v>
      </c>
      <c r="E828" s="171">
        <v>17080.7</v>
      </c>
    </row>
    <row r="829" ht="17.25" customHeight="1" spans="4:5">
      <c r="D829" s="170">
        <v>45013</v>
      </c>
      <c r="E829" s="171">
        <v>16951.7</v>
      </c>
    </row>
    <row r="830" ht="17.25" customHeight="1" spans="4:5">
      <c r="D830" s="170">
        <v>45012</v>
      </c>
      <c r="E830" s="171">
        <v>16985.7</v>
      </c>
    </row>
    <row r="831" ht="17.25" customHeight="1" spans="4:5">
      <c r="D831" s="170">
        <v>45009</v>
      </c>
      <c r="E831" s="171">
        <v>16945.05</v>
      </c>
    </row>
    <row r="832" ht="17.25" customHeight="1" spans="4:5">
      <c r="D832" s="170">
        <v>45008</v>
      </c>
      <c r="E832" s="171">
        <v>17076.9</v>
      </c>
    </row>
    <row r="833" ht="17.25" customHeight="1" spans="4:5">
      <c r="D833" s="170">
        <v>45007</v>
      </c>
      <c r="E833" s="171">
        <v>17151.9</v>
      </c>
    </row>
    <row r="834" ht="17.25" customHeight="1" spans="4:5">
      <c r="D834" s="170">
        <v>45006</v>
      </c>
      <c r="E834" s="171">
        <v>17107.5</v>
      </c>
    </row>
    <row r="835" ht="17.25" customHeight="1" spans="4:5">
      <c r="D835" s="170">
        <v>45005</v>
      </c>
      <c r="E835" s="171">
        <v>16988.4</v>
      </c>
    </row>
    <row r="836" ht="17.25" customHeight="1" spans="4:5">
      <c r="D836" s="170">
        <v>45002</v>
      </c>
      <c r="E836" s="171">
        <v>17100.05</v>
      </c>
    </row>
    <row r="837" ht="17.25" customHeight="1" spans="4:5">
      <c r="D837" s="170">
        <v>45001</v>
      </c>
      <c r="E837" s="171">
        <v>16985.6</v>
      </c>
    </row>
    <row r="838" ht="17.25" customHeight="1" spans="4:5">
      <c r="D838" s="170">
        <v>45000</v>
      </c>
      <c r="E838" s="171">
        <v>16972.15</v>
      </c>
    </row>
    <row r="839" ht="17.25" customHeight="1" spans="4:5">
      <c r="D839" s="170">
        <v>44999</v>
      </c>
      <c r="E839" s="171">
        <v>17043.3</v>
      </c>
    </row>
    <row r="840" ht="17.25" customHeight="1" spans="4:5">
      <c r="D840" s="170">
        <v>44998</v>
      </c>
      <c r="E840" s="171">
        <v>17154.3</v>
      </c>
    </row>
    <row r="841" ht="17.25" customHeight="1" spans="4:5">
      <c r="D841" s="170">
        <v>44995</v>
      </c>
      <c r="E841" s="171">
        <v>17412.9</v>
      </c>
    </row>
    <row r="842" ht="17.25" customHeight="1" spans="4:5">
      <c r="D842" s="170">
        <v>44994</v>
      </c>
      <c r="E842" s="171">
        <v>17589.6</v>
      </c>
    </row>
    <row r="843" ht="17.25" customHeight="1" spans="4:5">
      <c r="D843" s="170">
        <v>44993</v>
      </c>
      <c r="E843" s="171">
        <v>17754.4</v>
      </c>
    </row>
    <row r="844" ht="17.25" customHeight="1" spans="4:5">
      <c r="D844" s="170">
        <v>44991</v>
      </c>
      <c r="E844" s="171">
        <v>17711.45</v>
      </c>
    </row>
    <row r="845" ht="17.25" customHeight="1" spans="4:5">
      <c r="D845" s="170">
        <v>44988</v>
      </c>
      <c r="E845" s="171">
        <v>17594.35</v>
      </c>
    </row>
    <row r="846" ht="17.25" customHeight="1" spans="4:5">
      <c r="D846" s="170">
        <v>44987</v>
      </c>
      <c r="E846" s="171">
        <v>17321.9</v>
      </c>
    </row>
    <row r="847" ht="17.25" customHeight="1" spans="4:5">
      <c r="D847" s="170">
        <v>44986</v>
      </c>
      <c r="E847" s="171">
        <v>17450.9</v>
      </c>
    </row>
    <row r="848" ht="17.25" customHeight="1" spans="4:5">
      <c r="D848" s="170">
        <v>44985</v>
      </c>
      <c r="E848" s="171">
        <v>17303.95</v>
      </c>
    </row>
    <row r="849" ht="17.25" customHeight="1" spans="4:5">
      <c r="D849" s="170">
        <v>44984</v>
      </c>
      <c r="E849" s="171">
        <v>17392.7</v>
      </c>
    </row>
    <row r="850" ht="17.25" customHeight="1" spans="4:5">
      <c r="D850" s="170">
        <v>44981</v>
      </c>
      <c r="E850" s="171">
        <v>17465.8</v>
      </c>
    </row>
    <row r="851" ht="17.25" customHeight="1" spans="4:5">
      <c r="D851" s="170">
        <v>44980</v>
      </c>
      <c r="E851" s="171">
        <v>17511.25</v>
      </c>
    </row>
    <row r="852" ht="17.25" customHeight="1" spans="4:5">
      <c r="D852" s="170">
        <v>44979</v>
      </c>
      <c r="E852" s="171">
        <v>17554.3</v>
      </c>
    </row>
    <row r="853" ht="17.25" customHeight="1" spans="4:5">
      <c r="D853" s="170">
        <v>44978</v>
      </c>
      <c r="E853" s="171">
        <v>17826.7</v>
      </c>
    </row>
    <row r="854" ht="17.25" customHeight="1" spans="4:5">
      <c r="D854" s="170">
        <v>44977</v>
      </c>
      <c r="E854" s="171">
        <v>17844.6</v>
      </c>
    </row>
    <row r="855" ht="17.25" customHeight="1" spans="4:5">
      <c r="D855" s="170">
        <v>44974</v>
      </c>
      <c r="E855" s="171">
        <v>17944.2</v>
      </c>
    </row>
    <row r="856" ht="17.25" customHeight="1" spans="4:5">
      <c r="D856" s="170">
        <v>44973</v>
      </c>
      <c r="E856" s="171">
        <v>18035.85</v>
      </c>
    </row>
    <row r="857" ht="17.25" customHeight="1" spans="4:5">
      <c r="D857" s="170">
        <v>44972</v>
      </c>
      <c r="E857" s="171">
        <v>18015.85</v>
      </c>
    </row>
    <row r="858" ht="17.25" customHeight="1" spans="4:5">
      <c r="D858" s="170">
        <v>44971</v>
      </c>
      <c r="E858" s="171">
        <v>17929.85</v>
      </c>
    </row>
    <row r="859" ht="17.25" customHeight="1" spans="4:5">
      <c r="D859" s="170">
        <v>44970</v>
      </c>
      <c r="E859" s="171">
        <v>17770.9</v>
      </c>
    </row>
    <row r="860" ht="17.25" customHeight="1" spans="4:5">
      <c r="D860" s="170">
        <v>44967</v>
      </c>
      <c r="E860" s="171">
        <v>17856.5</v>
      </c>
    </row>
    <row r="861" ht="17.25" customHeight="1" spans="4:5">
      <c r="D861" s="170">
        <v>44966</v>
      </c>
      <c r="E861" s="171">
        <v>17893.45</v>
      </c>
    </row>
    <row r="862" ht="17.25" customHeight="1" spans="4:5">
      <c r="D862" s="170">
        <v>44965</v>
      </c>
      <c r="E862" s="171">
        <v>17871.7</v>
      </c>
    </row>
    <row r="863" ht="17.25" customHeight="1" spans="4:5">
      <c r="D863" s="170">
        <v>44964</v>
      </c>
      <c r="E863" s="171">
        <v>17721.5</v>
      </c>
    </row>
    <row r="864" ht="17.25" customHeight="1" spans="4:5">
      <c r="D864" s="170">
        <v>44963</v>
      </c>
      <c r="E864" s="171">
        <v>17764.6</v>
      </c>
    </row>
    <row r="865" ht="17.25" customHeight="1" spans="4:5">
      <c r="D865" s="170">
        <v>44960</v>
      </c>
      <c r="E865" s="171">
        <v>17854.05</v>
      </c>
    </row>
    <row r="866" ht="17.25" customHeight="1" spans="4:5">
      <c r="D866" s="170">
        <v>44959</v>
      </c>
      <c r="E866" s="171">
        <v>17610.4</v>
      </c>
    </row>
    <row r="867" ht="17.25" customHeight="1" spans="4:5">
      <c r="D867" s="170">
        <v>44958</v>
      </c>
      <c r="E867" s="171">
        <v>17616.3</v>
      </c>
    </row>
    <row r="868" ht="17.25" customHeight="1" spans="4:5">
      <c r="D868" s="170">
        <v>44957</v>
      </c>
      <c r="E868" s="171">
        <v>17662.15</v>
      </c>
    </row>
    <row r="869" ht="17.25" customHeight="1" spans="4:5">
      <c r="D869" s="170">
        <v>44956</v>
      </c>
      <c r="E869" s="171">
        <v>17648.95</v>
      </c>
    </row>
    <row r="870" ht="17.25" customHeight="1" spans="4:5">
      <c r="D870" s="170">
        <v>44953</v>
      </c>
      <c r="E870" s="171">
        <v>17604.35</v>
      </c>
    </row>
    <row r="871" ht="17.25" customHeight="1" spans="4:5">
      <c r="D871" s="170">
        <v>44951</v>
      </c>
      <c r="E871" s="171">
        <v>17891.95</v>
      </c>
    </row>
    <row r="872" ht="17.25" customHeight="1" spans="4:5">
      <c r="D872" s="170">
        <v>44950</v>
      </c>
      <c r="E872" s="171">
        <v>18118.3</v>
      </c>
    </row>
    <row r="873" ht="17.25" customHeight="1" spans="4:5">
      <c r="D873" s="170">
        <v>44949</v>
      </c>
      <c r="E873" s="171">
        <v>18118.55</v>
      </c>
    </row>
    <row r="874" ht="17.25" customHeight="1" spans="4:5">
      <c r="D874" s="170">
        <v>44946</v>
      </c>
      <c r="E874" s="171">
        <v>18027.65</v>
      </c>
    </row>
    <row r="875" ht="17.25" customHeight="1" spans="4:5">
      <c r="D875" s="170">
        <v>44945</v>
      </c>
      <c r="E875" s="171">
        <v>18107.85</v>
      </c>
    </row>
    <row r="876" ht="17.25" customHeight="1" spans="4:5">
      <c r="D876" s="170">
        <v>44944</v>
      </c>
      <c r="E876" s="171">
        <v>18165.35</v>
      </c>
    </row>
    <row r="877" ht="17.25" customHeight="1" spans="4:5">
      <c r="D877" s="170">
        <v>44943</v>
      </c>
      <c r="E877" s="171">
        <v>18053.3</v>
      </c>
    </row>
    <row r="878" ht="17.25" customHeight="1" spans="4:5">
      <c r="D878" s="170">
        <v>44942</v>
      </c>
      <c r="E878" s="171">
        <v>17894.85</v>
      </c>
    </row>
    <row r="879" ht="17.25" customHeight="1" spans="4:5">
      <c r="D879" s="170">
        <v>44939</v>
      </c>
      <c r="E879" s="171">
        <v>17956.6</v>
      </c>
    </row>
    <row r="880" ht="17.25" customHeight="1" spans="4:5">
      <c r="D880" s="170">
        <v>44938</v>
      </c>
      <c r="E880" s="171">
        <v>17858.2</v>
      </c>
    </row>
    <row r="881" ht="17.25" customHeight="1" spans="4:5">
      <c r="D881" s="170">
        <v>44937</v>
      </c>
      <c r="E881" s="171">
        <v>17895.7</v>
      </c>
    </row>
    <row r="882" ht="17.25" customHeight="1" spans="4:5">
      <c r="D882" s="170">
        <v>44936</v>
      </c>
      <c r="E882" s="171">
        <v>17914.15</v>
      </c>
    </row>
    <row r="883" ht="17.25" customHeight="1" spans="4:5">
      <c r="D883" s="170">
        <v>44935</v>
      </c>
      <c r="E883" s="171">
        <v>18101.2</v>
      </c>
    </row>
    <row r="884" ht="17.25" customHeight="1" spans="4:5">
      <c r="D884" s="170">
        <v>44932</v>
      </c>
      <c r="E884" s="171">
        <v>17859.45</v>
      </c>
    </row>
    <row r="885" ht="17.25" customHeight="1" spans="4:5">
      <c r="D885" s="170">
        <v>44931</v>
      </c>
      <c r="E885" s="171">
        <v>17992.15</v>
      </c>
    </row>
    <row r="886" ht="17.25" customHeight="1" spans="4:5">
      <c r="D886" s="170">
        <v>44930</v>
      </c>
      <c r="E886" s="171">
        <v>18042.95</v>
      </c>
    </row>
    <row r="887" ht="17.25" customHeight="1" spans="4:5">
      <c r="D887" s="170">
        <v>44929</v>
      </c>
      <c r="E887" s="171">
        <v>18232.55</v>
      </c>
    </row>
    <row r="888" ht="17.25" customHeight="1" spans="4:5">
      <c r="D888" s="170">
        <v>44928</v>
      </c>
      <c r="E888" s="171">
        <v>18197.45</v>
      </c>
    </row>
    <row r="889" ht="17.25" customHeight="1" spans="4:5">
      <c r="D889" s="170">
        <v>44925</v>
      </c>
      <c r="E889" s="171">
        <v>18105.3</v>
      </c>
    </row>
    <row r="890" ht="17.25" customHeight="1" spans="4:5">
      <c r="D890" s="170">
        <v>44924</v>
      </c>
      <c r="E890" s="171">
        <v>18191</v>
      </c>
    </row>
    <row r="891" ht="17.25" customHeight="1" spans="4:5">
      <c r="D891" s="170">
        <v>44923</v>
      </c>
      <c r="E891" s="171">
        <v>18122.5</v>
      </c>
    </row>
    <row r="892" ht="17.25" customHeight="1" spans="4:5">
      <c r="D892" s="170">
        <v>44922</v>
      </c>
      <c r="E892" s="171">
        <v>18132.3</v>
      </c>
    </row>
    <row r="893" ht="17.25" customHeight="1" spans="4:5">
      <c r="D893" s="170">
        <v>44921</v>
      </c>
      <c r="E893" s="171">
        <v>18014.6</v>
      </c>
    </row>
    <row r="894" ht="17.25" customHeight="1" spans="4:5">
      <c r="D894" s="170">
        <v>44918</v>
      </c>
      <c r="E894" s="171">
        <v>17806.8</v>
      </c>
    </row>
    <row r="895" ht="17.25" customHeight="1" spans="4:5">
      <c r="D895" s="170">
        <v>44917</v>
      </c>
      <c r="E895" s="171">
        <v>18127.35</v>
      </c>
    </row>
    <row r="896" ht="17.25" customHeight="1" spans="4:5">
      <c r="D896" s="170">
        <v>44916</v>
      </c>
      <c r="E896" s="171">
        <v>18199.1</v>
      </c>
    </row>
    <row r="897" ht="17.25" customHeight="1" spans="4:5">
      <c r="D897" s="170">
        <v>44915</v>
      </c>
      <c r="E897" s="171">
        <v>18385.3</v>
      </c>
    </row>
    <row r="898" ht="17.25" customHeight="1" spans="4:5">
      <c r="D898" s="170">
        <v>44914</v>
      </c>
      <c r="E898" s="171">
        <v>18420.45</v>
      </c>
    </row>
    <row r="899" ht="17.25" customHeight="1" spans="4:5">
      <c r="D899" s="170">
        <v>44911</v>
      </c>
      <c r="E899" s="171">
        <v>18269</v>
      </c>
    </row>
    <row r="900" ht="17.25" customHeight="1" spans="4:5">
      <c r="D900" s="170">
        <v>44910</v>
      </c>
      <c r="E900" s="171">
        <v>18414.9</v>
      </c>
    </row>
    <row r="901" ht="17.25" customHeight="1" spans="4:5">
      <c r="D901" s="170">
        <v>44909</v>
      </c>
      <c r="E901" s="171">
        <v>18660.3</v>
      </c>
    </row>
    <row r="902" ht="17.25" customHeight="1" spans="4:5">
      <c r="D902" s="170">
        <v>44908</v>
      </c>
      <c r="E902" s="171">
        <v>18608</v>
      </c>
    </row>
    <row r="903" ht="17.25" customHeight="1" spans="4:5">
      <c r="D903" s="170">
        <v>44907</v>
      </c>
      <c r="E903" s="171">
        <v>18497.15</v>
      </c>
    </row>
    <row r="904" ht="17.25" customHeight="1" spans="4:5">
      <c r="D904" s="170">
        <v>44904</v>
      </c>
      <c r="E904" s="171">
        <v>18496.6</v>
      </c>
    </row>
    <row r="905" ht="17.25" customHeight="1" spans="4:5">
      <c r="D905" s="170">
        <v>44903</v>
      </c>
      <c r="E905" s="171">
        <v>18609.35</v>
      </c>
    </row>
    <row r="906" ht="17.25" customHeight="1" spans="4:5">
      <c r="D906" s="170">
        <v>44902</v>
      </c>
      <c r="E906" s="171">
        <v>18560.5</v>
      </c>
    </row>
    <row r="907" ht="17.25" customHeight="1" spans="4:5">
      <c r="D907" s="170">
        <v>44901</v>
      </c>
      <c r="E907" s="171">
        <v>18642.75</v>
      </c>
    </row>
    <row r="908" ht="17.25" customHeight="1" spans="4:5">
      <c r="D908" s="170">
        <v>44900</v>
      </c>
      <c r="E908" s="171">
        <v>18701.05</v>
      </c>
    </row>
    <row r="909" ht="17.25" customHeight="1" spans="4:5">
      <c r="D909" s="170">
        <v>44897</v>
      </c>
      <c r="E909" s="171">
        <v>18696.1</v>
      </c>
    </row>
    <row r="910" ht="17.25" customHeight="1" spans="4:5">
      <c r="D910" s="170">
        <v>44896</v>
      </c>
      <c r="E910" s="171">
        <v>18812.5</v>
      </c>
    </row>
    <row r="911" ht="17.25" customHeight="1" spans="4:5">
      <c r="D911" s="170">
        <v>44895</v>
      </c>
      <c r="E911" s="171">
        <v>18758.35</v>
      </c>
    </row>
    <row r="912" ht="17.25" customHeight="1" spans="4:5">
      <c r="D912" s="170">
        <v>44894</v>
      </c>
      <c r="E912" s="171">
        <v>18618.05</v>
      </c>
    </row>
    <row r="913" ht="17.25" customHeight="1" spans="4:5">
      <c r="D913" s="170">
        <v>44893</v>
      </c>
      <c r="E913" s="171">
        <v>18562.75</v>
      </c>
    </row>
    <row r="914" ht="17.25" customHeight="1" spans="4:5">
      <c r="D914" s="170">
        <v>44890</v>
      </c>
      <c r="E914" s="171">
        <v>18512.75</v>
      </c>
    </row>
    <row r="915" ht="17.25" customHeight="1" spans="4:5">
      <c r="D915" s="170">
        <v>44889</v>
      </c>
      <c r="E915" s="171">
        <v>18484.1</v>
      </c>
    </row>
    <row r="916" ht="17.25" customHeight="1" spans="4:5">
      <c r="D916" s="170">
        <v>44888</v>
      </c>
      <c r="E916" s="171">
        <v>18267.25</v>
      </c>
    </row>
    <row r="917" ht="17.25" customHeight="1" spans="4:5">
      <c r="D917" s="170">
        <v>44887</v>
      </c>
      <c r="E917" s="171">
        <v>18244.2</v>
      </c>
    </row>
    <row r="918" ht="17.25" customHeight="1" spans="4:5">
      <c r="D918" s="170">
        <v>44886</v>
      </c>
      <c r="E918" s="171">
        <v>18159.95</v>
      </c>
    </row>
    <row r="919" ht="17.25" customHeight="1" spans="4:5">
      <c r="D919" s="170">
        <v>44883</v>
      </c>
      <c r="E919" s="171">
        <v>18307.65</v>
      </c>
    </row>
    <row r="920" ht="17.25" customHeight="1" spans="4:5">
      <c r="D920" s="170">
        <v>44882</v>
      </c>
      <c r="E920" s="171">
        <v>18343.9</v>
      </c>
    </row>
    <row r="921" ht="17.25" customHeight="1" spans="4:5">
      <c r="D921" s="170">
        <v>44881</v>
      </c>
      <c r="E921" s="171">
        <v>18409.65</v>
      </c>
    </row>
    <row r="922" ht="17.25" customHeight="1" spans="4:5">
      <c r="D922" s="170">
        <v>44880</v>
      </c>
      <c r="E922" s="171">
        <v>18403.4</v>
      </c>
    </row>
    <row r="923" ht="17.25" customHeight="1" spans="4:5">
      <c r="D923" s="170">
        <v>44879</v>
      </c>
      <c r="E923" s="171">
        <v>18329.15</v>
      </c>
    </row>
    <row r="924" ht="17.25" customHeight="1" spans="4:5">
      <c r="D924" s="170">
        <v>44876</v>
      </c>
      <c r="E924" s="171">
        <v>18349.7</v>
      </c>
    </row>
    <row r="925" ht="17.25" customHeight="1" spans="4:5">
      <c r="D925" s="170">
        <v>44875</v>
      </c>
      <c r="E925" s="171">
        <v>18028.2</v>
      </c>
    </row>
    <row r="926" ht="17.25" customHeight="1" spans="4:5">
      <c r="D926" s="170">
        <v>44874</v>
      </c>
      <c r="E926" s="171">
        <v>18157</v>
      </c>
    </row>
    <row r="927" ht="17.25" customHeight="1" spans="4:5">
      <c r="D927" s="170">
        <v>44872</v>
      </c>
      <c r="E927" s="171">
        <v>18202.8</v>
      </c>
    </row>
    <row r="928" ht="17.25" customHeight="1" spans="4:5">
      <c r="D928" s="170">
        <v>44869</v>
      </c>
      <c r="E928" s="171">
        <v>18117.15</v>
      </c>
    </row>
    <row r="929" ht="17.25" customHeight="1" spans="4:5">
      <c r="D929" s="170">
        <v>44868</v>
      </c>
      <c r="E929" s="171">
        <v>18052.7</v>
      </c>
    </row>
    <row r="930" ht="17.25" customHeight="1" spans="4:5">
      <c r="D930" s="170">
        <v>44867</v>
      </c>
      <c r="E930" s="171">
        <v>18082.85</v>
      </c>
    </row>
    <row r="931" ht="17.25" customHeight="1" spans="4:5">
      <c r="D931" s="170">
        <v>44866</v>
      </c>
      <c r="E931" s="171">
        <v>18145.4</v>
      </c>
    </row>
    <row r="932" ht="17.25" customHeight="1" spans="4:5">
      <c r="D932" s="170">
        <v>44865</v>
      </c>
      <c r="E932" s="171">
        <v>18012.2</v>
      </c>
    </row>
    <row r="933" ht="17.25" customHeight="1" spans="4:5">
      <c r="D933" s="170">
        <v>44862</v>
      </c>
      <c r="E933" s="171">
        <v>17786.8</v>
      </c>
    </row>
    <row r="934" ht="17.25" customHeight="1" spans="4:5">
      <c r="D934" s="170">
        <v>44861</v>
      </c>
      <c r="E934" s="171">
        <v>17736.95</v>
      </c>
    </row>
    <row r="935" ht="17.25" customHeight="1" spans="4:5">
      <c r="D935" s="170">
        <v>44859</v>
      </c>
      <c r="E935" s="171">
        <v>17656.35</v>
      </c>
    </row>
    <row r="936" ht="17.25" customHeight="1" spans="4:5">
      <c r="D936" s="170">
        <v>44858</v>
      </c>
      <c r="E936" s="171">
        <v>17730.75</v>
      </c>
    </row>
    <row r="937" ht="17.25" customHeight="1" spans="4:5">
      <c r="D937" s="170">
        <v>44855</v>
      </c>
      <c r="E937" s="171">
        <v>17576.3</v>
      </c>
    </row>
    <row r="938" ht="17.25" customHeight="1" spans="4:5">
      <c r="D938" s="170">
        <v>44854</v>
      </c>
      <c r="E938" s="171">
        <v>17563.95</v>
      </c>
    </row>
    <row r="939" ht="17.25" customHeight="1" spans="4:5">
      <c r="D939" s="170">
        <v>44853</v>
      </c>
      <c r="E939" s="171">
        <v>17512.25</v>
      </c>
    </row>
    <row r="940" ht="17.25" customHeight="1" spans="4:5">
      <c r="D940" s="170">
        <v>44852</v>
      </c>
      <c r="E940" s="171">
        <v>17486.95</v>
      </c>
    </row>
    <row r="941" ht="17.25" customHeight="1" spans="4:5">
      <c r="D941" s="170">
        <v>44851</v>
      </c>
      <c r="E941" s="171">
        <v>17311.8</v>
      </c>
    </row>
    <row r="942" ht="17.25" customHeight="1" spans="4:5">
      <c r="D942" s="170">
        <v>44848</v>
      </c>
      <c r="E942" s="171">
        <v>17185.7</v>
      </c>
    </row>
    <row r="943" ht="17.25" customHeight="1" spans="4:5">
      <c r="D943" s="170">
        <v>44847</v>
      </c>
      <c r="E943" s="171">
        <v>17014.35</v>
      </c>
    </row>
    <row r="944" ht="17.25" customHeight="1" spans="4:5">
      <c r="D944" s="170">
        <v>44846</v>
      </c>
      <c r="E944" s="171">
        <v>17123.6</v>
      </c>
    </row>
    <row r="945" ht="17.25" customHeight="1" spans="4:5">
      <c r="D945" s="170">
        <v>44845</v>
      </c>
      <c r="E945" s="171">
        <v>16983.55</v>
      </c>
    </row>
    <row r="946" ht="17.25" customHeight="1" spans="4:5">
      <c r="D946" s="170">
        <v>44844</v>
      </c>
      <c r="E946" s="171">
        <v>17241</v>
      </c>
    </row>
    <row r="947" ht="17.25" customHeight="1" spans="4:5">
      <c r="D947" s="170">
        <v>44841</v>
      </c>
      <c r="E947" s="171">
        <v>17314.65</v>
      </c>
    </row>
    <row r="948" ht="17.25" customHeight="1" spans="4:5">
      <c r="D948" s="170">
        <v>44840</v>
      </c>
      <c r="E948" s="171">
        <v>17331.8</v>
      </c>
    </row>
    <row r="949" ht="17.25" customHeight="1" spans="4:5">
      <c r="D949" s="170">
        <v>44838</v>
      </c>
      <c r="E949" s="171">
        <v>17274.3</v>
      </c>
    </row>
    <row r="950" ht="17.25" customHeight="1" spans="4:5">
      <c r="D950" s="170">
        <v>44837</v>
      </c>
      <c r="E950" s="171">
        <v>16887.35</v>
      </c>
    </row>
    <row r="951" ht="17.25" customHeight="1" spans="4:5">
      <c r="D951" s="170">
        <v>44834</v>
      </c>
      <c r="E951" s="171">
        <v>17094.35</v>
      </c>
    </row>
    <row r="952" ht="17.25" customHeight="1" spans="4:5">
      <c r="D952" s="170">
        <v>44833</v>
      </c>
      <c r="E952" s="171">
        <v>16818.1</v>
      </c>
    </row>
    <row r="953" ht="17.25" customHeight="1" spans="4:5">
      <c r="D953" s="170">
        <v>44832</v>
      </c>
      <c r="E953" s="171">
        <v>16858.6</v>
      </c>
    </row>
    <row r="954" ht="17.25" customHeight="1" spans="4:5">
      <c r="D954" s="170">
        <v>44831</v>
      </c>
      <c r="E954" s="171">
        <v>17007.4</v>
      </c>
    </row>
    <row r="955" ht="17.25" customHeight="1" spans="4:5">
      <c r="D955" s="170">
        <v>44830</v>
      </c>
      <c r="E955" s="171">
        <v>17016.3</v>
      </c>
    </row>
    <row r="956" ht="17.25" customHeight="1" spans="4:5">
      <c r="D956" s="170">
        <v>44827</v>
      </c>
      <c r="E956" s="171">
        <v>17327.35</v>
      </c>
    </row>
    <row r="957" ht="17.25" customHeight="1" spans="4:5">
      <c r="D957" s="170">
        <v>44826</v>
      </c>
      <c r="E957" s="171">
        <v>17629.8</v>
      </c>
    </row>
    <row r="958" ht="17.25" customHeight="1" spans="4:5">
      <c r="D958" s="170">
        <v>44825</v>
      </c>
      <c r="E958" s="171">
        <v>17718.35</v>
      </c>
    </row>
    <row r="959" ht="17.25" customHeight="1" spans="4:5">
      <c r="D959" s="170">
        <v>44824</v>
      </c>
      <c r="E959" s="171">
        <v>17816.25</v>
      </c>
    </row>
    <row r="960" ht="17.25" customHeight="1" spans="4:5">
      <c r="D960" s="170">
        <v>44823</v>
      </c>
      <c r="E960" s="171">
        <v>17622.25</v>
      </c>
    </row>
    <row r="961" ht="17.25" customHeight="1" spans="4:5">
      <c r="D961" s="170">
        <v>44820</v>
      </c>
      <c r="E961" s="171">
        <v>17530.85</v>
      </c>
    </row>
    <row r="962" ht="17.25" customHeight="1" spans="4:5">
      <c r="D962" s="170">
        <v>44819</v>
      </c>
      <c r="E962" s="171">
        <v>17877.4</v>
      </c>
    </row>
    <row r="963" ht="17.25" customHeight="1" spans="4:5">
      <c r="D963" s="170">
        <v>44818</v>
      </c>
      <c r="E963" s="171">
        <v>18003.75</v>
      </c>
    </row>
    <row r="964" ht="17.25" customHeight="1" spans="4:5">
      <c r="D964" s="170">
        <v>44817</v>
      </c>
      <c r="E964" s="171">
        <v>18070.05</v>
      </c>
    </row>
    <row r="965" ht="17.25" customHeight="1" spans="4:5">
      <c r="D965" s="170">
        <v>44816</v>
      </c>
      <c r="E965" s="171">
        <v>17936.35</v>
      </c>
    </row>
    <row r="966" ht="17.25" customHeight="1" spans="4:5">
      <c r="D966" s="170">
        <v>44813</v>
      </c>
      <c r="E966" s="171">
        <v>17833.35</v>
      </c>
    </row>
    <row r="967" ht="17.25" customHeight="1" spans="4:5">
      <c r="D967" s="170">
        <v>44812</v>
      </c>
      <c r="E967" s="171">
        <v>17798.75</v>
      </c>
    </row>
    <row r="968" ht="17.25" customHeight="1" spans="4:5">
      <c r="D968" s="170">
        <v>44811</v>
      </c>
      <c r="E968" s="171">
        <v>17624.4</v>
      </c>
    </row>
    <row r="969" ht="17.25" customHeight="1" spans="4:5">
      <c r="D969" s="170">
        <v>44810</v>
      </c>
      <c r="E969" s="171">
        <v>17655.6</v>
      </c>
    </row>
    <row r="970" ht="17.25" customHeight="1" spans="4:5">
      <c r="D970" s="170">
        <v>44809</v>
      </c>
      <c r="E970" s="171">
        <v>17665.8</v>
      </c>
    </row>
    <row r="971" ht="17.25" customHeight="1" spans="4:5">
      <c r="D971" s="170">
        <v>44806</v>
      </c>
      <c r="E971" s="171">
        <v>17539.45</v>
      </c>
    </row>
    <row r="972" ht="17.25" customHeight="1" spans="4:5">
      <c r="D972" s="170">
        <v>44805</v>
      </c>
      <c r="E972" s="171">
        <v>17542.8</v>
      </c>
    </row>
    <row r="973" ht="17.25" customHeight="1" spans="4:5">
      <c r="D973" s="170">
        <v>44803</v>
      </c>
      <c r="E973" s="171">
        <v>17759.3</v>
      </c>
    </row>
    <row r="974" ht="17.25" customHeight="1" spans="4:5">
      <c r="D974" s="170">
        <v>44802</v>
      </c>
      <c r="E974" s="171">
        <v>17312.9</v>
      </c>
    </row>
    <row r="975" ht="17.25" customHeight="1" spans="4:5">
      <c r="D975" s="170">
        <v>44799</v>
      </c>
      <c r="E975" s="171">
        <v>17558.9</v>
      </c>
    </row>
    <row r="976" ht="17.25" customHeight="1" spans="4:5">
      <c r="D976" s="170">
        <v>44798</v>
      </c>
      <c r="E976" s="171">
        <v>17522.45</v>
      </c>
    </row>
    <row r="977" ht="17.25" customHeight="1" spans="4:5">
      <c r="D977" s="170">
        <v>44797</v>
      </c>
      <c r="E977" s="171">
        <v>17604.95</v>
      </c>
    </row>
    <row r="978" ht="17.25" customHeight="1" spans="4:5">
      <c r="D978" s="170">
        <v>44796</v>
      </c>
      <c r="E978" s="171">
        <v>17577.5</v>
      </c>
    </row>
    <row r="979" ht="17.25" customHeight="1" spans="4:5">
      <c r="D979" s="170">
        <v>44795</v>
      </c>
      <c r="E979" s="171">
        <v>17490.7</v>
      </c>
    </row>
    <row r="980" ht="17.25" customHeight="1" spans="4:5">
      <c r="D980" s="170">
        <v>44792</v>
      </c>
      <c r="E980" s="171">
        <v>17758.45</v>
      </c>
    </row>
    <row r="981" ht="17.25" customHeight="1" spans="4:5">
      <c r="D981" s="170">
        <v>44791</v>
      </c>
      <c r="E981" s="171">
        <v>17956.5</v>
      </c>
    </row>
    <row r="982" ht="17.25" customHeight="1" spans="4:5">
      <c r="D982" s="170">
        <v>44790</v>
      </c>
      <c r="E982" s="171">
        <v>17944.25</v>
      </c>
    </row>
    <row r="983" ht="17.25" customHeight="1" spans="4:5">
      <c r="D983" s="170">
        <v>44789</v>
      </c>
      <c r="E983" s="171">
        <v>17825.25</v>
      </c>
    </row>
    <row r="984" ht="17.25" customHeight="1" spans="4:5">
      <c r="D984" s="170">
        <v>44785</v>
      </c>
      <c r="E984" s="171">
        <v>17698.15</v>
      </c>
    </row>
    <row r="985" ht="17.25" customHeight="1" spans="4:5">
      <c r="D985" s="170">
        <v>44784</v>
      </c>
      <c r="E985" s="171">
        <v>17659</v>
      </c>
    </row>
    <row r="986" ht="17.25" customHeight="1" spans="4:5">
      <c r="D986" s="170">
        <v>44783</v>
      </c>
      <c r="E986" s="171">
        <v>17534.75</v>
      </c>
    </row>
    <row r="987" ht="17.25" customHeight="1" spans="4:5">
      <c r="D987" s="170">
        <v>44781</v>
      </c>
      <c r="E987" s="171">
        <v>17525.1</v>
      </c>
    </row>
    <row r="988" ht="17.25" customHeight="1" spans="4:5">
      <c r="D988" s="170">
        <v>44778</v>
      </c>
      <c r="E988" s="171">
        <v>17397.5</v>
      </c>
    </row>
    <row r="989" ht="17.25" customHeight="1" spans="4:5">
      <c r="D989" s="170">
        <v>44777</v>
      </c>
      <c r="E989" s="171">
        <v>17382</v>
      </c>
    </row>
    <row r="990" ht="17.25" customHeight="1" spans="4:5">
      <c r="D990" s="170">
        <v>44776</v>
      </c>
      <c r="E990" s="171">
        <v>17388.15</v>
      </c>
    </row>
    <row r="991" ht="17.25" customHeight="1" spans="4:5">
      <c r="D991" s="170">
        <v>44775</v>
      </c>
      <c r="E991" s="171">
        <v>17345.45</v>
      </c>
    </row>
    <row r="992" ht="17.25" customHeight="1" spans="4:5">
      <c r="D992" s="170">
        <v>44774</v>
      </c>
      <c r="E992" s="171">
        <v>17340.05</v>
      </c>
    </row>
    <row r="993" ht="17.25" customHeight="1" spans="4:5">
      <c r="D993" s="170">
        <v>44771</v>
      </c>
      <c r="E993" s="171">
        <v>17158.25</v>
      </c>
    </row>
    <row r="994" ht="17.25" customHeight="1" spans="4:5">
      <c r="D994" s="170">
        <v>44770</v>
      </c>
      <c r="E994" s="171">
        <v>16929.6</v>
      </c>
    </row>
    <row r="995" ht="17.25" customHeight="1" spans="4:5">
      <c r="D995" s="170">
        <v>44769</v>
      </c>
      <c r="E995" s="171">
        <v>16641.8</v>
      </c>
    </row>
    <row r="996" ht="17.25" customHeight="1" spans="4:5">
      <c r="D996" s="170">
        <v>44768</v>
      </c>
      <c r="E996" s="171">
        <v>16483.85</v>
      </c>
    </row>
    <row r="997" ht="17.25" customHeight="1" spans="4:5">
      <c r="D997" s="170">
        <v>44767</v>
      </c>
      <c r="E997" s="171">
        <v>16631</v>
      </c>
    </row>
    <row r="998" ht="17.25" customHeight="1" spans="4:5">
      <c r="D998" s="170">
        <v>44764</v>
      </c>
      <c r="E998" s="171">
        <v>16719.45</v>
      </c>
    </row>
    <row r="999" ht="17.25" customHeight="1" spans="4:5">
      <c r="D999" s="170">
        <v>44763</v>
      </c>
      <c r="E999" s="171">
        <v>16605.25</v>
      </c>
    </row>
    <row r="1000" ht="17.25" customHeight="1" spans="4:5">
      <c r="D1000" s="170">
        <v>44762</v>
      </c>
      <c r="E1000" s="171">
        <v>16520.85</v>
      </c>
    </row>
    <row r="1001" ht="17.25" customHeight="1" spans="4:5">
      <c r="D1001" s="170">
        <v>44761</v>
      </c>
      <c r="E1001" s="171">
        <v>16340.55</v>
      </c>
    </row>
    <row r="1002" ht="17.25" customHeight="1" spans="4:5">
      <c r="D1002" s="170">
        <v>44760</v>
      </c>
      <c r="E1002" s="171">
        <v>16278.5</v>
      </c>
    </row>
    <row r="1003" ht="17.25" customHeight="1" spans="4:5">
      <c r="D1003" s="170">
        <v>44757</v>
      </c>
      <c r="E1003" s="171">
        <v>16049.2</v>
      </c>
    </row>
    <row r="1004" ht="17.25" customHeight="1" spans="4:5">
      <c r="D1004" s="170">
        <v>44756</v>
      </c>
      <c r="E1004" s="171">
        <v>15938.65</v>
      </c>
    </row>
    <row r="1005" ht="17.25" customHeight="1" spans="4:5">
      <c r="D1005" s="170">
        <v>44755</v>
      </c>
      <c r="E1005" s="171">
        <v>15966.65</v>
      </c>
    </row>
    <row r="1006" ht="17.25" customHeight="1" spans="4:5">
      <c r="D1006" s="170">
        <v>44754</v>
      </c>
      <c r="E1006" s="171">
        <v>16058.3</v>
      </c>
    </row>
    <row r="1007" ht="17.25" customHeight="1" spans="4:5">
      <c r="D1007" s="170">
        <v>44753</v>
      </c>
      <c r="E1007" s="171">
        <v>16216</v>
      </c>
    </row>
    <row r="1008" ht="17.25" customHeight="1" spans="4:5">
      <c r="D1008" s="170">
        <v>44750</v>
      </c>
      <c r="E1008" s="171">
        <v>16220.6</v>
      </c>
    </row>
    <row r="1009" ht="17.25" customHeight="1" spans="4:5">
      <c r="D1009" s="170">
        <v>44749</v>
      </c>
      <c r="E1009" s="171">
        <v>16132.9</v>
      </c>
    </row>
    <row r="1010" ht="17.25" customHeight="1" spans="4:5">
      <c r="D1010" s="170">
        <v>44748</v>
      </c>
      <c r="E1010" s="171">
        <v>15989.8</v>
      </c>
    </row>
    <row r="1011" ht="17.25" customHeight="1" spans="4:5">
      <c r="D1011" s="170">
        <v>44747</v>
      </c>
      <c r="E1011" s="171">
        <v>15810.85</v>
      </c>
    </row>
    <row r="1012" ht="17.25" customHeight="1" spans="4:5">
      <c r="D1012" s="170">
        <v>44746</v>
      </c>
      <c r="E1012" s="171">
        <v>15835.35</v>
      </c>
    </row>
    <row r="1013" ht="17.25" customHeight="1" spans="4:5">
      <c r="D1013" s="170">
        <v>44743</v>
      </c>
      <c r="E1013" s="171">
        <v>15752.05</v>
      </c>
    </row>
    <row r="1014" ht="17.25" customHeight="1" spans="4:5">
      <c r="D1014" s="170">
        <v>44742</v>
      </c>
      <c r="E1014" s="171">
        <v>15780.25</v>
      </c>
    </row>
    <row r="1015" ht="17.25" customHeight="1" spans="4:5">
      <c r="D1015" s="170">
        <v>44741</v>
      </c>
      <c r="E1015" s="171">
        <v>15799.1</v>
      </c>
    </row>
    <row r="1016" ht="17.25" customHeight="1" spans="4:5">
      <c r="D1016" s="170">
        <v>44740</v>
      </c>
      <c r="E1016" s="171">
        <v>15850.2</v>
      </c>
    </row>
    <row r="1017" ht="17.25" customHeight="1" spans="4:5">
      <c r="D1017" s="170">
        <v>44739</v>
      </c>
      <c r="E1017" s="171">
        <v>15832.05</v>
      </c>
    </row>
    <row r="1018" ht="17.25" customHeight="1" spans="4:5">
      <c r="D1018" s="170">
        <v>44736</v>
      </c>
      <c r="E1018" s="171">
        <v>15699.25</v>
      </c>
    </row>
    <row r="1019" ht="17.25" customHeight="1" spans="4:5">
      <c r="D1019" s="170">
        <v>44735</v>
      </c>
      <c r="E1019" s="171">
        <v>15556.65</v>
      </c>
    </row>
    <row r="1020" ht="17.25" customHeight="1" spans="4:5">
      <c r="D1020" s="170">
        <v>44734</v>
      </c>
      <c r="E1020" s="171">
        <v>15413.3</v>
      </c>
    </row>
    <row r="1021" ht="17.25" customHeight="1" spans="4:5">
      <c r="D1021" s="170">
        <v>44733</v>
      </c>
      <c r="E1021" s="171">
        <v>15638.8</v>
      </c>
    </row>
    <row r="1022" ht="17.25" customHeight="1" spans="4:5">
      <c r="D1022" s="170">
        <v>44732</v>
      </c>
      <c r="E1022" s="171">
        <v>15350.15</v>
      </c>
    </row>
    <row r="1023" ht="17.25" customHeight="1" spans="4:5">
      <c r="D1023" s="170">
        <v>44729</v>
      </c>
      <c r="E1023" s="171">
        <v>15293.5</v>
      </c>
    </row>
    <row r="1024" ht="17.25" customHeight="1" spans="4:5">
      <c r="D1024" s="170">
        <v>44728</v>
      </c>
      <c r="E1024" s="171">
        <v>15360.6</v>
      </c>
    </row>
    <row r="1025" ht="17.25" customHeight="1" spans="4:5">
      <c r="D1025" s="170">
        <v>44727</v>
      </c>
      <c r="E1025" s="171">
        <v>15692.15</v>
      </c>
    </row>
    <row r="1026" ht="17.25" customHeight="1" spans="4:5">
      <c r="D1026" s="170">
        <v>44726</v>
      </c>
      <c r="E1026" s="171">
        <v>15732.1</v>
      </c>
    </row>
    <row r="1027" ht="17.25" customHeight="1" spans="4:5">
      <c r="D1027" s="170">
        <v>44725</v>
      </c>
      <c r="E1027" s="171">
        <v>15774.4</v>
      </c>
    </row>
    <row r="1028" ht="17.25" customHeight="1" spans="4:5">
      <c r="D1028" s="170">
        <v>44722</v>
      </c>
      <c r="E1028" s="171">
        <v>16201.8</v>
      </c>
    </row>
    <row r="1029" ht="17.25" customHeight="1" spans="4:5">
      <c r="D1029" s="170">
        <v>44721</v>
      </c>
      <c r="E1029" s="171">
        <v>16478.1</v>
      </c>
    </row>
    <row r="1030" ht="17.25" customHeight="1" spans="4:5">
      <c r="D1030" s="170">
        <v>44720</v>
      </c>
      <c r="E1030" s="171">
        <v>16356.25</v>
      </c>
    </row>
    <row r="1031" ht="17.25" customHeight="1" spans="4:5">
      <c r="D1031" s="170">
        <v>44719</v>
      </c>
      <c r="E1031" s="171">
        <v>16416.35</v>
      </c>
    </row>
    <row r="1032" ht="17.25" customHeight="1" spans="4:5">
      <c r="D1032" s="170">
        <v>44718</v>
      </c>
      <c r="E1032" s="171">
        <v>16569.55</v>
      </c>
    </row>
    <row r="1033" ht="17.25" customHeight="1" spans="4:5">
      <c r="D1033" s="170">
        <v>44715</v>
      </c>
      <c r="E1033" s="171">
        <v>16584.3</v>
      </c>
    </row>
    <row r="1034" ht="17.25" customHeight="1" spans="4:5">
      <c r="D1034" s="170">
        <v>44714</v>
      </c>
      <c r="E1034" s="171">
        <v>16628</v>
      </c>
    </row>
    <row r="1035" ht="17.25" customHeight="1" spans="4:5">
      <c r="D1035" s="170">
        <v>44713</v>
      </c>
      <c r="E1035" s="171">
        <v>16522.75</v>
      </c>
    </row>
    <row r="1036" ht="17.25" customHeight="1" spans="4:5">
      <c r="D1036" s="170">
        <v>44712</v>
      </c>
      <c r="E1036" s="171">
        <v>16584.55</v>
      </c>
    </row>
    <row r="1037" ht="17.25" customHeight="1" spans="4:5">
      <c r="D1037" s="170">
        <v>44711</v>
      </c>
      <c r="E1037" s="171">
        <v>16661.4</v>
      </c>
    </row>
    <row r="1038" ht="17.25" customHeight="1" spans="4:5">
      <c r="D1038" s="170">
        <v>44708</v>
      </c>
      <c r="E1038" s="171">
        <v>16352.45</v>
      </c>
    </row>
    <row r="1039" ht="17.25" customHeight="1" spans="4:5">
      <c r="D1039" s="170">
        <v>44707</v>
      </c>
      <c r="E1039" s="171">
        <v>16170.15</v>
      </c>
    </row>
    <row r="1040" ht="17.25" customHeight="1" spans="4:5">
      <c r="D1040" s="170">
        <v>44706</v>
      </c>
      <c r="E1040" s="171">
        <v>16025.8</v>
      </c>
    </row>
    <row r="1041" ht="17.25" customHeight="1" spans="4:5">
      <c r="D1041" s="170">
        <v>44705</v>
      </c>
      <c r="E1041" s="171">
        <v>16125.15</v>
      </c>
    </row>
    <row r="1042" ht="17.25" customHeight="1" spans="4:5">
      <c r="D1042" s="170">
        <v>44704</v>
      </c>
      <c r="E1042" s="171">
        <v>16214.7</v>
      </c>
    </row>
    <row r="1043" ht="17.25" customHeight="1" spans="4:5">
      <c r="D1043" s="170">
        <v>44701</v>
      </c>
      <c r="E1043" s="171">
        <v>16266.15</v>
      </c>
    </row>
    <row r="1044" ht="17.25" customHeight="1" spans="4:5">
      <c r="D1044" s="170">
        <v>44700</v>
      </c>
      <c r="E1044" s="171">
        <v>15809.4</v>
      </c>
    </row>
    <row r="1045" ht="17.25" customHeight="1" spans="4:5">
      <c r="D1045" s="170">
        <v>44699</v>
      </c>
      <c r="E1045" s="171">
        <v>16240.3</v>
      </c>
    </row>
    <row r="1046" ht="17.25" customHeight="1" spans="4:5">
      <c r="D1046" s="170">
        <v>44698</v>
      </c>
      <c r="E1046" s="171">
        <v>16259.3</v>
      </c>
    </row>
    <row r="1047" ht="17.25" customHeight="1" spans="4:5">
      <c r="D1047" s="170">
        <v>44697</v>
      </c>
      <c r="E1047" s="171">
        <v>15842.3</v>
      </c>
    </row>
    <row r="1048" ht="17.25" customHeight="1" spans="4:5">
      <c r="D1048" s="170">
        <v>44694</v>
      </c>
      <c r="E1048" s="171">
        <v>15782.15</v>
      </c>
    </row>
    <row r="1049" ht="17.25" customHeight="1" spans="4:5">
      <c r="D1049" s="170">
        <v>44693</v>
      </c>
      <c r="E1049" s="171">
        <v>15808</v>
      </c>
    </row>
    <row r="1050" ht="17.25" customHeight="1" spans="4:5">
      <c r="D1050" s="170">
        <v>44692</v>
      </c>
      <c r="E1050" s="171">
        <v>16167.1</v>
      </c>
    </row>
    <row r="1051" ht="17.25" customHeight="1" spans="4:5">
      <c r="D1051" s="170">
        <v>44691</v>
      </c>
      <c r="E1051" s="171">
        <v>16240.05</v>
      </c>
    </row>
    <row r="1052" ht="17.25" customHeight="1" spans="4:5">
      <c r="D1052" s="170">
        <v>44690</v>
      </c>
      <c r="E1052" s="171">
        <v>16301.85</v>
      </c>
    </row>
    <row r="1053" ht="17.25" customHeight="1" spans="4:5">
      <c r="D1053" s="170">
        <v>44687</v>
      </c>
      <c r="E1053" s="171">
        <v>16411.25</v>
      </c>
    </row>
    <row r="1054" ht="17.25" customHeight="1" spans="4:5">
      <c r="D1054" s="170">
        <v>44686</v>
      </c>
      <c r="E1054" s="171">
        <v>16682.65</v>
      </c>
    </row>
    <row r="1055" ht="17.25" customHeight="1" spans="4:5">
      <c r="D1055" s="170">
        <v>44685</v>
      </c>
      <c r="E1055" s="171">
        <v>16677.6</v>
      </c>
    </row>
    <row r="1056" ht="17.25" customHeight="1" spans="4:5">
      <c r="D1056" s="170">
        <v>44683</v>
      </c>
      <c r="E1056" s="171">
        <v>17069.1</v>
      </c>
    </row>
    <row r="1057" ht="17.25" customHeight="1" spans="4:5">
      <c r="D1057" s="170">
        <v>44680</v>
      </c>
      <c r="E1057" s="171">
        <v>17102.55</v>
      </c>
    </row>
    <row r="1058" ht="17.25" customHeight="1" spans="4:5">
      <c r="D1058" s="170">
        <v>44679</v>
      </c>
      <c r="E1058" s="171">
        <v>17245.05</v>
      </c>
    </row>
    <row r="1059" ht="17.25" customHeight="1" spans="4:5">
      <c r="D1059" s="170">
        <v>44678</v>
      </c>
      <c r="E1059" s="171">
        <v>17038.4</v>
      </c>
    </row>
    <row r="1060" ht="17.25" customHeight="1" spans="4:5">
      <c r="D1060" s="170">
        <v>44677</v>
      </c>
      <c r="E1060" s="171">
        <v>17200.8</v>
      </c>
    </row>
    <row r="1061" ht="17.25" customHeight="1" spans="4:5">
      <c r="D1061" s="170">
        <v>44676</v>
      </c>
      <c r="E1061" s="171">
        <v>16953.95</v>
      </c>
    </row>
    <row r="1062" ht="17.25" customHeight="1" spans="4:5">
      <c r="D1062" s="170">
        <v>44673</v>
      </c>
      <c r="E1062" s="171">
        <v>17171.95</v>
      </c>
    </row>
    <row r="1063" ht="17.25" customHeight="1" spans="4:5">
      <c r="D1063" s="170">
        <v>44672</v>
      </c>
      <c r="E1063" s="171">
        <v>17392.6</v>
      </c>
    </row>
    <row r="1064" ht="17.25" customHeight="1" spans="4:5">
      <c r="D1064" s="170">
        <v>44671</v>
      </c>
      <c r="E1064" s="171">
        <v>17136.55</v>
      </c>
    </row>
    <row r="1065" ht="17.25" customHeight="1" spans="4:5">
      <c r="D1065" s="170">
        <v>44670</v>
      </c>
      <c r="E1065" s="171">
        <v>16958.65</v>
      </c>
    </row>
    <row r="1066" ht="17.25" customHeight="1" spans="4:5">
      <c r="D1066" s="170">
        <v>44669</v>
      </c>
      <c r="E1066" s="171">
        <v>17173.65</v>
      </c>
    </row>
    <row r="1067" ht="17.25" customHeight="1" spans="4:5">
      <c r="D1067" s="170">
        <v>44664</v>
      </c>
      <c r="E1067" s="171">
        <v>17475.65</v>
      </c>
    </row>
    <row r="1068" ht="17.25" customHeight="1" spans="4:5">
      <c r="D1068" s="170">
        <v>44663</v>
      </c>
      <c r="E1068" s="171">
        <v>17530.3</v>
      </c>
    </row>
    <row r="1069" ht="17.25" customHeight="1" spans="4:5">
      <c r="D1069" s="170">
        <v>44662</v>
      </c>
      <c r="E1069" s="171">
        <v>17674.95</v>
      </c>
    </row>
    <row r="1070" ht="17.25" customHeight="1" spans="4:5">
      <c r="D1070" s="170">
        <v>44659</v>
      </c>
      <c r="E1070" s="171">
        <v>17784.35</v>
      </c>
    </row>
    <row r="1071" ht="17.25" customHeight="1" spans="4:5">
      <c r="D1071" s="170">
        <v>44658</v>
      </c>
      <c r="E1071" s="171">
        <v>17639.55</v>
      </c>
    </row>
    <row r="1072" ht="17.25" customHeight="1" spans="4:5">
      <c r="D1072" s="170">
        <v>44657</v>
      </c>
      <c r="E1072" s="171">
        <v>17807.65</v>
      </c>
    </row>
    <row r="1073" ht="17.25" customHeight="1" spans="4:5">
      <c r="D1073" s="170">
        <v>44656</v>
      </c>
      <c r="E1073" s="171">
        <v>17957.4</v>
      </c>
    </row>
    <row r="1074" ht="17.25" customHeight="1" spans="4:5">
      <c r="D1074" s="170">
        <v>44655</v>
      </c>
      <c r="E1074" s="171">
        <v>18053.4</v>
      </c>
    </row>
    <row r="1075" ht="17.25" customHeight="1" spans="4:5">
      <c r="D1075" s="170">
        <v>44652</v>
      </c>
      <c r="E1075" s="171">
        <v>17670.45</v>
      </c>
    </row>
    <row r="1076" ht="17.25" customHeight="1" spans="4:5">
      <c r="D1076" s="170">
        <v>44651</v>
      </c>
      <c r="E1076" s="171">
        <v>17464.75</v>
      </c>
    </row>
    <row r="1077" ht="17.25" customHeight="1" spans="4:5">
      <c r="D1077" s="170">
        <v>44650</v>
      </c>
      <c r="E1077" s="171">
        <v>17498.25</v>
      </c>
    </row>
    <row r="1078" ht="17.25" customHeight="1" spans="4:5">
      <c r="D1078" s="170">
        <v>44649</v>
      </c>
      <c r="E1078" s="171">
        <v>17325.3</v>
      </c>
    </row>
    <row r="1079" ht="17.25" customHeight="1" spans="4:5">
      <c r="D1079" s="170">
        <v>44648</v>
      </c>
      <c r="E1079" s="171">
        <v>17222</v>
      </c>
    </row>
    <row r="1080" ht="17.25" customHeight="1" spans="4:5">
      <c r="D1080" s="170">
        <v>44645</v>
      </c>
      <c r="E1080" s="171">
        <v>17153</v>
      </c>
    </row>
    <row r="1081" ht="17.25" customHeight="1" spans="4:5">
      <c r="D1081" s="170">
        <v>44644</v>
      </c>
      <c r="E1081" s="171">
        <v>17222.75</v>
      </c>
    </row>
    <row r="1082" ht="17.25" customHeight="1" spans="4:5">
      <c r="D1082" s="170">
        <v>44643</v>
      </c>
      <c r="E1082" s="171">
        <v>17245.65</v>
      </c>
    </row>
    <row r="1083" ht="17.25" customHeight="1" spans="4:5">
      <c r="D1083" s="170">
        <v>44642</v>
      </c>
      <c r="E1083" s="171">
        <v>17315.5</v>
      </c>
    </row>
    <row r="1084" ht="17.25" customHeight="1" spans="4:5">
      <c r="D1084" s="170">
        <v>44641</v>
      </c>
      <c r="E1084" s="171">
        <v>17117.6</v>
      </c>
    </row>
    <row r="1085" ht="17.25" customHeight="1" spans="4:5">
      <c r="D1085" s="170">
        <v>44637</v>
      </c>
      <c r="E1085" s="171">
        <v>17287.05</v>
      </c>
    </row>
    <row r="1086" ht="17.25" customHeight="1" spans="4:5">
      <c r="D1086" s="170">
        <v>44636</v>
      </c>
      <c r="E1086" s="171">
        <v>16975.35</v>
      </c>
    </row>
    <row r="1087" ht="17.25" customHeight="1" spans="4:5">
      <c r="D1087" s="170">
        <v>44635</v>
      </c>
      <c r="E1087" s="171">
        <v>16663</v>
      </c>
    </row>
    <row r="1088" ht="17.25" customHeight="1" spans="4:5">
      <c r="D1088" s="170">
        <v>44634</v>
      </c>
      <c r="E1088" s="171">
        <v>16871.3</v>
      </c>
    </row>
    <row r="1089" ht="17.25" customHeight="1" spans="4:5">
      <c r="D1089" s="170">
        <v>44631</v>
      </c>
      <c r="E1089" s="171">
        <v>16630.45</v>
      </c>
    </row>
    <row r="1090" ht="17.25" customHeight="1" spans="4:5">
      <c r="D1090" s="170">
        <v>44630</v>
      </c>
      <c r="E1090" s="171">
        <v>16594.9</v>
      </c>
    </row>
    <row r="1091" ht="17.25" customHeight="1" spans="4:5">
      <c r="D1091" s="170">
        <v>44629</v>
      </c>
      <c r="E1091" s="171">
        <v>16345.35</v>
      </c>
    </row>
    <row r="1092" ht="17.25" customHeight="1" spans="4:5">
      <c r="D1092" s="170">
        <v>44628</v>
      </c>
      <c r="E1092" s="171">
        <v>16013.45</v>
      </c>
    </row>
    <row r="1093" ht="17.25" customHeight="1" spans="4:5">
      <c r="D1093" s="170">
        <v>44627</v>
      </c>
      <c r="E1093" s="171">
        <v>15863.15</v>
      </c>
    </row>
    <row r="1094" ht="17.25" customHeight="1" spans="4:5">
      <c r="D1094" s="170">
        <v>44624</v>
      </c>
      <c r="E1094" s="171">
        <v>16245.35</v>
      </c>
    </row>
    <row r="1095" ht="17.25" customHeight="1" spans="4:5">
      <c r="D1095" s="170">
        <v>44623</v>
      </c>
      <c r="E1095" s="171">
        <v>16498.05</v>
      </c>
    </row>
    <row r="1096" ht="17.25" customHeight="1" spans="4:5">
      <c r="D1096" s="170">
        <v>44622</v>
      </c>
      <c r="E1096" s="171">
        <v>16605.95</v>
      </c>
    </row>
    <row r="1097" ht="17.25" customHeight="1" spans="4:5">
      <c r="D1097" s="170">
        <v>44620</v>
      </c>
      <c r="E1097" s="171">
        <v>16793.9</v>
      </c>
    </row>
    <row r="1098" ht="17.25" customHeight="1" spans="4:5">
      <c r="D1098" s="170">
        <v>44617</v>
      </c>
      <c r="E1098" s="171">
        <v>16658.4</v>
      </c>
    </row>
    <row r="1099" ht="17.25" customHeight="1" spans="4:5">
      <c r="D1099" s="170">
        <v>44616</v>
      </c>
      <c r="E1099" s="171">
        <v>16247.95</v>
      </c>
    </row>
    <row r="1100" ht="17.25" customHeight="1" spans="4:5">
      <c r="D1100" s="170">
        <v>44615</v>
      </c>
      <c r="E1100" s="171">
        <v>17063.25</v>
      </c>
    </row>
    <row r="1101" ht="17.25" customHeight="1" spans="4:5">
      <c r="D1101" s="170">
        <v>44614</v>
      </c>
      <c r="E1101" s="171">
        <v>17092.2</v>
      </c>
    </row>
    <row r="1102" ht="17.25" customHeight="1" spans="4:5">
      <c r="D1102" s="170">
        <v>44613</v>
      </c>
      <c r="E1102" s="171">
        <v>17206.65</v>
      </c>
    </row>
    <row r="1103" ht="17.25" customHeight="1" spans="4:5">
      <c r="D1103" s="170">
        <v>44610</v>
      </c>
      <c r="E1103" s="171">
        <v>17276.3</v>
      </c>
    </row>
    <row r="1104" ht="17.25" customHeight="1" spans="4:5">
      <c r="D1104" s="170">
        <v>44609</v>
      </c>
      <c r="E1104" s="171">
        <v>17304.6</v>
      </c>
    </row>
    <row r="1105" ht="17.25" customHeight="1" spans="4:5">
      <c r="D1105" s="170">
        <v>44608</v>
      </c>
      <c r="E1105" s="171">
        <v>17322.2</v>
      </c>
    </row>
    <row r="1106" ht="17.25" customHeight="1" spans="4:5">
      <c r="D1106" s="170">
        <v>44607</v>
      </c>
      <c r="E1106" s="171">
        <v>17352.45</v>
      </c>
    </row>
    <row r="1107" ht="17.25" customHeight="1" spans="4:5">
      <c r="D1107" s="170">
        <v>44606</v>
      </c>
      <c r="E1107" s="171">
        <v>16842.8</v>
      </c>
    </row>
    <row r="1108" ht="17.25" customHeight="1" spans="4:5">
      <c r="D1108" s="170">
        <v>44603</v>
      </c>
      <c r="E1108" s="171">
        <v>17374.75</v>
      </c>
    </row>
    <row r="1109" ht="17.25" customHeight="1" spans="4:5">
      <c r="D1109" s="170">
        <v>44602</v>
      </c>
      <c r="E1109" s="171">
        <v>17605.85</v>
      </c>
    </row>
    <row r="1110" ht="17.25" customHeight="1" spans="4:5">
      <c r="D1110" s="170">
        <v>44601</v>
      </c>
      <c r="E1110" s="171">
        <v>17463.8</v>
      </c>
    </row>
    <row r="1111" ht="17.25" customHeight="1" spans="4:5">
      <c r="D1111" s="170">
        <v>44600</v>
      </c>
      <c r="E1111" s="171">
        <v>17266.75</v>
      </c>
    </row>
    <row r="1112" ht="17.25" customHeight="1" spans="4:5">
      <c r="D1112" s="170">
        <v>44599</v>
      </c>
      <c r="E1112" s="171">
        <v>17213.6</v>
      </c>
    </row>
    <row r="1113" ht="17.25" customHeight="1" spans="4:5">
      <c r="D1113" s="170">
        <v>44596</v>
      </c>
      <c r="E1113" s="171">
        <v>17516.3</v>
      </c>
    </row>
    <row r="1114" ht="17.25" customHeight="1" spans="4:5">
      <c r="D1114" s="170">
        <v>44595</v>
      </c>
      <c r="E1114" s="171">
        <v>17560.2</v>
      </c>
    </row>
    <row r="1115" ht="17.25" customHeight="1" spans="4:5">
      <c r="D1115" s="170">
        <v>44594</v>
      </c>
      <c r="E1115" s="171">
        <v>17780</v>
      </c>
    </row>
    <row r="1116" ht="17.25" customHeight="1" spans="4:5">
      <c r="D1116" s="170">
        <v>44593</v>
      </c>
      <c r="E1116" s="171">
        <v>17576.85</v>
      </c>
    </row>
    <row r="1117" ht="17.25" customHeight="1" spans="4:5">
      <c r="D1117" s="170">
        <v>44592</v>
      </c>
      <c r="E1117" s="171">
        <v>17339.85</v>
      </c>
    </row>
    <row r="1118" ht="17.25" customHeight="1" spans="4:5">
      <c r="D1118" s="170">
        <v>44589</v>
      </c>
      <c r="E1118" s="171">
        <v>17101.95</v>
      </c>
    </row>
    <row r="1119" ht="17.25" customHeight="1" spans="4:5">
      <c r="D1119" s="170">
        <v>44588</v>
      </c>
      <c r="E1119" s="171">
        <v>17110.15</v>
      </c>
    </row>
    <row r="1120" ht="17.25" customHeight="1" spans="4:5">
      <c r="D1120" s="170">
        <v>44586</v>
      </c>
      <c r="E1120" s="171">
        <v>17277.95</v>
      </c>
    </row>
    <row r="1121" ht="17.25" customHeight="1" spans="4:5">
      <c r="D1121" s="170">
        <v>44585</v>
      </c>
      <c r="E1121" s="171">
        <v>17149.1</v>
      </c>
    </row>
    <row r="1122" ht="17.25" customHeight="1" spans="4:5">
      <c r="D1122" s="170">
        <v>44582</v>
      </c>
      <c r="E1122" s="171">
        <v>17617.15</v>
      </c>
    </row>
    <row r="1123" ht="17.25" customHeight="1" spans="4:5">
      <c r="D1123" s="170">
        <v>44581</v>
      </c>
      <c r="E1123" s="171">
        <v>17757</v>
      </c>
    </row>
    <row r="1124" ht="17.25" customHeight="1" spans="4:5">
      <c r="D1124" s="170">
        <v>44580</v>
      </c>
      <c r="E1124" s="171">
        <v>17938.4</v>
      </c>
    </row>
    <row r="1125" ht="17.25" customHeight="1" spans="4:5">
      <c r="D1125" s="170">
        <v>44579</v>
      </c>
      <c r="E1125" s="171">
        <v>18113.05</v>
      </c>
    </row>
    <row r="1126" ht="17.25" customHeight="1" spans="4:5">
      <c r="D1126" s="170">
        <v>44578</v>
      </c>
      <c r="E1126" s="171">
        <v>18308.1</v>
      </c>
    </row>
    <row r="1127" ht="17.25" customHeight="1" spans="4:5">
      <c r="D1127" s="170">
        <v>44575</v>
      </c>
      <c r="E1127" s="171">
        <v>18255.75</v>
      </c>
    </row>
    <row r="1128" ht="17.25" customHeight="1" spans="4:5">
      <c r="D1128" s="170">
        <v>44574</v>
      </c>
      <c r="E1128" s="171">
        <v>18257.8</v>
      </c>
    </row>
    <row r="1129" ht="17.25" customHeight="1" spans="4:5">
      <c r="D1129" s="170">
        <v>44573</v>
      </c>
      <c r="E1129" s="171">
        <v>18212.35</v>
      </c>
    </row>
    <row r="1130" ht="17.25" customHeight="1" spans="4:5">
      <c r="D1130" s="170">
        <v>44572</v>
      </c>
      <c r="E1130" s="171">
        <v>18055.75</v>
      </c>
    </row>
    <row r="1131" ht="17.25" customHeight="1" spans="4:5">
      <c r="D1131" s="170">
        <v>44571</v>
      </c>
      <c r="E1131" s="171">
        <v>18003.3</v>
      </c>
    </row>
    <row r="1132" ht="17.25" customHeight="1" spans="4:5">
      <c r="D1132" s="170">
        <v>44568</v>
      </c>
      <c r="E1132" s="171">
        <v>17812.7</v>
      </c>
    </row>
    <row r="1133" ht="17.25" customHeight="1" spans="4:5">
      <c r="D1133" s="170">
        <v>44567</v>
      </c>
      <c r="E1133" s="171">
        <v>17745.9</v>
      </c>
    </row>
    <row r="1134" ht="17.25" customHeight="1" spans="4:5">
      <c r="D1134" s="170">
        <v>44566</v>
      </c>
      <c r="E1134" s="171">
        <v>17925.25</v>
      </c>
    </row>
    <row r="1135" ht="17.25" customHeight="1" spans="4:5">
      <c r="D1135" s="170">
        <v>44565</v>
      </c>
      <c r="E1135" s="171">
        <v>17805.25</v>
      </c>
    </row>
    <row r="1136" ht="17.25" customHeight="1" spans="4:5">
      <c r="D1136" s="170">
        <v>44564</v>
      </c>
      <c r="E1136" s="171">
        <v>17625.7</v>
      </c>
    </row>
    <row r="1137" ht="17.25" customHeight="1" spans="4:5">
      <c r="D1137" s="170">
        <v>44561</v>
      </c>
      <c r="E1137" s="171">
        <v>17354.05</v>
      </c>
    </row>
    <row r="1138" ht="17.25" customHeight="1" spans="4:5">
      <c r="D1138" s="170">
        <v>44560</v>
      </c>
      <c r="E1138" s="171">
        <v>17203.95</v>
      </c>
    </row>
    <row r="1139" ht="17.25" customHeight="1" spans="4:5">
      <c r="D1139" s="170">
        <v>44559</v>
      </c>
      <c r="E1139" s="171">
        <v>17213.6</v>
      </c>
    </row>
    <row r="1140" ht="17.25" customHeight="1" spans="4:5">
      <c r="D1140" s="170">
        <v>44558</v>
      </c>
      <c r="E1140" s="171">
        <v>17233.25</v>
      </c>
    </row>
    <row r="1141" ht="17.25" customHeight="1" spans="4:5">
      <c r="D1141" s="170">
        <v>44557</v>
      </c>
      <c r="E1141" s="171">
        <v>17086.25</v>
      </c>
    </row>
    <row r="1142" ht="17.25" customHeight="1" spans="4:5">
      <c r="D1142" s="170">
        <v>44554</v>
      </c>
      <c r="E1142" s="171">
        <v>17003.75</v>
      </c>
    </row>
    <row r="1143" ht="17.25" customHeight="1" spans="4:5">
      <c r="D1143" s="170">
        <v>44553</v>
      </c>
      <c r="E1143" s="171">
        <v>17072.6</v>
      </c>
    </row>
    <row r="1144" ht="17.25" customHeight="1" spans="4:5">
      <c r="D1144" s="170">
        <v>44552</v>
      </c>
      <c r="E1144" s="171">
        <v>16955.45</v>
      </c>
    </row>
    <row r="1145" ht="17.25" customHeight="1" spans="4:5">
      <c r="D1145" s="170">
        <v>44551</v>
      </c>
      <c r="E1145" s="171">
        <v>16770.85</v>
      </c>
    </row>
    <row r="1146" ht="17.25" customHeight="1" spans="4:5">
      <c r="D1146" s="170">
        <v>44550</v>
      </c>
      <c r="E1146" s="171">
        <v>16614.2</v>
      </c>
    </row>
    <row r="1147" ht="17.25" customHeight="1" spans="4:5">
      <c r="D1147" s="170">
        <v>44547</v>
      </c>
      <c r="E1147" s="171">
        <v>16985.2</v>
      </c>
    </row>
    <row r="1148" ht="17.25" customHeight="1" spans="4:5">
      <c r="D1148" s="170">
        <v>44546</v>
      </c>
      <c r="E1148" s="171">
        <v>17248.4</v>
      </c>
    </row>
    <row r="1149" ht="17.25" customHeight="1" spans="4:5">
      <c r="D1149" s="170">
        <v>44545</v>
      </c>
      <c r="E1149" s="171">
        <v>17221.4</v>
      </c>
    </row>
    <row r="1150" ht="17.25" customHeight="1" spans="4:5">
      <c r="D1150" s="170">
        <v>44544</v>
      </c>
      <c r="E1150" s="171">
        <v>17324.9</v>
      </c>
    </row>
    <row r="1151" ht="17.25" customHeight="1" spans="4:5">
      <c r="D1151" s="170">
        <v>44543</v>
      </c>
      <c r="E1151" s="171">
        <v>17368.25</v>
      </c>
    </row>
    <row r="1152" ht="17.25" customHeight="1" spans="4:5">
      <c r="D1152" s="170">
        <v>44540</v>
      </c>
      <c r="E1152" s="171">
        <v>17511.3</v>
      </c>
    </row>
    <row r="1153" ht="17.25" customHeight="1" spans="4:5">
      <c r="D1153" s="170">
        <v>44539</v>
      </c>
      <c r="E1153" s="171">
        <v>17516.85</v>
      </c>
    </row>
    <row r="1154" ht="17.25" customHeight="1" spans="4:5">
      <c r="D1154" s="170">
        <v>44538</v>
      </c>
      <c r="E1154" s="171">
        <v>17469.75</v>
      </c>
    </row>
    <row r="1155" ht="17.25" customHeight="1" spans="4:5">
      <c r="D1155" s="170">
        <v>44537</v>
      </c>
      <c r="E1155" s="171">
        <v>17176.7</v>
      </c>
    </row>
    <row r="1156" ht="17.25" customHeight="1" spans="4:5">
      <c r="D1156" s="170">
        <v>44536</v>
      </c>
      <c r="E1156" s="171">
        <v>16912.25</v>
      </c>
    </row>
    <row r="1157" ht="17.25" customHeight="1" spans="4:5">
      <c r="D1157" s="170">
        <v>44533</v>
      </c>
      <c r="E1157" s="171">
        <v>17196.7</v>
      </c>
    </row>
    <row r="1158" ht="17.25" customHeight="1" spans="4:5">
      <c r="D1158" s="170">
        <v>44532</v>
      </c>
      <c r="E1158" s="171">
        <v>17401.65</v>
      </c>
    </row>
    <row r="1159" ht="17.25" customHeight="1" spans="4:5">
      <c r="D1159" s="170">
        <v>44531</v>
      </c>
      <c r="E1159" s="171">
        <v>17166.9</v>
      </c>
    </row>
    <row r="1160" ht="17.25" customHeight="1" spans="4:5">
      <c r="D1160" s="170">
        <v>44530</v>
      </c>
      <c r="E1160" s="171">
        <v>16983.2</v>
      </c>
    </row>
    <row r="1161" ht="17.25" customHeight="1" spans="4:5">
      <c r="D1161" s="170">
        <v>44529</v>
      </c>
      <c r="E1161" s="171">
        <v>17053.95</v>
      </c>
    </row>
    <row r="1162" ht="17.25" customHeight="1" spans="4:5">
      <c r="D1162" s="170">
        <v>44526</v>
      </c>
      <c r="E1162" s="171">
        <v>17026.45</v>
      </c>
    </row>
    <row r="1163" ht="17.25" customHeight="1" spans="4:5">
      <c r="D1163" s="170">
        <v>44525</v>
      </c>
      <c r="E1163" s="171">
        <v>17536.25</v>
      </c>
    </row>
    <row r="1164" ht="17.25" customHeight="1" spans="4:5">
      <c r="D1164" s="170">
        <v>44524</v>
      </c>
      <c r="E1164" s="171">
        <v>17415.05</v>
      </c>
    </row>
    <row r="1165" ht="17.25" customHeight="1" spans="4:5">
      <c r="D1165" s="170">
        <v>44523</v>
      </c>
      <c r="E1165" s="171">
        <v>17503.35</v>
      </c>
    </row>
    <row r="1166" ht="17.25" customHeight="1" spans="4:5">
      <c r="D1166" s="170">
        <v>44522</v>
      </c>
      <c r="E1166" s="171">
        <v>17416.55</v>
      </c>
    </row>
    <row r="1167" ht="17.25" customHeight="1" spans="4:5">
      <c r="D1167" s="170">
        <v>44518</v>
      </c>
      <c r="E1167" s="171">
        <v>17764.8</v>
      </c>
    </row>
    <row r="1168" ht="17.25" customHeight="1" spans="4:5">
      <c r="D1168" s="170">
        <v>44517</v>
      </c>
      <c r="E1168" s="171">
        <v>17898.65</v>
      </c>
    </row>
    <row r="1169" ht="17.25" customHeight="1" spans="4:5">
      <c r="D1169" s="170">
        <v>44516</v>
      </c>
      <c r="E1169" s="171">
        <v>17999.2</v>
      </c>
    </row>
    <row r="1170" ht="17.25" customHeight="1" spans="4:5">
      <c r="D1170" s="170">
        <v>44515</v>
      </c>
      <c r="E1170" s="171">
        <v>18109.45</v>
      </c>
    </row>
    <row r="1171" ht="17.25" customHeight="1" spans="4:5">
      <c r="D1171" s="170">
        <v>44512</v>
      </c>
      <c r="E1171" s="171">
        <v>18102.75</v>
      </c>
    </row>
    <row r="1172" ht="17.25" customHeight="1" spans="4:5">
      <c r="D1172" s="170">
        <v>44511</v>
      </c>
      <c r="E1172" s="171">
        <v>17873.6</v>
      </c>
    </row>
    <row r="1173" ht="17.25" customHeight="1" spans="4:5">
      <c r="D1173" s="170">
        <v>44510</v>
      </c>
      <c r="E1173" s="171">
        <v>18017.2</v>
      </c>
    </row>
    <row r="1174" ht="17.25" customHeight="1" spans="4:5">
      <c r="D1174" s="170">
        <v>44509</v>
      </c>
      <c r="E1174" s="171">
        <v>18044.25</v>
      </c>
    </row>
    <row r="1175" ht="17.25" customHeight="1" spans="4:5">
      <c r="D1175" s="170">
        <v>44508</v>
      </c>
      <c r="E1175" s="171">
        <v>18068.55</v>
      </c>
    </row>
    <row r="1176" ht="17.25" customHeight="1" spans="4:5">
      <c r="D1176" s="170">
        <v>44504</v>
      </c>
      <c r="E1176" s="171">
        <v>17916.8</v>
      </c>
    </row>
    <row r="1177" ht="17.25" customHeight="1" spans="4:5">
      <c r="D1177" s="170">
        <v>44503</v>
      </c>
      <c r="E1177" s="171">
        <v>17829.2</v>
      </c>
    </row>
    <row r="1178" ht="17.25" customHeight="1" spans="4:5">
      <c r="D1178" s="170">
        <v>44502</v>
      </c>
      <c r="E1178" s="171">
        <v>17888.95</v>
      </c>
    </row>
    <row r="1179" ht="17.25" customHeight="1" spans="4:5">
      <c r="D1179" s="170">
        <v>44501</v>
      </c>
      <c r="E1179" s="171">
        <v>17929.65</v>
      </c>
    </row>
    <row r="1180" ht="17.25" customHeight="1" spans="4:5">
      <c r="D1180" s="170">
        <v>44498</v>
      </c>
      <c r="E1180" s="171">
        <v>17671.65</v>
      </c>
    </row>
    <row r="1181" ht="17.25" customHeight="1" spans="4:5">
      <c r="D1181" s="170">
        <v>44497</v>
      </c>
      <c r="E1181" s="171">
        <v>17857.25</v>
      </c>
    </row>
    <row r="1182" ht="17.25" customHeight="1" spans="4:5">
      <c r="D1182" s="170">
        <v>44496</v>
      </c>
      <c r="E1182" s="171">
        <v>18210.95</v>
      </c>
    </row>
    <row r="1183" ht="17.25" customHeight="1" spans="4:5">
      <c r="D1183" s="170">
        <v>44495</v>
      </c>
      <c r="E1183" s="171">
        <v>18268.4</v>
      </c>
    </row>
    <row r="1184" ht="17.25" customHeight="1" spans="4:5">
      <c r="D1184" s="170">
        <v>44494</v>
      </c>
      <c r="E1184" s="171">
        <v>18125.4</v>
      </c>
    </row>
    <row r="1185" ht="17.25" customHeight="1" spans="4:5">
      <c r="D1185" s="170">
        <v>44491</v>
      </c>
      <c r="E1185" s="171">
        <v>18114.9</v>
      </c>
    </row>
    <row r="1186" ht="17.25" customHeight="1" spans="4:5">
      <c r="D1186" s="170">
        <v>44490</v>
      </c>
      <c r="E1186" s="171">
        <v>18178.1</v>
      </c>
    </row>
    <row r="1187" ht="17.25" customHeight="1" spans="4:5">
      <c r="D1187" s="170">
        <v>44489</v>
      </c>
      <c r="E1187" s="171">
        <v>18266.6</v>
      </c>
    </row>
    <row r="1188" ht="17.25" customHeight="1" spans="4:5">
      <c r="D1188" s="170">
        <v>44488</v>
      </c>
      <c r="E1188" s="171">
        <v>18418.75</v>
      </c>
    </row>
    <row r="1189" ht="17.25" customHeight="1" spans="4:5">
      <c r="D1189" s="170">
        <v>44487</v>
      </c>
      <c r="E1189" s="171">
        <v>18477.05</v>
      </c>
    </row>
    <row r="1190" ht="17.25" customHeight="1" spans="4:5">
      <c r="D1190" s="170">
        <v>44483</v>
      </c>
      <c r="E1190" s="171">
        <v>18338.55</v>
      </c>
    </row>
    <row r="1191" ht="17.25" customHeight="1" spans="4:5">
      <c r="D1191" s="170">
        <v>44482</v>
      </c>
      <c r="E1191" s="171">
        <v>18161.75</v>
      </c>
    </row>
    <row r="1192" ht="17.25" customHeight="1" spans="4:5">
      <c r="D1192" s="170">
        <v>44481</v>
      </c>
      <c r="E1192" s="171">
        <v>17991.95</v>
      </c>
    </row>
    <row r="1193" ht="17.25" customHeight="1" spans="4:5">
      <c r="D1193" s="170">
        <v>44480</v>
      </c>
      <c r="E1193" s="171">
        <v>17945.95</v>
      </c>
    </row>
    <row r="1194" ht="17.25" customHeight="1" spans="4:5">
      <c r="D1194" s="170">
        <v>44477</v>
      </c>
      <c r="E1194" s="171">
        <v>17895.2</v>
      </c>
    </row>
    <row r="1195" ht="17.25" customHeight="1" spans="4:5">
      <c r="D1195" s="170">
        <v>44476</v>
      </c>
      <c r="E1195" s="171">
        <v>17790.35</v>
      </c>
    </row>
    <row r="1196" ht="17.25" customHeight="1" spans="4:5">
      <c r="D1196" s="170">
        <v>44475</v>
      </c>
      <c r="E1196" s="171">
        <v>17646</v>
      </c>
    </row>
    <row r="1197" ht="17.25" customHeight="1" spans="4:5">
      <c r="D1197" s="170">
        <v>44474</v>
      </c>
      <c r="E1197" s="171">
        <v>17822.3</v>
      </c>
    </row>
    <row r="1198" ht="17.25" customHeight="1" spans="4:5">
      <c r="D1198" s="170">
        <v>44473</v>
      </c>
      <c r="E1198" s="171">
        <v>17691.25</v>
      </c>
    </row>
    <row r="1199" ht="17.25" customHeight="1" spans="4:5">
      <c r="D1199" s="170">
        <v>44470</v>
      </c>
      <c r="E1199" s="171">
        <v>17532.05</v>
      </c>
    </row>
    <row r="1200" ht="17.25" customHeight="1" spans="4:5">
      <c r="D1200" s="170">
        <v>44469</v>
      </c>
      <c r="E1200" s="171">
        <v>17618.15</v>
      </c>
    </row>
    <row r="1201" ht="17.25" customHeight="1" spans="4:5">
      <c r="D1201" s="170">
        <v>44468</v>
      </c>
      <c r="E1201" s="171">
        <v>17711.3</v>
      </c>
    </row>
    <row r="1202" ht="17.25" customHeight="1" spans="4:5">
      <c r="D1202" s="170">
        <v>44467</v>
      </c>
      <c r="E1202" s="171">
        <v>17748.6</v>
      </c>
    </row>
    <row r="1203" ht="17.25" customHeight="1" spans="4:5">
      <c r="D1203" s="170">
        <v>44466</v>
      </c>
      <c r="E1203" s="171">
        <v>17855.1</v>
      </c>
    </row>
    <row r="1204" ht="17.25" customHeight="1" spans="4:5">
      <c r="D1204" s="170">
        <v>44463</v>
      </c>
      <c r="E1204" s="171">
        <v>17853.2</v>
      </c>
    </row>
    <row r="1205" ht="17.25" customHeight="1" spans="4:5">
      <c r="D1205" s="170">
        <v>44462</v>
      </c>
      <c r="E1205" s="171">
        <v>17822.95</v>
      </c>
    </row>
    <row r="1206" ht="17.25" customHeight="1" spans="4:5">
      <c r="D1206" s="170">
        <v>44461</v>
      </c>
      <c r="E1206" s="171">
        <v>17546.65</v>
      </c>
    </row>
    <row r="1207" ht="17.25" customHeight="1" spans="4:5">
      <c r="D1207" s="170">
        <v>44460</v>
      </c>
      <c r="E1207" s="171">
        <v>17562</v>
      </c>
    </row>
    <row r="1208" ht="17.25" customHeight="1" spans="4:5">
      <c r="D1208" s="170">
        <v>44459</v>
      </c>
      <c r="E1208" s="171">
        <v>17396.9</v>
      </c>
    </row>
    <row r="1209" ht="17.25" customHeight="1" spans="4:5">
      <c r="D1209" s="170">
        <v>44456</v>
      </c>
      <c r="E1209" s="171">
        <v>17585.15</v>
      </c>
    </row>
    <row r="1210" ht="17.25" customHeight="1" spans="4:5">
      <c r="D1210" s="170">
        <v>44455</v>
      </c>
      <c r="E1210" s="171">
        <v>17629.5</v>
      </c>
    </row>
    <row r="1211" ht="17.25" customHeight="1" spans="4:5">
      <c r="D1211" s="170">
        <v>44454</v>
      </c>
      <c r="E1211" s="171">
        <v>17519.45</v>
      </c>
    </row>
    <row r="1212" ht="17.25" customHeight="1" spans="4:5">
      <c r="D1212" s="170">
        <v>44453</v>
      </c>
      <c r="E1212" s="171">
        <v>17380</v>
      </c>
    </row>
    <row r="1213" ht="17.25" customHeight="1" spans="4:5">
      <c r="D1213" s="170">
        <v>44452</v>
      </c>
      <c r="E1213" s="171">
        <v>17355.3</v>
      </c>
    </row>
    <row r="1214" ht="17.25" customHeight="1" spans="4:5">
      <c r="D1214" s="170">
        <v>44448</v>
      </c>
      <c r="E1214" s="171">
        <v>17369.25</v>
      </c>
    </row>
    <row r="1215" ht="17.25" customHeight="1" spans="4:5">
      <c r="D1215" s="170">
        <v>44447</v>
      </c>
      <c r="E1215" s="171">
        <v>17353.5</v>
      </c>
    </row>
    <row r="1216" ht="17.25" customHeight="1" spans="4:5">
      <c r="D1216" s="170">
        <v>44446</v>
      </c>
      <c r="E1216" s="171">
        <v>17362.1</v>
      </c>
    </row>
    <row r="1217" ht="17.25" customHeight="1" spans="4:5">
      <c r="D1217" s="170">
        <v>44445</v>
      </c>
      <c r="E1217" s="171">
        <v>17377.8</v>
      </c>
    </row>
    <row r="1218" ht="17.25" customHeight="1" spans="4:5">
      <c r="D1218" s="170">
        <v>44442</v>
      </c>
      <c r="E1218" s="171">
        <v>17323.6</v>
      </c>
    </row>
    <row r="1219" ht="17.25" customHeight="1" spans="4:5">
      <c r="D1219" s="170">
        <v>44441</v>
      </c>
      <c r="E1219" s="171">
        <v>17234.15</v>
      </c>
    </row>
    <row r="1220" ht="17.25" customHeight="1" spans="4:5">
      <c r="D1220" s="170">
        <v>44440</v>
      </c>
      <c r="E1220" s="171">
        <v>17076.25</v>
      </c>
    </row>
    <row r="1221" ht="17.25" customHeight="1" spans="4:5">
      <c r="D1221" s="170">
        <v>44439</v>
      </c>
      <c r="E1221" s="171">
        <v>17132.2</v>
      </c>
    </row>
    <row r="1222" ht="17.25" customHeight="1" spans="4:5">
      <c r="D1222" s="170">
        <v>44438</v>
      </c>
      <c r="E1222" s="171">
        <v>16931.05</v>
      </c>
    </row>
    <row r="1223" ht="17.25" customHeight="1" spans="4:5">
      <c r="D1223" s="170">
        <v>44435</v>
      </c>
      <c r="E1223" s="171">
        <v>16705.2</v>
      </c>
    </row>
    <row r="1224" ht="17.25" customHeight="1" spans="4:5">
      <c r="D1224" s="170">
        <v>44434</v>
      </c>
      <c r="E1224" s="171">
        <v>16636.9</v>
      </c>
    </row>
    <row r="1225" ht="17.25" customHeight="1" spans="4:5">
      <c r="D1225" s="170">
        <v>44433</v>
      </c>
      <c r="E1225" s="171">
        <v>16634.65</v>
      </c>
    </row>
    <row r="1226" ht="17.25" customHeight="1" spans="4:5">
      <c r="D1226" s="170">
        <v>44432</v>
      </c>
      <c r="E1226" s="171">
        <v>16624.6</v>
      </c>
    </row>
    <row r="1227" ht="17.25" customHeight="1" spans="4:5">
      <c r="D1227" s="170">
        <v>44431</v>
      </c>
      <c r="E1227" s="171">
        <v>16496.45</v>
      </c>
    </row>
    <row r="1228" ht="17.25" customHeight="1" spans="4:5">
      <c r="D1228" s="170">
        <v>44428</v>
      </c>
      <c r="E1228" s="171">
        <v>16450.5</v>
      </c>
    </row>
    <row r="1229" ht="17.25" customHeight="1" spans="4:5">
      <c r="D1229" s="170">
        <v>44426</v>
      </c>
      <c r="E1229" s="171">
        <v>16568.85</v>
      </c>
    </row>
    <row r="1230" ht="17.25" customHeight="1" spans="4:5">
      <c r="D1230" s="170">
        <v>44425</v>
      </c>
      <c r="E1230" s="171">
        <v>16614.6</v>
      </c>
    </row>
    <row r="1231" ht="17.25" customHeight="1" spans="4:5">
      <c r="D1231" s="170">
        <v>44424</v>
      </c>
      <c r="E1231" s="171">
        <v>16563.05</v>
      </c>
    </row>
    <row r="1232" ht="17.25" customHeight="1" spans="4:5">
      <c r="D1232" s="170">
        <v>44421</v>
      </c>
      <c r="E1232" s="171">
        <v>16529.1</v>
      </c>
    </row>
    <row r="1233" ht="17.25" customHeight="1" spans="4:5">
      <c r="D1233" s="170">
        <v>44420</v>
      </c>
      <c r="E1233" s="171">
        <v>16364.4</v>
      </c>
    </row>
    <row r="1234" ht="17.25" customHeight="1" spans="4:5">
      <c r="D1234" s="170">
        <v>44419</v>
      </c>
      <c r="E1234" s="171">
        <v>16282.25</v>
      </c>
    </row>
    <row r="1235" ht="17.25" customHeight="1" spans="4:5">
      <c r="D1235" s="170">
        <v>44418</v>
      </c>
      <c r="E1235" s="171">
        <v>16280.1</v>
      </c>
    </row>
    <row r="1236" ht="17.25" customHeight="1" spans="4:5">
      <c r="D1236" s="170">
        <v>44417</v>
      </c>
      <c r="E1236" s="171">
        <v>16258.25</v>
      </c>
    </row>
    <row r="1237" ht="17.25" customHeight="1" spans="4:5">
      <c r="D1237" s="170">
        <v>44414</v>
      </c>
      <c r="E1237" s="171">
        <v>16238.2</v>
      </c>
    </row>
    <row r="1238" ht="17.25" customHeight="1" spans="4:5">
      <c r="D1238" s="170">
        <v>44413</v>
      </c>
      <c r="E1238" s="171">
        <v>16294.6</v>
      </c>
    </row>
    <row r="1239" ht="17.25" customHeight="1" spans="4:5">
      <c r="D1239" s="170">
        <v>44412</v>
      </c>
      <c r="E1239" s="171">
        <v>16258.8</v>
      </c>
    </row>
    <row r="1240" ht="17.25" customHeight="1" spans="4:5">
      <c r="D1240" s="170">
        <v>44411</v>
      </c>
      <c r="E1240" s="171">
        <v>16130.75</v>
      </c>
    </row>
    <row r="1241" ht="17.25" customHeight="1" spans="4:5">
      <c r="D1241" s="170">
        <v>44410</v>
      </c>
      <c r="E1241" s="171">
        <v>15885.15</v>
      </c>
    </row>
    <row r="1242" ht="17.25" customHeight="1" spans="4:5">
      <c r="D1242" s="170">
        <v>44407</v>
      </c>
      <c r="E1242" s="171">
        <v>15763.05</v>
      </c>
    </row>
    <row r="1243" ht="17.25" customHeight="1" spans="4:5">
      <c r="D1243" s="170">
        <v>44406</v>
      </c>
      <c r="E1243" s="171">
        <v>15778.45</v>
      </c>
    </row>
    <row r="1244" ht="17.25" customHeight="1" spans="4:5">
      <c r="D1244" s="170">
        <v>44405</v>
      </c>
      <c r="E1244" s="171">
        <v>15709.4</v>
      </c>
    </row>
    <row r="1245" ht="17.25" customHeight="1" spans="4:5">
      <c r="D1245" s="170">
        <v>44404</v>
      </c>
      <c r="E1245" s="171">
        <v>15746.45</v>
      </c>
    </row>
    <row r="1246" ht="17.25" customHeight="1" spans="4:5">
      <c r="D1246" s="170">
        <v>44403</v>
      </c>
      <c r="E1246" s="171">
        <v>15824.45</v>
      </c>
    </row>
    <row r="1247" ht="17.25" customHeight="1" spans="4:5">
      <c r="D1247" s="170">
        <v>44400</v>
      </c>
      <c r="E1247" s="171">
        <v>15856.05</v>
      </c>
    </row>
    <row r="1248" ht="17.25" customHeight="1" spans="4:5">
      <c r="D1248" s="170">
        <v>44399</v>
      </c>
      <c r="E1248" s="171">
        <v>15824.05</v>
      </c>
    </row>
    <row r="1249" ht="17.25" customHeight="1" spans="4:5">
      <c r="D1249" s="170">
        <v>44397</v>
      </c>
      <c r="E1249" s="171">
        <v>15632.1</v>
      </c>
    </row>
    <row r="1250" ht="17.25" customHeight="1" spans="4:5">
      <c r="D1250" s="170">
        <v>44396</v>
      </c>
      <c r="E1250" s="171">
        <v>15752.4</v>
      </c>
    </row>
    <row r="1251" ht="17.25" customHeight="1" spans="4:5">
      <c r="D1251" s="170">
        <v>44393</v>
      </c>
      <c r="E1251" s="171">
        <v>15923.4</v>
      </c>
    </row>
    <row r="1252" ht="17.25" customHeight="1" spans="4:5">
      <c r="D1252" s="170">
        <v>44392</v>
      </c>
      <c r="E1252" s="171">
        <v>15924.2</v>
      </c>
    </row>
    <row r="1253" ht="17.25" customHeight="1" spans="4:5">
      <c r="D1253" s="170">
        <v>44391</v>
      </c>
      <c r="E1253" s="171">
        <v>15853.95</v>
      </c>
    </row>
    <row r="1254" ht="17.25" customHeight="1" spans="4:5">
      <c r="D1254" s="170">
        <v>44390</v>
      </c>
      <c r="E1254" s="171">
        <v>15812.35</v>
      </c>
    </row>
    <row r="1255" ht="17.25" customHeight="1" spans="4:5">
      <c r="D1255" s="170">
        <v>44389</v>
      </c>
      <c r="E1255" s="171">
        <v>15692.6</v>
      </c>
    </row>
    <row r="1256" ht="17.25" customHeight="1" spans="4:5">
      <c r="D1256" s="170">
        <v>44386</v>
      </c>
      <c r="E1256" s="171">
        <v>15689.8</v>
      </c>
    </row>
    <row r="1257" ht="17.25" customHeight="1" spans="4:5">
      <c r="D1257" s="170">
        <v>44385</v>
      </c>
      <c r="E1257" s="171">
        <v>15727.9</v>
      </c>
    </row>
    <row r="1258" ht="17.25" customHeight="1" spans="4:5">
      <c r="D1258" s="170">
        <v>44384</v>
      </c>
      <c r="E1258" s="171">
        <v>15879.65</v>
      </c>
    </row>
    <row r="1259" ht="17.25" customHeight="1" spans="4:5">
      <c r="D1259" s="170">
        <v>44383</v>
      </c>
      <c r="E1259" s="171">
        <v>15818.25</v>
      </c>
    </row>
    <row r="1260" ht="17.25" customHeight="1" spans="4:5">
      <c r="D1260" s="170">
        <v>44382</v>
      </c>
      <c r="E1260" s="171">
        <v>15834.35</v>
      </c>
    </row>
    <row r="1261" ht="17.25" customHeight="1" spans="4:5">
      <c r="D1261" s="170">
        <v>44379</v>
      </c>
      <c r="E1261" s="171">
        <v>15722.2</v>
      </c>
    </row>
    <row r="1262" ht="17.25" customHeight="1" spans="4:5">
      <c r="D1262" s="170">
        <v>44378</v>
      </c>
      <c r="E1262" s="171">
        <v>15680</v>
      </c>
    </row>
    <row r="1263" ht="17.25" customHeight="1" spans="4:5">
      <c r="D1263" s="170">
        <v>44377</v>
      </c>
      <c r="E1263" s="171">
        <v>15721.5</v>
      </c>
    </row>
    <row r="1264" ht="17.25" customHeight="1" spans="4:5">
      <c r="D1264" s="170">
        <v>44376</v>
      </c>
      <c r="E1264" s="171">
        <v>15748.45</v>
      </c>
    </row>
    <row r="1265" ht="17.25" customHeight="1" spans="4:5">
      <c r="D1265" s="170">
        <v>44375</v>
      </c>
      <c r="E1265" s="171">
        <v>15814.7</v>
      </c>
    </row>
    <row r="1266" ht="17.25" customHeight="1" spans="4:5">
      <c r="D1266" s="170">
        <v>44372</v>
      </c>
      <c r="E1266" s="171">
        <v>15860.35</v>
      </c>
    </row>
    <row r="1267" ht="17.25" customHeight="1" spans="4:5">
      <c r="D1267" s="170">
        <v>44371</v>
      </c>
      <c r="E1267" s="171">
        <v>15790.45</v>
      </c>
    </row>
    <row r="1268" ht="17.25" customHeight="1" spans="4:5">
      <c r="D1268" s="170">
        <v>44370</v>
      </c>
      <c r="E1268" s="171">
        <v>15686.95</v>
      </c>
    </row>
    <row r="1269" ht="17.25" customHeight="1" spans="4:5">
      <c r="D1269" s="170">
        <v>44369</v>
      </c>
      <c r="E1269" s="171">
        <v>15772.75</v>
      </c>
    </row>
    <row r="1270" ht="17.25" customHeight="1" spans="4:5">
      <c r="D1270" s="170">
        <v>44368</v>
      </c>
      <c r="E1270" s="171">
        <v>15746.5</v>
      </c>
    </row>
    <row r="1271" ht="17.25" customHeight="1" spans="4:5">
      <c r="D1271" s="170">
        <v>44365</v>
      </c>
      <c r="E1271" s="171">
        <v>15683.35</v>
      </c>
    </row>
    <row r="1272" ht="17.25" customHeight="1" spans="4:5">
      <c r="D1272" s="170">
        <v>44364</v>
      </c>
      <c r="E1272" s="171">
        <v>15691.4</v>
      </c>
    </row>
    <row r="1273" ht="17.25" customHeight="1" spans="4:5">
      <c r="D1273" s="170">
        <v>44363</v>
      </c>
      <c r="E1273" s="171">
        <v>15767.55</v>
      </c>
    </row>
    <row r="1274" ht="17.25" customHeight="1" spans="4:5">
      <c r="D1274" s="170">
        <v>44362</v>
      </c>
      <c r="E1274" s="171">
        <v>15869.25</v>
      </c>
    </row>
    <row r="1275" ht="17.25" customHeight="1" spans="4:5">
      <c r="D1275" s="170">
        <v>44361</v>
      </c>
      <c r="E1275" s="171">
        <v>15811.85</v>
      </c>
    </row>
    <row r="1276" ht="17.25" customHeight="1" spans="4:5">
      <c r="D1276" s="170">
        <v>44358</v>
      </c>
      <c r="E1276" s="171">
        <v>15799.35</v>
      </c>
    </row>
    <row r="1277" ht="17.25" customHeight="1" spans="4:5">
      <c r="D1277" s="170">
        <v>44357</v>
      </c>
      <c r="E1277" s="171">
        <v>15737.75</v>
      </c>
    </row>
    <row r="1278" ht="17.25" customHeight="1" spans="4:5">
      <c r="D1278" s="170">
        <v>44356</v>
      </c>
      <c r="E1278" s="171">
        <v>15635.35</v>
      </c>
    </row>
    <row r="1279" ht="17.25" customHeight="1" spans="4:5">
      <c r="D1279" s="170">
        <v>44355</v>
      </c>
      <c r="E1279" s="171">
        <v>15740.1</v>
      </c>
    </row>
    <row r="1280" ht="17.25" customHeight="1" spans="4:5">
      <c r="D1280" s="170">
        <v>44354</v>
      </c>
      <c r="E1280" s="171">
        <v>15751.65</v>
      </c>
    </row>
    <row r="1281" ht="17.25" customHeight="1" spans="4:5">
      <c r="D1281" s="170">
        <v>44351</v>
      </c>
      <c r="E1281" s="171">
        <v>15670.25</v>
      </c>
    </row>
    <row r="1282" ht="17.25" customHeight="1" spans="4:5">
      <c r="D1282" s="170">
        <v>44350</v>
      </c>
      <c r="E1282" s="171">
        <v>15690.35</v>
      </c>
    </row>
    <row r="1283" ht="17.25" customHeight="1" spans="4:5">
      <c r="D1283" s="170">
        <v>44349</v>
      </c>
      <c r="E1283" s="171">
        <v>15576.2</v>
      </c>
    </row>
    <row r="1284" ht="17.25" customHeight="1" spans="4:5">
      <c r="D1284" s="170">
        <v>44348</v>
      </c>
      <c r="E1284" s="171">
        <v>15574.85</v>
      </c>
    </row>
    <row r="1285" ht="17.25" customHeight="1" spans="4:5">
      <c r="D1285" s="170">
        <v>44347</v>
      </c>
      <c r="E1285" s="171">
        <v>15582.8</v>
      </c>
    </row>
    <row r="1286" ht="17.25" customHeight="1" spans="4:5">
      <c r="D1286" s="170">
        <v>44344</v>
      </c>
      <c r="E1286" s="171">
        <v>15435.65</v>
      </c>
    </row>
    <row r="1287" ht="17.25" customHeight="1" spans="4:5">
      <c r="D1287" s="170">
        <v>44343</v>
      </c>
      <c r="E1287" s="171">
        <v>15337.85</v>
      </c>
    </row>
    <row r="1288" ht="17.25" customHeight="1" spans="4:5">
      <c r="D1288" s="170">
        <v>44342</v>
      </c>
      <c r="E1288" s="171">
        <v>15301.45</v>
      </c>
    </row>
    <row r="1289" ht="17.25" customHeight="1" spans="4:5">
      <c r="D1289" s="170">
        <v>44341</v>
      </c>
      <c r="E1289" s="171">
        <v>15208.45</v>
      </c>
    </row>
    <row r="1290" ht="17.25" customHeight="1" spans="4:5">
      <c r="D1290" s="170">
        <v>44340</v>
      </c>
      <c r="E1290" s="171">
        <v>15197.7</v>
      </c>
    </row>
    <row r="1291" ht="17.25" customHeight="1" spans="4:5">
      <c r="D1291" s="170">
        <v>44337</v>
      </c>
      <c r="E1291" s="171">
        <v>15175.3</v>
      </c>
    </row>
    <row r="1292" ht="17.25" customHeight="1" spans="4:5">
      <c r="D1292" s="170">
        <v>44336</v>
      </c>
      <c r="E1292" s="171">
        <v>14906.05</v>
      </c>
    </row>
    <row r="1293" ht="17.25" customHeight="1" spans="4:5">
      <c r="D1293" s="170">
        <v>44335</v>
      </c>
      <c r="E1293" s="171">
        <v>15030.15</v>
      </c>
    </row>
    <row r="1294" ht="17.25" customHeight="1" spans="4:5">
      <c r="D1294" s="170">
        <v>44334</v>
      </c>
      <c r="E1294" s="171">
        <v>15108.1</v>
      </c>
    </row>
    <row r="1295" ht="17.25" customHeight="1" spans="4:5">
      <c r="D1295" s="170">
        <v>44333</v>
      </c>
      <c r="E1295" s="171">
        <v>14923.15</v>
      </c>
    </row>
    <row r="1296" ht="17.25" customHeight="1" spans="4:5">
      <c r="D1296" s="170">
        <v>44330</v>
      </c>
      <c r="E1296" s="171">
        <v>14677.8</v>
      </c>
    </row>
    <row r="1297" ht="17.25" customHeight="1" spans="4:5">
      <c r="D1297" s="170">
        <v>44328</v>
      </c>
      <c r="E1297" s="171">
        <v>14696.5</v>
      </c>
    </row>
    <row r="1298" ht="17.25" customHeight="1" spans="4:5">
      <c r="D1298" s="170">
        <v>44327</v>
      </c>
      <c r="E1298" s="171">
        <v>14850.75</v>
      </c>
    </row>
    <row r="1299" ht="17.25" customHeight="1" spans="4:5">
      <c r="D1299" s="170">
        <v>44326</v>
      </c>
      <c r="E1299" s="171">
        <v>14942.35</v>
      </c>
    </row>
    <row r="1300" ht="17.25" customHeight="1" spans="4:5">
      <c r="D1300" s="170">
        <v>44323</v>
      </c>
      <c r="E1300" s="171">
        <v>14823.15</v>
      </c>
    </row>
    <row r="1301" ht="17.25" customHeight="1" spans="4:5">
      <c r="D1301" s="170">
        <v>44322</v>
      </c>
      <c r="E1301" s="171">
        <v>14724.8</v>
      </c>
    </row>
    <row r="1302" ht="17.25" customHeight="1" spans="4:5">
      <c r="D1302" s="170">
        <v>44321</v>
      </c>
      <c r="E1302" s="171">
        <v>14617.85</v>
      </c>
    </row>
    <row r="1303" ht="17.25" customHeight="1" spans="4:5">
      <c r="D1303" s="170">
        <v>44320</v>
      </c>
      <c r="E1303" s="171">
        <v>14496.5</v>
      </c>
    </row>
    <row r="1304" ht="17.25" customHeight="1" spans="4:5">
      <c r="D1304" s="170">
        <v>44319</v>
      </c>
      <c r="E1304" s="171">
        <v>14634.15</v>
      </c>
    </row>
    <row r="1305" ht="17.25" customHeight="1" spans="4:5">
      <c r="D1305" s="170">
        <v>44316</v>
      </c>
      <c r="E1305" s="171">
        <v>14631.1</v>
      </c>
    </row>
    <row r="1306" ht="17.25" customHeight="1" spans="4:5">
      <c r="D1306" s="170">
        <v>44315</v>
      </c>
      <c r="E1306" s="171">
        <v>14894.9</v>
      </c>
    </row>
    <row r="1307" ht="17.25" customHeight="1" spans="4:5">
      <c r="D1307" s="170">
        <v>44314</v>
      </c>
      <c r="E1307" s="171">
        <v>14864.55</v>
      </c>
    </row>
    <row r="1308" ht="17.25" customHeight="1" spans="4:5">
      <c r="D1308" s="170">
        <v>44313</v>
      </c>
      <c r="E1308" s="171">
        <v>14653.05</v>
      </c>
    </row>
    <row r="1309" ht="17.25" customHeight="1" spans="4:5">
      <c r="D1309" s="170">
        <v>44312</v>
      </c>
      <c r="E1309" s="171">
        <v>14485</v>
      </c>
    </row>
    <row r="1310" ht="17.25" customHeight="1" spans="4:5">
      <c r="D1310" s="170">
        <v>44309</v>
      </c>
      <c r="E1310" s="171">
        <v>14341.35</v>
      </c>
    </row>
    <row r="1311" ht="17.25" customHeight="1" spans="4:5">
      <c r="D1311" s="170">
        <v>44308</v>
      </c>
      <c r="E1311" s="171">
        <v>14406.15</v>
      </c>
    </row>
    <row r="1312" ht="17.25" customHeight="1" spans="4:5">
      <c r="D1312" s="170">
        <v>44306</v>
      </c>
      <c r="E1312" s="171">
        <v>14296.4</v>
      </c>
    </row>
    <row r="1313" ht="17.25" customHeight="1" spans="4:5">
      <c r="D1313" s="170">
        <v>44305</v>
      </c>
      <c r="E1313" s="171">
        <v>14359.45</v>
      </c>
    </row>
    <row r="1314" ht="17.25" customHeight="1" spans="4:5">
      <c r="D1314" s="170">
        <v>44302</v>
      </c>
      <c r="E1314" s="171">
        <v>14617.85</v>
      </c>
    </row>
    <row r="1315" ht="17.25" customHeight="1" spans="4:5">
      <c r="D1315" s="170">
        <v>44301</v>
      </c>
      <c r="E1315" s="171">
        <v>14581.45</v>
      </c>
    </row>
    <row r="1316" ht="17.25" customHeight="1" spans="4:5">
      <c r="D1316" s="170">
        <v>44299</v>
      </c>
      <c r="E1316" s="171">
        <v>14504.8</v>
      </c>
    </row>
    <row r="1317" ht="17.25" customHeight="1" spans="4:5">
      <c r="D1317" s="170">
        <v>44298</v>
      </c>
      <c r="E1317" s="171">
        <v>14310.8</v>
      </c>
    </row>
    <row r="1318" ht="17.25" customHeight="1" spans="4:5">
      <c r="D1318" s="170">
        <v>44295</v>
      </c>
      <c r="E1318" s="171">
        <v>14834.85</v>
      </c>
    </row>
    <row r="1319" ht="17.25" customHeight="1" spans="4:5">
      <c r="D1319" s="170">
        <v>44294</v>
      </c>
      <c r="E1319" s="171">
        <v>14873.8</v>
      </c>
    </row>
    <row r="1320" ht="17.25" customHeight="1" spans="4:5">
      <c r="D1320" s="170">
        <v>44293</v>
      </c>
      <c r="E1320" s="171">
        <v>14819.05</v>
      </c>
    </row>
    <row r="1321" ht="17.25" customHeight="1" spans="4:5">
      <c r="D1321" s="170">
        <v>44292</v>
      </c>
      <c r="E1321" s="171">
        <v>14683.5</v>
      </c>
    </row>
    <row r="1322" ht="17.25" customHeight="1" spans="4:5">
      <c r="D1322" s="170">
        <v>44291</v>
      </c>
      <c r="E1322" s="171">
        <v>14637.8</v>
      </c>
    </row>
    <row r="1323" ht="17.25" customHeight="1" spans="4:5">
      <c r="D1323" s="170">
        <v>44287</v>
      </c>
      <c r="E1323" s="171">
        <v>14867.35</v>
      </c>
    </row>
    <row r="1324" ht="17.25" customHeight="1" spans="4:5">
      <c r="D1324" s="170">
        <v>44286</v>
      </c>
      <c r="E1324" s="171">
        <v>14690.7</v>
      </c>
    </row>
    <row r="1325" ht="17.25" customHeight="1" spans="4:5">
      <c r="D1325" s="170">
        <v>44285</v>
      </c>
      <c r="E1325" s="171">
        <v>14845.1</v>
      </c>
    </row>
    <row r="1326" ht="17.25" customHeight="1" spans="4:5">
      <c r="D1326" s="170">
        <v>44281</v>
      </c>
      <c r="E1326" s="171">
        <v>14507.3</v>
      </c>
    </row>
    <row r="1327" ht="17.25" customHeight="1" spans="4:5">
      <c r="D1327" s="170">
        <v>44280</v>
      </c>
      <c r="E1327" s="171">
        <v>14324.9</v>
      </c>
    </row>
    <row r="1328" ht="17.25" customHeight="1" spans="4:5">
      <c r="D1328" s="170">
        <v>44279</v>
      </c>
      <c r="E1328" s="171">
        <v>14549.4</v>
      </c>
    </row>
    <row r="1329" ht="17.25" customHeight="1" spans="4:5">
      <c r="D1329" s="170">
        <v>44278</v>
      </c>
      <c r="E1329" s="171">
        <v>14814.75</v>
      </c>
    </row>
    <row r="1330" ht="17.25" customHeight="1" spans="4:5">
      <c r="D1330" s="170">
        <v>44277</v>
      </c>
      <c r="E1330" s="171">
        <v>14736.4</v>
      </c>
    </row>
    <row r="1331" ht="17.25" customHeight="1" spans="4:5">
      <c r="D1331" s="170">
        <v>44274</v>
      </c>
      <c r="E1331" s="171">
        <v>14744</v>
      </c>
    </row>
    <row r="1332" ht="17.25" customHeight="1" spans="4:5">
      <c r="D1332" s="170">
        <v>44273</v>
      </c>
      <c r="E1332" s="171">
        <v>14557.85</v>
      </c>
    </row>
    <row r="1333" ht="17.25" customHeight="1" spans="4:5">
      <c r="D1333" s="170">
        <v>44272</v>
      </c>
      <c r="E1333" s="171">
        <v>14721.3</v>
      </c>
    </row>
    <row r="1334" ht="17.25" customHeight="1" spans="4:5">
      <c r="D1334" s="170">
        <v>44271</v>
      </c>
      <c r="E1334" s="171">
        <v>14910.45</v>
      </c>
    </row>
    <row r="1335" ht="17.25" customHeight="1" spans="4:5">
      <c r="D1335" s="170">
        <v>44270</v>
      </c>
      <c r="E1335" s="171">
        <v>14929.5</v>
      </c>
    </row>
    <row r="1336" ht="17.25" customHeight="1" spans="4:5">
      <c r="D1336" s="170">
        <v>44267</v>
      </c>
      <c r="E1336" s="171">
        <v>15030.95</v>
      </c>
    </row>
    <row r="1337" ht="17.25" customHeight="1" spans="4:5">
      <c r="D1337" s="170">
        <v>44265</v>
      </c>
      <c r="E1337" s="171">
        <v>15174.8</v>
      </c>
    </row>
    <row r="1338" ht="17.25" customHeight="1" spans="4:5">
      <c r="D1338" s="170">
        <v>44264</v>
      </c>
      <c r="E1338" s="171">
        <v>15098.4</v>
      </c>
    </row>
    <row r="1339" ht="17.25" customHeight="1" spans="4:5">
      <c r="D1339" s="170">
        <v>44263</v>
      </c>
      <c r="E1339" s="171">
        <v>14956.2</v>
      </c>
    </row>
    <row r="1340" ht="17.25" customHeight="1" spans="4:5">
      <c r="D1340" s="170">
        <v>44260</v>
      </c>
      <c r="E1340" s="171">
        <v>14938.1</v>
      </c>
    </row>
    <row r="1341" ht="17.25" customHeight="1" spans="4:5">
      <c r="D1341" s="170">
        <v>44259</v>
      </c>
      <c r="E1341" s="171">
        <v>15080.75</v>
      </c>
    </row>
    <row r="1342" ht="17.25" customHeight="1" spans="4:5">
      <c r="D1342" s="170">
        <v>44258</v>
      </c>
      <c r="E1342" s="171">
        <v>15245.6</v>
      </c>
    </row>
    <row r="1343" ht="17.25" customHeight="1" spans="4:5">
      <c r="D1343" s="170">
        <v>44257</v>
      </c>
      <c r="E1343" s="171">
        <v>14919.1</v>
      </c>
    </row>
    <row r="1344" ht="17.25" customHeight="1" spans="4:5">
      <c r="D1344" s="170">
        <v>44256</v>
      </c>
      <c r="E1344" s="171">
        <v>14761.55</v>
      </c>
    </row>
    <row r="1345" ht="17.25" customHeight="1" spans="4:5">
      <c r="D1345" s="170">
        <v>44253</v>
      </c>
      <c r="E1345" s="171">
        <v>14529.15</v>
      </c>
    </row>
    <row r="1346" ht="17.25" customHeight="1" spans="4:5">
      <c r="D1346" s="170">
        <v>44252</v>
      </c>
      <c r="E1346" s="171">
        <v>15097.35</v>
      </c>
    </row>
    <row r="1347" ht="17.25" customHeight="1" spans="4:5">
      <c r="D1347" s="170">
        <v>44251</v>
      </c>
      <c r="E1347" s="171">
        <v>14982</v>
      </c>
    </row>
    <row r="1348" ht="17.25" customHeight="1" spans="4:5">
      <c r="D1348" s="170">
        <v>44250</v>
      </c>
      <c r="E1348" s="171">
        <v>14707.8</v>
      </c>
    </row>
    <row r="1349" ht="17.25" customHeight="1" spans="4:5">
      <c r="D1349" s="170">
        <v>44249</v>
      </c>
      <c r="E1349" s="171">
        <v>14675.7</v>
      </c>
    </row>
    <row r="1350" ht="17.25" customHeight="1" spans="4:5">
      <c r="D1350" s="170">
        <v>44246</v>
      </c>
      <c r="E1350" s="171">
        <v>14981.75</v>
      </c>
    </row>
    <row r="1351" ht="17.25" customHeight="1" spans="4:5">
      <c r="D1351" s="170">
        <v>44245</v>
      </c>
      <c r="E1351" s="171">
        <v>15118.95</v>
      </c>
    </row>
    <row r="1352" ht="17.25" customHeight="1" spans="4:5">
      <c r="D1352" s="170">
        <v>44244</v>
      </c>
      <c r="E1352" s="171">
        <v>15208.9</v>
      </c>
    </row>
    <row r="1353" ht="17.25" customHeight="1" spans="4:5">
      <c r="D1353" s="170">
        <v>44243</v>
      </c>
      <c r="E1353" s="171">
        <v>15313.45</v>
      </c>
    </row>
    <row r="1354" ht="17.25" customHeight="1" spans="4:5">
      <c r="D1354" s="170">
        <v>44242</v>
      </c>
      <c r="E1354" s="171">
        <v>15314.7</v>
      </c>
    </row>
    <row r="1355" ht="17.25" customHeight="1" spans="4:5">
      <c r="D1355" s="170">
        <v>44239</v>
      </c>
      <c r="E1355" s="171">
        <v>15163.3</v>
      </c>
    </row>
    <row r="1356" ht="17.25" customHeight="1" spans="4:5">
      <c r="D1356" s="170">
        <v>44238</v>
      </c>
      <c r="E1356" s="171">
        <v>15173.3</v>
      </c>
    </row>
    <row r="1357" ht="17.25" customHeight="1" spans="4:5">
      <c r="D1357" s="170">
        <v>44237</v>
      </c>
      <c r="E1357" s="171">
        <v>15106.5</v>
      </c>
    </row>
    <row r="1358" ht="17.25" customHeight="1" spans="4:5">
      <c r="D1358" s="170">
        <v>44236</v>
      </c>
      <c r="E1358" s="171">
        <v>15109.3</v>
      </c>
    </row>
    <row r="1359" ht="17.25" customHeight="1" spans="4:5">
      <c r="D1359" s="170">
        <v>44235</v>
      </c>
      <c r="E1359" s="171">
        <v>15115.8</v>
      </c>
    </row>
    <row r="1360" ht="17.25" customHeight="1" spans="4:5">
      <c r="D1360" s="170">
        <v>44232</v>
      </c>
      <c r="E1360" s="171">
        <v>14924.25</v>
      </c>
    </row>
    <row r="1361" ht="17.25" customHeight="1" spans="4:5">
      <c r="D1361" s="170">
        <v>44231</v>
      </c>
      <c r="E1361" s="171">
        <v>14895.65</v>
      </c>
    </row>
    <row r="1362" ht="17.25" customHeight="1" spans="4:5">
      <c r="D1362" s="170">
        <v>44230</v>
      </c>
      <c r="E1362" s="171">
        <v>14789.95</v>
      </c>
    </row>
    <row r="1363" ht="17.25" customHeight="1" spans="4:5">
      <c r="D1363" s="170">
        <v>44229</v>
      </c>
      <c r="E1363" s="171">
        <v>14647.85</v>
      </c>
    </row>
    <row r="1364" ht="17.25" customHeight="1" spans="4:5">
      <c r="D1364" s="170">
        <v>44228</v>
      </c>
      <c r="E1364" s="171">
        <v>14281.2</v>
      </c>
    </row>
    <row r="1365" ht="17.25" customHeight="1" spans="4:5">
      <c r="D1365" s="170">
        <v>44225</v>
      </c>
      <c r="E1365" s="171">
        <v>13634.6</v>
      </c>
    </row>
    <row r="1366" ht="17.25" customHeight="1" spans="4:5">
      <c r="D1366" s="170">
        <v>44224</v>
      </c>
      <c r="E1366" s="171">
        <v>13817.55</v>
      </c>
    </row>
    <row r="1367" ht="17.25" customHeight="1" spans="4:5">
      <c r="D1367" s="170">
        <v>44223</v>
      </c>
      <c r="E1367" s="171">
        <v>13967.5</v>
      </c>
    </row>
    <row r="1368" ht="17.25" customHeight="1" spans="4:5">
      <c r="D1368" s="170">
        <v>44221</v>
      </c>
      <c r="E1368" s="171">
        <v>14238.9</v>
      </c>
    </row>
    <row r="1369" ht="17.25" customHeight="1" spans="4:5">
      <c r="D1369" s="170">
        <v>44218</v>
      </c>
      <c r="E1369" s="171">
        <v>14371.9</v>
      </c>
    </row>
    <row r="1370" ht="17.25" customHeight="1" spans="4:5">
      <c r="D1370" s="170">
        <v>44217</v>
      </c>
      <c r="E1370" s="171">
        <v>14590.35</v>
      </c>
    </row>
    <row r="1371" ht="17.25" customHeight="1" spans="4:5">
      <c r="D1371" s="170">
        <v>44216</v>
      </c>
      <c r="E1371" s="171">
        <v>14644.7</v>
      </c>
    </row>
    <row r="1372" ht="17.25" customHeight="1" spans="4:5">
      <c r="D1372" s="170">
        <v>44215</v>
      </c>
      <c r="E1372" s="171">
        <v>14521.15</v>
      </c>
    </row>
    <row r="1373" ht="17.25" customHeight="1" spans="4:5">
      <c r="D1373" s="170">
        <v>44214</v>
      </c>
      <c r="E1373" s="171">
        <v>14281.3</v>
      </c>
    </row>
    <row r="1374" ht="17.25" customHeight="1" spans="4:5">
      <c r="D1374" s="170">
        <v>44211</v>
      </c>
      <c r="E1374" s="171">
        <v>14433.7</v>
      </c>
    </row>
    <row r="1375" ht="17.25" customHeight="1" spans="4:5">
      <c r="D1375" s="170">
        <v>44210</v>
      </c>
      <c r="E1375" s="171">
        <v>14595.6</v>
      </c>
    </row>
    <row r="1376" ht="17.25" customHeight="1" spans="4:5">
      <c r="D1376" s="170">
        <v>44209</v>
      </c>
      <c r="E1376" s="171">
        <v>14564.85</v>
      </c>
    </row>
    <row r="1377" ht="17.25" customHeight="1" spans="4:5">
      <c r="D1377" s="170">
        <v>44208</v>
      </c>
      <c r="E1377" s="171">
        <v>14563.45</v>
      </c>
    </row>
    <row r="1378" ht="17.25" customHeight="1" spans="4:5">
      <c r="D1378" s="170">
        <v>44207</v>
      </c>
      <c r="E1378" s="171">
        <v>14484.75</v>
      </c>
    </row>
    <row r="1379" ht="17.25" customHeight="1" spans="4:5">
      <c r="D1379" s="170">
        <v>44204</v>
      </c>
      <c r="E1379" s="171">
        <v>14347.25</v>
      </c>
    </row>
    <row r="1380" ht="17.25" customHeight="1" spans="4:5">
      <c r="D1380" s="170">
        <v>44203</v>
      </c>
      <c r="E1380" s="171">
        <v>14137.35</v>
      </c>
    </row>
    <row r="1381" ht="17.25" customHeight="1" spans="4:5">
      <c r="D1381" s="170">
        <v>44202</v>
      </c>
      <c r="E1381" s="171">
        <v>14146.25</v>
      </c>
    </row>
    <row r="1382" ht="17.25" customHeight="1" spans="4:5">
      <c r="D1382" s="170">
        <v>44201</v>
      </c>
      <c r="E1382" s="171">
        <v>14199.5</v>
      </c>
    </row>
    <row r="1383" ht="17.25" customHeight="1" spans="4:5">
      <c r="D1383" s="170">
        <v>44200</v>
      </c>
      <c r="E1383" s="171">
        <v>14132.9</v>
      </c>
    </row>
    <row r="1384" ht="17.25" customHeight="1" spans="4:5">
      <c r="D1384" s="170">
        <v>44197</v>
      </c>
      <c r="E1384" s="171">
        <v>14018.5</v>
      </c>
    </row>
    <row r="1385" ht="17.25" customHeight="1" spans="4:5">
      <c r="D1385" s="170">
        <v>44196</v>
      </c>
      <c r="E1385" s="171">
        <v>13981.75</v>
      </c>
    </row>
    <row r="1386" ht="17.25" customHeight="1" spans="4:5">
      <c r="D1386" s="170">
        <v>44195</v>
      </c>
      <c r="E1386" s="171">
        <v>13981.95</v>
      </c>
    </row>
    <row r="1387" ht="17.25" customHeight="1" spans="4:5">
      <c r="D1387" s="170">
        <v>44194</v>
      </c>
      <c r="E1387" s="171">
        <v>13932.6</v>
      </c>
    </row>
    <row r="1388" ht="17.25" customHeight="1" spans="4:5">
      <c r="D1388" s="170">
        <v>44193</v>
      </c>
      <c r="E1388" s="171">
        <v>13873.2</v>
      </c>
    </row>
    <row r="1389" ht="17.25" customHeight="1" spans="4:5">
      <c r="D1389" s="170">
        <v>44189</v>
      </c>
      <c r="E1389" s="171">
        <v>13749.25</v>
      </c>
    </row>
    <row r="1390" ht="17.25" customHeight="1" spans="4:5">
      <c r="D1390" s="170">
        <v>44188</v>
      </c>
      <c r="E1390" s="171">
        <v>13601.1</v>
      </c>
    </row>
    <row r="1391" ht="17.25" customHeight="1" spans="4:5">
      <c r="D1391" s="170">
        <v>44187</v>
      </c>
      <c r="E1391" s="171">
        <v>13466.3</v>
      </c>
    </row>
    <row r="1392" ht="17.25" customHeight="1" spans="4:5">
      <c r="D1392" s="170">
        <v>44186</v>
      </c>
      <c r="E1392" s="171">
        <v>13328.4</v>
      </c>
    </row>
    <row r="1393" ht="17.25" customHeight="1" spans="4:5">
      <c r="D1393" s="170">
        <v>44183</v>
      </c>
      <c r="E1393" s="171">
        <v>13760.55</v>
      </c>
    </row>
    <row r="1394" ht="17.25" customHeight="1" spans="4:5">
      <c r="D1394" s="170">
        <v>44182</v>
      </c>
      <c r="E1394" s="171">
        <v>13740.7</v>
      </c>
    </row>
    <row r="1395" ht="17.25" customHeight="1" spans="4:5">
      <c r="D1395" s="170">
        <v>44181</v>
      </c>
      <c r="E1395" s="171">
        <v>13682.7</v>
      </c>
    </row>
    <row r="1396" ht="17.25" customHeight="1" spans="4:5">
      <c r="D1396" s="170">
        <v>44180</v>
      </c>
      <c r="E1396" s="171">
        <v>13567.85</v>
      </c>
    </row>
    <row r="1397" ht="17.25" customHeight="1" spans="4:5">
      <c r="D1397" s="170">
        <v>44179</v>
      </c>
      <c r="E1397" s="171">
        <v>13558.15</v>
      </c>
    </row>
    <row r="1398" ht="17.25" customHeight="1" spans="4:5">
      <c r="D1398" s="170">
        <v>44176</v>
      </c>
      <c r="E1398" s="171">
        <v>13513.85</v>
      </c>
    </row>
    <row r="1399" ht="17.25" customHeight="1" spans="4:5">
      <c r="D1399" s="170">
        <v>44175</v>
      </c>
      <c r="E1399" s="171">
        <v>13478.3</v>
      </c>
    </row>
    <row r="1400" ht="17.25" customHeight="1" spans="4:5">
      <c r="D1400" s="170">
        <v>44174</v>
      </c>
      <c r="E1400" s="171">
        <v>13529.1</v>
      </c>
    </row>
    <row r="1401" ht="17.25" customHeight="1" spans="4:5">
      <c r="D1401" s="170">
        <v>44173</v>
      </c>
      <c r="E1401" s="171">
        <v>13392.95</v>
      </c>
    </row>
    <row r="1402" ht="17.25" customHeight="1" spans="4:5">
      <c r="D1402" s="170">
        <v>44172</v>
      </c>
      <c r="E1402" s="171">
        <v>13355.75</v>
      </c>
    </row>
    <row r="1403" ht="17.25" customHeight="1" spans="4:5">
      <c r="D1403" s="170">
        <v>44169</v>
      </c>
      <c r="E1403" s="171">
        <v>13258.55</v>
      </c>
    </row>
    <row r="1404" ht="17.25" customHeight="1" spans="4:5">
      <c r="D1404" s="170">
        <v>44168</v>
      </c>
      <c r="E1404" s="171">
        <v>13133.9</v>
      </c>
    </row>
    <row r="1405" ht="17.25" customHeight="1" spans="4:5">
      <c r="D1405" s="170">
        <v>44167</v>
      </c>
      <c r="E1405" s="171">
        <v>13113.75</v>
      </c>
    </row>
    <row r="1406" ht="17.25" customHeight="1" spans="4:5">
      <c r="D1406" s="170">
        <v>44166</v>
      </c>
      <c r="E1406" s="171">
        <v>13109.05</v>
      </c>
    </row>
    <row r="1407" ht="17.25" customHeight="1" spans="4:5">
      <c r="D1407" s="170">
        <v>44162</v>
      </c>
      <c r="E1407" s="171">
        <v>12968.95</v>
      </c>
    </row>
    <row r="1408" ht="17.25" customHeight="1" spans="4:5">
      <c r="D1408" s="170">
        <v>44161</v>
      </c>
      <c r="E1408" s="171">
        <v>12987</v>
      </c>
    </row>
    <row r="1409" ht="17.25" customHeight="1" spans="4:5">
      <c r="D1409" s="170">
        <v>44160</v>
      </c>
      <c r="E1409" s="171">
        <v>12858.4</v>
      </c>
    </row>
    <row r="1410" ht="17.25" customHeight="1" spans="4:5">
      <c r="D1410" s="170">
        <v>44159</v>
      </c>
      <c r="E1410" s="171">
        <v>13055.15</v>
      </c>
    </row>
    <row r="1411" ht="17.25" customHeight="1" spans="4:5">
      <c r="D1411" s="170">
        <v>44158</v>
      </c>
      <c r="E1411" s="171">
        <v>12926.45</v>
      </c>
    </row>
    <row r="1412" ht="17.25" customHeight="1" spans="4:5">
      <c r="D1412" s="170">
        <v>44155</v>
      </c>
      <c r="E1412" s="171">
        <v>12859.05</v>
      </c>
    </row>
    <row r="1413" ht="17.25" customHeight="1" spans="4:5">
      <c r="D1413" s="170">
        <v>44154</v>
      </c>
      <c r="E1413" s="171">
        <v>12771.7</v>
      </c>
    </row>
    <row r="1414" ht="17.25" customHeight="1" spans="4:5">
      <c r="D1414" s="170">
        <v>44153</v>
      </c>
      <c r="E1414" s="171">
        <v>12938.25</v>
      </c>
    </row>
    <row r="1415" ht="17.25" customHeight="1" spans="4:5">
      <c r="D1415" s="170">
        <v>44152</v>
      </c>
      <c r="E1415" s="171">
        <v>12874.2</v>
      </c>
    </row>
    <row r="1416" ht="17.25" customHeight="1" spans="4:5">
      <c r="D1416" s="170">
        <v>44149</v>
      </c>
      <c r="E1416" s="171">
        <v>12780.25</v>
      </c>
    </row>
    <row r="1417" ht="17.25" customHeight="1" spans="4:5">
      <c r="D1417" s="170">
        <v>44148</v>
      </c>
      <c r="E1417" s="171">
        <v>12719.95</v>
      </c>
    </row>
    <row r="1418" ht="17.25" customHeight="1" spans="4:5">
      <c r="D1418" s="170">
        <v>44147</v>
      </c>
      <c r="E1418" s="171">
        <v>12690.8</v>
      </c>
    </row>
    <row r="1419" ht="17.25" customHeight="1" spans="4:5">
      <c r="D1419" s="170">
        <v>44146</v>
      </c>
      <c r="E1419" s="171">
        <v>12749.15</v>
      </c>
    </row>
    <row r="1420" ht="17.25" customHeight="1" spans="4:5">
      <c r="D1420" s="170">
        <v>44145</v>
      </c>
      <c r="E1420" s="171">
        <v>12631.1</v>
      </c>
    </row>
    <row r="1421" ht="17.25" customHeight="1" spans="4:5">
      <c r="D1421" s="170">
        <v>44144</v>
      </c>
      <c r="E1421" s="171">
        <v>12461.05</v>
      </c>
    </row>
    <row r="1422" ht="17.25" customHeight="1" spans="4:5">
      <c r="D1422" s="170">
        <v>44141</v>
      </c>
      <c r="E1422" s="171">
        <v>12263.55</v>
      </c>
    </row>
    <row r="1423" ht="17.25" customHeight="1" spans="4:5">
      <c r="D1423" s="170">
        <v>44140</v>
      </c>
      <c r="E1423" s="171">
        <v>12120.3</v>
      </c>
    </row>
    <row r="1424" ht="17.25" customHeight="1" spans="4:5">
      <c r="D1424" s="170">
        <v>44139</v>
      </c>
      <c r="E1424" s="171">
        <v>11908.5</v>
      </c>
    </row>
    <row r="1425" ht="17.25" customHeight="1" spans="4:5">
      <c r="D1425" s="170">
        <v>44138</v>
      </c>
      <c r="E1425" s="171">
        <v>11813.5</v>
      </c>
    </row>
    <row r="1426" ht="17.25" customHeight="1" spans="4:5">
      <c r="D1426" s="170">
        <v>44137</v>
      </c>
      <c r="E1426" s="171">
        <v>11669.15</v>
      </c>
    </row>
    <row r="1427" ht="17.25" customHeight="1" spans="4:5">
      <c r="D1427" s="170">
        <v>44134</v>
      </c>
      <c r="E1427" s="171">
        <v>11642.4</v>
      </c>
    </row>
    <row r="1428" ht="17.25" customHeight="1" spans="4:5">
      <c r="D1428" s="170">
        <v>44133</v>
      </c>
      <c r="E1428" s="171">
        <v>11670.8</v>
      </c>
    </row>
    <row r="1429" ht="17.25" customHeight="1" spans="4:5">
      <c r="D1429" s="170">
        <v>44132</v>
      </c>
      <c r="E1429" s="171">
        <v>11729.6</v>
      </c>
    </row>
    <row r="1430" ht="17.25" customHeight="1" spans="4:5">
      <c r="D1430" s="170">
        <v>44131</v>
      </c>
      <c r="E1430" s="171">
        <v>11889.4</v>
      </c>
    </row>
    <row r="1431" ht="17.25" customHeight="1" spans="4:5">
      <c r="D1431" s="170">
        <v>44130</v>
      </c>
      <c r="E1431" s="171">
        <v>11767.75</v>
      </c>
    </row>
    <row r="1432" ht="17.25" customHeight="1" spans="4:5">
      <c r="D1432" s="170">
        <v>44127</v>
      </c>
      <c r="E1432" s="171">
        <v>11930.35</v>
      </c>
    </row>
    <row r="1433" ht="17.25" customHeight="1" spans="4:5">
      <c r="D1433" s="170">
        <v>44126</v>
      </c>
      <c r="E1433" s="171">
        <v>11896.45</v>
      </c>
    </row>
    <row r="1434" ht="17.25" customHeight="1" spans="4:5">
      <c r="D1434" s="170">
        <v>44125</v>
      </c>
      <c r="E1434" s="171">
        <v>11937.65</v>
      </c>
    </row>
    <row r="1435" ht="17.25" customHeight="1" spans="4:5">
      <c r="D1435" s="170">
        <v>44124</v>
      </c>
      <c r="E1435" s="171">
        <v>11896.8</v>
      </c>
    </row>
    <row r="1436" ht="17.25" customHeight="1" spans="4:5">
      <c r="D1436" s="170">
        <v>44123</v>
      </c>
      <c r="E1436" s="171">
        <v>11873.05</v>
      </c>
    </row>
    <row r="1437" ht="17.25" customHeight="1" spans="4:5">
      <c r="D1437" s="170">
        <v>44120</v>
      </c>
      <c r="E1437" s="171">
        <v>11762.45</v>
      </c>
    </row>
    <row r="1438" ht="17.25" customHeight="1" spans="4:5">
      <c r="D1438" s="170">
        <v>44119</v>
      </c>
      <c r="E1438" s="171">
        <v>11680.35</v>
      </c>
    </row>
    <row r="1439" ht="17.25" customHeight="1" spans="4:5">
      <c r="D1439" s="170">
        <v>44118</v>
      </c>
      <c r="E1439" s="171">
        <v>11971.05</v>
      </c>
    </row>
    <row r="1440" ht="17.25" customHeight="1" spans="4:5">
      <c r="D1440" s="170">
        <v>44117</v>
      </c>
      <c r="E1440" s="171">
        <v>11934.5</v>
      </c>
    </row>
    <row r="1441" ht="17.25" customHeight="1" spans="4:5">
      <c r="D1441" s="170">
        <v>44116</v>
      </c>
      <c r="E1441" s="171">
        <v>11930.95</v>
      </c>
    </row>
    <row r="1442" ht="17.25" customHeight="1" spans="4:5">
      <c r="D1442" s="170">
        <v>44113</v>
      </c>
      <c r="E1442" s="171">
        <v>11914.2</v>
      </c>
    </row>
    <row r="1443" ht="17.25" customHeight="1" spans="4:5">
      <c r="D1443" s="170">
        <v>44112</v>
      </c>
      <c r="E1443" s="171">
        <v>11834.6</v>
      </c>
    </row>
    <row r="1444" ht="17.25" customHeight="1" spans="4:5">
      <c r="D1444" s="170">
        <v>44111</v>
      </c>
      <c r="E1444" s="171">
        <v>11738.85</v>
      </c>
    </row>
    <row r="1445" ht="17.25" customHeight="1" spans="4:5">
      <c r="D1445" s="170">
        <v>44110</v>
      </c>
      <c r="E1445" s="171">
        <v>11662.4</v>
      </c>
    </row>
    <row r="1446" ht="17.25" customHeight="1" spans="4:5">
      <c r="D1446" s="170">
        <v>44109</v>
      </c>
      <c r="E1446" s="171">
        <v>11503.35</v>
      </c>
    </row>
    <row r="1447" ht="17.25" customHeight="1" spans="4:5">
      <c r="D1447" s="170">
        <v>44105</v>
      </c>
      <c r="E1447" s="171">
        <v>11416.95</v>
      </c>
    </row>
    <row r="1448" ht="17.25" customHeight="1" spans="4:5">
      <c r="D1448" s="170">
        <v>44104</v>
      </c>
      <c r="E1448" s="171">
        <v>11247.55</v>
      </c>
    </row>
    <row r="1449" ht="17.25" customHeight="1" spans="4:5">
      <c r="D1449" s="170">
        <v>44103</v>
      </c>
      <c r="E1449" s="171">
        <v>11222.4</v>
      </c>
    </row>
    <row r="1450" ht="17.25" customHeight="1" spans="4:5">
      <c r="D1450" s="170">
        <v>44102</v>
      </c>
      <c r="E1450" s="171">
        <v>11227.55</v>
      </c>
    </row>
    <row r="1451" ht="17.25" customHeight="1" spans="4:5">
      <c r="D1451" s="170">
        <v>44099</v>
      </c>
      <c r="E1451" s="171">
        <v>11050.25</v>
      </c>
    </row>
    <row r="1452" ht="17.25" customHeight="1" spans="4:5">
      <c r="D1452" s="170">
        <v>44098</v>
      </c>
      <c r="E1452" s="171">
        <v>10805.55</v>
      </c>
    </row>
    <row r="1453" ht="17.25" customHeight="1" spans="4:5">
      <c r="D1453" s="170">
        <v>44097</v>
      </c>
      <c r="E1453" s="171">
        <v>11131.85</v>
      </c>
    </row>
    <row r="1454" ht="17.25" customHeight="1" spans="4:5">
      <c r="D1454" s="170">
        <v>44096</v>
      </c>
      <c r="E1454" s="171">
        <v>11153.65</v>
      </c>
    </row>
    <row r="1455" ht="17.25" customHeight="1" spans="4:5">
      <c r="D1455" s="170">
        <v>44095</v>
      </c>
      <c r="E1455" s="171">
        <v>11250.55</v>
      </c>
    </row>
    <row r="1456" ht="17.25" customHeight="1" spans="4:5">
      <c r="D1456" s="170">
        <v>44092</v>
      </c>
      <c r="E1456" s="171">
        <v>11504.95</v>
      </c>
    </row>
    <row r="1457" ht="17.25" customHeight="1" spans="4:5">
      <c r="D1457" s="170">
        <v>44091</v>
      </c>
      <c r="E1457" s="171">
        <v>11516.1</v>
      </c>
    </row>
    <row r="1458" ht="17.25" customHeight="1" spans="4:5">
      <c r="D1458" s="170">
        <v>44090</v>
      </c>
      <c r="E1458" s="171">
        <v>11604.55</v>
      </c>
    </row>
    <row r="1459" ht="17.25" customHeight="1" spans="4:5">
      <c r="D1459" s="170">
        <v>44089</v>
      </c>
      <c r="E1459" s="171">
        <v>11521.8</v>
      </c>
    </row>
    <row r="1460" ht="17.25" customHeight="1" spans="4:5">
      <c r="D1460" s="170">
        <v>44088</v>
      </c>
      <c r="E1460" s="171">
        <v>11440.05</v>
      </c>
    </row>
    <row r="1461" ht="17.25" customHeight="1" spans="4:5">
      <c r="D1461" s="170">
        <v>44085</v>
      </c>
      <c r="E1461" s="171">
        <v>11464.45</v>
      </c>
    </row>
    <row r="1462" ht="17.25" customHeight="1" spans="4:5">
      <c r="D1462" s="170">
        <v>44084</v>
      </c>
      <c r="E1462" s="171">
        <v>11449.25</v>
      </c>
    </row>
    <row r="1463" ht="17.25" customHeight="1" spans="4:5">
      <c r="D1463" s="170">
        <v>44083</v>
      </c>
      <c r="E1463" s="171">
        <v>11278</v>
      </c>
    </row>
    <row r="1464" ht="17.25" customHeight="1" spans="4:5">
      <c r="D1464" s="170">
        <v>44082</v>
      </c>
      <c r="E1464" s="171">
        <v>11317.35</v>
      </c>
    </row>
    <row r="1465" ht="17.25" customHeight="1" spans="4:5">
      <c r="D1465" s="170">
        <v>44081</v>
      </c>
      <c r="E1465" s="171">
        <v>11355.05</v>
      </c>
    </row>
    <row r="1466" ht="17.25" customHeight="1" spans="4:5">
      <c r="D1466" s="170">
        <v>44078</v>
      </c>
      <c r="E1466" s="171">
        <v>11333.85</v>
      </c>
    </row>
    <row r="1467" ht="17.25" customHeight="1" spans="4:5">
      <c r="D1467" s="170">
        <v>44077</v>
      </c>
      <c r="E1467" s="171">
        <v>11527.45</v>
      </c>
    </row>
    <row r="1468" ht="17.25" customHeight="1" spans="4:5">
      <c r="D1468" s="170">
        <v>44076</v>
      </c>
      <c r="E1468" s="171">
        <v>11535</v>
      </c>
    </row>
    <row r="1469" ht="17.25" customHeight="1" spans="4:5">
      <c r="D1469" s="170">
        <v>44075</v>
      </c>
      <c r="E1469" s="171">
        <v>11470.25</v>
      </c>
    </row>
    <row r="1470" ht="17.25" customHeight="1" spans="4:5">
      <c r="D1470" s="170">
        <v>44074</v>
      </c>
      <c r="E1470" s="171">
        <v>11387.5</v>
      </c>
    </row>
    <row r="1471" ht="17.25" customHeight="1" spans="4:5">
      <c r="D1471" s="170">
        <v>44071</v>
      </c>
      <c r="E1471" s="171">
        <v>11647.6</v>
      </c>
    </row>
    <row r="1472" ht="17.25" customHeight="1" spans="4:5">
      <c r="D1472" s="170">
        <v>44070</v>
      </c>
      <c r="E1472" s="171">
        <v>11559.25</v>
      </c>
    </row>
    <row r="1473" ht="17.25" customHeight="1" spans="4:5">
      <c r="D1473" s="170">
        <v>44069</v>
      </c>
      <c r="E1473" s="171">
        <v>11549.6</v>
      </c>
    </row>
    <row r="1474" ht="17.25" customHeight="1" spans="4:5">
      <c r="D1474" s="170">
        <v>44068</v>
      </c>
      <c r="E1474" s="171">
        <v>11472.25</v>
      </c>
    </row>
    <row r="1475" ht="17.25" customHeight="1" spans="4:5">
      <c r="D1475" s="170">
        <v>44067</v>
      </c>
      <c r="E1475" s="171">
        <v>11466.45</v>
      </c>
    </row>
    <row r="1476" ht="17.25" customHeight="1" spans="4:5">
      <c r="D1476" s="170">
        <v>44064</v>
      </c>
      <c r="E1476" s="171">
        <v>11371.6</v>
      </c>
    </row>
    <row r="1477" ht="17.25" customHeight="1" spans="4:5">
      <c r="D1477" s="170">
        <v>44063</v>
      </c>
      <c r="E1477" s="171">
        <v>11312.2</v>
      </c>
    </row>
    <row r="1478" ht="17.25" customHeight="1" spans="4:5">
      <c r="D1478" s="170">
        <v>44062</v>
      </c>
      <c r="E1478" s="171">
        <v>11408.4</v>
      </c>
    </row>
    <row r="1479" ht="17.25" customHeight="1" spans="4:5">
      <c r="D1479" s="170">
        <v>44061</v>
      </c>
      <c r="E1479" s="171">
        <v>11385.35</v>
      </c>
    </row>
    <row r="1480" ht="17.25" customHeight="1" spans="4:5">
      <c r="D1480" s="170">
        <v>44060</v>
      </c>
      <c r="E1480" s="171">
        <v>11247.1</v>
      </c>
    </row>
    <row r="1481" ht="17.25" customHeight="1" spans="4:5">
      <c r="D1481" s="170">
        <v>44057</v>
      </c>
      <c r="E1481" s="171">
        <v>11178.4</v>
      </c>
    </row>
    <row r="1482" ht="17.25" customHeight="1" spans="4:5">
      <c r="D1482" s="170">
        <v>44056</v>
      </c>
      <c r="E1482" s="171">
        <v>11300.45</v>
      </c>
    </row>
    <row r="1483" ht="17.25" customHeight="1" spans="4:5">
      <c r="D1483" s="170">
        <v>44055</v>
      </c>
      <c r="E1483" s="171">
        <v>11308.4</v>
      </c>
    </row>
    <row r="1484" ht="17.25" customHeight="1" spans="4:5">
      <c r="D1484" s="170">
        <v>44054</v>
      </c>
      <c r="E1484" s="171">
        <v>11322.5</v>
      </c>
    </row>
    <row r="1485" ht="17.25" customHeight="1" spans="4:5">
      <c r="D1485" s="170">
        <v>44053</v>
      </c>
      <c r="E1485" s="171">
        <v>11270.15</v>
      </c>
    </row>
    <row r="1486" ht="17.25" customHeight="1" spans="4:5">
      <c r="D1486" s="170">
        <v>44050</v>
      </c>
      <c r="E1486" s="171">
        <v>11214.05</v>
      </c>
    </row>
    <row r="1487" ht="17.25" customHeight="1" spans="4:5">
      <c r="D1487" s="170">
        <v>44049</v>
      </c>
      <c r="E1487" s="171">
        <v>11200.15</v>
      </c>
    </row>
    <row r="1488" ht="17.25" customHeight="1" spans="4:5">
      <c r="D1488" s="170">
        <v>44048</v>
      </c>
      <c r="E1488" s="171">
        <v>11101.65</v>
      </c>
    </row>
    <row r="1489" ht="17.25" customHeight="1" spans="4:5">
      <c r="D1489" s="170">
        <v>44047</v>
      </c>
      <c r="E1489" s="171">
        <v>11095.25</v>
      </c>
    </row>
    <row r="1490" ht="17.25" customHeight="1" spans="4:5">
      <c r="D1490" s="170">
        <v>44046</v>
      </c>
      <c r="E1490" s="171">
        <v>10891.6</v>
      </c>
    </row>
    <row r="1491" ht="17.25" customHeight="1" spans="4:5">
      <c r="D1491" s="170">
        <v>44043</v>
      </c>
      <c r="E1491" s="171">
        <v>11073.45</v>
      </c>
    </row>
    <row r="1492" ht="17.25" customHeight="1" spans="4:5">
      <c r="D1492" s="170">
        <v>44042</v>
      </c>
      <c r="E1492" s="171">
        <v>11102.15</v>
      </c>
    </row>
    <row r="1493" ht="17.25" customHeight="1" spans="4:5">
      <c r="D1493" s="170">
        <v>44041</v>
      </c>
      <c r="E1493" s="171">
        <v>11202.85</v>
      </c>
    </row>
    <row r="1494" ht="17.25" customHeight="1" spans="4:5">
      <c r="D1494" s="170">
        <v>44040</v>
      </c>
      <c r="E1494" s="171">
        <v>11300.55</v>
      </c>
    </row>
    <row r="1495" ht="17.25" customHeight="1" spans="4:5">
      <c r="D1495" s="170">
        <v>44039</v>
      </c>
      <c r="E1495" s="171">
        <v>11131.8</v>
      </c>
    </row>
    <row r="1496" ht="17.25" customHeight="1" spans="4:5">
      <c r="D1496" s="170">
        <v>44036</v>
      </c>
      <c r="E1496" s="171">
        <v>11194.15</v>
      </c>
    </row>
    <row r="1497" ht="17.25" customHeight="1" spans="4:5">
      <c r="D1497" s="170">
        <v>44035</v>
      </c>
      <c r="E1497" s="171">
        <v>11215.45</v>
      </c>
    </row>
    <row r="1498" ht="17.25" customHeight="1" spans="4:5">
      <c r="D1498" s="170">
        <v>44034</v>
      </c>
      <c r="E1498" s="171">
        <v>11132.6</v>
      </c>
    </row>
    <row r="1499" ht="17.25" customHeight="1" spans="4:5">
      <c r="D1499" s="170">
        <v>44033</v>
      </c>
      <c r="E1499" s="171">
        <v>11162.25</v>
      </c>
    </row>
    <row r="1500" ht="17.25" customHeight="1" spans="4:5">
      <c r="D1500" s="170">
        <v>44032</v>
      </c>
      <c r="E1500" s="171">
        <v>11022.2</v>
      </c>
    </row>
    <row r="1501" ht="17.25" customHeight="1" spans="4:5">
      <c r="D1501" s="170">
        <v>44029</v>
      </c>
      <c r="E1501" s="171">
        <v>10901.7</v>
      </c>
    </row>
    <row r="1502" ht="17.25" customHeight="1" spans="4:5">
      <c r="D1502" s="170">
        <v>44028</v>
      </c>
      <c r="E1502" s="171">
        <v>10739.95</v>
      </c>
    </row>
    <row r="1503" ht="17.25" customHeight="1" spans="4:5">
      <c r="D1503" s="170">
        <v>44027</v>
      </c>
      <c r="E1503" s="171">
        <v>10618.2</v>
      </c>
    </row>
    <row r="1504" ht="17.25" customHeight="1" spans="4:5">
      <c r="D1504" s="170">
        <v>44026</v>
      </c>
      <c r="E1504" s="171">
        <v>10607.35</v>
      </c>
    </row>
    <row r="1505" ht="17.25" customHeight="1" spans="4:5">
      <c r="D1505" s="170">
        <v>44025</v>
      </c>
      <c r="E1505" s="171">
        <v>10802.7</v>
      </c>
    </row>
    <row r="1506" ht="17.25" customHeight="1" spans="4:5">
      <c r="D1506" s="170">
        <v>44022</v>
      </c>
      <c r="E1506" s="171">
        <v>10768.05</v>
      </c>
    </row>
    <row r="1507" ht="17.25" customHeight="1" spans="4:5">
      <c r="D1507" s="170">
        <v>44021</v>
      </c>
      <c r="E1507" s="171">
        <v>10813.45</v>
      </c>
    </row>
    <row r="1508" ht="17.25" customHeight="1" spans="4:5">
      <c r="D1508" s="170">
        <v>44020</v>
      </c>
      <c r="E1508" s="171">
        <v>10705.75</v>
      </c>
    </row>
    <row r="1509" ht="17.25" customHeight="1" spans="4:5">
      <c r="D1509" s="170">
        <v>44019</v>
      </c>
      <c r="E1509" s="171">
        <v>10799.65</v>
      </c>
    </row>
    <row r="1510" ht="17.25" customHeight="1" spans="4:5">
      <c r="D1510" s="170">
        <v>44018</v>
      </c>
      <c r="E1510" s="171">
        <v>10763.65</v>
      </c>
    </row>
    <row r="1511" ht="17.25" customHeight="1" spans="4:5">
      <c r="D1511" s="170">
        <v>44015</v>
      </c>
      <c r="E1511" s="171">
        <v>10607.35</v>
      </c>
    </row>
    <row r="1512" ht="17.25" customHeight="1" spans="4:5">
      <c r="D1512" s="170">
        <v>44014</v>
      </c>
      <c r="E1512" s="171">
        <v>10551.7</v>
      </c>
    </row>
    <row r="1513" ht="17.25" customHeight="1" spans="4:5">
      <c r="D1513" s="170">
        <v>44013</v>
      </c>
      <c r="E1513" s="171">
        <v>10430.05</v>
      </c>
    </row>
    <row r="1514" ht="17.25" customHeight="1" spans="4:5">
      <c r="D1514" s="170">
        <v>44012</v>
      </c>
      <c r="E1514" s="171">
        <v>10302.1</v>
      </c>
    </row>
    <row r="1515" ht="17.25" customHeight="1" spans="4:5">
      <c r="D1515" s="170">
        <v>44011</v>
      </c>
      <c r="E1515" s="171">
        <v>10312.4</v>
      </c>
    </row>
    <row r="1516" ht="17.25" customHeight="1" spans="4:5">
      <c r="D1516" s="170">
        <v>44008</v>
      </c>
      <c r="E1516" s="171">
        <v>10383</v>
      </c>
    </row>
    <row r="1517" ht="17.25" customHeight="1" spans="4:5">
      <c r="D1517" s="170">
        <v>44007</v>
      </c>
      <c r="E1517" s="171">
        <v>10288.9</v>
      </c>
    </row>
    <row r="1518" ht="17.25" customHeight="1" spans="4:5">
      <c r="D1518" s="170">
        <v>44006</v>
      </c>
      <c r="E1518" s="171">
        <v>10305.3</v>
      </c>
    </row>
    <row r="1519" ht="17.25" customHeight="1" spans="4:5">
      <c r="D1519" s="170">
        <v>44005</v>
      </c>
      <c r="E1519" s="171">
        <v>10471</v>
      </c>
    </row>
    <row r="1520" ht="17.25" customHeight="1" spans="4:5">
      <c r="D1520" s="170">
        <v>44004</v>
      </c>
      <c r="E1520" s="171">
        <v>10311.2</v>
      </c>
    </row>
    <row r="1521" ht="17.25" customHeight="1" spans="4:5">
      <c r="D1521" s="170">
        <v>44001</v>
      </c>
      <c r="E1521" s="171">
        <v>10244.4</v>
      </c>
    </row>
    <row r="1522" ht="17.25" customHeight="1" spans="4:5">
      <c r="D1522" s="170">
        <v>44000</v>
      </c>
      <c r="E1522" s="171">
        <v>10091.65</v>
      </c>
    </row>
    <row r="1523" ht="17.25" customHeight="1" spans="4:5">
      <c r="D1523" s="170">
        <v>43999</v>
      </c>
      <c r="E1523" s="171">
        <v>9881.15</v>
      </c>
    </row>
    <row r="1524" ht="17.25" customHeight="1" spans="4:5">
      <c r="D1524" s="170">
        <v>43998</v>
      </c>
      <c r="E1524" s="171">
        <v>9914</v>
      </c>
    </row>
    <row r="1525" ht="17.25" customHeight="1" spans="4:5">
      <c r="D1525" s="170">
        <v>43997</v>
      </c>
      <c r="E1525" s="171">
        <v>9813.7</v>
      </c>
    </row>
    <row r="1526" ht="17.25" customHeight="1" spans="4:5">
      <c r="D1526" s="170">
        <v>43994</v>
      </c>
      <c r="E1526" s="171">
        <v>9972.9</v>
      </c>
    </row>
    <row r="1527" ht="17.25" customHeight="1" spans="4:5">
      <c r="D1527" s="170">
        <v>43993</v>
      </c>
      <c r="E1527" s="171">
        <v>9902</v>
      </c>
    </row>
    <row r="1528" ht="17.25" customHeight="1" spans="4:5">
      <c r="D1528" s="170">
        <v>43992</v>
      </c>
      <c r="E1528" s="171">
        <v>10116.15</v>
      </c>
    </row>
    <row r="1529" ht="17.25" customHeight="1" spans="4:5">
      <c r="D1529" s="170">
        <v>43991</v>
      </c>
      <c r="E1529" s="171">
        <v>10046.65</v>
      </c>
    </row>
    <row r="1530" ht="17.25" customHeight="1" spans="4:5">
      <c r="D1530" s="170">
        <v>43990</v>
      </c>
      <c r="E1530" s="171">
        <v>10167.45</v>
      </c>
    </row>
    <row r="1531" ht="17.25" customHeight="1" spans="4:5">
      <c r="D1531" s="170">
        <v>43987</v>
      </c>
      <c r="E1531" s="171">
        <v>10142.15</v>
      </c>
    </row>
    <row r="1532" ht="17.25" customHeight="1" spans="4:5">
      <c r="D1532" s="170">
        <v>43986</v>
      </c>
      <c r="E1532" s="171">
        <v>10029.1</v>
      </c>
    </row>
    <row r="1533" ht="17.25" customHeight="1" spans="4:5">
      <c r="D1533" s="170">
        <v>43985</v>
      </c>
      <c r="E1533" s="171">
        <v>10061.55</v>
      </c>
    </row>
    <row r="1534" ht="17.25" customHeight="1" spans="4:5">
      <c r="D1534" s="170">
        <v>43984</v>
      </c>
      <c r="E1534" s="171">
        <v>9979.1</v>
      </c>
    </row>
    <row r="1535" ht="17.25" customHeight="1" spans="4:5">
      <c r="D1535" s="170">
        <v>43983</v>
      </c>
      <c r="E1535" s="171">
        <v>9826.15</v>
      </c>
    </row>
    <row r="1536" ht="17.25" customHeight="1" spans="4:5">
      <c r="D1536" s="170">
        <v>43980</v>
      </c>
      <c r="E1536" s="171">
        <v>9580.3</v>
      </c>
    </row>
    <row r="1537" ht="17.25" customHeight="1" spans="4:5">
      <c r="D1537" s="170">
        <v>43979</v>
      </c>
      <c r="E1537" s="171">
        <v>9490.1</v>
      </c>
    </row>
    <row r="1538" ht="17.25" customHeight="1" spans="4:5">
      <c r="D1538" s="170">
        <v>43978</v>
      </c>
      <c r="E1538" s="171">
        <v>9314.95</v>
      </c>
    </row>
    <row r="1539" ht="17.25" customHeight="1" spans="4:5">
      <c r="D1539" s="170">
        <v>43977</v>
      </c>
      <c r="E1539" s="171">
        <v>9029.05</v>
      </c>
    </row>
    <row r="1540" ht="17.25" customHeight="1" spans="4:5">
      <c r="D1540" s="170">
        <v>43973</v>
      </c>
      <c r="E1540" s="171">
        <v>9039.25</v>
      </c>
    </row>
    <row r="1541" ht="17.25" customHeight="1" spans="4:5">
      <c r="D1541" s="170">
        <v>43972</v>
      </c>
      <c r="E1541" s="171">
        <v>9106.25</v>
      </c>
    </row>
    <row r="1542" ht="17.25" customHeight="1" spans="4:5">
      <c r="D1542" s="170">
        <v>43971</v>
      </c>
      <c r="E1542" s="171">
        <v>9066.55</v>
      </c>
    </row>
    <row r="1543" ht="17.25" customHeight="1" spans="4:5">
      <c r="D1543" s="170">
        <v>43970</v>
      </c>
      <c r="E1543" s="171">
        <v>8879.1</v>
      </c>
    </row>
    <row r="1544" ht="17.25" customHeight="1" spans="4:5">
      <c r="D1544" s="170">
        <v>43969</v>
      </c>
      <c r="E1544" s="171">
        <v>8823.25</v>
      </c>
    </row>
    <row r="1545" ht="17.25" customHeight="1" spans="4:5">
      <c r="D1545" s="170">
        <v>43966</v>
      </c>
      <c r="E1545" s="171">
        <v>9136.85</v>
      </c>
    </row>
    <row r="1546" ht="17.25" customHeight="1" spans="4:5">
      <c r="D1546" s="170">
        <v>43965</v>
      </c>
      <c r="E1546" s="171">
        <v>9142.75</v>
      </c>
    </row>
    <row r="1547" ht="17.25" customHeight="1" spans="4:5">
      <c r="D1547" s="170">
        <v>43964</v>
      </c>
      <c r="E1547" s="171">
        <v>9383.55</v>
      </c>
    </row>
    <row r="1548" ht="17.25" customHeight="1" spans="4:5">
      <c r="D1548" s="170">
        <v>43963</v>
      </c>
      <c r="E1548" s="171">
        <v>9196.55</v>
      </c>
    </row>
    <row r="1549" ht="17.25" customHeight="1" spans="4:5">
      <c r="D1549" s="170">
        <v>43962</v>
      </c>
      <c r="E1549" s="171">
        <v>9239.2</v>
      </c>
    </row>
    <row r="1550" ht="17.25" customHeight="1" spans="4:5">
      <c r="D1550" s="170">
        <v>43959</v>
      </c>
      <c r="E1550" s="171">
        <v>9251.5</v>
      </c>
    </row>
    <row r="1551" ht="17.25" customHeight="1" spans="4:5">
      <c r="D1551" s="170">
        <v>43958</v>
      </c>
      <c r="E1551" s="171">
        <v>9199.05</v>
      </c>
    </row>
    <row r="1552" ht="17.25" customHeight="1" spans="4:5">
      <c r="D1552" s="170">
        <v>43957</v>
      </c>
      <c r="E1552" s="171">
        <v>9270.9</v>
      </c>
    </row>
    <row r="1553" ht="17.25" customHeight="1" spans="4:5">
      <c r="D1553" s="170">
        <v>43956</v>
      </c>
      <c r="E1553" s="171">
        <v>9205.6</v>
      </c>
    </row>
    <row r="1554" ht="17.25" customHeight="1" spans="4:5">
      <c r="D1554" s="170">
        <v>43955</v>
      </c>
      <c r="E1554" s="171">
        <v>9293.5</v>
      </c>
    </row>
    <row r="1555" ht="17.25" customHeight="1" spans="4:5">
      <c r="D1555" s="170">
        <v>43951</v>
      </c>
      <c r="E1555" s="171">
        <v>9859.9</v>
      </c>
    </row>
    <row r="1556" ht="17.25" customHeight="1" spans="4:5">
      <c r="D1556" s="170">
        <v>43950</v>
      </c>
      <c r="E1556" s="171">
        <v>9553.35</v>
      </c>
    </row>
    <row r="1557" ht="17.25" customHeight="1" spans="4:5">
      <c r="D1557" s="170">
        <v>43949</v>
      </c>
      <c r="E1557" s="171">
        <v>9380.9</v>
      </c>
    </row>
    <row r="1558" ht="17.25" customHeight="1" spans="4:5">
      <c r="D1558" s="170">
        <v>43948</v>
      </c>
      <c r="E1558" s="171">
        <v>9282.3</v>
      </c>
    </row>
    <row r="1559" ht="17.25" customHeight="1" spans="4:5">
      <c r="D1559" s="170">
        <v>43945</v>
      </c>
      <c r="E1559" s="171">
        <v>9154.4</v>
      </c>
    </row>
    <row r="1560" ht="17.25" customHeight="1" spans="4:5">
      <c r="D1560" s="170">
        <v>43944</v>
      </c>
      <c r="E1560" s="171">
        <v>9313.9</v>
      </c>
    </row>
    <row r="1561" ht="17.25" customHeight="1" spans="4:5">
      <c r="D1561" s="170">
        <v>43943</v>
      </c>
      <c r="E1561" s="171">
        <v>9187.3</v>
      </c>
    </row>
    <row r="1562" ht="17.25" customHeight="1" spans="4:5">
      <c r="D1562" s="170">
        <v>43942</v>
      </c>
      <c r="E1562" s="171">
        <v>8981.45</v>
      </c>
    </row>
    <row r="1563" ht="17.25" customHeight="1" spans="4:5">
      <c r="D1563" s="170">
        <v>43941</v>
      </c>
      <c r="E1563" s="171">
        <v>9261.85</v>
      </c>
    </row>
    <row r="1564" ht="17.25" customHeight="1" spans="4:5">
      <c r="D1564" s="170">
        <v>43938</v>
      </c>
      <c r="E1564" s="171">
        <v>9266.75</v>
      </c>
    </row>
    <row r="1565" ht="17.25" customHeight="1" spans="4:5">
      <c r="D1565" s="170">
        <v>43937</v>
      </c>
      <c r="E1565" s="171">
        <v>8992.8</v>
      </c>
    </row>
    <row r="1566" ht="17.25" customHeight="1" spans="4:5">
      <c r="D1566" s="170">
        <v>43936</v>
      </c>
      <c r="E1566" s="171">
        <v>8925.3</v>
      </c>
    </row>
    <row r="1567" ht="17.25" customHeight="1" spans="4:5">
      <c r="D1567" s="170">
        <v>43934</v>
      </c>
      <c r="E1567" s="171">
        <v>8993.85</v>
      </c>
    </row>
    <row r="1568" ht="17.25" customHeight="1" spans="4:5">
      <c r="D1568" s="170">
        <v>43930</v>
      </c>
      <c r="E1568" s="171">
        <v>9111.9</v>
      </c>
    </row>
    <row r="1569" ht="17.25" customHeight="1" spans="4:5">
      <c r="D1569" s="170">
        <v>43929</v>
      </c>
      <c r="E1569" s="171">
        <v>8748.75</v>
      </c>
    </row>
    <row r="1570" ht="17.25" customHeight="1" spans="4:5">
      <c r="D1570" s="170">
        <v>43928</v>
      </c>
      <c r="E1570" s="171">
        <v>8792.2</v>
      </c>
    </row>
    <row r="1571" ht="17.25" customHeight="1" spans="4:5">
      <c r="D1571" s="170">
        <v>43924</v>
      </c>
      <c r="E1571" s="171">
        <v>8083.8</v>
      </c>
    </row>
    <row r="1572" ht="17.25" customHeight="1" spans="4:5">
      <c r="D1572" s="170">
        <v>43922</v>
      </c>
      <c r="E1572" s="171">
        <v>8253.8</v>
      </c>
    </row>
    <row r="1573" ht="17.25" customHeight="1" spans="4:5">
      <c r="D1573" s="170">
        <v>43921</v>
      </c>
      <c r="E1573" s="171">
        <v>8597.75</v>
      </c>
    </row>
    <row r="1574" ht="17.25" customHeight="1" spans="4:5">
      <c r="D1574" s="170">
        <v>43920</v>
      </c>
      <c r="E1574" s="171">
        <v>8281.1</v>
      </c>
    </row>
    <row r="1575" ht="17.25" customHeight="1" spans="4:5">
      <c r="D1575" s="170">
        <v>43917</v>
      </c>
      <c r="E1575" s="171">
        <v>8660.25</v>
      </c>
    </row>
    <row r="1576" ht="17.25" customHeight="1" spans="4:5">
      <c r="D1576" s="170">
        <v>43916</v>
      </c>
      <c r="E1576" s="171">
        <v>8641.45</v>
      </c>
    </row>
    <row r="1577" ht="17.25" customHeight="1" spans="4:5">
      <c r="D1577" s="170">
        <v>43915</v>
      </c>
      <c r="E1577" s="171">
        <v>8317.85</v>
      </c>
    </row>
    <row r="1578" ht="17.25" customHeight="1" spans="4:5">
      <c r="D1578" s="170">
        <v>43914</v>
      </c>
      <c r="E1578" s="171">
        <v>7801.05</v>
      </c>
    </row>
    <row r="1579" ht="17.25" customHeight="1" spans="4:5">
      <c r="D1579" s="170">
        <v>43913</v>
      </c>
      <c r="E1579" s="171">
        <v>7610.25</v>
      </c>
    </row>
    <row r="1580" ht="17.25" customHeight="1" spans="4:5">
      <c r="D1580" s="170">
        <v>43910</v>
      </c>
      <c r="E1580" s="171">
        <v>8745.45</v>
      </c>
    </row>
    <row r="1581" ht="17.25" customHeight="1" spans="4:5">
      <c r="D1581" s="170">
        <v>43909</v>
      </c>
      <c r="E1581" s="171">
        <v>8263.45</v>
      </c>
    </row>
    <row r="1582" ht="17.25" customHeight="1" spans="4:5">
      <c r="D1582" s="170">
        <v>43908</v>
      </c>
      <c r="E1582" s="171">
        <v>8468.8</v>
      </c>
    </row>
    <row r="1583" ht="17.25" customHeight="1" spans="4:5">
      <c r="D1583" s="170">
        <v>43907</v>
      </c>
      <c r="E1583" s="171">
        <v>8967.05</v>
      </c>
    </row>
    <row r="1584" ht="17.25" customHeight="1" spans="4:5">
      <c r="D1584" s="170">
        <v>43906</v>
      </c>
      <c r="E1584" s="171">
        <v>9197.4</v>
      </c>
    </row>
    <row r="1585" ht="17.25" customHeight="1" spans="4:5">
      <c r="D1585" s="170">
        <v>43903</v>
      </c>
      <c r="E1585" s="171">
        <v>9955.2</v>
      </c>
    </row>
    <row r="1586" ht="17.25" customHeight="1" spans="4:5">
      <c r="D1586" s="170">
        <v>43902</v>
      </c>
      <c r="E1586" s="171">
        <v>9590.15</v>
      </c>
    </row>
    <row r="1587" ht="17.25" customHeight="1" spans="4:5">
      <c r="D1587" s="170">
        <v>43901</v>
      </c>
      <c r="E1587" s="171">
        <v>10458.4</v>
      </c>
    </row>
    <row r="1588" ht="17.25" customHeight="1" spans="4:5">
      <c r="D1588" s="170">
        <v>43899</v>
      </c>
      <c r="E1588" s="171">
        <v>10451.45</v>
      </c>
    </row>
    <row r="1589" ht="17.25" customHeight="1" spans="4:5">
      <c r="D1589" s="170">
        <v>43896</v>
      </c>
      <c r="E1589" s="171">
        <v>10989.45</v>
      </c>
    </row>
    <row r="1590" ht="17.25" customHeight="1" spans="4:5">
      <c r="D1590" s="170">
        <v>43895</v>
      </c>
      <c r="E1590" s="171">
        <v>11269</v>
      </c>
    </row>
    <row r="1591" ht="17.25" customHeight="1" spans="4:5">
      <c r="D1591" s="170">
        <v>43894</v>
      </c>
      <c r="E1591" s="171">
        <v>11251</v>
      </c>
    </row>
    <row r="1592" ht="17.25" customHeight="1" spans="4:5">
      <c r="D1592" s="170">
        <v>43893</v>
      </c>
      <c r="E1592" s="171">
        <v>11303.3</v>
      </c>
    </row>
    <row r="1593" ht="17.25" customHeight="1" spans="4:5">
      <c r="D1593" s="170">
        <v>43892</v>
      </c>
      <c r="E1593" s="171">
        <v>11132.75</v>
      </c>
    </row>
    <row r="1594" ht="17.25" customHeight="1" spans="4:5">
      <c r="D1594" s="170">
        <v>43889</v>
      </c>
      <c r="E1594" s="171">
        <v>11201.75</v>
      </c>
    </row>
    <row r="1595" ht="17.25" customHeight="1" spans="4:5">
      <c r="D1595" s="170">
        <v>43888</v>
      </c>
      <c r="E1595" s="171">
        <v>11633.3</v>
      </c>
    </row>
    <row r="1596" ht="17.25" customHeight="1" spans="4:5">
      <c r="D1596" s="170">
        <v>43887</v>
      </c>
      <c r="E1596" s="171">
        <v>11678.5</v>
      </c>
    </row>
    <row r="1597" ht="17.25" customHeight="1" spans="4:5">
      <c r="D1597" s="170">
        <v>43886</v>
      </c>
      <c r="E1597" s="171">
        <v>11797.9</v>
      </c>
    </row>
    <row r="1598" ht="17.25" customHeight="1" spans="4:5">
      <c r="D1598" s="170">
        <v>43885</v>
      </c>
      <c r="E1598" s="171">
        <v>11829.4</v>
      </c>
    </row>
    <row r="1599" ht="17.25" customHeight="1" spans="4:5">
      <c r="D1599" s="170">
        <v>43881</v>
      </c>
      <c r="E1599" s="171">
        <v>12080.85</v>
      </c>
    </row>
    <row r="1600" ht="17.25" customHeight="1" spans="4:5">
      <c r="D1600" s="170">
        <v>43880</v>
      </c>
      <c r="E1600" s="171">
        <v>12125.9</v>
      </c>
    </row>
    <row r="1601" ht="17.25" customHeight="1" spans="4:5">
      <c r="D1601" s="170">
        <v>43879</v>
      </c>
      <c r="E1601" s="171">
        <v>11992.5</v>
      </c>
    </row>
    <row r="1602" ht="17.25" customHeight="1" spans="4:5">
      <c r="D1602" s="170">
        <v>43878</v>
      </c>
      <c r="E1602" s="171">
        <v>12045.8</v>
      </c>
    </row>
    <row r="1603" ht="17.25" customHeight="1" spans="4:5">
      <c r="D1603" s="170">
        <v>43875</v>
      </c>
      <c r="E1603" s="171">
        <v>12113.45</v>
      </c>
    </row>
    <row r="1604" ht="17.25" customHeight="1" spans="4:5">
      <c r="D1604" s="170">
        <v>43874</v>
      </c>
      <c r="E1604" s="171">
        <v>12174.65</v>
      </c>
    </row>
    <row r="1605" ht="17.25" customHeight="1" spans="4:5">
      <c r="D1605" s="170">
        <v>43873</v>
      </c>
      <c r="E1605" s="171">
        <v>12201.2</v>
      </c>
    </row>
    <row r="1606" ht="17.25" customHeight="1" spans="4:5">
      <c r="D1606" s="170">
        <v>43872</v>
      </c>
      <c r="E1606" s="171">
        <v>12107.9</v>
      </c>
    </row>
    <row r="1607" ht="17.25" customHeight="1" spans="4:5">
      <c r="D1607" s="170">
        <v>43871</v>
      </c>
      <c r="E1607" s="171">
        <v>12031.5</v>
      </c>
    </row>
    <row r="1608" ht="17.25" customHeight="1" spans="4:5">
      <c r="D1608" s="170">
        <v>43868</v>
      </c>
      <c r="E1608" s="171">
        <v>12098.35</v>
      </c>
    </row>
    <row r="1609" ht="17.25" customHeight="1" spans="4:5">
      <c r="D1609" s="170">
        <v>43867</v>
      </c>
      <c r="E1609" s="171">
        <v>12137.95</v>
      </c>
    </row>
    <row r="1610" ht="17.25" customHeight="1" spans="4:5">
      <c r="D1610" s="170">
        <v>43866</v>
      </c>
      <c r="E1610" s="171">
        <v>12089.15</v>
      </c>
    </row>
    <row r="1611" ht="17.25" customHeight="1" spans="4:5">
      <c r="D1611" s="170">
        <v>43865</v>
      </c>
      <c r="E1611" s="171">
        <v>11979.65</v>
      </c>
    </row>
    <row r="1612" ht="17.25" customHeight="1" spans="4:5">
      <c r="D1612" s="170">
        <v>43864</v>
      </c>
      <c r="E1612" s="171">
        <v>11707.9</v>
      </c>
    </row>
    <row r="1613" ht="17.25" customHeight="1" spans="4:5">
      <c r="D1613" s="170">
        <v>43862</v>
      </c>
      <c r="E1613" s="171">
        <v>11661.85</v>
      </c>
    </row>
    <row r="1614" ht="17.25" customHeight="1" spans="4:5">
      <c r="D1614" s="170">
        <v>43861</v>
      </c>
      <c r="E1614" s="171">
        <v>11962.1</v>
      </c>
    </row>
    <row r="1615" ht="17.25" customHeight="1" spans="4:5">
      <c r="D1615" s="170">
        <v>43860</v>
      </c>
      <c r="E1615" s="171">
        <v>12035.8</v>
      </c>
    </row>
    <row r="1616" ht="17.25" customHeight="1" spans="4:5">
      <c r="D1616" s="170">
        <v>43859</v>
      </c>
      <c r="E1616" s="171">
        <v>12129.5</v>
      </c>
    </row>
    <row r="1617" ht="17.25" customHeight="1" spans="4:5">
      <c r="D1617" s="170">
        <v>43858</v>
      </c>
      <c r="E1617" s="171">
        <v>12055.8</v>
      </c>
    </row>
    <row r="1618" ht="17.25" customHeight="1" spans="4:5">
      <c r="D1618" s="170">
        <v>43857</v>
      </c>
      <c r="E1618" s="171">
        <v>12119</v>
      </c>
    </row>
    <row r="1619" ht="17.25" customHeight="1" spans="4:5">
      <c r="D1619" s="170">
        <v>43854</v>
      </c>
      <c r="E1619" s="171">
        <v>12248.25</v>
      </c>
    </row>
    <row r="1620" ht="17.25" customHeight="1" spans="4:5">
      <c r="D1620" s="170">
        <v>43853</v>
      </c>
      <c r="E1620" s="171">
        <v>12180.35</v>
      </c>
    </row>
    <row r="1621" ht="17.25" customHeight="1" spans="4:5">
      <c r="D1621" s="170">
        <v>43852</v>
      </c>
      <c r="E1621" s="171">
        <v>12106.9</v>
      </c>
    </row>
    <row r="1622" ht="17.25" customHeight="1" spans="4:5">
      <c r="D1622" s="170">
        <v>43851</v>
      </c>
      <c r="E1622" s="171">
        <v>12169.85</v>
      </c>
    </row>
    <row r="1623" ht="17.25" customHeight="1" spans="4:5">
      <c r="D1623" s="170">
        <v>43850</v>
      </c>
      <c r="E1623" s="171">
        <v>12224.55</v>
      </c>
    </row>
    <row r="1624" ht="17.25" customHeight="1" spans="4:5">
      <c r="D1624" s="170">
        <v>43847</v>
      </c>
      <c r="E1624" s="171">
        <v>12352.35</v>
      </c>
    </row>
    <row r="1625" ht="17.25" customHeight="1" spans="4:5">
      <c r="D1625" s="170">
        <v>43846</v>
      </c>
      <c r="E1625" s="171">
        <v>12355.5</v>
      </c>
    </row>
    <row r="1626" ht="17.25" customHeight="1" spans="4:5">
      <c r="D1626" s="170">
        <v>43845</v>
      </c>
      <c r="E1626" s="171">
        <v>12343.3</v>
      </c>
    </row>
    <row r="1627" ht="17.25" customHeight="1" spans="4:5">
      <c r="D1627" s="170">
        <v>43844</v>
      </c>
      <c r="E1627" s="171">
        <v>12362.3</v>
      </c>
    </row>
    <row r="1628" ht="17.25" customHeight="1" spans="4:5">
      <c r="D1628" s="170">
        <v>43843</v>
      </c>
      <c r="E1628" s="171">
        <v>12329.55</v>
      </c>
    </row>
    <row r="1629" ht="17.25" customHeight="1" spans="4:5">
      <c r="D1629" s="170">
        <v>43840</v>
      </c>
      <c r="E1629" s="171">
        <v>12256.8</v>
      </c>
    </row>
    <row r="1630" ht="17.25" customHeight="1" spans="4:5">
      <c r="D1630" s="170">
        <v>43839</v>
      </c>
      <c r="E1630" s="171">
        <v>12215.9</v>
      </c>
    </row>
    <row r="1631" ht="17.25" customHeight="1" spans="4:5">
      <c r="D1631" s="170">
        <v>43838</v>
      </c>
      <c r="E1631" s="171">
        <v>12025.35</v>
      </c>
    </row>
    <row r="1632" ht="17.25" customHeight="1" spans="4:5">
      <c r="D1632" s="170">
        <v>43837</v>
      </c>
      <c r="E1632" s="171">
        <v>12052.95</v>
      </c>
    </row>
    <row r="1633" ht="17.25" customHeight="1" spans="4:5">
      <c r="D1633" s="170">
        <v>43836</v>
      </c>
      <c r="E1633" s="171">
        <v>11993.05</v>
      </c>
    </row>
    <row r="1634" ht="17.25" customHeight="1" spans="4:5">
      <c r="D1634" s="170">
        <v>43833</v>
      </c>
      <c r="E1634" s="171">
        <v>12226.65</v>
      </c>
    </row>
    <row r="1635" ht="17.25" customHeight="1" spans="4:5">
      <c r="D1635" s="170">
        <v>43832</v>
      </c>
      <c r="E1635" s="171">
        <v>12282.2</v>
      </c>
    </row>
    <row r="1636" ht="17.25" customHeight="1" spans="4:5">
      <c r="D1636" s="170">
        <v>43831</v>
      </c>
      <c r="E1636" s="171">
        <v>12182.5</v>
      </c>
    </row>
    <row r="1637" ht="17.25" customHeight="1" spans="4:5">
      <c r="D1637" s="170">
        <v>43830</v>
      </c>
      <c r="E1637" s="171">
        <v>12168.45</v>
      </c>
    </row>
    <row r="1638" ht="17.25" customHeight="1" spans="4:5">
      <c r="D1638" s="170">
        <v>43829</v>
      </c>
      <c r="E1638" s="171">
        <v>12255.85</v>
      </c>
    </row>
    <row r="1639" ht="17.25" customHeight="1" spans="4:5">
      <c r="D1639" s="170">
        <v>43826</v>
      </c>
      <c r="E1639" s="171">
        <v>12245.8</v>
      </c>
    </row>
    <row r="1640" ht="17.25" customHeight="1" spans="4:5">
      <c r="D1640" s="170">
        <v>43825</v>
      </c>
      <c r="E1640" s="171">
        <v>12126.55</v>
      </c>
    </row>
    <row r="1641" ht="17.25" customHeight="1" spans="4:5">
      <c r="D1641" s="170">
        <v>43823</v>
      </c>
      <c r="E1641" s="171">
        <v>12214.55</v>
      </c>
    </row>
    <row r="1642" ht="17.25" customHeight="1" spans="4:5">
      <c r="D1642" s="170">
        <v>43822</v>
      </c>
      <c r="E1642" s="171">
        <v>12262.75</v>
      </c>
    </row>
    <row r="1643" ht="17.25" customHeight="1" spans="4:5">
      <c r="D1643" s="170">
        <v>43819</v>
      </c>
      <c r="E1643" s="171">
        <v>12271.8</v>
      </c>
    </row>
    <row r="1644" ht="17.25" customHeight="1" spans="4:5">
      <c r="D1644" s="170">
        <v>43818</v>
      </c>
      <c r="E1644" s="171">
        <v>12259.7</v>
      </c>
    </row>
    <row r="1645" ht="17.25" customHeight="1" spans="4:5">
      <c r="D1645" s="170">
        <v>43817</v>
      </c>
      <c r="E1645" s="171">
        <v>12221.65</v>
      </c>
    </row>
    <row r="1646" ht="17.25" customHeight="1" spans="4:5">
      <c r="D1646" s="170">
        <v>43816</v>
      </c>
      <c r="E1646" s="171">
        <v>12165</v>
      </c>
    </row>
    <row r="1647" ht="17.25" customHeight="1" spans="4:5">
      <c r="D1647" s="170">
        <v>43815</v>
      </c>
      <c r="E1647" s="171">
        <v>12053.95</v>
      </c>
    </row>
    <row r="1648" ht="17.25" customHeight="1" spans="4:5">
      <c r="D1648" s="170">
        <v>43812</v>
      </c>
      <c r="E1648" s="171">
        <v>12086.7</v>
      </c>
    </row>
    <row r="1649" ht="17.25" customHeight="1" spans="4:5">
      <c r="D1649" s="170">
        <v>43811</v>
      </c>
      <c r="E1649" s="171">
        <v>11971.8</v>
      </c>
    </row>
    <row r="1650" ht="17.25" customHeight="1" spans="4:5">
      <c r="D1650" s="170">
        <v>43810</v>
      </c>
      <c r="E1650" s="171">
        <v>11910.15</v>
      </c>
    </row>
    <row r="1651" ht="17.25" customHeight="1" spans="4:5">
      <c r="D1651" s="170">
        <v>43809</v>
      </c>
      <c r="E1651" s="171">
        <v>11856.8</v>
      </c>
    </row>
    <row r="1652" ht="17.25" customHeight="1" spans="4:5">
      <c r="D1652" s="170">
        <v>43808</v>
      </c>
      <c r="E1652" s="171">
        <v>11937.5</v>
      </c>
    </row>
    <row r="1653" ht="17.25" customHeight="1" spans="4:5">
      <c r="D1653" s="170">
        <v>43805</v>
      </c>
      <c r="E1653" s="171">
        <v>11921.5</v>
      </c>
    </row>
    <row r="1654" ht="17.25" customHeight="1" spans="4:5">
      <c r="D1654" s="170">
        <v>43804</v>
      </c>
      <c r="E1654" s="171">
        <v>12018.4</v>
      </c>
    </row>
    <row r="1655" ht="17.25" customHeight="1" spans="4:5">
      <c r="D1655" s="170">
        <v>43803</v>
      </c>
      <c r="E1655" s="171">
        <v>12043.2</v>
      </c>
    </row>
    <row r="1656" ht="17.25" customHeight="1" spans="4:5">
      <c r="D1656" s="170">
        <v>43802</v>
      </c>
      <c r="E1656" s="171">
        <v>11994.2</v>
      </c>
    </row>
    <row r="1657" ht="17.25" customHeight="1" spans="4:5">
      <c r="D1657" s="170">
        <v>43801</v>
      </c>
      <c r="E1657" s="171">
        <v>12048.2</v>
      </c>
    </row>
    <row r="1658" ht="17.25" customHeight="1" spans="4:5">
      <c r="D1658" s="170">
        <v>43798</v>
      </c>
      <c r="E1658" s="171">
        <v>12056.05</v>
      </c>
    </row>
    <row r="1659" ht="17.25" customHeight="1" spans="4:5">
      <c r="D1659" s="170">
        <v>43797</v>
      </c>
      <c r="E1659" s="171">
        <v>12151.15</v>
      </c>
    </row>
    <row r="1660" ht="17.25" customHeight="1" spans="4:5">
      <c r="D1660" s="170">
        <v>43796</v>
      </c>
      <c r="E1660" s="171">
        <v>12100.7</v>
      </c>
    </row>
    <row r="1661" ht="17.25" customHeight="1" spans="4:5">
      <c r="D1661" s="170">
        <v>43795</v>
      </c>
      <c r="E1661" s="171">
        <v>12037.7</v>
      </c>
    </row>
    <row r="1662" ht="17.25" customHeight="1" spans="4:5">
      <c r="D1662" s="170">
        <v>43794</v>
      </c>
      <c r="E1662" s="171">
        <v>12073.75</v>
      </c>
    </row>
    <row r="1663" ht="17.25" customHeight="1" spans="4:5">
      <c r="D1663" s="170">
        <v>43791</v>
      </c>
      <c r="E1663" s="171">
        <v>11914.4</v>
      </c>
    </row>
    <row r="1664" ht="17.25" customHeight="1" spans="4:5">
      <c r="D1664" s="170">
        <v>43790</v>
      </c>
      <c r="E1664" s="171">
        <v>11968.4</v>
      </c>
    </row>
    <row r="1665" ht="17.25" customHeight="1" spans="4:5">
      <c r="D1665" s="170">
        <v>43789</v>
      </c>
      <c r="E1665" s="171">
        <v>11999.1</v>
      </c>
    </row>
    <row r="1666" ht="17.25" customHeight="1" spans="4:5">
      <c r="D1666" s="170">
        <v>43788</v>
      </c>
      <c r="E1666" s="171">
        <v>11940.1</v>
      </c>
    </row>
    <row r="1667" ht="17.25" customHeight="1" spans="4:5">
      <c r="D1667" s="170">
        <v>43787</v>
      </c>
      <c r="E1667" s="171">
        <v>11884.5</v>
      </c>
    </row>
    <row r="1668" ht="17.25" customHeight="1" spans="4:5">
      <c r="D1668" s="170">
        <v>43784</v>
      </c>
      <c r="E1668" s="171">
        <v>11895.45</v>
      </c>
    </row>
    <row r="1669" ht="17.25" customHeight="1" spans="4:5">
      <c r="D1669" s="170">
        <v>43783</v>
      </c>
      <c r="E1669" s="171">
        <v>11872.1</v>
      </c>
    </row>
    <row r="1670" ht="17.25" customHeight="1" spans="4:5">
      <c r="D1670" s="170">
        <v>43782</v>
      </c>
      <c r="E1670" s="171">
        <v>11840.45</v>
      </c>
    </row>
    <row r="1671" ht="17.25" customHeight="1" spans="4:5">
      <c r="D1671" s="170">
        <v>43780</v>
      </c>
      <c r="E1671" s="171">
        <v>11913.45</v>
      </c>
    </row>
    <row r="1672" ht="17.25" customHeight="1" spans="4:5">
      <c r="D1672" s="170">
        <v>43777</v>
      </c>
      <c r="E1672" s="171">
        <v>11908.15</v>
      </c>
    </row>
    <row r="1673" ht="17.25" customHeight="1" spans="4:5">
      <c r="D1673" s="170">
        <v>43776</v>
      </c>
      <c r="E1673" s="171">
        <v>12012.05</v>
      </c>
    </row>
    <row r="1674" ht="17.25" customHeight="1" spans="4:5">
      <c r="D1674" s="170">
        <v>43775</v>
      </c>
      <c r="E1674" s="171">
        <v>11966.05</v>
      </c>
    </row>
    <row r="1675" ht="17.25" customHeight="1" spans="4:5">
      <c r="D1675" s="170">
        <v>43774</v>
      </c>
      <c r="E1675" s="171">
        <v>11917.2</v>
      </c>
    </row>
    <row r="1676" ht="17.25" customHeight="1" spans="4:5">
      <c r="D1676" s="170">
        <v>43773</v>
      </c>
      <c r="E1676" s="171">
        <v>11941.3</v>
      </c>
    </row>
    <row r="1677" ht="17.25" customHeight="1" spans="4:5">
      <c r="D1677" s="170">
        <v>43770</v>
      </c>
      <c r="E1677" s="171">
        <v>11890.6</v>
      </c>
    </row>
    <row r="1678" ht="17.25" customHeight="1" spans="4:5">
      <c r="D1678" s="170">
        <v>43769</v>
      </c>
      <c r="E1678" s="171">
        <v>11877.45</v>
      </c>
    </row>
    <row r="1679" ht="17.25" customHeight="1" spans="4:5">
      <c r="D1679" s="170">
        <v>43768</v>
      </c>
      <c r="E1679" s="171">
        <v>11844.1</v>
      </c>
    </row>
    <row r="1680" ht="17.25" customHeight="1" spans="4:5">
      <c r="D1680" s="170">
        <v>43767</v>
      </c>
      <c r="E1680" s="171">
        <v>11786.85</v>
      </c>
    </row>
    <row r="1681" ht="17.25" customHeight="1" spans="4:5">
      <c r="D1681" s="170">
        <v>43765</v>
      </c>
      <c r="E1681" s="171">
        <v>11627.15</v>
      </c>
    </row>
    <row r="1682" ht="17.25" customHeight="1" spans="4:5">
      <c r="D1682" s="170">
        <v>43763</v>
      </c>
      <c r="E1682" s="171">
        <v>11583.9</v>
      </c>
    </row>
    <row r="1683" ht="17.25" customHeight="1" spans="4:5">
      <c r="D1683" s="170">
        <v>43762</v>
      </c>
      <c r="E1683" s="171">
        <v>11582.6</v>
      </c>
    </row>
    <row r="1684" ht="17.25" customHeight="1" spans="4:5">
      <c r="D1684" s="170">
        <v>43761</v>
      </c>
      <c r="E1684" s="171">
        <v>11604.1</v>
      </c>
    </row>
    <row r="1685" ht="17.25" customHeight="1" spans="4:5">
      <c r="D1685" s="170">
        <v>43760</v>
      </c>
      <c r="E1685" s="171">
        <v>11588.35</v>
      </c>
    </row>
    <row r="1686" ht="17.25" customHeight="1" spans="4:5">
      <c r="D1686" s="170">
        <v>43756</v>
      </c>
      <c r="E1686" s="171">
        <v>11661.85</v>
      </c>
    </row>
    <row r="1687" ht="17.25" customHeight="1" spans="4:5">
      <c r="D1687" s="170">
        <v>43755</v>
      </c>
      <c r="E1687" s="171">
        <v>11586.35</v>
      </c>
    </row>
    <row r="1688" ht="17.25" customHeight="1" spans="4:5">
      <c r="D1688" s="170">
        <v>43754</v>
      </c>
      <c r="E1688" s="171">
        <v>11464</v>
      </c>
    </row>
    <row r="1689" ht="17.25" customHeight="1" spans="4:5">
      <c r="D1689" s="170">
        <v>43753</v>
      </c>
      <c r="E1689" s="171">
        <v>11428.3</v>
      </c>
    </row>
    <row r="1690" ht="17.25" customHeight="1" spans="4:5">
      <c r="D1690" s="170">
        <v>43752</v>
      </c>
      <c r="E1690" s="171">
        <v>11341.15</v>
      </c>
    </row>
    <row r="1691" ht="17.25" customHeight="1" spans="4:5">
      <c r="D1691" s="170">
        <v>43749</v>
      </c>
      <c r="E1691" s="171">
        <v>11305.05</v>
      </c>
    </row>
    <row r="1692" ht="17.25" customHeight="1" spans="4:5">
      <c r="D1692" s="170">
        <v>43748</v>
      </c>
      <c r="E1692" s="171">
        <v>11234.55</v>
      </c>
    </row>
    <row r="1693" ht="17.25" customHeight="1" spans="4:5">
      <c r="D1693" s="170">
        <v>43747</v>
      </c>
      <c r="E1693" s="171">
        <v>11313.3</v>
      </c>
    </row>
    <row r="1694" ht="17.25" customHeight="1" spans="4:5">
      <c r="D1694" s="170">
        <v>43745</v>
      </c>
      <c r="E1694" s="171">
        <v>11126.4</v>
      </c>
    </row>
    <row r="1695" ht="17.25" customHeight="1" spans="4:5">
      <c r="D1695" s="170">
        <v>43742</v>
      </c>
      <c r="E1695" s="171">
        <v>11174.75</v>
      </c>
    </row>
    <row r="1696" ht="17.25" customHeight="1" spans="4:5">
      <c r="D1696" s="170">
        <v>43741</v>
      </c>
      <c r="E1696" s="171">
        <v>11314</v>
      </c>
    </row>
    <row r="1697" ht="17.25" customHeight="1" spans="4:5">
      <c r="D1697" s="170">
        <v>43739</v>
      </c>
      <c r="E1697" s="171">
        <v>11359.9</v>
      </c>
    </row>
    <row r="1698" ht="17.25" customHeight="1" spans="4:5">
      <c r="D1698" s="170">
        <v>43738</v>
      </c>
      <c r="E1698" s="171">
        <v>11474.45</v>
      </c>
    </row>
    <row r="1699" ht="17.25" customHeight="1" spans="4:5">
      <c r="D1699" s="170">
        <v>43735</v>
      </c>
      <c r="E1699" s="171">
        <v>11512.4</v>
      </c>
    </row>
    <row r="1700" ht="17.25" customHeight="1" spans="4:5">
      <c r="D1700" s="170">
        <v>43734</v>
      </c>
      <c r="E1700" s="171">
        <v>11571.2</v>
      </c>
    </row>
    <row r="1701" ht="17.25" customHeight="1" spans="4:5">
      <c r="D1701" s="170">
        <v>43733</v>
      </c>
      <c r="E1701" s="171">
        <v>11440.2</v>
      </c>
    </row>
    <row r="1702" ht="17.25" customHeight="1" spans="4:5">
      <c r="D1702" s="170">
        <v>43732</v>
      </c>
      <c r="E1702" s="171">
        <v>11588.2</v>
      </c>
    </row>
    <row r="1703" ht="17.25" customHeight="1" spans="4:5">
      <c r="D1703" s="170">
        <v>43731</v>
      </c>
      <c r="E1703" s="171">
        <v>11600.2</v>
      </c>
    </row>
    <row r="1704" ht="17.25" customHeight="1" spans="4:5">
      <c r="D1704" s="170">
        <v>43728</v>
      </c>
      <c r="E1704" s="171">
        <v>11274.2</v>
      </c>
    </row>
    <row r="1705" ht="17.25" customHeight="1" spans="4:5">
      <c r="D1705" s="170">
        <v>43727</v>
      </c>
      <c r="E1705" s="171">
        <v>10704.8</v>
      </c>
    </row>
    <row r="1706" ht="17.25" customHeight="1" spans="4:5">
      <c r="D1706" s="170">
        <v>43726</v>
      </c>
      <c r="E1706" s="171">
        <v>10840.65</v>
      </c>
    </row>
    <row r="1707" ht="17.25" customHeight="1" spans="4:5">
      <c r="D1707" s="170">
        <v>43725</v>
      </c>
      <c r="E1707" s="171">
        <v>10817.6</v>
      </c>
    </row>
    <row r="1708" ht="17.25" customHeight="1" spans="4:5">
      <c r="D1708" s="170">
        <v>43724</v>
      </c>
      <c r="E1708" s="171">
        <v>11003.5</v>
      </c>
    </row>
    <row r="1709" ht="17.25" customHeight="1" spans="4:5">
      <c r="D1709" s="170">
        <v>43721</v>
      </c>
      <c r="E1709" s="171">
        <v>11075.9</v>
      </c>
    </row>
    <row r="1710" ht="17.25" customHeight="1" spans="4:5">
      <c r="D1710" s="170">
        <v>43720</v>
      </c>
      <c r="E1710" s="171">
        <v>10982.8</v>
      </c>
    </row>
    <row r="1711" ht="17.25" customHeight="1" spans="4:5">
      <c r="D1711" s="170">
        <v>43719</v>
      </c>
      <c r="E1711" s="171">
        <v>11035.7</v>
      </c>
    </row>
    <row r="1712" ht="17.25" customHeight="1" spans="4:5">
      <c r="D1712" s="170">
        <v>43717</v>
      </c>
      <c r="E1712" s="171">
        <v>11003.05</v>
      </c>
    </row>
    <row r="1713" ht="17.25" customHeight="1" spans="4:5">
      <c r="D1713" s="170">
        <v>43714</v>
      </c>
      <c r="E1713" s="171">
        <v>10946.2</v>
      </c>
    </row>
    <row r="1714" ht="17.25" customHeight="1" spans="4:5">
      <c r="D1714" s="170">
        <v>43713</v>
      </c>
      <c r="E1714" s="171">
        <v>10847.9</v>
      </c>
    </row>
    <row r="1715" ht="17.25" customHeight="1" spans="4:5">
      <c r="D1715" s="170">
        <v>43712</v>
      </c>
      <c r="E1715" s="171">
        <v>10844.65</v>
      </c>
    </row>
    <row r="1716" ht="17.25" customHeight="1" spans="4:5">
      <c r="D1716" s="170">
        <v>43711</v>
      </c>
      <c r="E1716" s="171">
        <v>10797.9</v>
      </c>
    </row>
    <row r="1717" ht="17.25" customHeight="1" spans="4:5">
      <c r="D1717" s="170">
        <v>43707</v>
      </c>
      <c r="E1717" s="171">
        <v>11023.25</v>
      </c>
    </row>
    <row r="1718" ht="17.25" customHeight="1" spans="4:5">
      <c r="D1718" s="170">
        <v>43706</v>
      </c>
      <c r="E1718" s="171">
        <v>10948.3</v>
      </c>
    </row>
    <row r="1719" ht="17.25" customHeight="1" spans="4:5">
      <c r="D1719" s="170">
        <v>43705</v>
      </c>
      <c r="E1719" s="171">
        <v>11046.1</v>
      </c>
    </row>
    <row r="1720" ht="17.25" customHeight="1" spans="4:5">
      <c r="D1720" s="170">
        <v>43704</v>
      </c>
      <c r="E1720" s="171">
        <v>11105.35</v>
      </c>
    </row>
    <row r="1721" ht="17.25" customHeight="1" spans="4:5">
      <c r="D1721" s="170">
        <v>43703</v>
      </c>
      <c r="E1721" s="171">
        <v>11057.85</v>
      </c>
    </row>
    <row r="1722" ht="17.25" customHeight="1" spans="4:5">
      <c r="D1722" s="170">
        <v>43700</v>
      </c>
      <c r="E1722" s="171">
        <v>10829.35</v>
      </c>
    </row>
    <row r="1723" ht="17.25" customHeight="1" spans="4:5">
      <c r="D1723" s="170">
        <v>43699</v>
      </c>
      <c r="E1723" s="171">
        <v>10741.35</v>
      </c>
    </row>
    <row r="1724" ht="17.25" customHeight="1" spans="4:5">
      <c r="D1724" s="170">
        <v>43698</v>
      </c>
      <c r="E1724" s="171">
        <v>10918.7</v>
      </c>
    </row>
    <row r="1725" ht="17.25" customHeight="1" spans="4:5">
      <c r="D1725" s="170">
        <v>43697</v>
      </c>
      <c r="E1725" s="171">
        <v>11017</v>
      </c>
    </row>
    <row r="1726" ht="17.25" customHeight="1" spans="4:5">
      <c r="D1726" s="170">
        <v>43696</v>
      </c>
      <c r="E1726" s="171">
        <v>11053.9</v>
      </c>
    </row>
    <row r="1727" ht="17.25" customHeight="1" spans="4:5">
      <c r="D1727" s="170">
        <v>43693</v>
      </c>
      <c r="E1727" s="171">
        <v>11047.8</v>
      </c>
    </row>
    <row r="1728" ht="17.25" customHeight="1" spans="4:5">
      <c r="D1728" s="170">
        <v>43691</v>
      </c>
      <c r="E1728" s="171">
        <v>11029.4</v>
      </c>
    </row>
    <row r="1729" ht="17.25" customHeight="1" spans="4:5">
      <c r="D1729" s="170">
        <v>43690</v>
      </c>
      <c r="E1729" s="171">
        <v>10925.85</v>
      </c>
    </row>
    <row r="1730" ht="17.25" customHeight="1" spans="4:5">
      <c r="D1730" s="170">
        <v>43686</v>
      </c>
      <c r="E1730" s="171">
        <v>11109.65</v>
      </c>
    </row>
    <row r="1731" ht="17.25" customHeight="1" spans="4:5">
      <c r="D1731" s="170">
        <v>43685</v>
      </c>
      <c r="E1731" s="171">
        <v>11032.45</v>
      </c>
    </row>
    <row r="1732" ht="17.25" customHeight="1" spans="4:5">
      <c r="D1732" s="170">
        <v>43684</v>
      </c>
      <c r="E1732" s="171">
        <v>10855.5</v>
      </c>
    </row>
    <row r="1733" ht="17.25" customHeight="1" spans="4:5">
      <c r="D1733" s="170">
        <v>43683</v>
      </c>
      <c r="E1733" s="171">
        <v>10948.25</v>
      </c>
    </row>
    <row r="1734" ht="17.25" customHeight="1" spans="4:5">
      <c r="D1734" s="170">
        <v>43682</v>
      </c>
      <c r="E1734" s="171">
        <v>10862.6</v>
      </c>
    </row>
    <row r="1735" ht="17.25" customHeight="1" spans="4:5">
      <c r="D1735" s="170">
        <v>43679</v>
      </c>
      <c r="E1735" s="171">
        <v>10997.35</v>
      </c>
    </row>
    <row r="1736" ht="17.25" customHeight="1" spans="4:5">
      <c r="D1736" s="170">
        <v>43678</v>
      </c>
      <c r="E1736" s="171">
        <v>10980</v>
      </c>
    </row>
    <row r="1737" ht="17.25" customHeight="1" spans="4:5">
      <c r="D1737" s="170">
        <v>43677</v>
      </c>
      <c r="E1737" s="171">
        <v>11118</v>
      </c>
    </row>
    <row r="1738" ht="17.25" customHeight="1" spans="4:5">
      <c r="D1738" s="170">
        <v>43676</v>
      </c>
      <c r="E1738" s="171">
        <v>11085.4</v>
      </c>
    </row>
    <row r="1739" ht="17.25" customHeight="1" spans="4:5">
      <c r="D1739" s="170">
        <v>43675</v>
      </c>
      <c r="E1739" s="171">
        <v>11189.2</v>
      </c>
    </row>
    <row r="1740" ht="17.25" customHeight="1" spans="4:5">
      <c r="D1740" s="170">
        <v>43672</v>
      </c>
      <c r="E1740" s="171">
        <v>11284.3</v>
      </c>
    </row>
    <row r="1741" ht="17.25" customHeight="1" spans="4:5">
      <c r="D1741" s="170">
        <v>43671</v>
      </c>
      <c r="E1741" s="171">
        <v>11252.15</v>
      </c>
    </row>
    <row r="1742" ht="17.25" customHeight="1" spans="4:5">
      <c r="D1742" s="170">
        <v>43670</v>
      </c>
      <c r="E1742" s="171">
        <v>11271.3</v>
      </c>
    </row>
    <row r="1743" ht="17.25" customHeight="1" spans="4:5">
      <c r="D1743" s="170">
        <v>43669</v>
      </c>
      <c r="E1743" s="171">
        <v>11331.05</v>
      </c>
    </row>
    <row r="1744" ht="17.25" customHeight="1" spans="4:5">
      <c r="D1744" s="170">
        <v>43668</v>
      </c>
      <c r="E1744" s="171">
        <v>11346.2</v>
      </c>
    </row>
    <row r="1745" ht="17.25" customHeight="1" spans="4:5">
      <c r="D1745" s="170">
        <v>43665</v>
      </c>
      <c r="E1745" s="171">
        <v>11419.25</v>
      </c>
    </row>
    <row r="1746" ht="17.25" customHeight="1" spans="4:5">
      <c r="D1746" s="170">
        <v>43664</v>
      </c>
      <c r="E1746" s="171">
        <v>11596.9</v>
      </c>
    </row>
    <row r="1747" ht="17.25" customHeight="1" spans="4:5">
      <c r="D1747" s="170">
        <v>43663</v>
      </c>
      <c r="E1747" s="171">
        <v>11687.5</v>
      </c>
    </row>
    <row r="1748" ht="17.25" customHeight="1" spans="4:5">
      <c r="D1748" s="170">
        <v>43662</v>
      </c>
      <c r="E1748" s="171">
        <v>11662.6</v>
      </c>
    </row>
    <row r="1749" ht="17.25" customHeight="1" spans="4:5">
      <c r="D1749" s="170">
        <v>43661</v>
      </c>
      <c r="E1749" s="171">
        <v>11588.35</v>
      </c>
    </row>
    <row r="1750" ht="17.25" customHeight="1" spans="4:5">
      <c r="D1750" s="170">
        <v>43658</v>
      </c>
      <c r="E1750" s="171">
        <v>11552.5</v>
      </c>
    </row>
    <row r="1751" ht="17.25" customHeight="1" spans="4:5">
      <c r="D1751" s="170">
        <v>43657</v>
      </c>
      <c r="E1751" s="171">
        <v>11582.9</v>
      </c>
    </row>
    <row r="1752" ht="17.25" customHeight="1" spans="4:5">
      <c r="D1752" s="170">
        <v>43656</v>
      </c>
      <c r="E1752" s="171">
        <v>11498.9</v>
      </c>
    </row>
    <row r="1753" ht="17.25" customHeight="1" spans="4:5">
      <c r="D1753" s="170">
        <v>43655</v>
      </c>
      <c r="E1753" s="171">
        <v>11555.9</v>
      </c>
    </row>
    <row r="1754" ht="17.25" customHeight="1" spans="4:5">
      <c r="D1754" s="170">
        <v>43654</v>
      </c>
      <c r="E1754" s="171">
        <v>11558.6</v>
      </c>
    </row>
    <row r="1755" ht="17.25" customHeight="1" spans="4:5">
      <c r="D1755" s="170">
        <v>43651</v>
      </c>
      <c r="E1755" s="171">
        <v>11811.15</v>
      </c>
    </row>
    <row r="1756" ht="17.25" customHeight="1" spans="4:5">
      <c r="D1756" s="170">
        <v>43650</v>
      </c>
      <c r="E1756" s="171">
        <v>11946.75</v>
      </c>
    </row>
    <row r="1757" ht="17.25" customHeight="1" spans="4:5">
      <c r="D1757" s="170">
        <v>43649</v>
      </c>
      <c r="E1757" s="171">
        <v>11916.75</v>
      </c>
    </row>
    <row r="1758" ht="17.25" customHeight="1" spans="4:5">
      <c r="D1758" s="170">
        <v>43648</v>
      </c>
      <c r="E1758" s="171">
        <v>11910.3</v>
      </c>
    </row>
    <row r="1759" ht="17.25" customHeight="1" spans="4:5">
      <c r="D1759" s="170">
        <v>43647</v>
      </c>
      <c r="E1759" s="171">
        <v>11865.6</v>
      </c>
    </row>
    <row r="1760" ht="17.25" customHeight="1" spans="4:5">
      <c r="D1760" s="170">
        <v>43644</v>
      </c>
      <c r="E1760" s="171">
        <v>11788.85</v>
      </c>
    </row>
    <row r="1761" ht="17.25" customHeight="1" spans="4:5">
      <c r="D1761" s="170">
        <v>43643</v>
      </c>
      <c r="E1761" s="171">
        <v>11841.55</v>
      </c>
    </row>
    <row r="1762" ht="17.25" customHeight="1" spans="4:5">
      <c r="D1762" s="170">
        <v>43642</v>
      </c>
      <c r="E1762" s="171">
        <v>11847.55</v>
      </c>
    </row>
    <row r="1763" ht="17.25" customHeight="1" spans="4:5">
      <c r="D1763" s="170">
        <v>43641</v>
      </c>
      <c r="E1763" s="171">
        <v>11796.45</v>
      </c>
    </row>
    <row r="1764" ht="17.25" customHeight="1" spans="4:5">
      <c r="D1764" s="170">
        <v>43640</v>
      </c>
      <c r="E1764" s="171">
        <v>11699.65</v>
      </c>
    </row>
    <row r="1765" ht="17.25" customHeight="1" spans="4:5">
      <c r="D1765" s="170">
        <v>43637</v>
      </c>
      <c r="E1765" s="171">
        <v>11724.1</v>
      </c>
    </row>
    <row r="1766" ht="17.25" customHeight="1" spans="4:5">
      <c r="D1766" s="170">
        <v>43636</v>
      </c>
      <c r="E1766" s="171">
        <v>11831.75</v>
      </c>
    </row>
    <row r="1767" ht="17.25" customHeight="1" spans="4:5">
      <c r="D1767" s="170">
        <v>43635</v>
      </c>
      <c r="E1767" s="171">
        <v>11691.45</v>
      </c>
    </row>
    <row r="1768" ht="17.25" customHeight="1" spans="4:5">
      <c r="D1768" s="170">
        <v>43634</v>
      </c>
      <c r="E1768" s="171">
        <v>11691.5</v>
      </c>
    </row>
    <row r="1769" ht="17.25" customHeight="1" spans="4:5">
      <c r="D1769" s="170">
        <v>43633</v>
      </c>
      <c r="E1769" s="171">
        <v>11672.15</v>
      </c>
    </row>
    <row r="1770" ht="17.25" customHeight="1" spans="4:5">
      <c r="D1770" s="170">
        <v>43630</v>
      </c>
      <c r="E1770" s="171">
        <v>11823.3</v>
      </c>
    </row>
    <row r="1771" ht="17.25" customHeight="1" spans="4:5">
      <c r="D1771" s="170">
        <v>43629</v>
      </c>
      <c r="E1771" s="171">
        <v>11914.05</v>
      </c>
    </row>
    <row r="1772" ht="17.25" customHeight="1" spans="4:5">
      <c r="D1772" s="170">
        <v>43628</v>
      </c>
      <c r="E1772" s="171">
        <v>11906.2</v>
      </c>
    </row>
    <row r="1773" ht="17.25" customHeight="1" spans="4:5">
      <c r="D1773" s="170">
        <v>43627</v>
      </c>
      <c r="E1773" s="171">
        <v>11965.6</v>
      </c>
    </row>
    <row r="1774" ht="17.25" customHeight="1" spans="4:5">
      <c r="D1774" s="170">
        <v>43626</v>
      </c>
      <c r="E1774" s="171">
        <v>11922.7</v>
      </c>
    </row>
    <row r="1775" ht="17.25" customHeight="1" spans="4:5">
      <c r="D1775" s="170">
        <v>43623</v>
      </c>
      <c r="E1775" s="171">
        <v>11870.65</v>
      </c>
    </row>
    <row r="1776" ht="17.25" customHeight="1" spans="4:5">
      <c r="D1776" s="170">
        <v>43622</v>
      </c>
      <c r="E1776" s="171">
        <v>11843.75</v>
      </c>
    </row>
    <row r="1777" ht="17.25" customHeight="1" spans="4:5">
      <c r="D1777" s="170">
        <v>43620</v>
      </c>
      <c r="E1777" s="171">
        <v>12021.65</v>
      </c>
    </row>
    <row r="1778" ht="17.25" customHeight="1" spans="4:5">
      <c r="D1778" s="170">
        <v>43619</v>
      </c>
      <c r="E1778" s="171">
        <v>12088.55</v>
      </c>
    </row>
    <row r="1779" ht="17.25" customHeight="1" spans="4:5">
      <c r="D1779" s="170">
        <v>43616</v>
      </c>
      <c r="E1779" s="171">
        <v>11922.8</v>
      </c>
    </row>
    <row r="1780" ht="17.25" customHeight="1" spans="4:5">
      <c r="D1780" s="170">
        <v>43615</v>
      </c>
      <c r="E1780" s="171">
        <v>11945.9</v>
      </c>
    </row>
    <row r="1781" ht="17.25" customHeight="1" spans="4:5">
      <c r="D1781" s="170">
        <v>43614</v>
      </c>
      <c r="E1781" s="171">
        <v>11861.1</v>
      </c>
    </row>
    <row r="1782" ht="17.25" customHeight="1" spans="4:5">
      <c r="D1782" s="170">
        <v>43613</v>
      </c>
      <c r="E1782" s="171">
        <v>11928.75</v>
      </c>
    </row>
    <row r="1783" ht="17.25" customHeight="1" spans="4:5">
      <c r="D1783" s="170">
        <v>43612</v>
      </c>
      <c r="E1783" s="171">
        <v>11924.75</v>
      </c>
    </row>
    <row r="1784" ht="17.25" customHeight="1" spans="4:5">
      <c r="D1784" s="170">
        <v>43609</v>
      </c>
      <c r="E1784" s="171">
        <v>11844.1</v>
      </c>
    </row>
    <row r="1785" ht="17.25" customHeight="1" spans="4:5">
      <c r="D1785" s="170">
        <v>43608</v>
      </c>
      <c r="E1785" s="171">
        <v>11657.05</v>
      </c>
    </row>
    <row r="1786" ht="17.25" customHeight="1" spans="4:5">
      <c r="D1786" s="170">
        <v>43607</v>
      </c>
      <c r="E1786" s="171">
        <v>11737.9</v>
      </c>
    </row>
    <row r="1787" ht="17.25" customHeight="1" spans="4:5">
      <c r="D1787" s="170">
        <v>43606</v>
      </c>
      <c r="E1787" s="171">
        <v>11709.1</v>
      </c>
    </row>
    <row r="1788" ht="17.25" customHeight="1" spans="4:5">
      <c r="D1788" s="170">
        <v>43605</v>
      </c>
      <c r="E1788" s="171">
        <v>11828.25</v>
      </c>
    </row>
    <row r="1789" ht="17.25" customHeight="1" spans="4:5">
      <c r="D1789" s="170">
        <v>43602</v>
      </c>
      <c r="E1789" s="171">
        <v>11407.15</v>
      </c>
    </row>
    <row r="1790" ht="17.25" customHeight="1" spans="4:5">
      <c r="D1790" s="170">
        <v>43601</v>
      </c>
      <c r="E1790" s="171">
        <v>11257.1</v>
      </c>
    </row>
    <row r="1791" ht="17.25" customHeight="1" spans="4:5">
      <c r="D1791" s="170">
        <v>43600</v>
      </c>
      <c r="E1791" s="171">
        <v>11157</v>
      </c>
    </row>
    <row r="1792" ht="17.25" customHeight="1" spans="4:5">
      <c r="D1792" s="170">
        <v>43599</v>
      </c>
      <c r="E1792" s="171">
        <v>11222.05</v>
      </c>
    </row>
    <row r="1793" ht="17.25" customHeight="1" spans="4:5">
      <c r="D1793" s="170">
        <v>43598</v>
      </c>
      <c r="E1793" s="171">
        <v>11148.2</v>
      </c>
    </row>
    <row r="1794" ht="17.25" customHeight="1" spans="4:5">
      <c r="D1794" s="170">
        <v>43595</v>
      </c>
      <c r="E1794" s="171">
        <v>11278.9</v>
      </c>
    </row>
    <row r="1795" ht="17.25" customHeight="1" spans="4:5">
      <c r="D1795" s="170">
        <v>43594</v>
      </c>
      <c r="E1795" s="171">
        <v>11301.8</v>
      </c>
    </row>
    <row r="1796" ht="17.25" customHeight="1" spans="4:5">
      <c r="D1796" s="170">
        <v>43593</v>
      </c>
      <c r="E1796" s="171">
        <v>11359.45</v>
      </c>
    </row>
    <row r="1797" ht="17.25" customHeight="1" spans="4:5">
      <c r="D1797" s="170">
        <v>43592</v>
      </c>
      <c r="E1797" s="171">
        <v>11497.9</v>
      </c>
    </row>
    <row r="1798" ht="17.25" customHeight="1" spans="4:5">
      <c r="D1798" s="170">
        <v>43591</v>
      </c>
      <c r="E1798" s="171">
        <v>11598.25</v>
      </c>
    </row>
    <row r="1799" ht="17.25" customHeight="1" spans="4:5">
      <c r="D1799" s="170">
        <v>43588</v>
      </c>
      <c r="E1799" s="171">
        <v>11712.25</v>
      </c>
    </row>
    <row r="1800" ht="17.25" customHeight="1" spans="4:5">
      <c r="D1800" s="170">
        <v>43587</v>
      </c>
      <c r="E1800" s="171">
        <v>11724.75</v>
      </c>
    </row>
    <row r="1801" ht="17.25" customHeight="1" spans="4:5">
      <c r="D1801" s="170">
        <v>43585</v>
      </c>
      <c r="E1801" s="171">
        <v>11748.15</v>
      </c>
    </row>
    <row r="1802" ht="17.25" customHeight="1" spans="4:5">
      <c r="D1802" s="170">
        <v>43581</v>
      </c>
      <c r="E1802" s="171">
        <v>11754.65</v>
      </c>
    </row>
    <row r="1803" ht="17.25" customHeight="1" spans="4:5">
      <c r="D1803" s="170">
        <v>43580</v>
      </c>
      <c r="E1803" s="171">
        <v>11641.8</v>
      </c>
    </row>
    <row r="1804" ht="17.25" customHeight="1" spans="4:5">
      <c r="D1804" s="170">
        <v>43579</v>
      </c>
      <c r="E1804" s="171">
        <v>11726.15</v>
      </c>
    </row>
    <row r="1805" ht="17.25" customHeight="1" spans="4:5">
      <c r="D1805" s="170">
        <v>43578</v>
      </c>
      <c r="E1805" s="171">
        <v>11575.95</v>
      </c>
    </row>
    <row r="1806" ht="17.25" customHeight="1" spans="4:5">
      <c r="D1806" s="170">
        <v>43577</v>
      </c>
      <c r="E1806" s="171">
        <v>11594.45</v>
      </c>
    </row>
    <row r="1807" ht="17.25" customHeight="1" spans="4:5">
      <c r="D1807" s="170">
        <v>43573</v>
      </c>
      <c r="E1807" s="171">
        <v>11752.8</v>
      </c>
    </row>
    <row r="1808" ht="17.25" customHeight="1" spans="4:5">
      <c r="D1808" s="170">
        <v>43571</v>
      </c>
      <c r="E1808" s="171">
        <v>11787.15</v>
      </c>
    </row>
    <row r="1809" ht="17.25" customHeight="1" spans="4:5">
      <c r="D1809" s="170">
        <v>43570</v>
      </c>
      <c r="E1809" s="171">
        <v>11690.35</v>
      </c>
    </row>
    <row r="1810" ht="17.25" customHeight="1" spans="4:5">
      <c r="D1810" s="170">
        <v>43567</v>
      </c>
      <c r="E1810" s="171">
        <v>11643.45</v>
      </c>
    </row>
    <row r="1811" ht="17.25" customHeight="1" spans="4:5">
      <c r="D1811" s="170">
        <v>43566</v>
      </c>
      <c r="E1811" s="171">
        <v>11596.7</v>
      </c>
    </row>
    <row r="1812" ht="17.25" customHeight="1" spans="4:5">
      <c r="D1812" s="170">
        <v>43565</v>
      </c>
      <c r="E1812" s="171">
        <v>11584.3</v>
      </c>
    </row>
    <row r="1813" ht="17.25" customHeight="1" spans="4:5">
      <c r="D1813" s="170">
        <v>43564</v>
      </c>
      <c r="E1813" s="171">
        <v>11671.95</v>
      </c>
    </row>
    <row r="1814" ht="17.25" customHeight="1" spans="4:5">
      <c r="D1814" s="170">
        <v>43563</v>
      </c>
      <c r="E1814" s="171">
        <v>11604.5</v>
      </c>
    </row>
    <row r="1815" ht="17.25" customHeight="1" spans="4:5">
      <c r="D1815" s="170">
        <v>43560</v>
      </c>
      <c r="E1815" s="171">
        <v>11665.95</v>
      </c>
    </row>
    <row r="1816" ht="17.25" customHeight="1" spans="4:5">
      <c r="D1816" s="170">
        <v>43559</v>
      </c>
      <c r="E1816" s="171">
        <v>11598</v>
      </c>
    </row>
    <row r="1817" ht="17.25" customHeight="1" spans="4:5">
      <c r="D1817" s="170">
        <v>43558</v>
      </c>
      <c r="E1817" s="171">
        <v>11643.95</v>
      </c>
    </row>
    <row r="1818" ht="17.25" customHeight="1" spans="4:5">
      <c r="D1818" s="170">
        <v>43557</v>
      </c>
      <c r="E1818" s="171">
        <v>11713.2</v>
      </c>
    </row>
    <row r="1819" ht="17.25" customHeight="1" spans="4:5">
      <c r="D1819" s="170">
        <v>43556</v>
      </c>
      <c r="E1819" s="171">
        <v>11669.15</v>
      </c>
    </row>
    <row r="1820" ht="17.25" customHeight="1" spans="4:5">
      <c r="D1820" s="170">
        <v>43553</v>
      </c>
      <c r="E1820" s="171">
        <v>11623.9</v>
      </c>
    </row>
    <row r="1821" ht="17.25" customHeight="1" spans="4:5">
      <c r="D1821" s="170">
        <v>43552</v>
      </c>
      <c r="E1821" s="171">
        <v>11570</v>
      </c>
    </row>
    <row r="1822" ht="17.25" customHeight="1" spans="4:5">
      <c r="D1822" s="170">
        <v>43551</v>
      </c>
      <c r="E1822" s="171">
        <v>11445.05</v>
      </c>
    </row>
    <row r="1823" ht="17.25" customHeight="1" spans="4:5">
      <c r="D1823" s="170">
        <v>43550</v>
      </c>
      <c r="E1823" s="171">
        <v>11483.25</v>
      </c>
    </row>
    <row r="1824" ht="17.25" customHeight="1" spans="4:5">
      <c r="D1824" s="170">
        <v>43549</v>
      </c>
      <c r="E1824" s="171">
        <v>11354.25</v>
      </c>
    </row>
    <row r="1825" ht="17.25" customHeight="1" spans="4:5">
      <c r="D1825" s="170">
        <v>43546</v>
      </c>
      <c r="E1825" s="171">
        <v>11456.9</v>
      </c>
    </row>
    <row r="1826" ht="17.25" customHeight="1" spans="4:5">
      <c r="D1826" s="170">
        <v>43544</v>
      </c>
      <c r="E1826" s="171">
        <v>11521.05</v>
      </c>
    </row>
    <row r="1827" ht="17.25" customHeight="1" spans="4:5">
      <c r="D1827" s="170">
        <v>43543</v>
      </c>
      <c r="E1827" s="171">
        <v>11532.4</v>
      </c>
    </row>
    <row r="1828" ht="17.25" customHeight="1" spans="4:5">
      <c r="D1828" s="170">
        <v>43542</v>
      </c>
      <c r="E1828" s="171">
        <v>11462.2</v>
      </c>
    </row>
    <row r="1829" ht="17.25" customHeight="1" spans="4:5">
      <c r="D1829" s="170">
        <v>43539</v>
      </c>
      <c r="E1829" s="171">
        <v>11426.85</v>
      </c>
    </row>
    <row r="1830" ht="17.25" customHeight="1" spans="4:5">
      <c r="D1830" s="170">
        <v>43538</v>
      </c>
      <c r="E1830" s="171">
        <v>11343.25</v>
      </c>
    </row>
    <row r="1831" ht="17.25" customHeight="1" spans="4:5">
      <c r="D1831" s="170">
        <v>43537</v>
      </c>
      <c r="E1831" s="171">
        <v>11341.7</v>
      </c>
    </row>
    <row r="1832" ht="17.25" customHeight="1" spans="4:5">
      <c r="D1832" s="170">
        <v>43536</v>
      </c>
      <c r="E1832" s="171">
        <v>11301.2</v>
      </c>
    </row>
    <row r="1833" ht="17.25" customHeight="1" spans="4:5">
      <c r="D1833" s="170">
        <v>43535</v>
      </c>
      <c r="E1833" s="171">
        <v>11168.05</v>
      </c>
    </row>
    <row r="1834" ht="17.25" customHeight="1" spans="4:5">
      <c r="D1834" s="170">
        <v>43532</v>
      </c>
      <c r="E1834" s="171">
        <v>11035.4</v>
      </c>
    </row>
    <row r="1835" ht="17.25" customHeight="1" spans="4:5">
      <c r="D1835" s="170">
        <v>43531</v>
      </c>
      <c r="E1835" s="171">
        <v>11058.2</v>
      </c>
    </row>
    <row r="1836" ht="17.25" customHeight="1" spans="4:5">
      <c r="D1836" s="170">
        <v>43530</v>
      </c>
      <c r="E1836" s="171">
        <v>11053</v>
      </c>
    </row>
    <row r="1837" ht="17.25" customHeight="1" spans="4:5">
      <c r="D1837" s="170">
        <v>43529</v>
      </c>
      <c r="E1837" s="171">
        <v>10987.45</v>
      </c>
    </row>
    <row r="1838" ht="17.25" customHeight="1" spans="4:5">
      <c r="D1838" s="170">
        <v>43525</v>
      </c>
      <c r="E1838" s="171">
        <v>10863.5</v>
      </c>
    </row>
    <row r="1839" ht="17.25" customHeight="1" spans="4:5">
      <c r="D1839" s="170">
        <v>43524</v>
      </c>
      <c r="E1839" s="171">
        <v>10792.5</v>
      </c>
    </row>
    <row r="1840" ht="17.25" customHeight="1" spans="4:5">
      <c r="D1840" s="170">
        <v>43523</v>
      </c>
      <c r="E1840" s="171">
        <v>10806.65</v>
      </c>
    </row>
    <row r="1841" ht="17.25" customHeight="1" spans="4:5">
      <c r="D1841" s="170">
        <v>43522</v>
      </c>
      <c r="E1841" s="171">
        <v>10835.3</v>
      </c>
    </row>
    <row r="1842" ht="17.25" customHeight="1" spans="4:5">
      <c r="D1842" s="170">
        <v>43521</v>
      </c>
      <c r="E1842" s="171">
        <v>10880.1</v>
      </c>
    </row>
    <row r="1843" ht="17.25" customHeight="1" spans="4:5">
      <c r="D1843" s="170">
        <v>43518</v>
      </c>
      <c r="E1843" s="171">
        <v>10791.65</v>
      </c>
    </row>
    <row r="1844" ht="17.25" customHeight="1" spans="4:5">
      <c r="D1844" s="170">
        <v>43517</v>
      </c>
      <c r="E1844" s="171">
        <v>10789.85</v>
      </c>
    </row>
    <row r="1845" ht="17.25" customHeight="1" spans="4:5">
      <c r="D1845" s="170">
        <v>43516</v>
      </c>
      <c r="E1845" s="171">
        <v>10735.45</v>
      </c>
    </row>
    <row r="1846" ht="17.25" customHeight="1" spans="4:5">
      <c r="D1846" s="170">
        <v>43515</v>
      </c>
      <c r="E1846" s="171">
        <v>10604.35</v>
      </c>
    </row>
    <row r="1847" ht="17.25" customHeight="1" spans="4:5">
      <c r="D1847" s="170">
        <v>43514</v>
      </c>
      <c r="E1847" s="171">
        <v>10640.95</v>
      </c>
    </row>
    <row r="1848" ht="17.25" customHeight="1" spans="4:5">
      <c r="D1848" s="170">
        <v>43511</v>
      </c>
      <c r="E1848" s="171">
        <v>10724.4</v>
      </c>
    </row>
    <row r="1849" ht="17.25" customHeight="1" spans="4:5">
      <c r="D1849" s="170">
        <v>43510</v>
      </c>
      <c r="E1849" s="171">
        <v>10746.05</v>
      </c>
    </row>
    <row r="1850" ht="17.25" customHeight="1" spans="4:5">
      <c r="D1850" s="170">
        <v>43509</v>
      </c>
      <c r="E1850" s="171">
        <v>10793.65</v>
      </c>
    </row>
    <row r="1851" ht="17.25" customHeight="1" spans="4:5">
      <c r="D1851" s="170">
        <v>43508</v>
      </c>
      <c r="E1851" s="171">
        <v>10831.4</v>
      </c>
    </row>
    <row r="1852" ht="17.25" customHeight="1" spans="4:5">
      <c r="D1852" s="170">
        <v>43507</v>
      </c>
      <c r="E1852" s="171">
        <v>10888.8</v>
      </c>
    </row>
    <row r="1853" ht="17.25" customHeight="1" spans="4:5">
      <c r="D1853" s="170">
        <v>43504</v>
      </c>
      <c r="E1853" s="171">
        <v>10943.6</v>
      </c>
    </row>
    <row r="1854" ht="17.25" customHeight="1" spans="4:5">
      <c r="D1854" s="170">
        <v>43503</v>
      </c>
      <c r="E1854" s="171">
        <v>11069.4</v>
      </c>
    </row>
    <row r="1855" ht="17.25" customHeight="1" spans="4:5">
      <c r="D1855" s="170">
        <v>43502</v>
      </c>
      <c r="E1855" s="171">
        <v>11062.45</v>
      </c>
    </row>
    <row r="1856" ht="17.25" customHeight="1" spans="4:5">
      <c r="D1856" s="170">
        <v>43501</v>
      </c>
      <c r="E1856" s="171">
        <v>10934.35</v>
      </c>
    </row>
    <row r="1857" ht="17.25" customHeight="1" spans="4:5">
      <c r="D1857" s="170">
        <v>43500</v>
      </c>
      <c r="E1857" s="171">
        <v>10912.25</v>
      </c>
    </row>
    <row r="1858" ht="17.25" customHeight="1" spans="4:5">
      <c r="D1858" s="170">
        <v>43497</v>
      </c>
      <c r="E1858" s="171">
        <v>10893.65</v>
      </c>
    </row>
    <row r="1859" ht="17.25" customHeight="1" spans="4:5">
      <c r="D1859" s="170">
        <v>43496</v>
      </c>
      <c r="E1859" s="171">
        <v>10830.95</v>
      </c>
    </row>
    <row r="1860" ht="17.25" customHeight="1" spans="4:5">
      <c r="D1860" s="170">
        <v>43495</v>
      </c>
      <c r="E1860" s="171">
        <v>10651.8</v>
      </c>
    </row>
    <row r="1861" ht="17.25" customHeight="1" spans="4:5">
      <c r="D1861" s="170">
        <v>43494</v>
      </c>
      <c r="E1861" s="171">
        <v>10652.2</v>
      </c>
    </row>
    <row r="1862" ht="17.25" customHeight="1" spans="4:5">
      <c r="D1862" s="170">
        <v>43493</v>
      </c>
      <c r="E1862" s="171">
        <v>10661.55</v>
      </c>
    </row>
    <row r="1863" ht="17.25" customHeight="1" spans="4:5">
      <c r="D1863" s="170">
        <v>43490</v>
      </c>
      <c r="E1863" s="171">
        <v>10780.55</v>
      </c>
    </row>
    <row r="1864" ht="17.25" customHeight="1" spans="4:5">
      <c r="D1864" s="170">
        <v>43489</v>
      </c>
      <c r="E1864" s="171">
        <v>10849.8</v>
      </c>
    </row>
    <row r="1865" ht="17.25" customHeight="1" spans="4:5">
      <c r="D1865" s="170">
        <v>43488</v>
      </c>
      <c r="E1865" s="171">
        <v>10831.5</v>
      </c>
    </row>
    <row r="1866" ht="17.25" customHeight="1" spans="4:5">
      <c r="D1866" s="170">
        <v>43487</v>
      </c>
      <c r="E1866" s="171">
        <v>10922.75</v>
      </c>
    </row>
    <row r="1867" ht="17.25" customHeight="1" spans="4:5">
      <c r="D1867" s="170">
        <v>43486</v>
      </c>
      <c r="E1867" s="171">
        <v>10961.85</v>
      </c>
    </row>
    <row r="1868" ht="17.25" customHeight="1" spans="4:5">
      <c r="D1868" s="170">
        <v>43483</v>
      </c>
      <c r="E1868" s="171">
        <v>10906.95</v>
      </c>
    </row>
    <row r="1869" ht="17.25" customHeight="1" spans="4:5">
      <c r="D1869" s="170">
        <v>43482</v>
      </c>
      <c r="E1869" s="171">
        <v>10905.2</v>
      </c>
    </row>
    <row r="1870" ht="17.25" customHeight="1" spans="4:5">
      <c r="D1870" s="170">
        <v>43481</v>
      </c>
      <c r="E1870" s="171">
        <v>10890.3</v>
      </c>
    </row>
    <row r="1871" ht="17.25" customHeight="1" spans="4:5">
      <c r="D1871" s="170">
        <v>43480</v>
      </c>
      <c r="E1871" s="171">
        <v>10886.8</v>
      </c>
    </row>
    <row r="1872" ht="17.25" customHeight="1" spans="4:5">
      <c r="D1872" s="170">
        <v>43479</v>
      </c>
      <c r="E1872" s="171">
        <v>10737.6</v>
      </c>
    </row>
    <row r="1873" ht="17.25" customHeight="1" spans="4:5">
      <c r="D1873" s="170">
        <v>43476</v>
      </c>
      <c r="E1873" s="171">
        <v>10794.95</v>
      </c>
    </row>
    <row r="1874" ht="17.25" customHeight="1" spans="4:5">
      <c r="D1874" s="170">
        <v>43475</v>
      </c>
      <c r="E1874" s="171">
        <v>10821.6</v>
      </c>
    </row>
    <row r="1875" ht="17.25" customHeight="1" spans="4:5">
      <c r="D1875" s="170">
        <v>43474</v>
      </c>
      <c r="E1875" s="171">
        <v>10855.15</v>
      </c>
    </row>
    <row r="1876" ht="17.25" customHeight="1" spans="4:5">
      <c r="D1876" s="170">
        <v>43473</v>
      </c>
      <c r="E1876" s="171">
        <v>10802.15</v>
      </c>
    </row>
    <row r="1877" ht="17.25" customHeight="1" spans="4:5">
      <c r="D1877" s="170">
        <v>43472</v>
      </c>
      <c r="E1877" s="171">
        <v>10771.8</v>
      </c>
    </row>
    <row r="1878" ht="17.25" customHeight="1" spans="4:5">
      <c r="D1878" s="170">
        <v>43469</v>
      </c>
      <c r="E1878" s="171">
        <v>10727.35</v>
      </c>
    </row>
    <row r="1879" ht="17.25" customHeight="1" spans="4:5">
      <c r="D1879" s="170">
        <v>43468</v>
      </c>
      <c r="E1879" s="171">
        <v>10672.25</v>
      </c>
    </row>
    <row r="1880" ht="17.25" customHeight="1" spans="4:5">
      <c r="D1880" s="170">
        <v>43467</v>
      </c>
      <c r="E1880" s="171">
        <v>10792.5</v>
      </c>
    </row>
    <row r="1881" ht="17.25" customHeight="1" spans="4:5">
      <c r="D1881" s="170">
        <v>43466</v>
      </c>
      <c r="E1881" s="171">
        <v>10910.1</v>
      </c>
    </row>
    <row r="1882" ht="17.25" customHeight="1" spans="4:5">
      <c r="D1882" s="170">
        <v>43465</v>
      </c>
      <c r="E1882" s="171">
        <v>10862.55</v>
      </c>
    </row>
    <row r="1883" ht="17.25" customHeight="1" spans="4:5">
      <c r="D1883" s="170">
        <v>43462</v>
      </c>
      <c r="E1883" s="171">
        <v>10859.9</v>
      </c>
    </row>
    <row r="1884" ht="17.25" customHeight="1" spans="4:5">
      <c r="D1884" s="170">
        <v>43461</v>
      </c>
      <c r="E1884" s="171">
        <v>10779.8</v>
      </c>
    </row>
    <row r="1885" ht="17.25" customHeight="1" spans="4:5">
      <c r="D1885" s="170">
        <v>43460</v>
      </c>
      <c r="E1885" s="171">
        <v>10729.85</v>
      </c>
    </row>
    <row r="1886" ht="17.25" customHeight="1" spans="4:5">
      <c r="D1886" s="170">
        <v>43458</v>
      </c>
      <c r="E1886" s="171">
        <v>10663.5</v>
      </c>
    </row>
    <row r="1887" ht="17.25" customHeight="1" spans="4:5">
      <c r="D1887" s="170">
        <v>43455</v>
      </c>
      <c r="E1887" s="171">
        <v>10754</v>
      </c>
    </row>
    <row r="1888" ht="17.25" customHeight="1" spans="4:5">
      <c r="D1888" s="170">
        <v>43454</v>
      </c>
      <c r="E1888" s="171">
        <v>10951.7</v>
      </c>
    </row>
    <row r="1889" ht="17.25" customHeight="1" spans="4:5">
      <c r="D1889" s="170">
        <v>43453</v>
      </c>
      <c r="E1889" s="171">
        <v>10967.3</v>
      </c>
    </row>
    <row r="1890" ht="17.25" customHeight="1" spans="4:5">
      <c r="D1890" s="170">
        <v>43452</v>
      </c>
      <c r="E1890" s="171">
        <v>10908.7</v>
      </c>
    </row>
    <row r="1891" ht="17.25" customHeight="1" spans="4:5">
      <c r="D1891" s="170">
        <v>43451</v>
      </c>
      <c r="E1891" s="171">
        <v>10888.35</v>
      </c>
    </row>
    <row r="1892" ht="17.25" customHeight="1" spans="4:5">
      <c r="D1892" s="170">
        <v>43448</v>
      </c>
      <c r="E1892" s="171">
        <v>10805.45</v>
      </c>
    </row>
    <row r="1893" ht="17.25" customHeight="1" spans="4:5">
      <c r="D1893" s="170">
        <v>43447</v>
      </c>
      <c r="E1893" s="171">
        <v>10791.55</v>
      </c>
    </row>
    <row r="1894" ht="17.25" customHeight="1" spans="4:5">
      <c r="D1894" s="170">
        <v>43446</v>
      </c>
      <c r="E1894" s="171">
        <v>10737.6</v>
      </c>
    </row>
    <row r="1895" ht="17.25" customHeight="1" spans="4:5">
      <c r="D1895" s="170">
        <v>43445</v>
      </c>
      <c r="E1895" s="171">
        <v>10549.15</v>
      </c>
    </row>
    <row r="1896" ht="17.25" customHeight="1" spans="4:5">
      <c r="D1896" s="170">
        <v>43444</v>
      </c>
      <c r="E1896" s="171">
        <v>10488.45</v>
      </c>
    </row>
    <row r="1897" ht="17.25" customHeight="1" spans="4:5">
      <c r="D1897" s="170">
        <v>43441</v>
      </c>
      <c r="E1897" s="171">
        <v>10693.7</v>
      </c>
    </row>
    <row r="1898" ht="17.25" customHeight="1" spans="4:5">
      <c r="D1898" s="170">
        <v>43440</v>
      </c>
      <c r="E1898" s="171">
        <v>10601.15</v>
      </c>
    </row>
    <row r="1899" ht="17.25" customHeight="1" spans="4:5">
      <c r="D1899" s="170">
        <v>43439</v>
      </c>
      <c r="E1899" s="171">
        <v>10782.9</v>
      </c>
    </row>
    <row r="1900" ht="17.25" customHeight="1" spans="4:5">
      <c r="D1900" s="170">
        <v>43438</v>
      </c>
      <c r="E1900" s="171">
        <v>10869.5</v>
      </c>
    </row>
    <row r="1901" ht="17.25" customHeight="1" spans="4:5">
      <c r="D1901" s="170">
        <v>43437</v>
      </c>
      <c r="E1901" s="171">
        <v>10883.75</v>
      </c>
    </row>
    <row r="1902" ht="17.25" customHeight="1" spans="4:5">
      <c r="D1902" s="170">
        <v>43434</v>
      </c>
      <c r="E1902" s="171">
        <v>10876.75</v>
      </c>
    </row>
    <row r="1903" ht="17.25" customHeight="1" spans="4:5">
      <c r="D1903" s="170">
        <v>43433</v>
      </c>
      <c r="E1903" s="171">
        <v>10858.7</v>
      </c>
    </row>
    <row r="1904" ht="17.25" customHeight="1" spans="4:5">
      <c r="D1904" s="170">
        <v>43432</v>
      </c>
      <c r="E1904" s="171">
        <v>10728.85</v>
      </c>
    </row>
    <row r="1905" ht="17.25" customHeight="1" spans="4:5">
      <c r="D1905" s="170">
        <v>43431</v>
      </c>
      <c r="E1905" s="171">
        <v>10685.6</v>
      </c>
    </row>
    <row r="1906" ht="17.25" customHeight="1" spans="4:5">
      <c r="D1906" s="170">
        <v>43430</v>
      </c>
      <c r="E1906" s="171">
        <v>10628.6</v>
      </c>
    </row>
    <row r="1907" ht="17.25" customHeight="1" spans="4:5">
      <c r="D1907" s="170">
        <v>43426</v>
      </c>
      <c r="E1907" s="171">
        <v>10526.75</v>
      </c>
    </row>
    <row r="1908" ht="17.25" customHeight="1" spans="4:5">
      <c r="D1908" s="170">
        <v>43425</v>
      </c>
      <c r="E1908" s="171">
        <v>10600.05</v>
      </c>
    </row>
    <row r="1909" ht="17.25" customHeight="1" spans="4:5">
      <c r="D1909" s="170">
        <v>43424</v>
      </c>
      <c r="E1909" s="171">
        <v>10656.2</v>
      </c>
    </row>
    <row r="1910" ht="17.25" customHeight="1" spans="4:5">
      <c r="D1910" s="170">
        <v>43423</v>
      </c>
      <c r="E1910" s="171">
        <v>10763.4</v>
      </c>
    </row>
    <row r="1911" ht="17.25" customHeight="1" spans="4:5">
      <c r="D1911" s="170">
        <v>43420</v>
      </c>
      <c r="E1911" s="171">
        <v>10682.2</v>
      </c>
    </row>
    <row r="1912" ht="17.25" customHeight="1" spans="4:5">
      <c r="D1912" s="170">
        <v>43419</v>
      </c>
      <c r="E1912" s="171">
        <v>10616.7</v>
      </c>
    </row>
    <row r="1913" ht="17.25" customHeight="1" spans="4:5">
      <c r="D1913" s="170">
        <v>43418</v>
      </c>
      <c r="E1913" s="171">
        <v>10576.3</v>
      </c>
    </row>
    <row r="1914" ht="17.25" customHeight="1" spans="4:5">
      <c r="D1914" s="170">
        <v>43417</v>
      </c>
      <c r="E1914" s="171">
        <v>10582.5</v>
      </c>
    </row>
    <row r="1915" ht="17.25" customHeight="1" spans="4:5">
      <c r="D1915" s="170">
        <v>43416</v>
      </c>
      <c r="E1915" s="171">
        <v>10482.2</v>
      </c>
    </row>
    <row r="1916" ht="17.25" customHeight="1" spans="4:5">
      <c r="D1916" s="170">
        <v>43413</v>
      </c>
      <c r="E1916" s="171">
        <v>10585.2</v>
      </c>
    </row>
    <row r="1917" ht="17.25" customHeight="1" spans="4:5">
      <c r="D1917" s="170">
        <v>43411</v>
      </c>
      <c r="E1917" s="171">
        <v>10598.4</v>
      </c>
    </row>
    <row r="1918" ht="17.25" customHeight="1" spans="4:5">
      <c r="D1918" s="170">
        <v>43410</v>
      </c>
      <c r="E1918" s="171">
        <v>10530</v>
      </c>
    </row>
    <row r="1919" ht="17.25" customHeight="1" spans="4:5">
      <c r="D1919" s="170">
        <v>43409</v>
      </c>
      <c r="E1919" s="171">
        <v>10524</v>
      </c>
    </row>
    <row r="1920" ht="17.25" customHeight="1" spans="4:5">
      <c r="D1920" s="170">
        <v>43406</v>
      </c>
      <c r="E1920" s="171">
        <v>10553</v>
      </c>
    </row>
    <row r="1921" ht="17.25" customHeight="1" spans="4:5">
      <c r="D1921" s="170">
        <v>43405</v>
      </c>
      <c r="E1921" s="171">
        <v>10380.45</v>
      </c>
    </row>
    <row r="1922" ht="17.25" customHeight="1" spans="4:5">
      <c r="D1922" s="170">
        <v>43404</v>
      </c>
      <c r="E1922" s="171">
        <v>10386.6</v>
      </c>
    </row>
    <row r="1923" ht="17.25" customHeight="1" spans="4:5">
      <c r="D1923" s="170">
        <v>43403</v>
      </c>
      <c r="E1923" s="171">
        <v>10198.4</v>
      </c>
    </row>
    <row r="1924" ht="17.25" customHeight="1" spans="4:5">
      <c r="D1924" s="170">
        <v>43402</v>
      </c>
      <c r="E1924" s="171">
        <v>10250.85</v>
      </c>
    </row>
    <row r="1925" ht="17.25" customHeight="1" spans="4:5">
      <c r="D1925" s="170">
        <v>43399</v>
      </c>
      <c r="E1925" s="171">
        <v>10030</v>
      </c>
    </row>
    <row r="1926" ht="17.25" customHeight="1" spans="4:5">
      <c r="D1926" s="170">
        <v>43398</v>
      </c>
      <c r="E1926" s="171">
        <v>10124.9</v>
      </c>
    </row>
    <row r="1927" ht="17.25" customHeight="1" spans="4:5">
      <c r="D1927" s="170">
        <v>43397</v>
      </c>
      <c r="E1927" s="171">
        <v>10224.75</v>
      </c>
    </row>
    <row r="1928" ht="17.25" customHeight="1" spans="4:5">
      <c r="D1928" s="170">
        <v>43396</v>
      </c>
      <c r="E1928" s="171">
        <v>10146.8</v>
      </c>
    </row>
    <row r="1929" ht="17.25" customHeight="1" spans="4:5">
      <c r="D1929" s="170">
        <v>43395</v>
      </c>
      <c r="E1929" s="171">
        <v>10245.25</v>
      </c>
    </row>
    <row r="1930" ht="17.25" customHeight="1" spans="4:5">
      <c r="D1930" s="170">
        <v>43392</v>
      </c>
      <c r="E1930" s="171">
        <v>10303.55</v>
      </c>
    </row>
    <row r="1931" ht="17.25" customHeight="1" spans="4:5">
      <c r="D1931" s="170">
        <v>43390</v>
      </c>
      <c r="E1931" s="171">
        <v>10453.05</v>
      </c>
    </row>
    <row r="1932" ht="17.25" customHeight="1" spans="4:5">
      <c r="D1932" s="170">
        <v>43389</v>
      </c>
      <c r="E1932" s="171">
        <v>10584.75</v>
      </c>
    </row>
    <row r="1933" ht="17.25" customHeight="1" spans="4:5">
      <c r="D1933" s="170">
        <v>43388</v>
      </c>
      <c r="E1933" s="171">
        <v>10512.5</v>
      </c>
    </row>
    <row r="1934" ht="17.25" customHeight="1" spans="4:5">
      <c r="D1934" s="170">
        <v>43385</v>
      </c>
      <c r="E1934" s="171">
        <v>10472.5</v>
      </c>
    </row>
    <row r="1935" ht="17.25" customHeight="1" spans="4:5">
      <c r="D1935" s="170">
        <v>43384</v>
      </c>
      <c r="E1935" s="171">
        <v>10234.65</v>
      </c>
    </row>
    <row r="1936" ht="17.25" customHeight="1" spans="4:5">
      <c r="D1936" s="170">
        <v>43383</v>
      </c>
      <c r="E1936" s="171">
        <v>10460.1</v>
      </c>
    </row>
    <row r="1937" ht="17.25" customHeight="1" spans="4:5">
      <c r="D1937" s="170">
        <v>43382</v>
      </c>
      <c r="E1937" s="171">
        <v>10301.05</v>
      </c>
    </row>
    <row r="1938" ht="17.25" customHeight="1" spans="4:5">
      <c r="D1938" s="170">
        <v>43381</v>
      </c>
      <c r="E1938" s="171">
        <v>10348.05</v>
      </c>
    </row>
    <row r="1939" ht="17.25" customHeight="1" spans="4:5">
      <c r="D1939" s="170">
        <v>43378</v>
      </c>
      <c r="E1939" s="171">
        <v>10316.45</v>
      </c>
    </row>
    <row r="1940" ht="17.25" customHeight="1" spans="4:5">
      <c r="D1940" s="170">
        <v>43377</v>
      </c>
      <c r="E1940" s="171">
        <v>10599.25</v>
      </c>
    </row>
    <row r="1941" ht="17.25" customHeight="1" spans="4:5">
      <c r="D1941" s="170">
        <v>43376</v>
      </c>
      <c r="E1941" s="171">
        <v>10858.25</v>
      </c>
    </row>
    <row r="1942" ht="17.25" customHeight="1" spans="4:5">
      <c r="D1942" s="170">
        <v>43374</v>
      </c>
      <c r="E1942" s="171">
        <v>11008.3</v>
      </c>
    </row>
    <row r="1943" ht="17.25" customHeight="1" spans="4:5">
      <c r="D1943" s="170">
        <v>43371</v>
      </c>
      <c r="E1943" s="171">
        <v>10930.45</v>
      </c>
    </row>
    <row r="1944" ht="17.25" customHeight="1" spans="4:5">
      <c r="D1944" s="170">
        <v>43370</v>
      </c>
      <c r="E1944" s="171">
        <v>10977.55</v>
      </c>
    </row>
    <row r="1945" ht="17.25" customHeight="1" spans="4:5">
      <c r="D1945" s="170">
        <v>43369</v>
      </c>
      <c r="E1945" s="171">
        <v>11053.8</v>
      </c>
    </row>
    <row r="1946" ht="17.25" customHeight="1" spans="4:5">
      <c r="D1946" s="170">
        <v>43368</v>
      </c>
      <c r="E1946" s="171">
        <v>11067.45</v>
      </c>
    </row>
    <row r="1947" ht="17.25" customHeight="1" spans="4:5">
      <c r="D1947" s="170">
        <v>43367</v>
      </c>
      <c r="E1947" s="171">
        <v>10967.4</v>
      </c>
    </row>
    <row r="1948" ht="17.25" customHeight="1" spans="4:5">
      <c r="D1948" s="170">
        <v>43364</v>
      </c>
      <c r="E1948" s="171">
        <v>11143.1</v>
      </c>
    </row>
    <row r="1949" ht="17.25" customHeight="1" spans="4:5">
      <c r="D1949" s="170">
        <v>43362</v>
      </c>
      <c r="E1949" s="171">
        <v>11234.35</v>
      </c>
    </row>
    <row r="1950" ht="17.25" customHeight="1" spans="4:5">
      <c r="D1950" s="170">
        <v>43361</v>
      </c>
      <c r="E1950" s="171">
        <v>11278.9</v>
      </c>
    </row>
    <row r="1951" ht="17.25" customHeight="1" spans="4:5">
      <c r="D1951" s="170">
        <v>43360</v>
      </c>
      <c r="E1951" s="171">
        <v>11377.75</v>
      </c>
    </row>
    <row r="1952" ht="17.25" customHeight="1" spans="4:5">
      <c r="D1952" s="170">
        <v>43357</v>
      </c>
      <c r="E1952" s="171">
        <v>11515.2</v>
      </c>
    </row>
    <row r="1953" ht="17.25" customHeight="1" spans="4:5">
      <c r="D1953" s="170">
        <v>43355</v>
      </c>
      <c r="E1953" s="171">
        <v>11369.9</v>
      </c>
    </row>
    <row r="1954" ht="17.25" customHeight="1" spans="4:5">
      <c r="D1954" s="170">
        <v>43354</v>
      </c>
      <c r="E1954" s="171">
        <v>11287.5</v>
      </c>
    </row>
    <row r="1955" ht="17.25" customHeight="1" spans="4:5">
      <c r="D1955" s="170">
        <v>43353</v>
      </c>
      <c r="E1955" s="171">
        <v>11438.1</v>
      </c>
    </row>
    <row r="1956" ht="17.25" customHeight="1" spans="4:5">
      <c r="D1956" s="170">
        <v>43350</v>
      </c>
      <c r="E1956" s="171">
        <v>11589.1</v>
      </c>
    </row>
    <row r="1957" ht="17.25" customHeight="1" spans="4:5">
      <c r="D1957" s="170">
        <v>43349</v>
      </c>
      <c r="E1957" s="171">
        <v>11536.9</v>
      </c>
    </row>
    <row r="1958" ht="17.25" customHeight="1" spans="4:5">
      <c r="D1958" s="170">
        <v>43348</v>
      </c>
      <c r="E1958" s="171">
        <v>11476.95</v>
      </c>
    </row>
    <row r="1959" ht="17.25" customHeight="1" spans="4:5">
      <c r="D1959" s="170">
        <v>43347</v>
      </c>
      <c r="E1959" s="171">
        <v>11520.3</v>
      </c>
    </row>
    <row r="1960" ht="17.25" customHeight="1" spans="4:5">
      <c r="D1960" s="170">
        <v>43346</v>
      </c>
      <c r="E1960" s="171">
        <v>11582.35</v>
      </c>
    </row>
    <row r="1961" ht="17.25" customHeight="1" spans="4:5">
      <c r="D1961" s="170">
        <v>43343</v>
      </c>
      <c r="E1961" s="171">
        <v>11680.5</v>
      </c>
    </row>
    <row r="1962" ht="17.25" customHeight="1" spans="4:5">
      <c r="D1962" s="170">
        <v>43342</v>
      </c>
      <c r="E1962" s="171">
        <v>11676.8</v>
      </c>
    </row>
    <row r="1963" ht="17.25" customHeight="1" spans="4:5">
      <c r="D1963" s="170">
        <v>43341</v>
      </c>
      <c r="E1963" s="171">
        <v>11691.9</v>
      </c>
    </row>
    <row r="1964" ht="17.25" customHeight="1" spans="4:5">
      <c r="D1964" s="170">
        <v>43340</v>
      </c>
      <c r="E1964" s="171">
        <v>11738.5</v>
      </c>
    </row>
    <row r="1965" ht="17.25" customHeight="1" spans="4:5">
      <c r="D1965" s="170">
        <v>43339</v>
      </c>
      <c r="E1965" s="171">
        <v>11691.95</v>
      </c>
    </row>
    <row r="1966" ht="17.25" customHeight="1" spans="4:5">
      <c r="D1966" s="170">
        <v>43336</v>
      </c>
      <c r="E1966" s="171">
        <v>11557.1</v>
      </c>
    </row>
    <row r="1967" ht="17.25" customHeight="1" spans="4:5">
      <c r="D1967" s="170">
        <v>43335</v>
      </c>
      <c r="E1967" s="171">
        <v>11582.75</v>
      </c>
    </row>
    <row r="1968" ht="17.25" customHeight="1" spans="4:5">
      <c r="D1968" s="170">
        <v>43333</v>
      </c>
      <c r="E1968" s="171">
        <v>11570.9</v>
      </c>
    </row>
    <row r="1969" ht="17.25" customHeight="1" spans="4:5">
      <c r="D1969" s="170">
        <v>43332</v>
      </c>
      <c r="E1969" s="171">
        <v>11551.75</v>
      </c>
    </row>
    <row r="1970" ht="17.25" customHeight="1" spans="4:5">
      <c r="D1970" s="170">
        <v>43329</v>
      </c>
      <c r="E1970" s="171">
        <v>11470.75</v>
      </c>
    </row>
    <row r="1971" ht="17.25" customHeight="1" spans="4:5">
      <c r="D1971" s="170">
        <v>43328</v>
      </c>
      <c r="E1971" s="171">
        <v>11385.05</v>
      </c>
    </row>
    <row r="1972" ht="17.25" customHeight="1" spans="4:5">
      <c r="D1972" s="170">
        <v>43326</v>
      </c>
      <c r="E1972" s="171">
        <v>11435.1</v>
      </c>
    </row>
    <row r="1973" ht="17.25" customHeight="1" spans="4:5">
      <c r="D1973" s="170">
        <v>43325</v>
      </c>
      <c r="E1973" s="171">
        <v>11355.75</v>
      </c>
    </row>
    <row r="1974" ht="17.25" customHeight="1" spans="4:5">
      <c r="D1974" s="170">
        <v>43322</v>
      </c>
      <c r="E1974" s="171">
        <v>11429.5</v>
      </c>
    </row>
    <row r="1975" ht="17.25" customHeight="1" spans="4:5">
      <c r="D1975" s="170">
        <v>43321</v>
      </c>
      <c r="E1975" s="171">
        <v>11470.7</v>
      </c>
    </row>
    <row r="1976" ht="17.25" customHeight="1" spans="4:5">
      <c r="D1976" s="170">
        <v>43320</v>
      </c>
      <c r="E1976" s="171">
        <v>11450</v>
      </c>
    </row>
    <row r="1977" ht="17.25" customHeight="1" spans="4:5">
      <c r="D1977" s="170">
        <v>43319</v>
      </c>
      <c r="E1977" s="171">
        <v>11389.45</v>
      </c>
    </row>
    <row r="1978" ht="17.25" customHeight="1" spans="4:5">
      <c r="D1978" s="170">
        <v>43318</v>
      </c>
      <c r="E1978" s="171">
        <v>11387.1</v>
      </c>
    </row>
    <row r="1979" ht="17.25" customHeight="1" spans="4:5">
      <c r="D1979" s="170">
        <v>43315</v>
      </c>
      <c r="E1979" s="171">
        <v>11360.8</v>
      </c>
    </row>
    <row r="1980" ht="17.25" customHeight="1" spans="4:5">
      <c r="D1980" s="170">
        <v>43314</v>
      </c>
      <c r="E1980" s="171">
        <v>11244.7</v>
      </c>
    </row>
    <row r="1981" ht="17.25" customHeight="1" spans="4:5">
      <c r="D1981" s="170">
        <v>43313</v>
      </c>
      <c r="E1981" s="171">
        <v>11346.2</v>
      </c>
    </row>
    <row r="1982" ht="17.25" customHeight="1" spans="4:5">
      <c r="D1982" s="170">
        <v>43312</v>
      </c>
      <c r="E1982" s="171">
        <v>11356.5</v>
      </c>
    </row>
    <row r="1983" ht="17.25" customHeight="1" spans="4:5">
      <c r="D1983" s="170">
        <v>43311</v>
      </c>
      <c r="E1983" s="171">
        <v>11319.55</v>
      </c>
    </row>
    <row r="1984" ht="17.25" customHeight="1" spans="4:5">
      <c r="D1984" s="170">
        <v>43308</v>
      </c>
      <c r="E1984" s="171">
        <v>11278.35</v>
      </c>
    </row>
    <row r="1985" ht="17.25" customHeight="1" spans="4:5">
      <c r="D1985" s="170">
        <v>43307</v>
      </c>
      <c r="E1985" s="171">
        <v>11167.3</v>
      </c>
    </row>
    <row r="1986" ht="17.25" customHeight="1" spans="4:5">
      <c r="D1986" s="170">
        <v>43306</v>
      </c>
      <c r="E1986" s="171">
        <v>11132</v>
      </c>
    </row>
    <row r="1987" ht="17.25" customHeight="1" spans="4:5">
      <c r="D1987" s="170">
        <v>43305</v>
      </c>
      <c r="E1987" s="171">
        <v>11134.3</v>
      </c>
    </row>
    <row r="1988" ht="17.25" customHeight="1" spans="4:5">
      <c r="D1988" s="170">
        <v>43304</v>
      </c>
      <c r="E1988" s="171">
        <v>11084.75</v>
      </c>
    </row>
    <row r="1989" ht="17.25" customHeight="1" spans="4:5">
      <c r="D1989" s="170">
        <v>43301</v>
      </c>
      <c r="E1989" s="171">
        <v>11010.2</v>
      </c>
    </row>
    <row r="1990" ht="17.25" customHeight="1" spans="4:5">
      <c r="D1990" s="170">
        <v>43300</v>
      </c>
      <c r="E1990" s="171">
        <v>10957.1</v>
      </c>
    </row>
    <row r="1991" ht="17.25" customHeight="1" spans="4:5">
      <c r="D1991" s="170">
        <v>43299</v>
      </c>
      <c r="E1991" s="171">
        <v>10980.45</v>
      </c>
    </row>
    <row r="1992" ht="17.25" customHeight="1" spans="4:5">
      <c r="D1992" s="170">
        <v>43298</v>
      </c>
      <c r="E1992" s="171">
        <v>11008.05</v>
      </c>
    </row>
    <row r="1993" ht="17.25" customHeight="1" spans="4:5">
      <c r="D1993" s="170">
        <v>43297</v>
      </c>
      <c r="E1993" s="171">
        <v>10936.85</v>
      </c>
    </row>
    <row r="1994" ht="17.25" customHeight="1" spans="4:5">
      <c r="D1994" s="170">
        <v>43294</v>
      </c>
      <c r="E1994" s="171">
        <v>11018.9</v>
      </c>
    </row>
    <row r="1995" ht="17.25" customHeight="1" spans="4:5">
      <c r="D1995" s="170">
        <v>43293</v>
      </c>
      <c r="E1995" s="171">
        <v>11023.2</v>
      </c>
    </row>
    <row r="1996" ht="17.25" customHeight="1" spans="4:5">
      <c r="D1996" s="170">
        <v>43292</v>
      </c>
      <c r="E1996" s="171">
        <v>10948.3</v>
      </c>
    </row>
    <row r="1997" ht="17.25" customHeight="1" spans="4:5">
      <c r="D1997" s="170">
        <v>43291</v>
      </c>
      <c r="E1997" s="171">
        <v>10947.25</v>
      </c>
    </row>
    <row r="1998" ht="17.25" customHeight="1" spans="4:5">
      <c r="D1998" s="170">
        <v>43290</v>
      </c>
      <c r="E1998" s="171">
        <v>10852.9</v>
      </c>
    </row>
    <row r="1999" ht="17.25" customHeight="1" spans="4:5">
      <c r="D1999" s="170">
        <v>43287</v>
      </c>
      <c r="E1999" s="171">
        <v>10772.65</v>
      </c>
    </row>
    <row r="2000" ht="17.25" customHeight="1" spans="4:5">
      <c r="D2000" s="170">
        <v>43286</v>
      </c>
      <c r="E2000" s="171">
        <v>10749.75</v>
      </c>
    </row>
    <row r="2001" ht="17.25" customHeight="1" spans="4:5">
      <c r="D2001" s="170">
        <v>43285</v>
      </c>
      <c r="E2001" s="171">
        <v>10769.9</v>
      </c>
    </row>
    <row r="2002" ht="17.25" customHeight="1" spans="4:5">
      <c r="D2002" s="170">
        <v>43284</v>
      </c>
      <c r="E2002" s="171">
        <v>10699.9</v>
      </c>
    </row>
    <row r="2003" ht="17.25" customHeight="1" spans="4:5">
      <c r="D2003" s="170">
        <v>43283</v>
      </c>
      <c r="E2003" s="171">
        <v>10657.3</v>
      </c>
    </row>
    <row r="2004" ht="17.25" customHeight="1" spans="4:5">
      <c r="D2004" s="170">
        <v>43280</v>
      </c>
      <c r="E2004" s="171">
        <v>10714.3</v>
      </c>
    </row>
    <row r="2005" ht="17.25" customHeight="1" spans="4:5">
      <c r="D2005" s="170">
        <v>43279</v>
      </c>
      <c r="E2005" s="171">
        <v>10589.1</v>
      </c>
    </row>
    <row r="2006" ht="17.25" customHeight="1" spans="4:5">
      <c r="D2006" s="170">
        <v>43278</v>
      </c>
      <c r="E2006" s="171">
        <v>10671.4</v>
      </c>
    </row>
    <row r="2007" ht="17.25" customHeight="1" spans="4:5">
      <c r="D2007" s="170">
        <v>43277</v>
      </c>
      <c r="E2007" s="171">
        <v>10769.15</v>
      </c>
    </row>
    <row r="2008" ht="17.25" customHeight="1" spans="4:5">
      <c r="D2008" s="170">
        <v>43276</v>
      </c>
      <c r="E2008" s="171">
        <v>10762.45</v>
      </c>
    </row>
    <row r="2009" ht="17.25" customHeight="1" spans="4:5">
      <c r="D2009" s="170">
        <v>43273</v>
      </c>
      <c r="E2009" s="171">
        <v>10821.85</v>
      </c>
    </row>
    <row r="2010" ht="17.25" customHeight="1" spans="4:5">
      <c r="D2010" s="170">
        <v>43272</v>
      </c>
      <c r="E2010" s="171">
        <v>10741.1</v>
      </c>
    </row>
    <row r="2011" ht="17.25" customHeight="1" spans="4:5">
      <c r="D2011" s="170">
        <v>43271</v>
      </c>
      <c r="E2011" s="171">
        <v>10772.05</v>
      </c>
    </row>
    <row r="2012" ht="17.25" customHeight="1" spans="4:5">
      <c r="D2012" s="170">
        <v>43270</v>
      </c>
      <c r="E2012" s="171">
        <v>10710.45</v>
      </c>
    </row>
    <row r="2013" ht="17.25" customHeight="1" spans="4:5">
      <c r="D2013" s="170">
        <v>43269</v>
      </c>
      <c r="E2013" s="171">
        <v>10799.85</v>
      </c>
    </row>
    <row r="2014" ht="17.25" customHeight="1" spans="4:5">
      <c r="D2014" s="170">
        <v>43266</v>
      </c>
      <c r="E2014" s="171">
        <v>10817.7</v>
      </c>
    </row>
    <row r="2015" ht="17.25" customHeight="1" spans="4:5">
      <c r="D2015" s="170">
        <v>43265</v>
      </c>
      <c r="E2015" s="171">
        <v>10808.05</v>
      </c>
    </row>
    <row r="2016" ht="17.25" customHeight="1" spans="4:5">
      <c r="D2016" s="170">
        <v>43264</v>
      </c>
      <c r="E2016" s="171">
        <v>10856.7</v>
      </c>
    </row>
    <row r="2017" ht="17.25" customHeight="1" spans="4:5">
      <c r="D2017" s="170">
        <v>43263</v>
      </c>
      <c r="E2017" s="171">
        <v>10842.85</v>
      </c>
    </row>
    <row r="2018" ht="17.25" customHeight="1" spans="4:5">
      <c r="D2018" s="170">
        <v>43262</v>
      </c>
      <c r="E2018" s="171">
        <v>10786.95</v>
      </c>
    </row>
    <row r="2019" ht="17.25" customHeight="1" spans="4:5">
      <c r="D2019" s="170">
        <v>43259</v>
      </c>
      <c r="E2019" s="171">
        <v>10767.65</v>
      </c>
    </row>
    <row r="2020" ht="17.25" customHeight="1" spans="4:5">
      <c r="D2020" s="170">
        <v>43258</v>
      </c>
      <c r="E2020" s="171">
        <v>10768.35</v>
      </c>
    </row>
    <row r="2021" ht="17.25" customHeight="1" spans="4:5">
      <c r="D2021" s="170">
        <v>43257</v>
      </c>
      <c r="E2021" s="171">
        <v>10684.65</v>
      </c>
    </row>
    <row r="2022" ht="17.25" customHeight="1" spans="4:5">
      <c r="D2022" s="170">
        <v>43256</v>
      </c>
      <c r="E2022" s="171">
        <v>10593.15</v>
      </c>
    </row>
    <row r="2023" ht="17.25" customHeight="1" spans="4:5">
      <c r="D2023" s="170">
        <v>43255</v>
      </c>
      <c r="E2023" s="171">
        <v>10628.5</v>
      </c>
    </row>
    <row r="2024" ht="17.25" customHeight="1" spans="4:5">
      <c r="D2024" s="170">
        <v>43252</v>
      </c>
      <c r="E2024" s="171">
        <v>10696.2</v>
      </c>
    </row>
    <row r="2025" ht="17.25" customHeight="1" spans="4:5">
      <c r="D2025" s="170">
        <v>43251</v>
      </c>
      <c r="E2025" s="171">
        <v>10736.15</v>
      </c>
    </row>
    <row r="2026" ht="17.25" customHeight="1" spans="4:5">
      <c r="D2026" s="170">
        <v>43250</v>
      </c>
      <c r="E2026" s="171">
        <v>10614.35</v>
      </c>
    </row>
    <row r="2027" ht="17.25" customHeight="1" spans="4:5">
      <c r="D2027" s="170">
        <v>43249</v>
      </c>
      <c r="E2027" s="171">
        <v>10633.3</v>
      </c>
    </row>
    <row r="2028" ht="17.25" customHeight="1" spans="4:5">
      <c r="D2028" s="170">
        <v>43248</v>
      </c>
      <c r="E2028" s="171">
        <v>10688.65</v>
      </c>
    </row>
    <row r="2029" ht="17.25" customHeight="1" spans="4:5">
      <c r="D2029" s="170">
        <v>43245</v>
      </c>
      <c r="E2029" s="171">
        <v>10605.15</v>
      </c>
    </row>
    <row r="2030" ht="17.25" customHeight="1" spans="4:5">
      <c r="D2030" s="170">
        <v>43244</v>
      </c>
      <c r="E2030" s="171">
        <v>10513.85</v>
      </c>
    </row>
    <row r="2031" ht="17.25" customHeight="1" spans="4:5">
      <c r="D2031" s="170">
        <v>43243</v>
      </c>
      <c r="E2031" s="171">
        <v>10430.35</v>
      </c>
    </row>
    <row r="2032" ht="17.25" customHeight="1" spans="4:5">
      <c r="D2032" s="170">
        <v>43242</v>
      </c>
      <c r="E2032" s="171">
        <v>10536.7</v>
      </c>
    </row>
    <row r="2033" ht="17.25" customHeight="1" spans="4:5">
      <c r="D2033" s="170">
        <v>43241</v>
      </c>
      <c r="E2033" s="171">
        <v>10516.7</v>
      </c>
    </row>
    <row r="2034" ht="17.25" customHeight="1" spans="4:5">
      <c r="D2034" s="170">
        <v>43238</v>
      </c>
      <c r="E2034" s="171">
        <v>10596.4</v>
      </c>
    </row>
    <row r="2035" ht="17.25" customHeight="1" spans="4:5">
      <c r="D2035" s="170">
        <v>43237</v>
      </c>
      <c r="E2035" s="171">
        <v>10682.7</v>
      </c>
    </row>
    <row r="2036" ht="17.25" customHeight="1" spans="4:5">
      <c r="D2036" s="170">
        <v>43236</v>
      </c>
      <c r="E2036" s="171">
        <v>10741.1</v>
      </c>
    </row>
    <row r="2037" ht="17.25" customHeight="1" spans="4:5">
      <c r="D2037" s="170">
        <v>43235</v>
      </c>
      <c r="E2037" s="171">
        <v>10801.85</v>
      </c>
    </row>
    <row r="2038" ht="17.25" customHeight="1" spans="4:5">
      <c r="D2038" s="170">
        <v>43234</v>
      </c>
      <c r="E2038" s="171">
        <v>10806.6</v>
      </c>
    </row>
    <row r="2039" ht="17.25" customHeight="1" spans="4:5">
      <c r="D2039" s="170">
        <v>43231</v>
      </c>
      <c r="E2039" s="171">
        <v>10806.5</v>
      </c>
    </row>
    <row r="2040" ht="17.25" customHeight="1" spans="4:5">
      <c r="D2040" s="170">
        <v>43230</v>
      </c>
      <c r="E2040" s="171">
        <v>10716.55</v>
      </c>
    </row>
    <row r="2041" ht="17.25" customHeight="1" spans="4:5">
      <c r="D2041" s="170">
        <v>43229</v>
      </c>
      <c r="E2041" s="171">
        <v>10741.7</v>
      </c>
    </row>
    <row r="2042" ht="17.25" customHeight="1" spans="4:5">
      <c r="D2042" s="170">
        <v>43228</v>
      </c>
      <c r="E2042" s="171">
        <v>10717.8</v>
      </c>
    </row>
    <row r="2043" ht="17.25" customHeight="1" spans="4:5">
      <c r="D2043" s="170">
        <v>43227</v>
      </c>
      <c r="E2043" s="171">
        <v>10715.5</v>
      </c>
    </row>
    <row r="2044" ht="17.25" customHeight="1" spans="4:5">
      <c r="D2044" s="170">
        <v>43224</v>
      </c>
      <c r="E2044" s="171">
        <v>10618.25</v>
      </c>
    </row>
    <row r="2045" ht="17.25" customHeight="1" spans="4:5">
      <c r="D2045" s="170">
        <v>43223</v>
      </c>
      <c r="E2045" s="171">
        <v>10679.65</v>
      </c>
    </row>
    <row r="2046" ht="17.25" customHeight="1" spans="4:5">
      <c r="D2046" s="170">
        <v>43222</v>
      </c>
      <c r="E2046" s="171">
        <v>10718.05</v>
      </c>
    </row>
    <row r="2047" ht="17.25" customHeight="1" spans="4:5">
      <c r="D2047" s="170">
        <v>43220</v>
      </c>
      <c r="E2047" s="171">
        <v>10739.35</v>
      </c>
    </row>
    <row r="2048" ht="17.25" customHeight="1" spans="4:5">
      <c r="D2048" s="170">
        <v>43217</v>
      </c>
      <c r="E2048" s="171">
        <v>10692.3</v>
      </c>
    </row>
    <row r="2049" ht="17.25" customHeight="1" spans="4:5">
      <c r="D2049" s="170">
        <v>43216</v>
      </c>
      <c r="E2049" s="171">
        <v>10617.8</v>
      </c>
    </row>
    <row r="2050" ht="17.25" customHeight="1" spans="4:5">
      <c r="D2050" s="170">
        <v>43215</v>
      </c>
      <c r="E2050" s="171">
        <v>10570.55</v>
      </c>
    </row>
    <row r="2051" ht="17.25" customHeight="1" spans="4:5">
      <c r="D2051" s="170">
        <v>43214</v>
      </c>
      <c r="E2051" s="171">
        <v>10614.35</v>
      </c>
    </row>
    <row r="2052" ht="17.25" customHeight="1" spans="4:5">
      <c r="D2052" s="170">
        <v>43213</v>
      </c>
      <c r="E2052" s="171">
        <v>10584.7</v>
      </c>
    </row>
    <row r="2053" ht="17.25" customHeight="1" spans="4:5">
      <c r="D2053" s="170">
        <v>43210</v>
      </c>
      <c r="E2053" s="171">
        <v>10564.05</v>
      </c>
    </row>
    <row r="2054" ht="17.25" customHeight="1" spans="4:5">
      <c r="D2054" s="170">
        <v>43209</v>
      </c>
      <c r="E2054" s="171">
        <v>10565.3</v>
      </c>
    </row>
    <row r="2055" ht="17.25" customHeight="1" spans="4:5">
      <c r="D2055" s="170">
        <v>43208</v>
      </c>
      <c r="E2055" s="171">
        <v>10526.2</v>
      </c>
    </row>
    <row r="2056" ht="17.25" customHeight="1" spans="4:5">
      <c r="D2056" s="170">
        <v>43207</v>
      </c>
      <c r="E2056" s="171">
        <v>10548.7</v>
      </c>
    </row>
    <row r="2057" ht="17.25" customHeight="1" spans="4:5">
      <c r="D2057" s="170">
        <v>43206</v>
      </c>
      <c r="E2057" s="171">
        <v>10528.35</v>
      </c>
    </row>
    <row r="2058" ht="17.25" customHeight="1" spans="4:5">
      <c r="D2058" s="170">
        <v>43203</v>
      </c>
      <c r="E2058" s="171">
        <v>10480.6</v>
      </c>
    </row>
    <row r="2059" ht="17.25" customHeight="1" spans="4:5">
      <c r="D2059" s="170">
        <v>43202</v>
      </c>
      <c r="E2059" s="171">
        <v>10458.65</v>
      </c>
    </row>
    <row r="2060" ht="17.25" customHeight="1" spans="4:5">
      <c r="D2060" s="170">
        <v>43201</v>
      </c>
      <c r="E2060" s="171">
        <v>10417.15</v>
      </c>
    </row>
    <row r="2061" ht="17.25" customHeight="1" spans="4:5">
      <c r="D2061" s="170">
        <v>43200</v>
      </c>
      <c r="E2061" s="171">
        <v>10402.25</v>
      </c>
    </row>
    <row r="2062" ht="17.25" customHeight="1" spans="4:5">
      <c r="D2062" s="170">
        <v>43199</v>
      </c>
      <c r="E2062" s="171">
        <v>10379.35</v>
      </c>
    </row>
    <row r="2063" ht="17.25" customHeight="1" spans="4:5">
      <c r="D2063" s="170">
        <v>43196</v>
      </c>
      <c r="E2063" s="171">
        <v>10331.6</v>
      </c>
    </row>
    <row r="2064" ht="17.25" customHeight="1" spans="4:5">
      <c r="D2064" s="170">
        <v>43195</v>
      </c>
      <c r="E2064" s="171">
        <v>10325.15</v>
      </c>
    </row>
    <row r="2065" ht="17.25" customHeight="1" spans="4:5">
      <c r="D2065" s="170">
        <v>43194</v>
      </c>
      <c r="E2065" s="171">
        <v>10128.4</v>
      </c>
    </row>
    <row r="2066" ht="17.25" customHeight="1" spans="4:5">
      <c r="D2066" s="170">
        <v>43193</v>
      </c>
      <c r="E2066" s="171">
        <v>10245</v>
      </c>
    </row>
    <row r="2067" ht="17.25" customHeight="1" spans="4:5">
      <c r="D2067" s="170">
        <v>43192</v>
      </c>
      <c r="E2067" s="171">
        <v>10211.8</v>
      </c>
    </row>
    <row r="2068" ht="17.25" customHeight="1" spans="4:5">
      <c r="D2068" s="170">
        <v>43187</v>
      </c>
      <c r="E2068" s="171">
        <v>10113.7</v>
      </c>
    </row>
    <row r="2069" ht="17.25" customHeight="1" spans="4:5">
      <c r="D2069" s="170">
        <v>43186</v>
      </c>
      <c r="E2069" s="171">
        <v>10184.15</v>
      </c>
    </row>
    <row r="2070" ht="17.25" customHeight="1" spans="4:5">
      <c r="D2070" s="170">
        <v>43185</v>
      </c>
      <c r="E2070" s="171">
        <v>10130.65</v>
      </c>
    </row>
    <row r="2071" ht="17.25" customHeight="1" spans="4:5">
      <c r="D2071" s="170">
        <v>43182</v>
      </c>
      <c r="E2071" s="171">
        <v>9998.05</v>
      </c>
    </row>
    <row r="2072" ht="17.25" customHeight="1" spans="4:5">
      <c r="D2072" s="170">
        <v>43181</v>
      </c>
      <c r="E2072" s="171">
        <v>10114.75</v>
      </c>
    </row>
    <row r="2073" ht="17.25" customHeight="1" spans="4:5">
      <c r="D2073" s="170">
        <v>43180</v>
      </c>
      <c r="E2073" s="171">
        <v>10155.25</v>
      </c>
    </row>
    <row r="2074" ht="17.25" customHeight="1" spans="4:5">
      <c r="D2074" s="170">
        <v>43179</v>
      </c>
      <c r="E2074" s="171">
        <v>10124.35</v>
      </c>
    </row>
    <row r="2075" ht="17.25" customHeight="1" spans="4:5">
      <c r="D2075" s="170">
        <v>43178</v>
      </c>
      <c r="E2075" s="171">
        <v>10094.25</v>
      </c>
    </row>
    <row r="2076" ht="17.25" customHeight="1" spans="4:5">
      <c r="D2076" s="170">
        <v>43175</v>
      </c>
      <c r="E2076" s="171">
        <v>10195.15</v>
      </c>
    </row>
    <row r="2077" ht="17.25" customHeight="1" spans="4:5">
      <c r="D2077" s="170">
        <v>43174</v>
      </c>
      <c r="E2077" s="171">
        <v>10360.15</v>
      </c>
    </row>
    <row r="2078" ht="17.25" customHeight="1" spans="4:5">
      <c r="D2078" s="170">
        <v>43173</v>
      </c>
      <c r="E2078" s="171">
        <v>10410.9</v>
      </c>
    </row>
    <row r="2079" ht="17.25" customHeight="1" spans="4:5">
      <c r="D2079" s="170">
        <v>43172</v>
      </c>
      <c r="E2079" s="171">
        <v>10426.85</v>
      </c>
    </row>
    <row r="2080" ht="17.25" customHeight="1" spans="4:5">
      <c r="D2080" s="170">
        <v>43171</v>
      </c>
      <c r="E2080" s="171">
        <v>10421.4</v>
      </c>
    </row>
    <row r="2081" ht="17.25" customHeight="1" spans="4:5">
      <c r="D2081" s="170">
        <v>43168</v>
      </c>
      <c r="E2081" s="171">
        <v>10226.85</v>
      </c>
    </row>
    <row r="2082" ht="17.25" customHeight="1" spans="4:5">
      <c r="D2082" s="170">
        <v>43167</v>
      </c>
      <c r="E2082" s="171">
        <v>10242.65</v>
      </c>
    </row>
    <row r="2083" ht="17.25" customHeight="1" spans="4:5">
      <c r="D2083" s="170">
        <v>43166</v>
      </c>
      <c r="E2083" s="171">
        <v>10154.2</v>
      </c>
    </row>
    <row r="2084" ht="17.25" customHeight="1" spans="4:5">
      <c r="D2084" s="170">
        <v>43165</v>
      </c>
      <c r="E2084" s="171">
        <v>10249.25</v>
      </c>
    </row>
    <row r="2085" ht="17.25" customHeight="1" spans="4:5">
      <c r="D2085" s="170">
        <v>43164</v>
      </c>
      <c r="E2085" s="171">
        <v>10358.85</v>
      </c>
    </row>
    <row r="2086" ht="17.25" customHeight="1" spans="4:5">
      <c r="D2086" s="170">
        <v>43160</v>
      </c>
      <c r="E2086" s="171">
        <v>10458.35</v>
      </c>
    </row>
    <row r="2087" ht="17.25" customHeight="1" spans="4:5">
      <c r="D2087" s="170">
        <v>43159</v>
      </c>
      <c r="E2087" s="171">
        <v>10492.85</v>
      </c>
    </row>
    <row r="2088" ht="17.25" customHeight="1" spans="4:5">
      <c r="D2088" s="170">
        <v>43158</v>
      </c>
      <c r="E2088" s="171">
        <v>10554.3</v>
      </c>
    </row>
    <row r="2089" ht="17.25" customHeight="1" spans="4:5">
      <c r="D2089" s="170">
        <v>43157</v>
      </c>
      <c r="E2089" s="171">
        <v>10582.6</v>
      </c>
    </row>
    <row r="2090" ht="17.25" customHeight="1" spans="4:5">
      <c r="D2090" s="170">
        <v>43154</v>
      </c>
      <c r="E2090" s="171">
        <v>10491.05</v>
      </c>
    </row>
    <row r="2091" ht="17.25" customHeight="1" spans="4:5">
      <c r="D2091" s="170">
        <v>43153</v>
      </c>
      <c r="E2091" s="171">
        <v>10382.7</v>
      </c>
    </row>
    <row r="2092" ht="17.25" customHeight="1" spans="4:5">
      <c r="D2092" s="170">
        <v>43152</v>
      </c>
      <c r="E2092" s="171">
        <v>10397.45</v>
      </c>
    </row>
    <row r="2093" ht="17.25" customHeight="1" spans="4:5">
      <c r="D2093" s="170">
        <v>43151</v>
      </c>
      <c r="E2093" s="171">
        <v>10360.4</v>
      </c>
    </row>
    <row r="2094" ht="17.25" customHeight="1" spans="4:5">
      <c r="D2094" s="170">
        <v>43150</v>
      </c>
      <c r="E2094" s="171">
        <v>10378.4</v>
      </c>
    </row>
    <row r="2095" ht="17.25" customHeight="1" spans="4:5">
      <c r="D2095" s="170">
        <v>43147</v>
      </c>
      <c r="E2095" s="171">
        <v>10452.3</v>
      </c>
    </row>
    <row r="2096" ht="17.25" customHeight="1" spans="4:5">
      <c r="D2096" s="170">
        <v>43146</v>
      </c>
      <c r="E2096" s="171">
        <v>10545.5</v>
      </c>
    </row>
    <row r="2097" ht="17.25" customHeight="1" spans="4:5">
      <c r="D2097" s="170">
        <v>43145</v>
      </c>
      <c r="E2097" s="171">
        <v>10500.9</v>
      </c>
    </row>
    <row r="2098" ht="17.25" customHeight="1" spans="4:5">
      <c r="D2098" s="170">
        <v>43143</v>
      </c>
      <c r="E2098" s="171">
        <v>10539.75</v>
      </c>
    </row>
    <row r="2099" ht="17.25" customHeight="1" spans="4:5">
      <c r="D2099" s="170">
        <v>43140</v>
      </c>
      <c r="E2099" s="171">
        <v>10454.95</v>
      </c>
    </row>
    <row r="2100" ht="17.25" customHeight="1" spans="4:5">
      <c r="D2100" s="170">
        <v>43139</v>
      </c>
      <c r="E2100" s="171">
        <v>10576.85</v>
      </c>
    </row>
    <row r="2101" ht="17.25" customHeight="1" spans="4:5">
      <c r="D2101" s="170">
        <v>43138</v>
      </c>
      <c r="E2101" s="171">
        <v>10476.7</v>
      </c>
    </row>
    <row r="2102" ht="17.25" customHeight="1" spans="4:5">
      <c r="D2102" s="170">
        <v>43137</v>
      </c>
      <c r="E2102" s="171">
        <v>10498.25</v>
      </c>
    </row>
    <row r="2103" ht="17.25" customHeight="1" spans="4:5">
      <c r="D2103" s="170">
        <v>43136</v>
      </c>
      <c r="E2103" s="171">
        <v>10666.55</v>
      </c>
    </row>
    <row r="2104" ht="17.25" customHeight="1" spans="4:5">
      <c r="D2104" s="170">
        <v>43133</v>
      </c>
      <c r="E2104" s="171">
        <v>10760.6</v>
      </c>
    </row>
    <row r="2105" ht="17.25" customHeight="1" spans="4:5">
      <c r="D2105" s="170">
        <v>43132</v>
      </c>
      <c r="E2105" s="171">
        <v>11016.9</v>
      </c>
    </row>
    <row r="2106" ht="17.25" customHeight="1" spans="4:5">
      <c r="D2106" s="170">
        <v>43131</v>
      </c>
      <c r="E2106" s="171">
        <v>11027.7</v>
      </c>
    </row>
    <row r="2107" ht="17.25" customHeight="1" spans="4:5">
      <c r="D2107" s="170">
        <v>43130</v>
      </c>
      <c r="E2107" s="171">
        <v>11049.65</v>
      </c>
    </row>
    <row r="2108" ht="17.25" customHeight="1" spans="4:5">
      <c r="D2108" s="170">
        <v>43129</v>
      </c>
      <c r="E2108" s="171">
        <v>11130.4</v>
      </c>
    </row>
    <row r="2109" ht="17.25" customHeight="1" spans="4:5">
      <c r="D2109" s="170">
        <v>43125</v>
      </c>
      <c r="E2109" s="171">
        <v>11069.65</v>
      </c>
    </row>
    <row r="2110" ht="17.25" customHeight="1" spans="4:5">
      <c r="D2110" s="170">
        <v>43124</v>
      </c>
      <c r="E2110" s="171">
        <v>11086</v>
      </c>
    </row>
    <row r="2111" ht="17.25" customHeight="1" spans="4:5">
      <c r="D2111" s="170">
        <v>43123</v>
      </c>
      <c r="E2111" s="171">
        <v>11083.7</v>
      </c>
    </row>
    <row r="2112" ht="17.25" customHeight="1" spans="4:5">
      <c r="D2112" s="170">
        <v>43122</v>
      </c>
      <c r="E2112" s="171">
        <v>10966.2</v>
      </c>
    </row>
    <row r="2113" ht="17.25" customHeight="1" spans="4:5">
      <c r="D2113" s="170">
        <v>43119</v>
      </c>
      <c r="E2113" s="171">
        <v>10894.7</v>
      </c>
    </row>
    <row r="2114" ht="17.25" customHeight="1" spans="4:5">
      <c r="D2114" s="170">
        <v>43118</v>
      </c>
      <c r="E2114" s="171">
        <v>10817</v>
      </c>
    </row>
    <row r="2115" ht="17.25" customHeight="1" spans="4:5">
      <c r="D2115" s="170">
        <v>43117</v>
      </c>
      <c r="E2115" s="171">
        <v>10788.55</v>
      </c>
    </row>
    <row r="2116" ht="17.25" customHeight="1" spans="4:5">
      <c r="D2116" s="170">
        <v>43116</v>
      </c>
      <c r="E2116" s="171">
        <v>10700.45</v>
      </c>
    </row>
    <row r="2117" ht="17.25" customHeight="1" spans="4:5">
      <c r="D2117" s="170">
        <v>43115</v>
      </c>
      <c r="E2117" s="171">
        <v>10741.55</v>
      </c>
    </row>
    <row r="2118" ht="17.25" customHeight="1" spans="4:5">
      <c r="D2118" s="170">
        <v>43112</v>
      </c>
      <c r="E2118" s="171">
        <v>10681.25</v>
      </c>
    </row>
    <row r="2119" ht="17.25" customHeight="1" spans="4:5">
      <c r="D2119" s="170">
        <v>43111</v>
      </c>
      <c r="E2119" s="171">
        <v>10651.2</v>
      </c>
    </row>
    <row r="2120" ht="17.25" customHeight="1" spans="4:5">
      <c r="D2120" s="170">
        <v>43110</v>
      </c>
      <c r="E2120" s="171">
        <v>10632.2</v>
      </c>
    </row>
    <row r="2121" ht="17.25" customHeight="1" spans="4:5">
      <c r="D2121" s="170">
        <v>43109</v>
      </c>
      <c r="E2121" s="171">
        <v>10637</v>
      </c>
    </row>
    <row r="2122" ht="17.25" customHeight="1" spans="4:5">
      <c r="D2122" s="170">
        <v>43108</v>
      </c>
      <c r="E2122" s="171">
        <v>10623.6</v>
      </c>
    </row>
    <row r="2123" ht="17.25" customHeight="1" spans="4:5">
      <c r="D2123" s="170">
        <v>43105</v>
      </c>
      <c r="E2123" s="171">
        <v>10558.85</v>
      </c>
    </row>
    <row r="2124" ht="17.25" customHeight="1" spans="4:5">
      <c r="D2124" s="170">
        <v>43104</v>
      </c>
      <c r="E2124" s="171">
        <v>10504.8</v>
      </c>
    </row>
    <row r="2125" ht="17.25" customHeight="1" spans="4:5">
      <c r="D2125" s="170">
        <v>43103</v>
      </c>
      <c r="E2125" s="171">
        <v>10443.2</v>
      </c>
    </row>
    <row r="2126" ht="17.25" customHeight="1" spans="4:5">
      <c r="D2126" s="170">
        <v>43102</v>
      </c>
      <c r="E2126" s="171">
        <v>10442.2</v>
      </c>
    </row>
    <row r="2127" ht="17.25" customHeight="1" spans="4:5">
      <c r="D2127" s="170">
        <v>43101</v>
      </c>
      <c r="E2127" s="171">
        <v>10435.55</v>
      </c>
    </row>
    <row r="2128" ht="17.25" customHeight="1" spans="4:5">
      <c r="D2128" s="170">
        <v>43098</v>
      </c>
      <c r="E2128" s="171">
        <v>10530.7</v>
      </c>
    </row>
    <row r="2129" ht="17.25" customHeight="1" spans="4:5">
      <c r="D2129" s="170">
        <v>43097</v>
      </c>
      <c r="E2129" s="171">
        <v>10477.9</v>
      </c>
    </row>
    <row r="2130" ht="17.25" customHeight="1" spans="4:5">
      <c r="D2130" s="170">
        <v>43096</v>
      </c>
      <c r="E2130" s="171">
        <v>10490.75</v>
      </c>
    </row>
    <row r="2131" ht="17.25" customHeight="1" spans="4:5">
      <c r="D2131" s="170">
        <v>43095</v>
      </c>
      <c r="E2131" s="171">
        <v>10531.5</v>
      </c>
    </row>
    <row r="2132" ht="17.25" customHeight="1" spans="4:5">
      <c r="D2132" s="170">
        <v>43091</v>
      </c>
      <c r="E2132" s="171">
        <v>10493</v>
      </c>
    </row>
    <row r="2133" ht="17.25" customHeight="1" spans="4:5">
      <c r="D2133" s="170">
        <v>43090</v>
      </c>
      <c r="E2133" s="171">
        <v>10440.3</v>
      </c>
    </row>
    <row r="2134" ht="17.25" customHeight="1" spans="4:5">
      <c r="D2134" s="170">
        <v>43089</v>
      </c>
      <c r="E2134" s="171">
        <v>10444.2</v>
      </c>
    </row>
    <row r="2135" ht="17.25" customHeight="1" spans="4:5">
      <c r="D2135" s="170">
        <v>43088</v>
      </c>
      <c r="E2135" s="171">
        <v>10463.2</v>
      </c>
    </row>
    <row r="2136" ht="17.25" customHeight="1" spans="4:5">
      <c r="D2136" s="170">
        <v>43087</v>
      </c>
      <c r="E2136" s="171">
        <v>10388.75</v>
      </c>
    </row>
    <row r="2137" ht="17.25" customHeight="1" spans="4:5">
      <c r="D2137" s="170">
        <v>43084</v>
      </c>
      <c r="E2137" s="171">
        <v>10333.25</v>
      </c>
    </row>
    <row r="2138" ht="17.25" customHeight="1" spans="4:5">
      <c r="D2138" s="170">
        <v>43083</v>
      </c>
      <c r="E2138" s="171">
        <v>10252.1</v>
      </c>
    </row>
    <row r="2139" ht="17.25" customHeight="1" spans="4:5">
      <c r="D2139" s="170">
        <v>43082</v>
      </c>
      <c r="E2139" s="171">
        <v>10192.95</v>
      </c>
    </row>
    <row r="2140" ht="17.25" customHeight="1" spans="4:5">
      <c r="D2140" s="170">
        <v>43081</v>
      </c>
      <c r="E2140" s="171">
        <v>10240.15</v>
      </c>
    </row>
    <row r="2141" ht="17.25" customHeight="1" spans="4:5">
      <c r="D2141" s="170">
        <v>43080</v>
      </c>
      <c r="E2141" s="171">
        <v>10322.25</v>
      </c>
    </row>
    <row r="2142" ht="17.25" customHeight="1" spans="4:5">
      <c r="D2142" s="170">
        <v>43077</v>
      </c>
      <c r="E2142" s="171">
        <v>10265.65</v>
      </c>
    </row>
    <row r="2143" ht="17.25" customHeight="1" spans="4:5">
      <c r="D2143" s="170">
        <v>43076</v>
      </c>
      <c r="E2143" s="171">
        <v>10166.7</v>
      </c>
    </row>
    <row r="2144" ht="17.25" customHeight="1" spans="4:5">
      <c r="D2144" s="170">
        <v>43075</v>
      </c>
      <c r="E2144" s="171">
        <v>10044.1</v>
      </c>
    </row>
    <row r="2145" ht="17.25" customHeight="1" spans="4:5">
      <c r="D2145" s="170">
        <v>43074</v>
      </c>
      <c r="E2145" s="171">
        <v>10118.25</v>
      </c>
    </row>
    <row r="2146" ht="17.25" customHeight="1" spans="4:5">
      <c r="D2146" s="170">
        <v>43073</v>
      </c>
      <c r="E2146" s="171">
        <v>10127.75</v>
      </c>
    </row>
    <row r="2147" ht="17.25" customHeight="1" spans="4:5">
      <c r="D2147" s="170">
        <v>43070</v>
      </c>
      <c r="E2147" s="171">
        <v>10121.8</v>
      </c>
    </row>
    <row r="2148" ht="17.25" customHeight="1" spans="4:5">
      <c r="D2148" s="170">
        <v>43069</v>
      </c>
      <c r="E2148" s="171">
        <v>10226.55</v>
      </c>
    </row>
    <row r="2149" ht="17.25" customHeight="1" spans="4:5">
      <c r="D2149" s="170">
        <v>43068</v>
      </c>
      <c r="E2149" s="171">
        <v>10361.3</v>
      </c>
    </row>
    <row r="2150" ht="17.25" customHeight="1" spans="4:5">
      <c r="D2150" s="170">
        <v>43067</v>
      </c>
      <c r="E2150" s="171">
        <v>10370.25</v>
      </c>
    </row>
    <row r="2151" ht="17.25" customHeight="1" spans="4:5">
      <c r="D2151" s="170">
        <v>43066</v>
      </c>
      <c r="E2151" s="171">
        <v>10399.55</v>
      </c>
    </row>
    <row r="2152" ht="17.25" customHeight="1" spans="4:5">
      <c r="D2152" s="170">
        <v>43063</v>
      </c>
      <c r="E2152" s="171">
        <v>10389.7</v>
      </c>
    </row>
    <row r="2153" ht="17.25" customHeight="1" spans="4:5">
      <c r="D2153" s="170">
        <v>43062</v>
      </c>
      <c r="E2153" s="171">
        <v>10348.75</v>
      </c>
    </row>
    <row r="2154" ht="17.25" customHeight="1" spans="4:5">
      <c r="D2154" s="170">
        <v>43061</v>
      </c>
      <c r="E2154" s="171">
        <v>10342.3</v>
      </c>
    </row>
    <row r="2155" ht="17.25" customHeight="1" spans="4:5">
      <c r="D2155" s="170">
        <v>43060</v>
      </c>
      <c r="E2155" s="171">
        <v>10326.9</v>
      </c>
    </row>
    <row r="2156" ht="17.25" customHeight="1" spans="4:5">
      <c r="D2156" s="170">
        <v>43059</v>
      </c>
      <c r="E2156" s="171">
        <v>10298.75</v>
      </c>
    </row>
    <row r="2157" ht="17.25" customHeight="1" spans="4:5">
      <c r="D2157" s="170">
        <v>43056</v>
      </c>
      <c r="E2157" s="171">
        <v>10283.6</v>
      </c>
    </row>
    <row r="2158" ht="17.25" customHeight="1" spans="4:5">
      <c r="D2158" s="170">
        <v>43055</v>
      </c>
      <c r="E2158" s="171">
        <v>10214.75</v>
      </c>
    </row>
    <row r="2159" ht="17.25" customHeight="1" spans="4:5">
      <c r="D2159" s="170">
        <v>43054</v>
      </c>
      <c r="E2159" s="171">
        <v>10118.05</v>
      </c>
    </row>
    <row r="2160" ht="17.25" customHeight="1" spans="4:5">
      <c r="D2160" s="170">
        <v>43053</v>
      </c>
      <c r="E2160" s="171">
        <v>10186.6</v>
      </c>
    </row>
    <row r="2161" ht="17.25" customHeight="1" spans="4:5">
      <c r="D2161" s="170">
        <v>43052</v>
      </c>
      <c r="E2161" s="171">
        <v>10224.95</v>
      </c>
    </row>
    <row r="2162" ht="17.25" customHeight="1" spans="4:5">
      <c r="D2162" s="170">
        <v>43049</v>
      </c>
      <c r="E2162" s="171">
        <v>10321.75</v>
      </c>
    </row>
    <row r="2163" ht="17.25" customHeight="1" spans="4:5">
      <c r="D2163" s="170">
        <v>43048</v>
      </c>
      <c r="E2163" s="171">
        <v>10308.95</v>
      </c>
    </row>
    <row r="2164" ht="17.25" customHeight="1" spans="4:5">
      <c r="D2164" s="170">
        <v>43047</v>
      </c>
      <c r="E2164" s="171">
        <v>10303.15</v>
      </c>
    </row>
    <row r="2165" ht="17.25" customHeight="1" spans="4:5">
      <c r="D2165" s="170">
        <v>43046</v>
      </c>
      <c r="E2165" s="171">
        <v>10350.15</v>
      </c>
    </row>
    <row r="2166" ht="17.25" customHeight="1" spans="4:5">
      <c r="D2166" s="170">
        <v>43045</v>
      </c>
      <c r="E2166" s="171">
        <v>10451.8</v>
      </c>
    </row>
    <row r="2167" ht="17.25" customHeight="1" spans="4:5">
      <c r="D2167" s="170">
        <v>43042</v>
      </c>
      <c r="E2167" s="171">
        <v>10452.5</v>
      </c>
    </row>
    <row r="2168" ht="17.25" customHeight="1" spans="4:5">
      <c r="D2168" s="170">
        <v>43041</v>
      </c>
      <c r="E2168" s="171">
        <v>10423.8</v>
      </c>
    </row>
    <row r="2169" ht="17.25" customHeight="1" spans="4:5">
      <c r="D2169" s="170">
        <v>43040</v>
      </c>
      <c r="E2169" s="171">
        <v>10440.5</v>
      </c>
    </row>
    <row r="2170" ht="17.25" customHeight="1" spans="4:5">
      <c r="D2170" s="170">
        <v>43039</v>
      </c>
      <c r="E2170" s="171">
        <v>10335.3</v>
      </c>
    </row>
    <row r="2171" ht="17.25" customHeight="1" spans="4:5">
      <c r="D2171" s="170">
        <v>43038</v>
      </c>
      <c r="E2171" s="171">
        <v>10363.65</v>
      </c>
    </row>
    <row r="2172" ht="17.25" customHeight="1" spans="4:5">
      <c r="D2172" s="170">
        <v>43035</v>
      </c>
      <c r="E2172" s="171">
        <v>10323.05</v>
      </c>
    </row>
    <row r="2173" ht="17.25" customHeight="1" spans="4:5">
      <c r="D2173" s="170">
        <v>43034</v>
      </c>
      <c r="E2173" s="171">
        <v>10343.8</v>
      </c>
    </row>
    <row r="2174" ht="17.25" customHeight="1" spans="4:5">
      <c r="D2174" s="170">
        <v>43033</v>
      </c>
      <c r="E2174" s="171">
        <v>10295.35</v>
      </c>
    </row>
    <row r="2175" ht="17.25" customHeight="1" spans="4:5">
      <c r="D2175" s="170">
        <v>43032</v>
      </c>
      <c r="E2175" s="171">
        <v>10207.7</v>
      </c>
    </row>
    <row r="2176" ht="17.25" customHeight="1" spans="4:5">
      <c r="D2176" s="170">
        <v>43031</v>
      </c>
      <c r="E2176" s="171">
        <v>10184.85</v>
      </c>
    </row>
    <row r="2177" ht="17.25" customHeight="1" spans="4:5">
      <c r="D2177" s="170">
        <v>43027</v>
      </c>
      <c r="E2177" s="171">
        <v>10146.55</v>
      </c>
    </row>
    <row r="2178" ht="17.25" customHeight="1" spans="4:5">
      <c r="D2178" s="170">
        <v>43026</v>
      </c>
      <c r="E2178" s="171">
        <v>10210.85</v>
      </c>
    </row>
    <row r="2179" ht="17.25" customHeight="1" spans="4:5">
      <c r="D2179" s="170">
        <v>43025</v>
      </c>
      <c r="E2179" s="171">
        <v>10234.45</v>
      </c>
    </row>
    <row r="2180" ht="17.25" customHeight="1" spans="4:5">
      <c r="D2180" s="170">
        <v>43024</v>
      </c>
      <c r="E2180" s="171">
        <v>10230.85</v>
      </c>
    </row>
    <row r="2181" ht="17.25" customHeight="1" spans="4:5">
      <c r="D2181" s="170">
        <v>43021</v>
      </c>
      <c r="E2181" s="171">
        <v>10167.45</v>
      </c>
    </row>
    <row r="2182" ht="17.25" customHeight="1" spans="4:5">
      <c r="D2182" s="170">
        <v>43020</v>
      </c>
      <c r="E2182" s="171">
        <v>10096.4</v>
      </c>
    </row>
    <row r="2183" ht="17.25" customHeight="1" spans="4:5">
      <c r="D2183" s="170">
        <v>43019</v>
      </c>
      <c r="E2183" s="171">
        <v>9984.8</v>
      </c>
    </row>
    <row r="2184" ht="17.25" customHeight="1" spans="4:5">
      <c r="D2184" s="170">
        <v>43018</v>
      </c>
      <c r="E2184" s="171">
        <v>10016.95</v>
      </c>
    </row>
    <row r="2185" ht="17.25" customHeight="1" spans="4:5">
      <c r="D2185" s="170">
        <v>43017</v>
      </c>
      <c r="E2185" s="171">
        <v>9988.75</v>
      </c>
    </row>
    <row r="2186" ht="17.25" customHeight="1" spans="4:5">
      <c r="D2186" s="170">
        <v>43014</v>
      </c>
      <c r="E2186" s="171">
        <v>9979.7</v>
      </c>
    </row>
    <row r="2187" ht="17.25" customHeight="1" spans="4:5">
      <c r="D2187" s="170">
        <v>43013</v>
      </c>
      <c r="E2187" s="171">
        <v>9888.7</v>
      </c>
    </row>
    <row r="2188" ht="17.25" customHeight="1" spans="4:5">
      <c r="D2188" s="170">
        <v>43012</v>
      </c>
      <c r="E2188" s="171">
        <v>9914.9</v>
      </c>
    </row>
    <row r="2189" ht="17.25" customHeight="1" spans="4:5">
      <c r="D2189" s="170">
        <v>43011</v>
      </c>
      <c r="E2189" s="171">
        <v>9859.5</v>
      </c>
    </row>
    <row r="2190" ht="17.25" customHeight="1" spans="4:5">
      <c r="D2190" s="170">
        <v>43007</v>
      </c>
      <c r="E2190" s="171">
        <v>9788.6</v>
      </c>
    </row>
    <row r="2191" ht="17.25" customHeight="1" spans="4:5">
      <c r="D2191" s="170">
        <v>43006</v>
      </c>
      <c r="E2191" s="171">
        <v>9768.95</v>
      </c>
    </row>
    <row r="2192" ht="17.25" customHeight="1" spans="4:5">
      <c r="D2192" s="170">
        <v>43005</v>
      </c>
      <c r="E2192" s="171">
        <v>9735.75</v>
      </c>
    </row>
    <row r="2193" ht="17.25" customHeight="1" spans="4:5">
      <c r="D2193" s="170">
        <v>43004</v>
      </c>
      <c r="E2193" s="171">
        <v>9871.5</v>
      </c>
    </row>
    <row r="2194" ht="17.25" customHeight="1" spans="4:5">
      <c r="D2194" s="170">
        <v>43003</v>
      </c>
      <c r="E2194" s="171">
        <v>9872.6</v>
      </c>
    </row>
    <row r="2195" ht="17.25" customHeight="1" spans="4:5">
      <c r="D2195" s="170">
        <v>43000</v>
      </c>
      <c r="E2195" s="171">
        <v>9964.4</v>
      </c>
    </row>
    <row r="2196" ht="17.25" customHeight="1" spans="4:5">
      <c r="D2196" s="170">
        <v>42999</v>
      </c>
      <c r="E2196" s="171">
        <v>10121.9</v>
      </c>
    </row>
    <row r="2197" ht="17.25" customHeight="1" spans="4:5">
      <c r="D2197" s="170">
        <v>42998</v>
      </c>
      <c r="E2197" s="171">
        <v>10141.15</v>
      </c>
    </row>
    <row r="2198" ht="17.25" customHeight="1" spans="4:5">
      <c r="D2198" s="170">
        <v>42997</v>
      </c>
      <c r="E2198" s="171">
        <v>10147.55</v>
      </c>
    </row>
    <row r="2199" ht="17.25" customHeight="1" spans="4:5">
      <c r="D2199" s="170">
        <v>42996</v>
      </c>
      <c r="E2199" s="171">
        <v>10153.1</v>
      </c>
    </row>
    <row r="2200" ht="17.25" customHeight="1" spans="4:5">
      <c r="D2200" s="170">
        <v>42993</v>
      </c>
      <c r="E2200" s="171">
        <v>10085.4</v>
      </c>
    </row>
    <row r="2201" ht="17.25" customHeight="1" spans="4:5">
      <c r="D2201" s="170">
        <v>42992</v>
      </c>
      <c r="E2201" s="171">
        <v>10086.6</v>
      </c>
    </row>
    <row r="2202" ht="17.25" customHeight="1" spans="4:5">
      <c r="D2202" s="170">
        <v>42991</v>
      </c>
      <c r="E2202" s="171">
        <v>10079.3</v>
      </c>
    </row>
    <row r="2203" ht="17.25" customHeight="1" spans="4:5">
      <c r="D2203" s="170">
        <v>42990</v>
      </c>
      <c r="E2203" s="171">
        <v>10093.05</v>
      </c>
    </row>
    <row r="2204" ht="17.25" customHeight="1" spans="4:5">
      <c r="D2204" s="170">
        <v>42989</v>
      </c>
      <c r="E2204" s="171">
        <v>10006.05</v>
      </c>
    </row>
    <row r="2205" ht="17.25" customHeight="1" spans="4:5">
      <c r="D2205" s="170">
        <v>42986</v>
      </c>
      <c r="E2205" s="171">
        <v>9934.8</v>
      </c>
    </row>
    <row r="2206" ht="17.25" customHeight="1" spans="4:5">
      <c r="D2206" s="170">
        <v>42985</v>
      </c>
      <c r="E2206" s="171">
        <v>9929.9</v>
      </c>
    </row>
    <row r="2207" ht="17.25" customHeight="1" spans="4:5">
      <c r="D2207" s="170">
        <v>42984</v>
      </c>
      <c r="E2207" s="171">
        <v>9916.2</v>
      </c>
    </row>
    <row r="2208" ht="17.25" customHeight="1" spans="4:5">
      <c r="D2208" s="170">
        <v>42983</v>
      </c>
      <c r="E2208" s="171">
        <v>9952.2</v>
      </c>
    </row>
    <row r="2209" ht="17.25" customHeight="1" spans="4:5">
      <c r="D2209" s="170">
        <v>42982</v>
      </c>
      <c r="E2209" s="171">
        <v>9912.85</v>
      </c>
    </row>
    <row r="2210" ht="17.25" customHeight="1" spans="4:5">
      <c r="D2210" s="170">
        <v>42979</v>
      </c>
      <c r="E2210" s="171">
        <v>9974.4</v>
      </c>
    </row>
    <row r="2211" ht="17.25" customHeight="1" spans="4:5">
      <c r="D2211" s="170">
        <v>42978</v>
      </c>
      <c r="E2211" s="171">
        <v>9917.9</v>
      </c>
    </row>
    <row r="2212" ht="17.25" customHeight="1" spans="4:5">
      <c r="D2212" s="170">
        <v>42977</v>
      </c>
      <c r="E2212" s="171">
        <v>9884.4</v>
      </c>
    </row>
    <row r="2213" ht="17.25" customHeight="1" spans="4:5">
      <c r="D2213" s="170">
        <v>42976</v>
      </c>
      <c r="E2213" s="171">
        <v>9796.05</v>
      </c>
    </row>
    <row r="2214" ht="17.25" customHeight="1" spans="4:5">
      <c r="D2214" s="170">
        <v>42975</v>
      </c>
      <c r="E2214" s="171">
        <v>9912.8</v>
      </c>
    </row>
    <row r="2215" ht="17.25" customHeight="1" spans="4:5">
      <c r="D2215" s="170">
        <v>42971</v>
      </c>
      <c r="E2215" s="171">
        <v>9857.05</v>
      </c>
    </row>
    <row r="2216" ht="17.25" customHeight="1" spans="4:5">
      <c r="D2216" s="170">
        <v>42970</v>
      </c>
      <c r="E2216" s="171">
        <v>9852.5</v>
      </c>
    </row>
    <row r="2217" ht="17.25" customHeight="1" spans="4:5">
      <c r="D2217" s="170">
        <v>42969</v>
      </c>
      <c r="E2217" s="171">
        <v>9765.55</v>
      </c>
    </row>
    <row r="2218" ht="17.25" customHeight="1" spans="4:5">
      <c r="D2218" s="170">
        <v>42968</v>
      </c>
      <c r="E2218" s="171">
        <v>9754.35</v>
      </c>
    </row>
    <row r="2219" ht="17.25" customHeight="1" spans="4:5">
      <c r="D2219" s="170">
        <v>42965</v>
      </c>
      <c r="E2219" s="171">
        <v>9837.4</v>
      </c>
    </row>
    <row r="2220" ht="17.25" customHeight="1" spans="4:5">
      <c r="D2220" s="170">
        <v>42964</v>
      </c>
      <c r="E2220" s="171">
        <v>9904.15</v>
      </c>
    </row>
    <row r="2221" ht="17.25" customHeight="1" spans="4:5">
      <c r="D2221" s="170">
        <v>42963</v>
      </c>
      <c r="E2221" s="171">
        <v>9897.3</v>
      </c>
    </row>
    <row r="2222" ht="17.25" customHeight="1" spans="4:5">
      <c r="D2222" s="170">
        <v>42961</v>
      </c>
      <c r="E2222" s="171">
        <v>9794.15</v>
      </c>
    </row>
    <row r="2223" ht="17.25" customHeight="1" spans="4:5">
      <c r="D2223" s="170">
        <v>42958</v>
      </c>
      <c r="E2223" s="171">
        <v>9710.8</v>
      </c>
    </row>
    <row r="2224" ht="17.25" customHeight="1" spans="4:5">
      <c r="D2224" s="170">
        <v>42957</v>
      </c>
      <c r="E2224" s="171">
        <v>9820.25</v>
      </c>
    </row>
    <row r="2225" ht="17.25" customHeight="1" spans="4:5">
      <c r="D2225" s="170">
        <v>42956</v>
      </c>
      <c r="E2225" s="171">
        <v>9908.05</v>
      </c>
    </row>
    <row r="2226" ht="17.25" customHeight="1" spans="4:5">
      <c r="D2226" s="170">
        <v>42955</v>
      </c>
      <c r="E2226" s="171">
        <v>9978.55</v>
      </c>
    </row>
    <row r="2227" ht="17.25" customHeight="1" spans="4:5">
      <c r="D2227" s="170">
        <v>42954</v>
      </c>
      <c r="E2227" s="171">
        <v>10057.4</v>
      </c>
    </row>
    <row r="2228" ht="17.25" customHeight="1" spans="4:5">
      <c r="D2228" s="170">
        <v>42951</v>
      </c>
      <c r="E2228" s="171">
        <v>10066.4</v>
      </c>
    </row>
    <row r="2229" ht="17.25" customHeight="1" spans="4:5">
      <c r="D2229" s="170">
        <v>42950</v>
      </c>
      <c r="E2229" s="171">
        <v>10013.65</v>
      </c>
    </row>
    <row r="2230" ht="17.25" customHeight="1" spans="4:5">
      <c r="D2230" s="170">
        <v>42949</v>
      </c>
      <c r="E2230" s="171">
        <v>10081.5</v>
      </c>
    </row>
    <row r="2231" ht="17.25" customHeight="1" spans="4:5">
      <c r="D2231" s="170">
        <v>42948</v>
      </c>
      <c r="E2231" s="171">
        <v>10114.65</v>
      </c>
    </row>
    <row r="2232" ht="17.25" customHeight="1" spans="4:5">
      <c r="D2232" s="170">
        <v>42947</v>
      </c>
      <c r="E2232" s="171">
        <v>10077.1</v>
      </c>
    </row>
    <row r="2233" ht="17.25" customHeight="1" spans="4:5">
      <c r="D2233" s="170">
        <v>42944</v>
      </c>
      <c r="E2233" s="171">
        <v>10014.5</v>
      </c>
    </row>
    <row r="2234" ht="17.25" customHeight="1" spans="4:5">
      <c r="D2234" s="170">
        <v>42943</v>
      </c>
      <c r="E2234" s="171">
        <v>10020.55</v>
      </c>
    </row>
    <row r="2235" ht="17.25" customHeight="1" spans="4:5">
      <c r="D2235" s="170">
        <v>42942</v>
      </c>
      <c r="E2235" s="171">
        <v>10020.65</v>
      </c>
    </row>
    <row r="2236" ht="17.25" customHeight="1" spans="4:5">
      <c r="D2236" s="170">
        <v>42941</v>
      </c>
      <c r="E2236" s="171">
        <v>9964.55</v>
      </c>
    </row>
    <row r="2237" ht="17.25" customHeight="1" spans="4:5">
      <c r="D2237" s="170">
        <v>42940</v>
      </c>
      <c r="E2237" s="171">
        <v>9966.4</v>
      </c>
    </row>
    <row r="2238" ht="17.25" customHeight="1" spans="4:5">
      <c r="D2238" s="170">
        <v>42937</v>
      </c>
      <c r="E2238" s="171">
        <v>9915.25</v>
      </c>
    </row>
    <row r="2239" ht="17.25" customHeight="1" spans="4:5">
      <c r="D2239" s="170">
        <v>42936</v>
      </c>
      <c r="E2239" s="171">
        <v>9873.3</v>
      </c>
    </row>
    <row r="2240" ht="17.25" customHeight="1" spans="4:5">
      <c r="D2240" s="170">
        <v>42935</v>
      </c>
      <c r="E2240" s="171">
        <v>9899.6</v>
      </c>
    </row>
    <row r="2241" ht="17.25" customHeight="1" spans="4:5">
      <c r="D2241" s="170">
        <v>42934</v>
      </c>
      <c r="E2241" s="171">
        <v>9827.15</v>
      </c>
    </row>
    <row r="2242" ht="17.25" customHeight="1" spans="4:5">
      <c r="D2242" s="170">
        <v>42933</v>
      </c>
      <c r="E2242" s="171">
        <v>9915.95</v>
      </c>
    </row>
    <row r="2243" ht="17.25" customHeight="1" spans="4:5">
      <c r="D2243" s="170">
        <v>42930</v>
      </c>
      <c r="E2243" s="171">
        <v>9886.35</v>
      </c>
    </row>
    <row r="2244" ht="17.25" customHeight="1" spans="4:5">
      <c r="D2244" s="170">
        <v>42929</v>
      </c>
      <c r="E2244" s="171">
        <v>9891.7</v>
      </c>
    </row>
    <row r="2245" ht="17.25" customHeight="1" spans="4:5">
      <c r="D2245" s="170">
        <v>42928</v>
      </c>
      <c r="E2245" s="171">
        <v>9816.1</v>
      </c>
    </row>
    <row r="2246" ht="17.25" customHeight="1" spans="4:5">
      <c r="D2246" s="170">
        <v>42927</v>
      </c>
      <c r="E2246" s="171">
        <v>9786.05</v>
      </c>
    </row>
    <row r="2247" ht="17.25" customHeight="1" spans="4:5">
      <c r="D2247" s="170">
        <v>42926</v>
      </c>
      <c r="E2247" s="171">
        <v>9771.05</v>
      </c>
    </row>
    <row r="2248" ht="17.25" customHeight="1" spans="4:5">
      <c r="D2248" s="170">
        <v>42923</v>
      </c>
      <c r="E2248" s="171">
        <v>9665.8</v>
      </c>
    </row>
    <row r="2249" ht="17.25" customHeight="1" spans="4:5">
      <c r="D2249" s="170">
        <v>42922</v>
      </c>
      <c r="E2249" s="171">
        <v>9674.55</v>
      </c>
    </row>
    <row r="2250" ht="17.25" customHeight="1" spans="4:5">
      <c r="D2250" s="170">
        <v>42921</v>
      </c>
      <c r="E2250" s="171">
        <v>9637.6</v>
      </c>
    </row>
    <row r="2251" ht="17.25" customHeight="1" spans="4:5">
      <c r="D2251" s="170">
        <v>42920</v>
      </c>
      <c r="E2251" s="171">
        <v>9613.3</v>
      </c>
    </row>
    <row r="2252" ht="17.25" customHeight="1" spans="4:5">
      <c r="D2252" s="170">
        <v>42919</v>
      </c>
      <c r="E2252" s="171">
        <v>9615</v>
      </c>
    </row>
    <row r="2253" ht="17.25" customHeight="1" spans="4:5">
      <c r="D2253" s="170">
        <v>42916</v>
      </c>
      <c r="E2253" s="171">
        <v>9520.9</v>
      </c>
    </row>
    <row r="2254" ht="17.25" customHeight="1" spans="4:5">
      <c r="D2254" s="170">
        <v>42915</v>
      </c>
      <c r="E2254" s="171">
        <v>9504.1</v>
      </c>
    </row>
    <row r="2255" ht="17.25" customHeight="1" spans="4:5">
      <c r="D2255" s="170">
        <v>42914</v>
      </c>
      <c r="E2255" s="171">
        <v>9491.25</v>
      </c>
    </row>
    <row r="2256" ht="17.25" customHeight="1" spans="4:5">
      <c r="D2256" s="170">
        <v>42913</v>
      </c>
      <c r="E2256" s="171">
        <v>9511.4</v>
      </c>
    </row>
    <row r="2257" ht="17.25" customHeight="1" spans="4:5">
      <c r="D2257" s="170">
        <v>42909</v>
      </c>
      <c r="E2257" s="171">
        <v>9574.95</v>
      </c>
    </row>
    <row r="2258" ht="17.25" customHeight="1" spans="4:5">
      <c r="D2258" s="170">
        <v>42908</v>
      </c>
      <c r="E2258" s="171">
        <v>9630</v>
      </c>
    </row>
    <row r="2259" ht="17.25" customHeight="1" spans="4:5">
      <c r="D2259" s="170">
        <v>42907</v>
      </c>
      <c r="E2259" s="171">
        <v>9633.6</v>
      </c>
    </row>
    <row r="2260" ht="17.25" customHeight="1" spans="4:5">
      <c r="D2260" s="170">
        <v>42906</v>
      </c>
      <c r="E2260" s="171">
        <v>9653.5</v>
      </c>
    </row>
    <row r="2261" ht="17.25" customHeight="1" spans="4:5">
      <c r="D2261" s="170">
        <v>42905</v>
      </c>
      <c r="E2261" s="171">
        <v>9657.55</v>
      </c>
    </row>
    <row r="2262" ht="17.25" customHeight="1" spans="4:5">
      <c r="D2262" s="170">
        <v>42902</v>
      </c>
      <c r="E2262" s="171">
        <v>9588.05</v>
      </c>
    </row>
    <row r="2263" ht="17.25" customHeight="1" spans="4:5">
      <c r="D2263" s="170">
        <v>42901</v>
      </c>
      <c r="E2263" s="171">
        <v>9578.05</v>
      </c>
    </row>
    <row r="2264" ht="17.25" customHeight="1" spans="4:5">
      <c r="D2264" s="170">
        <v>42900</v>
      </c>
      <c r="E2264" s="171">
        <v>9618.15</v>
      </c>
    </row>
    <row r="2265" ht="17.25" customHeight="1" spans="4:5">
      <c r="D2265" s="170">
        <v>42899</v>
      </c>
      <c r="E2265" s="171">
        <v>9606.9</v>
      </c>
    </row>
    <row r="2266" ht="17.25" customHeight="1" spans="4:5">
      <c r="D2266" s="170">
        <v>42898</v>
      </c>
      <c r="E2266" s="171">
        <v>9616.4</v>
      </c>
    </row>
    <row r="2267" ht="17.25" customHeight="1" spans="4:5">
      <c r="D2267" s="170">
        <v>42895</v>
      </c>
      <c r="E2267" s="171">
        <v>9668.25</v>
      </c>
    </row>
    <row r="2268" ht="17.25" customHeight="1" spans="4:5">
      <c r="D2268" s="170">
        <v>42894</v>
      </c>
      <c r="E2268" s="171">
        <v>9647.25</v>
      </c>
    </row>
    <row r="2269" ht="17.25" customHeight="1" spans="4:5">
      <c r="D2269" s="170">
        <v>42893</v>
      </c>
      <c r="E2269" s="171">
        <v>9663.9</v>
      </c>
    </row>
    <row r="2270" ht="17.25" customHeight="1" spans="4:5">
      <c r="D2270" s="170">
        <v>42892</v>
      </c>
      <c r="E2270" s="171">
        <v>9637.15</v>
      </c>
    </row>
    <row r="2271" ht="17.25" customHeight="1" spans="4:5">
      <c r="D2271" s="170">
        <v>42891</v>
      </c>
      <c r="E2271" s="171">
        <v>9675.1</v>
      </c>
    </row>
    <row r="2272" ht="17.25" customHeight="1" spans="4:5">
      <c r="D2272" s="170">
        <v>42888</v>
      </c>
      <c r="E2272" s="171">
        <v>9653.5</v>
      </c>
    </row>
    <row r="2273" ht="17.25" customHeight="1" spans="4:5">
      <c r="D2273" s="170">
        <v>42887</v>
      </c>
      <c r="E2273" s="171">
        <v>9616.1</v>
      </c>
    </row>
    <row r="2274" ht="17.25" customHeight="1" spans="4:5">
      <c r="D2274" s="170">
        <v>42886</v>
      </c>
      <c r="E2274" s="171">
        <v>9621.25</v>
      </c>
    </row>
    <row r="2275" ht="17.25" customHeight="1" spans="4:5">
      <c r="D2275" s="170">
        <v>42885</v>
      </c>
      <c r="E2275" s="171">
        <v>9624.55</v>
      </c>
    </row>
    <row r="2276" ht="17.25" customHeight="1" spans="4:5">
      <c r="D2276" s="170">
        <v>42884</v>
      </c>
      <c r="E2276" s="171">
        <v>9604.9</v>
      </c>
    </row>
    <row r="2277" ht="17.25" customHeight="1" spans="4:5">
      <c r="D2277" s="170">
        <v>42881</v>
      </c>
      <c r="E2277" s="171">
        <v>9595.1</v>
      </c>
    </row>
    <row r="2278" ht="17.25" customHeight="1" spans="4:5">
      <c r="D2278" s="170">
        <v>42880</v>
      </c>
      <c r="E2278" s="171">
        <v>9509.75</v>
      </c>
    </row>
    <row r="2279" ht="17.25" customHeight="1" spans="4:5">
      <c r="D2279" s="170">
        <v>42879</v>
      </c>
      <c r="E2279" s="171">
        <v>9360.55</v>
      </c>
    </row>
    <row r="2280" ht="17.25" customHeight="1" spans="4:5">
      <c r="D2280" s="170">
        <v>42878</v>
      </c>
      <c r="E2280" s="171">
        <v>9386.15</v>
      </c>
    </row>
    <row r="2281" ht="17.25" customHeight="1" spans="4:5">
      <c r="D2281" s="170">
        <v>42877</v>
      </c>
      <c r="E2281" s="171">
        <v>9438.25</v>
      </c>
    </row>
    <row r="2282" ht="17.25" customHeight="1" spans="4:5">
      <c r="D2282" s="170">
        <v>42874</v>
      </c>
      <c r="E2282" s="171">
        <v>9427.9</v>
      </c>
    </row>
    <row r="2283" ht="17.25" customHeight="1" spans="4:5">
      <c r="D2283" s="170">
        <v>42873</v>
      </c>
      <c r="E2283" s="171">
        <v>9429.45</v>
      </c>
    </row>
    <row r="2284" ht="17.25" customHeight="1" spans="4:5">
      <c r="D2284" s="170">
        <v>42872</v>
      </c>
      <c r="E2284" s="171">
        <v>9525.75</v>
      </c>
    </row>
    <row r="2285" ht="17.25" customHeight="1" spans="4:5">
      <c r="D2285" s="170">
        <v>42871</v>
      </c>
      <c r="E2285" s="171">
        <v>9512.25</v>
      </c>
    </row>
    <row r="2286" ht="17.25" customHeight="1" spans="4:5">
      <c r="D2286" s="170">
        <v>42870</v>
      </c>
      <c r="E2286" s="171">
        <v>9445.4</v>
      </c>
    </row>
    <row r="2287" ht="17.25" customHeight="1" spans="4:5">
      <c r="D2287" s="170">
        <v>42867</v>
      </c>
      <c r="E2287" s="171">
        <v>9400.9</v>
      </c>
    </row>
    <row r="2288" ht="17.25" customHeight="1" spans="4:5">
      <c r="D2288" s="170">
        <v>42866</v>
      </c>
      <c r="E2288" s="171">
        <v>9422.4</v>
      </c>
    </row>
    <row r="2289" ht="17.25" customHeight="1" spans="4:5">
      <c r="D2289" s="170">
        <v>42865</v>
      </c>
      <c r="E2289" s="171">
        <v>9407.3</v>
      </c>
    </row>
    <row r="2290" ht="17.25" customHeight="1" spans="4:5">
      <c r="D2290" s="170">
        <v>42864</v>
      </c>
      <c r="E2290" s="171">
        <v>9316.85</v>
      </c>
    </row>
    <row r="2291" ht="17.25" customHeight="1" spans="4:5">
      <c r="D2291" s="170">
        <v>42863</v>
      </c>
      <c r="E2291" s="171">
        <v>9314.05</v>
      </c>
    </row>
    <row r="2292" ht="17.25" customHeight="1" spans="4:5">
      <c r="D2292" s="170">
        <v>42860</v>
      </c>
      <c r="E2292" s="171">
        <v>9285.3</v>
      </c>
    </row>
    <row r="2293" ht="17.25" customHeight="1" spans="4:5">
      <c r="D2293" s="170">
        <v>42859</v>
      </c>
      <c r="E2293" s="171">
        <v>9359.9</v>
      </c>
    </row>
    <row r="2294" ht="17.25" customHeight="1" spans="4:5">
      <c r="D2294" s="170">
        <v>42858</v>
      </c>
      <c r="E2294" s="171">
        <v>9311.95</v>
      </c>
    </row>
    <row r="2295" ht="17.25" customHeight="1" spans="4:5">
      <c r="D2295" s="170">
        <v>42857</v>
      </c>
      <c r="E2295" s="171">
        <v>9313.8</v>
      </c>
    </row>
    <row r="2296" ht="17.25" customHeight="1" spans="4:5">
      <c r="D2296" s="170">
        <v>42853</v>
      </c>
      <c r="E2296" s="171">
        <v>9304.05</v>
      </c>
    </row>
    <row r="2297" ht="17.25" customHeight="1" spans="4:5">
      <c r="D2297" s="170">
        <v>42852</v>
      </c>
      <c r="E2297" s="171">
        <v>9342.15</v>
      </c>
    </row>
    <row r="2298" ht="17.25" customHeight="1" spans="4:5">
      <c r="D2298" s="170">
        <v>42851</v>
      </c>
      <c r="E2298" s="171">
        <v>9351.85</v>
      </c>
    </row>
    <row r="2299" ht="17.25" customHeight="1" spans="4:5">
      <c r="D2299" s="170">
        <v>42850</v>
      </c>
      <c r="E2299" s="171">
        <v>9306.6</v>
      </c>
    </row>
    <row r="2300" ht="17.25" customHeight="1" spans="4:5">
      <c r="D2300" s="170">
        <v>42849</v>
      </c>
      <c r="E2300" s="171">
        <v>9217.95</v>
      </c>
    </row>
    <row r="2301" ht="17.25" customHeight="1" spans="4:5">
      <c r="D2301" s="170">
        <v>42846</v>
      </c>
      <c r="E2301" s="171">
        <v>9119.4</v>
      </c>
    </row>
    <row r="2302" ht="17.25" customHeight="1" spans="4:5">
      <c r="D2302" s="170">
        <v>42845</v>
      </c>
      <c r="E2302" s="171">
        <v>9136.4</v>
      </c>
    </row>
    <row r="2303" ht="17.25" customHeight="1" spans="4:5">
      <c r="D2303" s="170">
        <v>42844</v>
      </c>
      <c r="E2303" s="171">
        <v>9103.5</v>
      </c>
    </row>
    <row r="2304" ht="17.25" customHeight="1" spans="4:5">
      <c r="D2304" s="170">
        <v>42843</v>
      </c>
      <c r="E2304" s="171">
        <v>9105.15</v>
      </c>
    </row>
    <row r="2305" ht="17.25" customHeight="1" spans="4:5">
      <c r="D2305" s="170">
        <v>42842</v>
      </c>
      <c r="E2305" s="171">
        <v>9139.3</v>
      </c>
    </row>
    <row r="2306" ht="17.25" customHeight="1" spans="4:5">
      <c r="D2306" s="170">
        <v>42838</v>
      </c>
      <c r="E2306" s="171">
        <v>9150.8</v>
      </c>
    </row>
    <row r="2307" ht="17.25" customHeight="1" spans="4:5">
      <c r="D2307" s="170">
        <v>42837</v>
      </c>
      <c r="E2307" s="171">
        <v>9203.45</v>
      </c>
    </row>
    <row r="2308" ht="17.25" customHeight="1" spans="4:5">
      <c r="D2308" s="170">
        <v>42836</v>
      </c>
      <c r="E2308" s="171">
        <v>9237</v>
      </c>
    </row>
    <row r="2309" ht="17.25" customHeight="1" spans="4:5">
      <c r="D2309" s="170">
        <v>42835</v>
      </c>
      <c r="E2309" s="171">
        <v>9181.45</v>
      </c>
    </row>
    <row r="2310" ht="17.25" customHeight="1" spans="4:5">
      <c r="D2310" s="170">
        <v>42832</v>
      </c>
      <c r="E2310" s="171">
        <v>9198.3</v>
      </c>
    </row>
    <row r="2311" ht="17.25" customHeight="1" spans="4:5">
      <c r="D2311" s="170">
        <v>42831</v>
      </c>
      <c r="E2311" s="171">
        <v>9261.95</v>
      </c>
    </row>
    <row r="2312" ht="17.25" customHeight="1" spans="4:5">
      <c r="D2312" s="170">
        <v>42830</v>
      </c>
      <c r="E2312" s="171">
        <v>9265.15</v>
      </c>
    </row>
    <row r="2313" ht="17.25" customHeight="1" spans="4:5">
      <c r="D2313" s="170">
        <v>42828</v>
      </c>
      <c r="E2313" s="171">
        <v>9237.85</v>
      </c>
    </row>
    <row r="2314" ht="17.25" customHeight="1" spans="4:5">
      <c r="D2314" s="170">
        <v>42825</v>
      </c>
      <c r="E2314" s="171">
        <v>9173.75</v>
      </c>
    </row>
    <row r="2315" ht="17.25" customHeight="1" spans="4:5">
      <c r="D2315" s="170">
        <v>42824</v>
      </c>
      <c r="E2315" s="171">
        <v>9173.75</v>
      </c>
    </row>
    <row r="2316" ht="17.25" customHeight="1" spans="4:5">
      <c r="D2316" s="170">
        <v>42823</v>
      </c>
      <c r="E2316" s="171">
        <v>9143.8</v>
      </c>
    </row>
    <row r="2317" ht="17.25" customHeight="1" spans="4:5">
      <c r="D2317" s="170">
        <v>42822</v>
      </c>
      <c r="E2317" s="171">
        <v>9100.8</v>
      </c>
    </row>
    <row r="2318" ht="17.25" customHeight="1" spans="4:5">
      <c r="D2318" s="170">
        <v>42821</v>
      </c>
      <c r="E2318" s="171">
        <v>9045.2</v>
      </c>
    </row>
    <row r="2319" ht="17.25" customHeight="1" spans="4:5">
      <c r="D2319" s="170">
        <v>42818</v>
      </c>
      <c r="E2319" s="171">
        <v>9108</v>
      </c>
    </row>
    <row r="2320" ht="17.25" customHeight="1" spans="4:5">
      <c r="D2320" s="170">
        <v>42817</v>
      </c>
      <c r="E2320" s="171">
        <v>9086.3</v>
      </c>
    </row>
    <row r="2321" ht="17.25" customHeight="1" spans="4:5">
      <c r="D2321" s="170">
        <v>42816</v>
      </c>
      <c r="E2321" s="171">
        <v>9030.45</v>
      </c>
    </row>
    <row r="2322" ht="17.25" customHeight="1" spans="4:5">
      <c r="D2322" s="170">
        <v>42815</v>
      </c>
      <c r="E2322" s="171">
        <v>9121.5</v>
      </c>
    </row>
    <row r="2323" ht="17.25" customHeight="1" spans="4:5">
      <c r="D2323" s="170">
        <v>42814</v>
      </c>
      <c r="E2323" s="171">
        <v>9126.85</v>
      </c>
    </row>
    <row r="2324" ht="17.25" customHeight="1" spans="4:5">
      <c r="D2324" s="170">
        <v>42811</v>
      </c>
      <c r="E2324" s="171">
        <v>9160.05</v>
      </c>
    </row>
    <row r="2325" ht="17.25" customHeight="1" spans="4:5">
      <c r="D2325" s="170">
        <v>42810</v>
      </c>
      <c r="E2325" s="171">
        <v>9153.7</v>
      </c>
    </row>
    <row r="2326" ht="17.25" customHeight="1" spans="4:5">
      <c r="D2326" s="170">
        <v>42809</v>
      </c>
      <c r="E2326" s="171">
        <v>9084.8</v>
      </c>
    </row>
    <row r="2327" ht="17.25" customHeight="1" spans="4:5">
      <c r="D2327" s="170">
        <v>42808</v>
      </c>
      <c r="E2327" s="171">
        <v>9087</v>
      </c>
    </row>
    <row r="2328" ht="17.25" customHeight="1" spans="4:5">
      <c r="D2328" s="170">
        <v>42804</v>
      </c>
      <c r="E2328" s="171">
        <v>8934.55</v>
      </c>
    </row>
    <row r="2329" ht="17.25" customHeight="1" spans="4:5">
      <c r="D2329" s="170">
        <v>42803</v>
      </c>
      <c r="E2329" s="171">
        <v>8927</v>
      </c>
    </row>
    <row r="2330" ht="17.25" customHeight="1" spans="4:5">
      <c r="D2330" s="170">
        <v>42802</v>
      </c>
      <c r="E2330" s="171">
        <v>8924.3</v>
      </c>
    </row>
    <row r="2331" ht="17.25" customHeight="1" spans="4:5">
      <c r="D2331" s="170">
        <v>42801</v>
      </c>
      <c r="E2331" s="171">
        <v>8946.9</v>
      </c>
    </row>
    <row r="2332" ht="17.25" customHeight="1" spans="4:5">
      <c r="D2332" s="170">
        <v>42800</v>
      </c>
      <c r="E2332" s="171">
        <v>8963.45</v>
      </c>
    </row>
    <row r="2333" ht="17.25" customHeight="1" spans="4:5">
      <c r="D2333" s="170">
        <v>42797</v>
      </c>
      <c r="E2333" s="171">
        <v>8897.55</v>
      </c>
    </row>
    <row r="2334" ht="17.25" customHeight="1" spans="4:5">
      <c r="D2334" s="170">
        <v>42796</v>
      </c>
      <c r="E2334" s="171">
        <v>8899.75</v>
      </c>
    </row>
    <row r="2335" ht="17.25" customHeight="1" spans="4:5">
      <c r="D2335" s="170">
        <v>42795</v>
      </c>
      <c r="E2335" s="171">
        <v>8945.8</v>
      </c>
    </row>
    <row r="2336" ht="17.25" customHeight="1" spans="4:5">
      <c r="D2336" s="170">
        <v>42794</v>
      </c>
      <c r="E2336" s="171">
        <v>8879.6</v>
      </c>
    </row>
    <row r="2337" ht="17.25" customHeight="1" spans="4:5">
      <c r="D2337" s="170">
        <v>42793</v>
      </c>
      <c r="E2337" s="171">
        <v>8896.7</v>
      </c>
    </row>
    <row r="2338" ht="17.25" customHeight="1" spans="4:5">
      <c r="D2338" s="170">
        <v>42789</v>
      </c>
      <c r="E2338" s="171">
        <v>8939.5</v>
      </c>
    </row>
    <row r="2339" ht="17.25" customHeight="1" spans="4:5">
      <c r="D2339" s="170">
        <v>42788</v>
      </c>
      <c r="E2339" s="171">
        <v>8926.9</v>
      </c>
    </row>
    <row r="2340" ht="17.25" customHeight="1" spans="4:5">
      <c r="D2340" s="170">
        <v>42787</v>
      </c>
      <c r="E2340" s="171">
        <v>8907.85</v>
      </c>
    </row>
    <row r="2341" ht="17.25" customHeight="1" spans="4:5">
      <c r="D2341" s="170">
        <v>42786</v>
      </c>
      <c r="E2341" s="171">
        <v>8879.2</v>
      </c>
    </row>
    <row r="2342" ht="17.25" customHeight="1" spans="4:5">
      <c r="D2342" s="170">
        <v>42783</v>
      </c>
      <c r="E2342" s="171">
        <v>8821.7</v>
      </c>
    </row>
    <row r="2343" ht="17.25" customHeight="1" spans="4:5">
      <c r="D2343" s="170">
        <v>42782</v>
      </c>
      <c r="E2343" s="171">
        <v>8778</v>
      </c>
    </row>
    <row r="2344" ht="17.25" customHeight="1" spans="4:5">
      <c r="D2344" s="170">
        <v>42781</v>
      </c>
      <c r="E2344" s="171">
        <v>8724.7</v>
      </c>
    </row>
    <row r="2345" ht="17.25" customHeight="1" spans="4:5">
      <c r="D2345" s="170">
        <v>42780</v>
      </c>
      <c r="E2345" s="171">
        <v>8792.3</v>
      </c>
    </row>
    <row r="2346" ht="17.25" customHeight="1" spans="4:5">
      <c r="D2346" s="170">
        <v>42779</v>
      </c>
      <c r="E2346" s="171">
        <v>8805.05</v>
      </c>
    </row>
    <row r="2347" ht="17.25" customHeight="1" spans="4:5">
      <c r="D2347" s="170">
        <v>42776</v>
      </c>
      <c r="E2347" s="171">
        <v>8793.55</v>
      </c>
    </row>
    <row r="2348" ht="17.25" customHeight="1" spans="4:5">
      <c r="D2348" s="170">
        <v>42775</v>
      </c>
      <c r="E2348" s="171">
        <v>8778.4</v>
      </c>
    </row>
    <row r="2349" ht="17.25" customHeight="1" spans="4:5">
      <c r="D2349" s="170">
        <v>42774</v>
      </c>
      <c r="E2349" s="171">
        <v>8769.05</v>
      </c>
    </row>
    <row r="2350" ht="17.25" customHeight="1" spans="4:5">
      <c r="D2350" s="170">
        <v>42773</v>
      </c>
      <c r="E2350" s="171">
        <v>8768.3</v>
      </c>
    </row>
    <row r="2351" ht="17.25" customHeight="1" spans="4:5">
      <c r="D2351" s="170">
        <v>42772</v>
      </c>
      <c r="E2351" s="171">
        <v>8801.05</v>
      </c>
    </row>
    <row r="2352" ht="17.25" customHeight="1" spans="4:5">
      <c r="D2352" s="170">
        <v>42769</v>
      </c>
      <c r="E2352" s="171">
        <v>8740.95</v>
      </c>
    </row>
    <row r="2353" ht="17.25" customHeight="1" spans="4:5">
      <c r="D2353" s="170">
        <v>42768</v>
      </c>
      <c r="E2353" s="171">
        <v>8734.25</v>
      </c>
    </row>
    <row r="2354" ht="17.25" customHeight="1" spans="4:5">
      <c r="D2354" s="170">
        <v>42767</v>
      </c>
      <c r="E2354" s="171">
        <v>8716.4</v>
      </c>
    </row>
    <row r="2355" ht="17.25" customHeight="1" spans="4:5">
      <c r="D2355" s="170">
        <v>42766</v>
      </c>
      <c r="E2355" s="171">
        <v>8561.3</v>
      </c>
    </row>
    <row r="2356" ht="17.25" customHeight="1" spans="4:5">
      <c r="D2356" s="170">
        <v>42765</v>
      </c>
      <c r="E2356" s="171">
        <v>8632.75</v>
      </c>
    </row>
    <row r="2357" ht="17.25" customHeight="1" spans="4:5">
      <c r="D2357" s="170">
        <v>42762</v>
      </c>
      <c r="E2357" s="171">
        <v>8641.25</v>
      </c>
    </row>
    <row r="2358" ht="17.25" customHeight="1" spans="4:5">
      <c r="D2358" s="170">
        <v>42760</v>
      </c>
      <c r="E2358" s="171">
        <v>8602.75</v>
      </c>
    </row>
    <row r="2359" ht="17.25" customHeight="1" spans="4:5">
      <c r="D2359" s="170">
        <v>42759</v>
      </c>
      <c r="E2359" s="171">
        <v>8475.8</v>
      </c>
    </row>
    <row r="2360" ht="17.25" customHeight="1" spans="4:5">
      <c r="D2360" s="170">
        <v>42758</v>
      </c>
      <c r="E2360" s="171">
        <v>8391.5</v>
      </c>
    </row>
    <row r="2361" ht="17.25" customHeight="1" spans="4:5">
      <c r="D2361" s="170">
        <v>42755</v>
      </c>
      <c r="E2361" s="171">
        <v>8349.35</v>
      </c>
    </row>
    <row r="2362" ht="17.25" customHeight="1" spans="4:5">
      <c r="D2362" s="170">
        <v>42754</v>
      </c>
      <c r="E2362" s="171">
        <v>8435.1</v>
      </c>
    </row>
    <row r="2363" ht="17.25" customHeight="1" spans="4:5">
      <c r="D2363" s="170">
        <v>42753</v>
      </c>
      <c r="E2363" s="171">
        <v>8417</v>
      </c>
    </row>
    <row r="2364" ht="17.25" customHeight="1" spans="4:5">
      <c r="D2364" s="170">
        <v>42752</v>
      </c>
      <c r="E2364" s="171">
        <v>8398</v>
      </c>
    </row>
    <row r="2365" ht="17.25" customHeight="1" spans="4:5">
      <c r="D2365" s="170">
        <v>42751</v>
      </c>
      <c r="E2365" s="171">
        <v>8412.8</v>
      </c>
    </row>
    <row r="2366" ht="17.25" customHeight="1" spans="4:5">
      <c r="D2366" s="170">
        <v>42748</v>
      </c>
      <c r="E2366" s="171">
        <v>8400.35</v>
      </c>
    </row>
    <row r="2367" ht="17.25" customHeight="1" spans="4:5">
      <c r="D2367" s="170">
        <v>42747</v>
      </c>
      <c r="E2367" s="171">
        <v>8407.2</v>
      </c>
    </row>
    <row r="2368" ht="17.25" customHeight="1" spans="4:5">
      <c r="D2368" s="170">
        <v>42746</v>
      </c>
      <c r="E2368" s="171">
        <v>8380.65</v>
      </c>
    </row>
    <row r="2369" ht="17.25" customHeight="1" spans="4:5">
      <c r="D2369" s="170">
        <v>42745</v>
      </c>
      <c r="E2369" s="171">
        <v>8288.6</v>
      </c>
    </row>
    <row r="2370" ht="17.25" customHeight="1" spans="4:5">
      <c r="D2370" s="170">
        <v>42744</v>
      </c>
      <c r="E2370" s="171">
        <v>8236.05</v>
      </c>
    </row>
    <row r="2371" ht="17.25" customHeight="1" spans="4:5">
      <c r="D2371" s="170">
        <v>42741</v>
      </c>
      <c r="E2371" s="171">
        <v>8243.8</v>
      </c>
    </row>
    <row r="2372" ht="17.25" customHeight="1" spans="4:5">
      <c r="D2372" s="170">
        <v>42740</v>
      </c>
      <c r="E2372" s="171">
        <v>8273.8</v>
      </c>
    </row>
    <row r="2373" ht="17.25" customHeight="1" spans="4:5">
      <c r="D2373" s="170">
        <v>42739</v>
      </c>
      <c r="E2373" s="171">
        <v>8190.5</v>
      </c>
    </row>
    <row r="2374" ht="17.25" customHeight="1" spans="4:5">
      <c r="D2374" s="170">
        <v>42738</v>
      </c>
      <c r="E2374" s="171">
        <v>8192.25</v>
      </c>
    </row>
    <row r="2375" ht="17.25" customHeight="1" spans="4:5">
      <c r="D2375" s="170">
        <v>42737</v>
      </c>
      <c r="E2375" s="171">
        <v>8179.5</v>
      </c>
    </row>
    <row r="2376" ht="17.25" customHeight="1" spans="4:5">
      <c r="D2376" s="170">
        <v>42734</v>
      </c>
      <c r="E2376" s="171">
        <v>8185.8</v>
      </c>
    </row>
    <row r="2377" ht="17.25" customHeight="1" spans="4:5">
      <c r="D2377" s="170">
        <v>42733</v>
      </c>
      <c r="E2377" s="171">
        <v>8103.6</v>
      </c>
    </row>
    <row r="2378" ht="17.25" customHeight="1" spans="4:5">
      <c r="D2378" s="170">
        <v>42732</v>
      </c>
      <c r="E2378" s="171">
        <v>8034.85</v>
      </c>
    </row>
    <row r="2379" ht="17.25" customHeight="1" spans="4:5">
      <c r="D2379" s="170">
        <v>42731</v>
      </c>
      <c r="E2379" s="171">
        <v>8032.85</v>
      </c>
    </row>
    <row r="2380" ht="17.25" customHeight="1" spans="4:5">
      <c r="D2380" s="170">
        <v>42730</v>
      </c>
      <c r="E2380" s="171">
        <v>7908.25</v>
      </c>
    </row>
    <row r="2381" ht="17.25" customHeight="1" spans="4:5">
      <c r="D2381" s="170">
        <v>42727</v>
      </c>
      <c r="E2381" s="171">
        <v>7985.75</v>
      </c>
    </row>
    <row r="2382" ht="17.25" customHeight="1" spans="4:5">
      <c r="D2382" s="170">
        <v>42726</v>
      </c>
      <c r="E2382" s="171">
        <v>7979.1</v>
      </c>
    </row>
    <row r="2383" ht="17.25" customHeight="1" spans="4:5">
      <c r="D2383" s="170">
        <v>42725</v>
      </c>
      <c r="E2383" s="171">
        <v>8061.3</v>
      </c>
    </row>
    <row r="2384" ht="17.25" customHeight="1" spans="4:5">
      <c r="D2384" s="170">
        <v>42724</v>
      </c>
      <c r="E2384" s="171">
        <v>8082.4</v>
      </c>
    </row>
    <row r="2385" ht="17.25" customHeight="1" spans="4:5">
      <c r="D2385" s="170">
        <v>42723</v>
      </c>
      <c r="E2385" s="171">
        <v>8104.35</v>
      </c>
    </row>
    <row r="2386" ht="17.25" customHeight="1" spans="4:5">
      <c r="D2386" s="170">
        <v>42720</v>
      </c>
      <c r="E2386" s="171">
        <v>8139.45</v>
      </c>
    </row>
    <row r="2387" ht="17.25" customHeight="1" spans="4:5">
      <c r="D2387" s="170">
        <v>42719</v>
      </c>
      <c r="E2387" s="171">
        <v>8153.6</v>
      </c>
    </row>
    <row r="2388" ht="17.25" customHeight="1" spans="4:5">
      <c r="D2388" s="170">
        <v>42718</v>
      </c>
      <c r="E2388" s="171">
        <v>8182.45</v>
      </c>
    </row>
    <row r="2389" ht="17.25" customHeight="1" spans="4:5">
      <c r="D2389" s="170">
        <v>42717</v>
      </c>
      <c r="E2389" s="171">
        <v>8221.8</v>
      </c>
    </row>
    <row r="2390" ht="17.25" customHeight="1" spans="4:5">
      <c r="D2390" s="170">
        <v>42716</v>
      </c>
      <c r="E2390" s="171">
        <v>8170.8</v>
      </c>
    </row>
    <row r="2391" ht="17.25" customHeight="1" spans="4:5">
      <c r="D2391" s="170">
        <v>42713</v>
      </c>
      <c r="E2391" s="171">
        <v>8261.75</v>
      </c>
    </row>
    <row r="2392" ht="17.25" customHeight="1" spans="4:5">
      <c r="D2392" s="170">
        <v>42712</v>
      </c>
      <c r="E2392" s="171">
        <v>8246.85</v>
      </c>
    </row>
    <row r="2393" ht="17.25" customHeight="1" spans="4:5">
      <c r="D2393" s="170">
        <v>42711</v>
      </c>
      <c r="E2393" s="171">
        <v>8102.05</v>
      </c>
    </row>
    <row r="2394" ht="17.25" customHeight="1" spans="4:5">
      <c r="D2394" s="170">
        <v>42710</v>
      </c>
      <c r="E2394" s="171">
        <v>8143.15</v>
      </c>
    </row>
    <row r="2395" ht="17.25" customHeight="1" spans="4:5">
      <c r="D2395" s="170">
        <v>42709</v>
      </c>
      <c r="E2395" s="171">
        <v>8128.75</v>
      </c>
    </row>
    <row r="2396" ht="17.25" customHeight="1" spans="4:5">
      <c r="D2396" s="170">
        <v>42706</v>
      </c>
      <c r="E2396" s="171">
        <v>8086.8</v>
      </c>
    </row>
    <row r="2397" ht="17.25" customHeight="1" spans="4:5">
      <c r="D2397" s="170">
        <v>42705</v>
      </c>
      <c r="E2397" s="171">
        <v>8192.9</v>
      </c>
    </row>
    <row r="2398" ht="17.25" customHeight="1" spans="4:5">
      <c r="D2398" s="170">
        <v>42704</v>
      </c>
      <c r="E2398" s="171">
        <v>8224.5</v>
      </c>
    </row>
    <row r="2399" ht="17.25" customHeight="1" spans="4:5">
      <c r="D2399" s="170">
        <v>42703</v>
      </c>
      <c r="E2399" s="171">
        <v>8142.15</v>
      </c>
    </row>
    <row r="2400" ht="17.25" customHeight="1" spans="4:5">
      <c r="D2400" s="170">
        <v>42702</v>
      </c>
      <c r="E2400" s="171">
        <v>8126.9</v>
      </c>
    </row>
    <row r="2401" ht="17.25" customHeight="1" spans="4:5">
      <c r="D2401" s="170">
        <v>42699</v>
      </c>
      <c r="E2401" s="171">
        <v>8114.3</v>
      </c>
    </row>
    <row r="2402" ht="17.25" customHeight="1" spans="4:5">
      <c r="D2402" s="170">
        <v>42698</v>
      </c>
      <c r="E2402" s="171">
        <v>7965.5</v>
      </c>
    </row>
    <row r="2403" ht="17.25" customHeight="1" spans="4:5">
      <c r="D2403" s="170">
        <v>42697</v>
      </c>
      <c r="E2403" s="171">
        <v>8033.3</v>
      </c>
    </row>
    <row r="2404" ht="17.25" customHeight="1" spans="4:5">
      <c r="D2404" s="170">
        <v>42696</v>
      </c>
      <c r="E2404" s="171">
        <v>8002.3</v>
      </c>
    </row>
    <row r="2405" ht="17.25" customHeight="1" spans="4:5">
      <c r="D2405" s="170">
        <v>42695</v>
      </c>
      <c r="E2405" s="171">
        <v>7929.1</v>
      </c>
    </row>
    <row r="2406" ht="17.25" customHeight="1" spans="4:5">
      <c r="D2406" s="170">
        <v>42692</v>
      </c>
      <c r="E2406" s="171">
        <v>8074.1</v>
      </c>
    </row>
    <row r="2407" ht="17.25" customHeight="1" spans="4:5">
      <c r="D2407" s="170">
        <v>42691</v>
      </c>
      <c r="E2407" s="171">
        <v>8079.95</v>
      </c>
    </row>
    <row r="2408" ht="17.25" customHeight="1" spans="4:5">
      <c r="D2408" s="170">
        <v>42690</v>
      </c>
      <c r="E2408" s="171">
        <v>8111.6</v>
      </c>
    </row>
    <row r="2409" ht="17.25" customHeight="1" spans="4:5">
      <c r="D2409" s="170">
        <v>42689</v>
      </c>
      <c r="E2409" s="171">
        <v>8108.45</v>
      </c>
    </row>
    <row r="2410" ht="17.25" customHeight="1" spans="4:5">
      <c r="D2410" s="170">
        <v>42685</v>
      </c>
      <c r="E2410" s="171">
        <v>8296.3</v>
      </c>
    </row>
    <row r="2411" ht="17.25" customHeight="1" spans="4:5">
      <c r="D2411" s="170">
        <v>42684</v>
      </c>
      <c r="E2411" s="171">
        <v>8525.75</v>
      </c>
    </row>
    <row r="2412" ht="17.25" customHeight="1" spans="4:5">
      <c r="D2412" s="170">
        <v>42683</v>
      </c>
      <c r="E2412" s="171">
        <v>8432</v>
      </c>
    </row>
    <row r="2413" ht="17.25" customHeight="1" spans="4:5">
      <c r="D2413" s="170">
        <v>42682</v>
      </c>
      <c r="E2413" s="171">
        <v>8543.55</v>
      </c>
    </row>
    <row r="2414" ht="17.25" customHeight="1" spans="4:5">
      <c r="D2414" s="170">
        <v>42681</v>
      </c>
      <c r="E2414" s="171">
        <v>8497.05</v>
      </c>
    </row>
    <row r="2415" ht="17.25" customHeight="1" spans="4:5">
      <c r="D2415" s="170">
        <v>42678</v>
      </c>
      <c r="E2415" s="171">
        <v>8433.75</v>
      </c>
    </row>
    <row r="2416" ht="17.25" customHeight="1" spans="4:5">
      <c r="D2416" s="170">
        <v>42677</v>
      </c>
      <c r="E2416" s="171">
        <v>8484.95</v>
      </c>
    </row>
    <row r="2417" ht="17.25" customHeight="1" spans="4:5">
      <c r="D2417" s="170">
        <v>42676</v>
      </c>
      <c r="E2417" s="171">
        <v>8514</v>
      </c>
    </row>
    <row r="2418" ht="17.25" customHeight="1" spans="4:5">
      <c r="D2418" s="170">
        <v>42675</v>
      </c>
      <c r="E2418" s="171">
        <v>8626.25</v>
      </c>
    </row>
    <row r="2419" ht="17.25" customHeight="1" spans="4:5">
      <c r="D2419" s="170">
        <v>42673</v>
      </c>
      <c r="E2419" s="171">
        <v>8625.7</v>
      </c>
    </row>
    <row r="2420" ht="17.25" customHeight="1" spans="4:5">
      <c r="D2420" s="170">
        <v>42671</v>
      </c>
      <c r="E2420" s="171">
        <v>8638</v>
      </c>
    </row>
    <row r="2421" ht="17.25" customHeight="1" spans="4:5">
      <c r="D2421" s="170">
        <v>42670</v>
      </c>
      <c r="E2421" s="171">
        <v>8615.25</v>
      </c>
    </row>
    <row r="2422" ht="17.25" customHeight="1" spans="4:5">
      <c r="D2422" s="170">
        <v>42669</v>
      </c>
      <c r="E2422" s="171">
        <v>8615.25</v>
      </c>
    </row>
    <row r="2423" ht="17.25" customHeight="1" spans="4:5">
      <c r="D2423" s="170">
        <v>42668</v>
      </c>
      <c r="E2423" s="171">
        <v>8691.3</v>
      </c>
    </row>
    <row r="2424" ht="17.25" customHeight="1" spans="4:5">
      <c r="D2424" s="170">
        <v>42667</v>
      </c>
      <c r="E2424" s="171">
        <v>8708.95</v>
      </c>
    </row>
    <row r="2425" ht="17.25" customHeight="1" spans="4:5">
      <c r="D2425" s="170">
        <v>42664</v>
      </c>
      <c r="E2425" s="171">
        <v>8693.05</v>
      </c>
    </row>
    <row r="2426" ht="17.25" customHeight="1" spans="4:5">
      <c r="D2426" s="170">
        <v>42663</v>
      </c>
      <c r="E2426" s="171">
        <v>8699.4</v>
      </c>
    </row>
    <row r="2427" ht="17.25" customHeight="1" spans="4:5">
      <c r="D2427" s="170">
        <v>42662</v>
      </c>
      <c r="E2427" s="171">
        <v>8659.1</v>
      </c>
    </row>
    <row r="2428" ht="17.25" customHeight="1" spans="4:5">
      <c r="D2428" s="170">
        <v>42661</v>
      </c>
      <c r="E2428" s="171">
        <v>8677.9</v>
      </c>
    </row>
    <row r="2429" ht="17.25" customHeight="1" spans="4:5">
      <c r="D2429" s="170">
        <v>42660</v>
      </c>
      <c r="E2429" s="171">
        <v>8520.4</v>
      </c>
    </row>
    <row r="2430" ht="17.25" customHeight="1" spans="4:5">
      <c r="D2430" s="170">
        <v>42657</v>
      </c>
      <c r="E2430" s="171">
        <v>8583.4</v>
      </c>
    </row>
    <row r="2431" ht="17.25" customHeight="1" spans="4:5">
      <c r="D2431" s="170">
        <v>42656</v>
      </c>
      <c r="E2431" s="171">
        <v>8573.35</v>
      </c>
    </row>
    <row r="2432" ht="17.25" customHeight="1" spans="4:5">
      <c r="D2432" s="170">
        <v>42653</v>
      </c>
      <c r="E2432" s="171">
        <v>8708.8</v>
      </c>
    </row>
    <row r="2433" ht="17.25" customHeight="1" spans="4:5">
      <c r="D2433" s="170">
        <v>42650</v>
      </c>
      <c r="E2433" s="171">
        <v>8697.6</v>
      </c>
    </row>
    <row r="2434" ht="17.25" customHeight="1" spans="4:5">
      <c r="D2434" s="170">
        <v>42649</v>
      </c>
      <c r="E2434" s="171">
        <v>8709.55</v>
      </c>
    </row>
    <row r="2435" ht="17.25" customHeight="1" spans="4:5">
      <c r="D2435" s="170">
        <v>42648</v>
      </c>
      <c r="E2435" s="171">
        <v>8743.95</v>
      </c>
    </row>
    <row r="2436" ht="17.25" customHeight="1" spans="4:5">
      <c r="D2436" s="170">
        <v>42647</v>
      </c>
      <c r="E2436" s="171">
        <v>8769.15</v>
      </c>
    </row>
    <row r="2437" ht="17.25" customHeight="1" spans="4:5">
      <c r="D2437" s="170">
        <v>42646</v>
      </c>
      <c r="E2437" s="171">
        <v>8738.1</v>
      </c>
    </row>
    <row r="2438" ht="17.25" customHeight="1" spans="4:5">
      <c r="D2438" s="170">
        <v>42643</v>
      </c>
      <c r="E2438" s="171">
        <v>8611.15</v>
      </c>
    </row>
    <row r="2439" ht="17.25" customHeight="1" spans="4:5">
      <c r="D2439" s="170">
        <v>42642</v>
      </c>
      <c r="E2439" s="171">
        <v>8591.25</v>
      </c>
    </row>
    <row r="2440" ht="17.25" customHeight="1" spans="4:5">
      <c r="D2440" s="170">
        <v>42641</v>
      </c>
      <c r="E2440" s="171">
        <v>8745.15</v>
      </c>
    </row>
    <row r="2441" ht="17.25" customHeight="1" spans="4:5">
      <c r="D2441" s="170">
        <v>42640</v>
      </c>
      <c r="E2441" s="171">
        <v>8706.4</v>
      </c>
    </row>
    <row r="2442" ht="17.25" customHeight="1" spans="4:5">
      <c r="D2442" s="170">
        <v>42639</v>
      </c>
      <c r="E2442" s="171">
        <v>8723.05</v>
      </c>
    </row>
    <row r="2443" ht="17.25" customHeight="1" spans="4:5">
      <c r="D2443" s="170">
        <v>42636</v>
      </c>
      <c r="E2443" s="171">
        <v>8831.55</v>
      </c>
    </row>
    <row r="2444" ht="17.25" customHeight="1" spans="4:5">
      <c r="D2444" s="170">
        <v>42635</v>
      </c>
      <c r="E2444" s="171">
        <v>8867.45</v>
      </c>
    </row>
    <row r="2445" ht="17.25" customHeight="1" spans="4:5">
      <c r="D2445" s="170">
        <v>42634</v>
      </c>
      <c r="E2445" s="171">
        <v>8777.15</v>
      </c>
    </row>
    <row r="2446" ht="17.25" customHeight="1" spans="4:5">
      <c r="D2446" s="170">
        <v>42633</v>
      </c>
      <c r="E2446" s="171">
        <v>8775.9</v>
      </c>
    </row>
    <row r="2447" ht="17.25" customHeight="1" spans="4:5">
      <c r="D2447" s="170">
        <v>42632</v>
      </c>
      <c r="E2447" s="171">
        <v>8808.4</v>
      </c>
    </row>
    <row r="2448" ht="17.25" customHeight="1" spans="4:5">
      <c r="D2448" s="170">
        <v>42629</v>
      </c>
      <c r="E2448" s="171">
        <v>8779.85</v>
      </c>
    </row>
    <row r="2449" ht="17.25" customHeight="1" spans="4:5">
      <c r="D2449" s="170">
        <v>42628</v>
      </c>
      <c r="E2449" s="171">
        <v>8742.55</v>
      </c>
    </row>
    <row r="2450" ht="17.25" customHeight="1" spans="4:5">
      <c r="D2450" s="170">
        <v>42627</v>
      </c>
      <c r="E2450" s="171">
        <v>8726.6</v>
      </c>
    </row>
    <row r="2451" ht="17.25" customHeight="1" spans="4:5">
      <c r="D2451" s="170">
        <v>42625</v>
      </c>
      <c r="E2451" s="171">
        <v>8715.6</v>
      </c>
    </row>
    <row r="2452" ht="17.25" customHeight="1" spans="4:5">
      <c r="D2452" s="170">
        <v>42622</v>
      </c>
      <c r="E2452" s="171">
        <v>8866.7</v>
      </c>
    </row>
    <row r="2453" ht="17.25" customHeight="1" spans="4:5">
      <c r="D2453" s="170">
        <v>42621</v>
      </c>
      <c r="E2453" s="171">
        <v>8952.5</v>
      </c>
    </row>
    <row r="2454" ht="17.25" customHeight="1" spans="4:5">
      <c r="D2454" s="170">
        <v>42620</v>
      </c>
      <c r="E2454" s="171">
        <v>8917.95</v>
      </c>
    </row>
    <row r="2455" ht="17.25" customHeight="1" spans="4:5">
      <c r="D2455" s="170">
        <v>42619</v>
      </c>
      <c r="E2455" s="171">
        <v>8943</v>
      </c>
    </row>
    <row r="2456" ht="17.25" customHeight="1" spans="4:5">
      <c r="D2456" s="170">
        <v>42615</v>
      </c>
      <c r="E2456" s="171">
        <v>8809.65</v>
      </c>
    </row>
    <row r="2457" ht="17.25" customHeight="1" spans="4:5">
      <c r="D2457" s="170">
        <v>42614</v>
      </c>
      <c r="E2457" s="171">
        <v>8774.65</v>
      </c>
    </row>
    <row r="2458" ht="17.25" customHeight="1" spans="4:5">
      <c r="D2458" s="170">
        <v>42613</v>
      </c>
      <c r="E2458" s="171">
        <v>8786.2</v>
      </c>
    </row>
    <row r="2459" ht="17.25" customHeight="1" spans="4:5">
      <c r="D2459" s="170">
        <v>42612</v>
      </c>
      <c r="E2459" s="171">
        <v>8744.35</v>
      </c>
    </row>
    <row r="2460" ht="17.25" customHeight="1" spans="4:5">
      <c r="D2460" s="170">
        <v>42611</v>
      </c>
      <c r="E2460" s="171">
        <v>8607.45</v>
      </c>
    </row>
    <row r="2461" ht="17.25" customHeight="1" spans="4:5">
      <c r="D2461" s="170">
        <v>42608</v>
      </c>
      <c r="E2461" s="171">
        <v>8572.55</v>
      </c>
    </row>
    <row r="2462" ht="17.25" customHeight="1" spans="4:5">
      <c r="D2462" s="170">
        <v>42607</v>
      </c>
      <c r="E2462" s="171">
        <v>8592.2</v>
      </c>
    </row>
    <row r="2463" ht="17.25" customHeight="1" spans="4:5">
      <c r="D2463" s="170">
        <v>42606</v>
      </c>
      <c r="E2463" s="171">
        <v>8650.3</v>
      </c>
    </row>
    <row r="2464" ht="17.25" customHeight="1" spans="4:5">
      <c r="D2464" s="170">
        <v>42605</v>
      </c>
      <c r="E2464" s="171">
        <v>8632.6</v>
      </c>
    </row>
    <row r="2465" ht="17.25" customHeight="1" spans="4:5">
      <c r="D2465" s="170">
        <v>42604</v>
      </c>
      <c r="E2465" s="171">
        <v>8629.15</v>
      </c>
    </row>
    <row r="2466" ht="17.25" customHeight="1" spans="4:5">
      <c r="D2466" s="170">
        <v>42601</v>
      </c>
      <c r="E2466" s="171">
        <v>8666.9</v>
      </c>
    </row>
    <row r="2467" ht="17.25" customHeight="1" spans="4:5">
      <c r="D2467" s="170">
        <v>42600</v>
      </c>
      <c r="E2467" s="171">
        <v>8673.25</v>
      </c>
    </row>
    <row r="2468" ht="17.25" customHeight="1" spans="4:5">
      <c r="D2468" s="170">
        <v>42599</v>
      </c>
      <c r="E2468" s="171">
        <v>8624.05</v>
      </c>
    </row>
    <row r="2469" ht="17.25" customHeight="1" spans="4:5">
      <c r="D2469" s="170">
        <v>42598</v>
      </c>
      <c r="E2469" s="171">
        <v>8642.55</v>
      </c>
    </row>
    <row r="2470" ht="17.25" customHeight="1" spans="4:5">
      <c r="D2470" s="170">
        <v>42594</v>
      </c>
      <c r="E2470" s="171">
        <v>8672.15</v>
      </c>
    </row>
    <row r="2471" ht="17.25" customHeight="1" spans="4:5">
      <c r="D2471" s="170">
        <v>42593</v>
      </c>
      <c r="E2471" s="171">
        <v>8592.15</v>
      </c>
    </row>
    <row r="2472" ht="17.25" customHeight="1" spans="4:5">
      <c r="D2472" s="170">
        <v>42592</v>
      </c>
      <c r="E2472" s="171">
        <v>8575.3</v>
      </c>
    </row>
    <row r="2473" ht="17.25" customHeight="1" spans="4:5">
      <c r="D2473" s="170">
        <v>42591</v>
      </c>
      <c r="E2473" s="171">
        <v>8678.25</v>
      </c>
    </row>
    <row r="2474" ht="17.25" customHeight="1" spans="4:5">
      <c r="D2474" s="170">
        <v>42590</v>
      </c>
      <c r="E2474" s="171">
        <v>8711.35</v>
      </c>
    </row>
    <row r="2475" ht="17.25" customHeight="1" spans="4:5">
      <c r="D2475" s="170">
        <v>42587</v>
      </c>
      <c r="E2475" s="171">
        <v>8683.15</v>
      </c>
    </row>
    <row r="2476" ht="17.25" customHeight="1" spans="4:5">
      <c r="D2476" s="170">
        <v>42586</v>
      </c>
      <c r="E2476" s="171">
        <v>8551.1</v>
      </c>
    </row>
    <row r="2477" ht="17.25" customHeight="1" spans="4:5">
      <c r="D2477" s="170">
        <v>42585</v>
      </c>
      <c r="E2477" s="171">
        <v>8544.85</v>
      </c>
    </row>
    <row r="2478" ht="17.25" customHeight="1" spans="4:5">
      <c r="D2478" s="170">
        <v>42584</v>
      </c>
      <c r="E2478" s="171">
        <v>8622.9</v>
      </c>
    </row>
    <row r="2479" ht="17.25" customHeight="1" spans="4:5">
      <c r="D2479" s="170">
        <v>42583</v>
      </c>
      <c r="E2479" s="171">
        <v>8636.55</v>
      </c>
    </row>
    <row r="2480" ht="17.25" customHeight="1" spans="4:5">
      <c r="D2480" s="170">
        <v>42580</v>
      </c>
      <c r="E2480" s="171">
        <v>8638.5</v>
      </c>
    </row>
    <row r="2481" ht="17.25" customHeight="1" spans="4:5">
      <c r="D2481" s="170">
        <v>42579</v>
      </c>
      <c r="E2481" s="171">
        <v>8666.3</v>
      </c>
    </row>
    <row r="2482" ht="17.25" customHeight="1" spans="4:5">
      <c r="D2482" s="170">
        <v>42578</v>
      </c>
      <c r="E2482" s="171">
        <v>8615.8</v>
      </c>
    </row>
    <row r="2483" ht="17.25" customHeight="1" spans="4:5">
      <c r="D2483" s="170">
        <v>42577</v>
      </c>
      <c r="E2483" s="171">
        <v>8590.65</v>
      </c>
    </row>
    <row r="2484" ht="17.25" customHeight="1" spans="4:5">
      <c r="D2484" s="170">
        <v>42576</v>
      </c>
      <c r="E2484" s="171">
        <v>8635.65</v>
      </c>
    </row>
    <row r="2485" ht="17.25" customHeight="1" spans="4:5">
      <c r="D2485" s="170">
        <v>42573</v>
      </c>
      <c r="E2485" s="171">
        <v>8541.2</v>
      </c>
    </row>
    <row r="2486" ht="17.25" customHeight="1" spans="4:5">
      <c r="D2486" s="170">
        <v>42572</v>
      </c>
      <c r="E2486" s="171">
        <v>8510.1</v>
      </c>
    </row>
    <row r="2487" ht="17.25" customHeight="1" spans="4:5">
      <c r="D2487" s="170">
        <v>42571</v>
      </c>
      <c r="E2487" s="171">
        <v>8565.85</v>
      </c>
    </row>
    <row r="2488" ht="17.25" customHeight="1" spans="4:5">
      <c r="D2488" s="170">
        <v>42570</v>
      </c>
      <c r="E2488" s="171">
        <v>8528.55</v>
      </c>
    </row>
    <row r="2489" ht="17.25" customHeight="1" spans="4:5">
      <c r="D2489" s="170">
        <v>42569</v>
      </c>
      <c r="E2489" s="171">
        <v>8508.7</v>
      </c>
    </row>
    <row r="2490" ht="17.25" customHeight="1" spans="4:5">
      <c r="D2490" s="170">
        <v>42566</v>
      </c>
      <c r="E2490" s="171">
        <v>8541.4</v>
      </c>
    </row>
    <row r="2491" ht="17.25" customHeight="1" spans="4:5">
      <c r="D2491" s="170">
        <v>42565</v>
      </c>
      <c r="E2491" s="171">
        <v>8565</v>
      </c>
    </row>
    <row r="2492" ht="17.25" customHeight="1" spans="4:5">
      <c r="D2492" s="170">
        <v>42564</v>
      </c>
      <c r="E2492" s="171">
        <v>8519.5</v>
      </c>
    </row>
    <row r="2493" ht="17.25" customHeight="1" spans="4:5">
      <c r="D2493" s="170">
        <v>42563</v>
      </c>
      <c r="E2493" s="171">
        <v>8521.05</v>
      </c>
    </row>
    <row r="2494" ht="17.25" customHeight="1" spans="4:5">
      <c r="D2494" s="170">
        <v>42562</v>
      </c>
      <c r="E2494" s="171">
        <v>8467.9</v>
      </c>
    </row>
    <row r="2495" ht="17.25" customHeight="1" spans="4:5">
      <c r="D2495" s="170">
        <v>42559</v>
      </c>
      <c r="E2495" s="171">
        <v>8323.2</v>
      </c>
    </row>
    <row r="2496" ht="17.25" customHeight="1" spans="4:5">
      <c r="D2496" s="170">
        <v>42558</v>
      </c>
      <c r="E2496" s="171">
        <v>8337.9</v>
      </c>
    </row>
    <row r="2497" ht="17.25" customHeight="1" spans="4:5">
      <c r="D2497" s="170">
        <v>42556</v>
      </c>
      <c r="E2497" s="171">
        <v>8335.95</v>
      </c>
    </row>
    <row r="2498" ht="17.25" customHeight="1" spans="4:5">
      <c r="D2498" s="170">
        <v>42555</v>
      </c>
      <c r="E2498" s="171">
        <v>8370.7</v>
      </c>
    </row>
    <row r="2499" ht="17.25" customHeight="1" spans="4:5">
      <c r="D2499" s="170">
        <v>42552</v>
      </c>
      <c r="E2499" s="171">
        <v>8328.35</v>
      </c>
    </row>
    <row r="2500" ht="17.25" customHeight="1" spans="4:5">
      <c r="D2500" s="170">
        <v>42551</v>
      </c>
      <c r="E2500" s="171">
        <v>8287.75</v>
      </c>
    </row>
    <row r="2501" ht="17.25" customHeight="1" spans="4:5">
      <c r="D2501" s="170">
        <v>42550</v>
      </c>
      <c r="E2501" s="171">
        <v>8204</v>
      </c>
    </row>
    <row r="2502" ht="17.25" customHeight="1" spans="4:5">
      <c r="D2502" s="170">
        <v>42549</v>
      </c>
      <c r="E2502" s="171">
        <v>8127.85</v>
      </c>
    </row>
    <row r="2503" ht="17.25" customHeight="1" spans="4:5">
      <c r="D2503" s="170">
        <v>42548</v>
      </c>
      <c r="E2503" s="171">
        <v>8094.7</v>
      </c>
    </row>
    <row r="2504" ht="17.25" customHeight="1" spans="4:5">
      <c r="D2504" s="170">
        <v>42545</v>
      </c>
      <c r="E2504" s="171">
        <v>8088.6</v>
      </c>
    </row>
    <row r="2505" ht="17.25" customHeight="1" spans="4:5">
      <c r="D2505" s="170">
        <v>42544</v>
      </c>
      <c r="E2505" s="171">
        <v>8270.45</v>
      </c>
    </row>
    <row r="2506" ht="17.25" customHeight="1" spans="4:5">
      <c r="D2506" s="170">
        <v>42543</v>
      </c>
      <c r="E2506" s="171">
        <v>8203.7</v>
      </c>
    </row>
    <row r="2507" ht="17.25" customHeight="1" spans="4:5">
      <c r="D2507" s="170">
        <v>42542</v>
      </c>
      <c r="E2507" s="171">
        <v>8219.9</v>
      </c>
    </row>
    <row r="2508" ht="17.25" customHeight="1" spans="4:5">
      <c r="D2508" s="170">
        <v>42541</v>
      </c>
      <c r="E2508" s="171">
        <v>8238.5</v>
      </c>
    </row>
    <row r="2509" ht="17.25" customHeight="1" spans="4:5">
      <c r="D2509" s="170">
        <v>42538</v>
      </c>
      <c r="E2509" s="171">
        <v>8170.2</v>
      </c>
    </row>
    <row r="2510" ht="17.25" customHeight="1" spans="4:5">
      <c r="D2510" s="170">
        <v>42537</v>
      </c>
      <c r="E2510" s="171">
        <v>8140.75</v>
      </c>
    </row>
    <row r="2511" ht="17.25" customHeight="1" spans="4:5">
      <c r="D2511" s="170">
        <v>42536</v>
      </c>
      <c r="E2511" s="171">
        <v>8206.6</v>
      </c>
    </row>
    <row r="2512" ht="17.25" customHeight="1" spans="4:5">
      <c r="D2512" s="170">
        <v>42535</v>
      </c>
      <c r="E2512" s="171">
        <v>8108.85</v>
      </c>
    </row>
    <row r="2513" ht="17.25" customHeight="1" spans="4:5">
      <c r="D2513" s="170">
        <v>42534</v>
      </c>
      <c r="E2513" s="171">
        <v>8110.6</v>
      </c>
    </row>
    <row r="2514" ht="17.25" customHeight="1" spans="4:5">
      <c r="D2514" s="170">
        <v>42531</v>
      </c>
      <c r="E2514" s="171">
        <v>8170.05</v>
      </c>
    </row>
    <row r="2515" ht="17.25" customHeight="1" spans="4:5">
      <c r="D2515" s="170">
        <v>42530</v>
      </c>
      <c r="E2515" s="171">
        <v>8203.6</v>
      </c>
    </row>
    <row r="2516" ht="17.25" customHeight="1" spans="4:5">
      <c r="D2516" s="170">
        <v>42529</v>
      </c>
      <c r="E2516" s="171">
        <v>8273.05</v>
      </c>
    </row>
    <row r="2517" ht="17.25" customHeight="1" spans="4:5">
      <c r="D2517" s="170">
        <v>42528</v>
      </c>
      <c r="E2517" s="171">
        <v>8266.45</v>
      </c>
    </row>
    <row r="2518" ht="17.25" customHeight="1" spans="4:5">
      <c r="D2518" s="170">
        <v>42527</v>
      </c>
      <c r="E2518" s="171">
        <v>8201.05</v>
      </c>
    </row>
    <row r="2519" ht="17.25" customHeight="1" spans="4:5">
      <c r="D2519" s="170">
        <v>42524</v>
      </c>
      <c r="E2519" s="171">
        <v>8220.8</v>
      </c>
    </row>
    <row r="2520" ht="17.25" customHeight="1" spans="4:5">
      <c r="D2520" s="170">
        <v>42523</v>
      </c>
      <c r="E2520" s="171">
        <v>8218.95</v>
      </c>
    </row>
    <row r="2521" ht="17.25" customHeight="1" spans="4:5">
      <c r="D2521" s="170">
        <v>42522</v>
      </c>
      <c r="E2521" s="171">
        <v>8179.95</v>
      </c>
    </row>
    <row r="2522" ht="17.25" customHeight="1" spans="4:5">
      <c r="D2522" s="170">
        <v>42521</v>
      </c>
      <c r="E2522" s="171">
        <v>8160.1</v>
      </c>
    </row>
    <row r="2523" ht="17.25" customHeight="1" spans="4:5">
      <c r="D2523" s="170">
        <v>42520</v>
      </c>
      <c r="E2523" s="171">
        <v>8178.5</v>
      </c>
    </row>
    <row r="2524" ht="17.25" customHeight="1" spans="4:5">
      <c r="D2524" s="170">
        <v>42517</v>
      </c>
      <c r="E2524" s="171">
        <v>8156.65</v>
      </c>
    </row>
    <row r="2525" ht="17.25" customHeight="1" spans="4:5">
      <c r="D2525" s="170">
        <v>42516</v>
      </c>
      <c r="E2525" s="171">
        <v>8069.65</v>
      </c>
    </row>
    <row r="2526" ht="17.25" customHeight="1" spans="4:5">
      <c r="D2526" s="170">
        <v>42515</v>
      </c>
      <c r="E2526" s="171">
        <v>7934.9</v>
      </c>
    </row>
    <row r="2527" ht="17.25" customHeight="1" spans="4:5">
      <c r="D2527" s="170">
        <v>42514</v>
      </c>
      <c r="E2527" s="171">
        <v>7748.85</v>
      </c>
    </row>
    <row r="2528" ht="17.25" customHeight="1" spans="4:5">
      <c r="D2528" s="170">
        <v>42513</v>
      </c>
      <c r="E2528" s="171">
        <v>7731.05</v>
      </c>
    </row>
    <row r="2529" ht="17.25" customHeight="1" spans="4:5">
      <c r="D2529" s="170">
        <v>42510</v>
      </c>
      <c r="E2529" s="171">
        <v>7749.7</v>
      </c>
    </row>
    <row r="2530" ht="17.25" customHeight="1" spans="4:5">
      <c r="D2530" s="170">
        <v>42509</v>
      </c>
      <c r="E2530" s="171">
        <v>7783.4</v>
      </c>
    </row>
    <row r="2531" ht="17.25" customHeight="1" spans="4:5">
      <c r="D2531" s="170">
        <v>42508</v>
      </c>
      <c r="E2531" s="171">
        <v>7870.15</v>
      </c>
    </row>
    <row r="2532" ht="17.25" customHeight="1" spans="4:5">
      <c r="D2532" s="170">
        <v>42507</v>
      </c>
      <c r="E2532" s="171">
        <v>7890.75</v>
      </c>
    </row>
    <row r="2533" ht="17.25" customHeight="1" spans="4:5">
      <c r="D2533" s="170">
        <v>42506</v>
      </c>
      <c r="E2533" s="171">
        <v>7860.75</v>
      </c>
    </row>
    <row r="2534" ht="17.25" customHeight="1" spans="4:5">
      <c r="D2534" s="170">
        <v>42503</v>
      </c>
      <c r="E2534" s="171">
        <v>7814.9</v>
      </c>
    </row>
    <row r="2535" ht="17.25" customHeight="1" spans="4:5">
      <c r="D2535" s="170">
        <v>42502</v>
      </c>
      <c r="E2535" s="171">
        <v>7900.4</v>
      </c>
    </row>
    <row r="2536" ht="17.25" customHeight="1" spans="4:5">
      <c r="D2536" s="170">
        <v>42501</v>
      </c>
      <c r="E2536" s="171">
        <v>7848.85</v>
      </c>
    </row>
    <row r="2537" ht="17.25" customHeight="1" spans="4:5">
      <c r="D2537" s="170">
        <v>42500</v>
      </c>
      <c r="E2537" s="171">
        <v>7887.8</v>
      </c>
    </row>
    <row r="2538" ht="17.25" customHeight="1" spans="4:5">
      <c r="D2538" s="170">
        <v>42499</v>
      </c>
      <c r="E2538" s="171">
        <v>7866.05</v>
      </c>
    </row>
    <row r="2539" ht="17.25" customHeight="1" spans="4:5">
      <c r="D2539" s="170">
        <v>42496</v>
      </c>
      <c r="E2539" s="171">
        <v>7733.45</v>
      </c>
    </row>
    <row r="2540" ht="17.25" customHeight="1" spans="4:5">
      <c r="D2540" s="170">
        <v>42495</v>
      </c>
      <c r="E2540" s="171">
        <v>7735.5</v>
      </c>
    </row>
    <row r="2541" ht="17.25" customHeight="1" spans="4:5">
      <c r="D2541" s="170">
        <v>42494</v>
      </c>
      <c r="E2541" s="171">
        <v>7706.55</v>
      </c>
    </row>
    <row r="2542" ht="17.25" customHeight="1" spans="4:5">
      <c r="D2542" s="170">
        <v>42493</v>
      </c>
      <c r="E2542" s="171">
        <v>7747</v>
      </c>
    </row>
    <row r="2543" ht="17.25" customHeight="1" spans="4:5">
      <c r="D2543" s="170">
        <v>42492</v>
      </c>
      <c r="E2543" s="171">
        <v>7805.9</v>
      </c>
    </row>
    <row r="2544" ht="17.25" customHeight="1" spans="4:5">
      <c r="D2544" s="170">
        <v>42489</v>
      </c>
      <c r="E2544" s="171">
        <v>7849.8</v>
      </c>
    </row>
    <row r="2545" ht="17.25" customHeight="1" spans="4:5">
      <c r="D2545" s="170">
        <v>42488</v>
      </c>
      <c r="E2545" s="171">
        <v>7847.25</v>
      </c>
    </row>
    <row r="2546" ht="17.25" customHeight="1" spans="4:5">
      <c r="D2546" s="170">
        <v>42487</v>
      </c>
      <c r="E2546" s="171">
        <v>7979.9</v>
      </c>
    </row>
    <row r="2547" ht="17.25" customHeight="1" spans="4:5">
      <c r="D2547" s="170">
        <v>42486</v>
      </c>
      <c r="E2547" s="171">
        <v>7962.65</v>
      </c>
    </row>
    <row r="2548" ht="17.25" customHeight="1" spans="4:5">
      <c r="D2548" s="170">
        <v>42485</v>
      </c>
      <c r="E2548" s="171">
        <v>7855.05</v>
      </c>
    </row>
    <row r="2549" ht="17.25" customHeight="1" spans="4:5">
      <c r="D2549" s="170">
        <v>42482</v>
      </c>
      <c r="E2549" s="171">
        <v>7899.3</v>
      </c>
    </row>
    <row r="2550" ht="17.25" customHeight="1" spans="4:5">
      <c r="D2550" s="170">
        <v>42481</v>
      </c>
      <c r="E2550" s="171">
        <v>7912.05</v>
      </c>
    </row>
    <row r="2551" ht="17.25" customHeight="1" spans="4:5">
      <c r="D2551" s="170">
        <v>42480</v>
      </c>
      <c r="E2551" s="171">
        <v>7914.75</v>
      </c>
    </row>
    <row r="2552" ht="17.25" customHeight="1" spans="4:5">
      <c r="D2552" s="170">
        <v>42478</v>
      </c>
      <c r="E2552" s="171">
        <v>7914.7</v>
      </c>
    </row>
    <row r="2553" ht="17.25" customHeight="1" spans="4:5">
      <c r="D2553" s="170">
        <v>42473</v>
      </c>
      <c r="E2553" s="171">
        <v>7850.45</v>
      </c>
    </row>
    <row r="2554" ht="17.25" customHeight="1" spans="4:5">
      <c r="D2554" s="170">
        <v>42472</v>
      </c>
      <c r="E2554" s="171">
        <v>7708.95</v>
      </c>
    </row>
    <row r="2555" ht="17.25" customHeight="1" spans="4:5">
      <c r="D2555" s="170">
        <v>42471</v>
      </c>
      <c r="E2555" s="171">
        <v>7671.4</v>
      </c>
    </row>
    <row r="2556" ht="17.25" customHeight="1" spans="4:5">
      <c r="D2556" s="170">
        <v>42468</v>
      </c>
      <c r="E2556" s="171">
        <v>7555.2</v>
      </c>
    </row>
    <row r="2557" ht="17.25" customHeight="1" spans="4:5">
      <c r="D2557" s="170">
        <v>42467</v>
      </c>
      <c r="E2557" s="171">
        <v>7546.45</v>
      </c>
    </row>
    <row r="2558" ht="17.25" customHeight="1" spans="4:5">
      <c r="D2558" s="170">
        <v>42466</v>
      </c>
      <c r="E2558" s="171">
        <v>7614.35</v>
      </c>
    </row>
    <row r="2559" ht="17.25" customHeight="1" spans="4:5">
      <c r="D2559" s="170">
        <v>42465</v>
      </c>
      <c r="E2559" s="171">
        <v>7603.2</v>
      </c>
    </row>
    <row r="2560" ht="17.25" customHeight="1" spans="4:5">
      <c r="D2560" s="170">
        <v>42464</v>
      </c>
      <c r="E2560" s="171">
        <v>7758.8</v>
      </c>
    </row>
    <row r="2561" ht="17.25" customHeight="1" spans="4:5">
      <c r="D2561" s="170">
        <v>42461</v>
      </c>
      <c r="E2561" s="171">
        <v>7713.05</v>
      </c>
    </row>
    <row r="2562" ht="17.25" customHeight="1" spans="4:5">
      <c r="D2562" s="170">
        <v>42460</v>
      </c>
      <c r="E2562" s="171">
        <v>7738.4</v>
      </c>
    </row>
    <row r="2563" ht="17.25" customHeight="1" spans="4:5">
      <c r="D2563" s="170">
        <v>42459</v>
      </c>
      <c r="E2563" s="171">
        <v>7735.2</v>
      </c>
    </row>
    <row r="2564" ht="17.25" customHeight="1" spans="4:5">
      <c r="D2564" s="170">
        <v>42458</v>
      </c>
      <c r="E2564" s="171">
        <v>7597</v>
      </c>
    </row>
    <row r="2565" ht="17.25" customHeight="1" spans="4:5">
      <c r="D2565" s="170">
        <v>42457</v>
      </c>
      <c r="E2565" s="171">
        <v>7615.1</v>
      </c>
    </row>
    <row r="2566" ht="17.25" customHeight="1" spans="4:5">
      <c r="D2566" s="170">
        <v>42452</v>
      </c>
      <c r="E2566" s="171">
        <v>7716.5</v>
      </c>
    </row>
    <row r="2567" ht="17.25" customHeight="1" spans="4:5">
      <c r="D2567" s="170">
        <v>42451</v>
      </c>
      <c r="E2567" s="171">
        <v>7714.9</v>
      </c>
    </row>
    <row r="2568" ht="17.25" customHeight="1" spans="4:5">
      <c r="D2568" s="170">
        <v>42450</v>
      </c>
      <c r="E2568" s="171">
        <v>7704.25</v>
      </c>
    </row>
    <row r="2569" ht="17.25" customHeight="1" spans="4:5">
      <c r="D2569" s="170">
        <v>42447</v>
      </c>
      <c r="E2569" s="171">
        <v>7604.35</v>
      </c>
    </row>
    <row r="2570" ht="17.25" customHeight="1" spans="4:5">
      <c r="D2570" s="170">
        <v>42446</v>
      </c>
      <c r="E2570" s="171">
        <v>7512.55</v>
      </c>
    </row>
    <row r="2571" ht="17.25" customHeight="1" spans="4:5">
      <c r="D2571" s="170">
        <v>42445</v>
      </c>
      <c r="E2571" s="171">
        <v>7498.75</v>
      </c>
    </row>
    <row r="2572" ht="17.25" customHeight="1" spans="4:5">
      <c r="D2572" s="170">
        <v>42444</v>
      </c>
      <c r="E2572" s="171">
        <v>7460.6</v>
      </c>
    </row>
    <row r="2573" ht="17.25" customHeight="1" spans="4:5">
      <c r="D2573" s="170">
        <v>42443</v>
      </c>
      <c r="E2573" s="171">
        <v>7538.75</v>
      </c>
    </row>
    <row r="2574" ht="17.25" customHeight="1" spans="4:5">
      <c r="D2574" s="170">
        <v>42440</v>
      </c>
      <c r="E2574" s="171">
        <v>7510.2</v>
      </c>
    </row>
    <row r="2575" ht="17.25" customHeight="1" spans="4:5">
      <c r="D2575" s="170">
        <v>42439</v>
      </c>
      <c r="E2575" s="171">
        <v>7486.15</v>
      </c>
    </row>
    <row r="2576" ht="17.25" customHeight="1" spans="4:5">
      <c r="D2576" s="170">
        <v>42438</v>
      </c>
      <c r="E2576" s="171">
        <v>7531.8</v>
      </c>
    </row>
    <row r="2577" ht="17.25" customHeight="1" spans="4:5">
      <c r="D2577" s="170">
        <v>42437</v>
      </c>
      <c r="E2577" s="171">
        <v>7485.3</v>
      </c>
    </row>
    <row r="2578" ht="17.25" customHeight="1" spans="4:5">
      <c r="D2578" s="170">
        <v>42433</v>
      </c>
      <c r="E2578" s="171">
        <v>7485.35</v>
      </c>
    </row>
    <row r="2579" ht="17.25" customHeight="1" spans="4:5">
      <c r="D2579" s="170">
        <v>42432</v>
      </c>
      <c r="E2579" s="171">
        <v>7475.6</v>
      </c>
    </row>
    <row r="2580" ht="17.25" customHeight="1" spans="4:5">
      <c r="D2580" s="170">
        <v>42431</v>
      </c>
      <c r="E2580" s="171">
        <v>7368.85</v>
      </c>
    </row>
    <row r="2581" ht="17.25" customHeight="1" spans="4:5">
      <c r="D2581" s="170">
        <v>42430</v>
      </c>
      <c r="E2581" s="171">
        <v>7222.3</v>
      </c>
    </row>
    <row r="2582" ht="17.25" customHeight="1" spans="4:5">
      <c r="D2582" s="170">
        <v>42429</v>
      </c>
      <c r="E2582" s="171">
        <v>6987.05</v>
      </c>
    </row>
    <row r="2583" ht="17.25" customHeight="1" spans="4:5">
      <c r="D2583" s="170">
        <v>42426</v>
      </c>
      <c r="E2583" s="171">
        <v>7029.75</v>
      </c>
    </row>
    <row r="2584" ht="17.25" customHeight="1" spans="4:5">
      <c r="D2584" s="170">
        <v>42425</v>
      </c>
      <c r="E2584" s="171">
        <v>6970.6</v>
      </c>
    </row>
    <row r="2585" ht="17.25" customHeight="1" spans="4:5">
      <c r="D2585" s="170">
        <v>42424</v>
      </c>
      <c r="E2585" s="171">
        <v>7018.7</v>
      </c>
    </row>
    <row r="2586" ht="17.25" customHeight="1" spans="4:5">
      <c r="D2586" s="170">
        <v>42423</v>
      </c>
      <c r="E2586" s="171">
        <v>7109.55</v>
      </c>
    </row>
    <row r="2587" ht="17.25" customHeight="1" spans="4:5">
      <c r="D2587" s="170">
        <v>42422</v>
      </c>
      <c r="E2587" s="171">
        <v>7234.55</v>
      </c>
    </row>
    <row r="2588" ht="17.25" customHeight="1" spans="4:5">
      <c r="D2588" s="170">
        <v>42419</v>
      </c>
      <c r="E2588" s="171">
        <v>7210.75</v>
      </c>
    </row>
    <row r="2589" ht="17.25" customHeight="1" spans="4:5">
      <c r="D2589" s="170">
        <v>42418</v>
      </c>
      <c r="E2589" s="171">
        <v>7191.75</v>
      </c>
    </row>
    <row r="2590" ht="17.25" customHeight="1" spans="4:5">
      <c r="D2590" s="170">
        <v>42417</v>
      </c>
      <c r="E2590" s="171">
        <v>7108.45</v>
      </c>
    </row>
    <row r="2591" ht="17.25" customHeight="1" spans="4:5">
      <c r="D2591" s="170">
        <v>42416</v>
      </c>
      <c r="E2591" s="171">
        <v>7048.25</v>
      </c>
    </row>
    <row r="2592" ht="17.25" customHeight="1" spans="4:5">
      <c r="D2592" s="170">
        <v>42415</v>
      </c>
      <c r="E2592" s="171">
        <v>7162.95</v>
      </c>
    </row>
    <row r="2593" ht="17.25" customHeight="1" spans="4:5">
      <c r="D2593" s="170">
        <v>42412</v>
      </c>
      <c r="E2593" s="171">
        <v>6980.95</v>
      </c>
    </row>
    <row r="2594" ht="17.25" customHeight="1" spans="4:5">
      <c r="D2594" s="170">
        <v>42411</v>
      </c>
      <c r="E2594" s="171">
        <v>6976.35</v>
      </c>
    </row>
    <row r="2595" ht="17.25" customHeight="1" spans="4:5">
      <c r="D2595" s="170">
        <v>42410</v>
      </c>
      <c r="E2595" s="171">
        <v>7215.7</v>
      </c>
    </row>
    <row r="2596" ht="17.25" customHeight="1" spans="4:5">
      <c r="D2596" s="170">
        <v>42409</v>
      </c>
      <c r="E2596" s="171">
        <v>7298.2</v>
      </c>
    </row>
    <row r="2597" ht="17.25" customHeight="1" spans="4:5">
      <c r="D2597" s="170">
        <v>42408</v>
      </c>
      <c r="E2597" s="171">
        <v>7387.25</v>
      </c>
    </row>
    <row r="2598" ht="17.25" customHeight="1" spans="4:5">
      <c r="D2598" s="170">
        <v>42405</v>
      </c>
      <c r="E2598" s="171">
        <v>7489.1</v>
      </c>
    </row>
    <row r="2599" ht="17.25" customHeight="1" spans="4:5">
      <c r="D2599" s="170">
        <v>42404</v>
      </c>
      <c r="E2599" s="171">
        <v>7404</v>
      </c>
    </row>
    <row r="2600" ht="17.25" customHeight="1" spans="4:5">
      <c r="D2600" s="170">
        <v>42403</v>
      </c>
      <c r="E2600" s="171">
        <v>7361.8</v>
      </c>
    </row>
    <row r="2601" ht="17.25" customHeight="1" spans="4:5">
      <c r="D2601" s="170">
        <v>42402</v>
      </c>
      <c r="E2601" s="171">
        <v>7455.55</v>
      </c>
    </row>
    <row r="2602" ht="17.25" customHeight="1" spans="4:5">
      <c r="D2602" s="170">
        <v>42401</v>
      </c>
      <c r="E2602" s="171">
        <v>7555.95</v>
      </c>
    </row>
    <row r="2603" ht="17.25" customHeight="1" spans="4:5">
      <c r="D2603" s="170">
        <v>42398</v>
      </c>
      <c r="E2603" s="171">
        <v>7563.55</v>
      </c>
    </row>
    <row r="2604" ht="17.25" customHeight="1" spans="4:5">
      <c r="D2604" s="170">
        <v>42397</v>
      </c>
      <c r="E2604" s="171">
        <v>7424.65</v>
      </c>
    </row>
    <row r="2605" ht="17.25" customHeight="1" spans="4:5">
      <c r="D2605" s="170">
        <v>42396</v>
      </c>
      <c r="E2605" s="171">
        <v>7437.75</v>
      </c>
    </row>
    <row r="2606" ht="17.25" customHeight="1" spans="4:5">
      <c r="D2606" s="170">
        <v>42394</v>
      </c>
      <c r="E2606" s="171">
        <v>7436.15</v>
      </c>
    </row>
    <row r="2607" ht="17.25" customHeight="1" spans="4:5">
      <c r="D2607" s="170">
        <v>42391</v>
      </c>
      <c r="E2607" s="171">
        <v>7422.45</v>
      </c>
    </row>
    <row r="2608" ht="17.25" customHeight="1" spans="4:5">
      <c r="D2608" s="170">
        <v>42390</v>
      </c>
      <c r="E2608" s="171">
        <v>7276.8</v>
      </c>
    </row>
    <row r="2609" ht="17.25" customHeight="1" spans="4:5">
      <c r="D2609" s="170">
        <v>42389</v>
      </c>
      <c r="E2609" s="171">
        <v>7309.3</v>
      </c>
    </row>
    <row r="2610" ht="17.25" customHeight="1" spans="4:5">
      <c r="D2610" s="170">
        <v>42388</v>
      </c>
      <c r="E2610" s="171">
        <v>7435.1</v>
      </c>
    </row>
    <row r="2611" ht="17.25" customHeight="1" spans="4:5">
      <c r="D2611" s="170">
        <v>42387</v>
      </c>
      <c r="E2611" s="171">
        <v>7351</v>
      </c>
    </row>
    <row r="2612" ht="17.25" customHeight="1" spans="4:5">
      <c r="D2612" s="170">
        <v>42384</v>
      </c>
      <c r="E2612" s="171">
        <v>7437.8</v>
      </c>
    </row>
    <row r="2613" ht="17.25" customHeight="1" spans="4:5">
      <c r="D2613" s="170">
        <v>42383</v>
      </c>
      <c r="E2613" s="171">
        <v>7536.8</v>
      </c>
    </row>
    <row r="2614" ht="17.25" customHeight="1" spans="4:5">
      <c r="D2614" s="170">
        <v>42382</v>
      </c>
      <c r="E2614" s="171">
        <v>7562.4</v>
      </c>
    </row>
    <row r="2615" ht="17.25" customHeight="1" spans="4:5">
      <c r="D2615" s="170">
        <v>42381</v>
      </c>
      <c r="E2615" s="171">
        <v>7510.3</v>
      </c>
    </row>
    <row r="2616" ht="17.25" customHeight="1" spans="4:5">
      <c r="D2616" s="170">
        <v>42380</v>
      </c>
      <c r="E2616" s="171">
        <v>7563.85</v>
      </c>
    </row>
    <row r="2617" ht="17.25" customHeight="1" spans="4:5">
      <c r="D2617" s="170">
        <v>42377</v>
      </c>
      <c r="E2617" s="171">
        <v>7601.35</v>
      </c>
    </row>
    <row r="2618" ht="17.25" customHeight="1" spans="4:5">
      <c r="D2618" s="170">
        <v>42376</v>
      </c>
      <c r="E2618" s="171">
        <v>7568.3</v>
      </c>
    </row>
    <row r="2619" ht="17.25" customHeight="1" spans="4:5">
      <c r="D2619" s="170">
        <v>42375</v>
      </c>
      <c r="E2619" s="171">
        <v>7741</v>
      </c>
    </row>
    <row r="2620" ht="17.25" customHeight="1" spans="4:5">
      <c r="D2620" s="170">
        <v>42374</v>
      </c>
      <c r="E2620" s="171">
        <v>7784.65</v>
      </c>
    </row>
    <row r="2621" ht="17.25" customHeight="1" spans="4:5">
      <c r="D2621" s="170">
        <v>42373</v>
      </c>
      <c r="E2621" s="171">
        <v>7791.3</v>
      </c>
    </row>
    <row r="2622" ht="17.25" customHeight="1" spans="4:5">
      <c r="D2622" s="170">
        <v>42370</v>
      </c>
      <c r="E2622" s="171">
        <v>7963.2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8"/>
  <sheetViews>
    <sheetView showGridLines="0" zoomScale="85" zoomScaleNormal="85" topLeftCell="A13" workbookViewId="0">
      <selection activeCell="I29" sqref="I29"/>
    </sheetView>
  </sheetViews>
  <sheetFormatPr defaultColWidth="8.67857142857143" defaultRowHeight="16.8"/>
  <cols>
    <col min="1" max="3" width="1.24107142857143" customWidth="1"/>
    <col min="4" max="4" width="26" customWidth="1"/>
    <col min="5" max="7" width="5.64285714285714" customWidth="1"/>
    <col min="8" max="9" width="13" customWidth="1"/>
    <col min="10" max="11" width="11" customWidth="1"/>
    <col min="12" max="14" width="10" customWidth="1"/>
  </cols>
  <sheetData>
    <row r="1" ht="33.75" customHeight="1" spans="1:15">
      <c r="A1" s="95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132"/>
    </row>
    <row r="2" ht="15" customHeight="1" spans="1:15">
      <c r="A2" s="96" t="s">
        <v>268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132"/>
    </row>
    <row r="3" ht="15" customHeight="1" spans="1:15">
      <c r="A3" s="133" t="s">
        <v>269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132"/>
    </row>
    <row r="4" ht="16.5" customHeight="1" spans="1:1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ht="15" customHeight="1" spans="1:15">
      <c r="A5" s="134" t="s">
        <v>270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132"/>
    </row>
    <row r="6" ht="13.5" customHeight="1" spans="1:15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</row>
    <row r="7" ht="16.5" customHeight="1" spans="1:1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ht="16.5" customHeight="1" spans="1:15">
      <c r="A8" s="10"/>
      <c r="B8" s="10"/>
      <c r="C8" s="10"/>
      <c r="D8" s="135"/>
      <c r="E8" s="136"/>
      <c r="F8" s="136"/>
      <c r="G8" s="136"/>
      <c r="H8" s="137" t="s">
        <v>56</v>
      </c>
      <c r="I8" s="137" t="s">
        <v>271</v>
      </c>
      <c r="J8" s="137" t="s">
        <v>272</v>
      </c>
      <c r="K8" s="137" t="s">
        <v>272</v>
      </c>
      <c r="L8" s="137" t="s">
        <v>273</v>
      </c>
      <c r="M8" s="137" t="s">
        <v>274</v>
      </c>
      <c r="N8" s="137" t="s">
        <v>275</v>
      </c>
    </row>
    <row r="9" ht="23.25" customHeight="1" spans="1:15">
      <c r="A9" s="10"/>
      <c r="B9" s="10"/>
      <c r="C9" s="10"/>
      <c r="D9" s="138" t="s">
        <v>276</v>
      </c>
      <c r="E9" s="136"/>
      <c r="F9" s="136"/>
      <c r="G9" s="136"/>
      <c r="H9" s="137" t="s">
        <v>277</v>
      </c>
      <c r="I9" s="137" t="s">
        <v>278</v>
      </c>
      <c r="J9" s="137" t="s">
        <v>56</v>
      </c>
      <c r="K9" s="137" t="s">
        <v>279</v>
      </c>
      <c r="L9" s="137" t="s">
        <v>280</v>
      </c>
      <c r="M9" s="137" t="s">
        <v>281</v>
      </c>
      <c r="N9" s="137" t="s">
        <v>281</v>
      </c>
    </row>
    <row r="10" ht="15" customHeight="1" spans="1:15">
      <c r="A10" s="10"/>
      <c r="B10" s="10"/>
      <c r="C10" s="10"/>
      <c r="D10" s="139" t="s">
        <v>282</v>
      </c>
      <c r="E10" s="140"/>
      <c r="F10" s="140"/>
      <c r="G10" s="140"/>
      <c r="H10" s="141">
        <f>Comps!N8</f>
        <v>424233.4</v>
      </c>
      <c r="I10" s="141">
        <f>Comps!L8</f>
        <v>177500</v>
      </c>
      <c r="J10" s="142">
        <f>I10/H10</f>
        <v>0.418401757145948</v>
      </c>
      <c r="K10" s="142">
        <f>I10/(H10+I10)</f>
        <v>0.294981132840557</v>
      </c>
      <c r="L10" s="142">
        <f>0.25</f>
        <v>0.25</v>
      </c>
      <c r="M10" s="143">
        <v>0.75</v>
      </c>
      <c r="N10" s="144">
        <f>M10/(1+J10*(1-L10))</f>
        <v>0.570862572448895</v>
      </c>
    </row>
    <row r="11" ht="15" customHeight="1" spans="1:15">
      <c r="A11" s="10"/>
      <c r="B11" s="10"/>
      <c r="C11" s="10"/>
      <c r="D11" s="145" t="s">
        <v>283</v>
      </c>
      <c r="E11" s="10"/>
      <c r="F11" s="10"/>
      <c r="G11" s="10"/>
      <c r="H11" s="146">
        <f>Comps!N9</f>
        <v>307117.1</v>
      </c>
      <c r="I11" s="146">
        <f>Comps!L9</f>
        <v>132000</v>
      </c>
      <c r="J11" s="147">
        <f>I11/H11</f>
        <v>0.429803485380658</v>
      </c>
      <c r="K11" s="147">
        <f>I11/(H11+I11)</f>
        <v>0.300603187623529</v>
      </c>
      <c r="L11" s="147">
        <f>L10</f>
        <v>0.25</v>
      </c>
      <c r="M11" s="148">
        <v>0.8</v>
      </c>
      <c r="N11" s="149">
        <f>M11/(1+J11*(1-L11))</f>
        <v>0.604982356074147</v>
      </c>
    </row>
    <row r="12" ht="15" customHeight="1" spans="1:15">
      <c r="A12" s="10"/>
      <c r="B12" s="10"/>
      <c r="C12" s="10"/>
      <c r="D12" s="145" t="s">
        <v>284</v>
      </c>
      <c r="E12" s="10"/>
      <c r="F12" s="10"/>
      <c r="G12" s="10"/>
      <c r="H12" s="146">
        <f>Comps!N10</f>
        <v>177937.6</v>
      </c>
      <c r="I12" s="146">
        <f>Comps!L10</f>
        <v>45000</v>
      </c>
      <c r="J12" s="147">
        <f>I12/H12</f>
        <v>0.25289764501713</v>
      </c>
      <c r="K12" s="147">
        <f>I12/(H12+I12)</f>
        <v>0.20185020382385</v>
      </c>
      <c r="L12" s="147">
        <f>L11</f>
        <v>0.25</v>
      </c>
      <c r="M12" s="148">
        <v>0.9</v>
      </c>
      <c r="N12" s="149">
        <f>M12/(1+J12*(1-L12))</f>
        <v>0.756510253789074</v>
      </c>
    </row>
    <row r="13" ht="15" customHeight="1" spans="1:15">
      <c r="A13" s="10"/>
      <c r="B13" s="10"/>
      <c r="C13" s="10"/>
      <c r="D13" s="145" t="s">
        <v>285</v>
      </c>
      <c r="E13" s="10"/>
      <c r="F13" s="10"/>
      <c r="G13" s="10"/>
      <c r="H13" s="146">
        <f>Comps!N11</f>
        <v>88712.7</v>
      </c>
      <c r="I13" s="146">
        <f>Comps!L11</f>
        <v>15000</v>
      </c>
      <c r="J13" s="147">
        <f>I13/H13</f>
        <v>0.169085147898779</v>
      </c>
      <c r="K13" s="147">
        <f>I13/(H13+I13)</f>
        <v>0.144630310463424</v>
      </c>
      <c r="L13" s="147">
        <f>L12</f>
        <v>0.25</v>
      </c>
      <c r="M13" s="148">
        <v>0.7</v>
      </c>
      <c r="N13" s="149">
        <f>M13/(1+J13*(1-L13))</f>
        <v>0.621220615289503</v>
      </c>
    </row>
    <row r="14" ht="15" customHeight="1" spans="1:15">
      <c r="A14" s="10"/>
      <c r="B14" s="10"/>
      <c r="C14" s="10"/>
      <c r="D14" s="145" t="s">
        <v>286</v>
      </c>
      <c r="E14" s="10"/>
      <c r="F14" s="10"/>
      <c r="G14" s="10"/>
      <c r="H14" s="146">
        <f>Comps!N12</f>
        <v>458250</v>
      </c>
      <c r="I14" s="146">
        <f>Comps!L12</f>
        <v>75000</v>
      </c>
      <c r="J14" s="147">
        <f>I14/H14</f>
        <v>0.16366612111293</v>
      </c>
      <c r="K14" s="147">
        <f>I14/(H14+I14)</f>
        <v>0.140646976090014</v>
      </c>
      <c r="L14" s="147">
        <f>L13</f>
        <v>0.25</v>
      </c>
      <c r="M14" s="148">
        <v>1.7</v>
      </c>
      <c r="N14" s="149">
        <f>M14/(1+J14*(1-L14))</f>
        <v>1.51413994169096</v>
      </c>
    </row>
    <row r="15" ht="15" customHeight="1" spans="1:15">
      <c r="A15" s="10"/>
      <c r="B15" s="10"/>
      <c r="C15" s="10"/>
      <c r="D15" s="150" t="s">
        <v>217</v>
      </c>
      <c r="E15" s="33"/>
      <c r="F15" s="33"/>
      <c r="G15" s="33"/>
      <c r="H15" s="151"/>
      <c r="I15" s="151"/>
      <c r="J15" s="152">
        <f>AVERAGE(J10:J14)</f>
        <v>0.286770831311089</v>
      </c>
      <c r="K15" s="152">
        <f>AVERAGE(K10:K14)</f>
        <v>0.216542362168275</v>
      </c>
      <c r="L15" s="152">
        <f>AVERAGE(L10:L14)</f>
        <v>0.25</v>
      </c>
      <c r="M15" s="153">
        <f>AVERAGE(M10:M14)</f>
        <v>0.97</v>
      </c>
      <c r="N15" s="153">
        <f>AVERAGE(N10:N14)</f>
        <v>0.813543147858516</v>
      </c>
    </row>
    <row r="16" ht="15" customHeight="1" spans="1:15">
      <c r="A16" s="10"/>
      <c r="B16" s="10"/>
      <c r="C16" s="10"/>
      <c r="D16" s="150" t="s">
        <v>287</v>
      </c>
      <c r="E16" s="33"/>
      <c r="F16" s="33"/>
      <c r="G16" s="33"/>
      <c r="H16" s="151"/>
      <c r="I16" s="151"/>
      <c r="J16" s="152">
        <f>MEDIAN(J10:J14)</f>
        <v>0.25289764501713</v>
      </c>
      <c r="K16" s="152">
        <f>MEDIAN(K10:K14)</f>
        <v>0.20185020382385</v>
      </c>
      <c r="L16" s="152">
        <f>MEDIAN(L10:L14)</f>
        <v>0.25</v>
      </c>
      <c r="M16" s="153">
        <f>MEDIAN(M10:M14)</f>
        <v>0.8</v>
      </c>
      <c r="N16" s="153">
        <f>MEDIAN(N10:N14)</f>
        <v>0.621220615289503</v>
      </c>
    </row>
    <row r="17" ht="16.5" customHeight="1" spans="1:14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</row>
    <row r="18" ht="15" customHeight="1" spans="1:14">
      <c r="A18" s="10"/>
      <c r="B18" s="10"/>
      <c r="C18" s="10"/>
      <c r="D18" s="154" t="s">
        <v>0</v>
      </c>
      <c r="E18" s="10"/>
      <c r="F18" s="10"/>
      <c r="G18" s="10"/>
      <c r="H18" s="155">
        <f>Comps!K17</f>
        <v>1702026.25</v>
      </c>
      <c r="I18" s="155">
        <f>Comps!L17</f>
        <v>854184</v>
      </c>
      <c r="J18" s="10"/>
      <c r="K18" s="10"/>
      <c r="L18" s="10"/>
      <c r="M18" s="10"/>
      <c r="N18" s="10"/>
    </row>
    <row r="19" ht="16.5" customHeight="1" spans="1:14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</row>
    <row r="20" ht="15" customHeight="1" spans="1:14">
      <c r="A20" s="156" t="s">
        <v>288</v>
      </c>
      <c r="B20" s="157"/>
      <c r="C20" s="157"/>
      <c r="D20" s="157"/>
      <c r="E20" s="157"/>
      <c r="F20" s="157"/>
      <c r="G20" s="157"/>
      <c r="H20" s="157"/>
      <c r="I20" s="157"/>
      <c r="J20" s="10"/>
      <c r="K20" s="10"/>
      <c r="L20" s="10"/>
      <c r="M20" s="10"/>
      <c r="N20" s="10"/>
    </row>
    <row r="21" ht="16.5" customHeight="1" spans="1:14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</row>
    <row r="22" ht="15" customHeight="1" spans="1:14">
      <c r="A22" s="10"/>
      <c r="B22" s="10"/>
      <c r="C22" s="150" t="s">
        <v>289</v>
      </c>
      <c r="D22" s="33"/>
      <c r="E22" s="33"/>
      <c r="F22" s="33"/>
      <c r="G22" s="33"/>
      <c r="H22" s="33"/>
      <c r="I22" s="33"/>
      <c r="J22" s="10"/>
      <c r="K22" s="10"/>
      <c r="L22" s="10"/>
      <c r="M22" s="10"/>
      <c r="N22" s="10"/>
    </row>
    <row r="23" ht="15" customHeight="1" spans="1:14">
      <c r="A23" s="10"/>
      <c r="B23" s="10"/>
      <c r="C23" s="10"/>
      <c r="D23" s="10" t="s">
        <v>290</v>
      </c>
      <c r="E23" s="10"/>
      <c r="F23" s="10"/>
      <c r="G23" s="10"/>
      <c r="H23" s="10"/>
      <c r="I23" s="158">
        <f>Comps!L17/(Comps!K17+Comps!L17)</f>
        <v>0.334160306258063</v>
      </c>
      <c r="J23" s="10"/>
      <c r="K23" s="10"/>
      <c r="L23" s="10"/>
      <c r="M23" s="10"/>
      <c r="N23" s="10"/>
    </row>
    <row r="24" ht="15" customHeight="1" spans="1:14">
      <c r="A24" s="10"/>
      <c r="B24" s="10"/>
      <c r="C24" s="10"/>
      <c r="D24" s="10" t="s">
        <v>291</v>
      </c>
      <c r="E24" s="10"/>
      <c r="F24" s="10"/>
      <c r="G24" s="10"/>
      <c r="H24" s="10"/>
      <c r="I24" s="158">
        <f>1-I23</f>
        <v>0.665839693741937</v>
      </c>
      <c r="J24" s="10"/>
      <c r="K24" s="10"/>
      <c r="L24" s="10"/>
      <c r="M24" s="10"/>
      <c r="N24" s="10"/>
    </row>
    <row r="25" ht="16.5" customHeight="1" spans="1:14"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ht="15" customHeight="1" spans="1:14">
      <c r="B26" s="10"/>
      <c r="C26" s="150" t="s">
        <v>292</v>
      </c>
      <c r="D26" s="33"/>
      <c r="E26" s="33"/>
      <c r="F26" s="33"/>
      <c r="G26" s="33"/>
      <c r="H26" s="33"/>
      <c r="I26" s="33"/>
      <c r="J26" s="10"/>
      <c r="K26" s="10"/>
      <c r="L26" s="10"/>
      <c r="M26" s="10"/>
      <c r="N26" s="10"/>
    </row>
    <row r="27" ht="15" customHeight="1" spans="1:14">
      <c r="B27" s="10"/>
      <c r="C27" s="10"/>
      <c r="D27" s="10" t="s">
        <v>293</v>
      </c>
      <c r="E27" s="10"/>
      <c r="F27" s="10"/>
      <c r="G27" s="10"/>
      <c r="H27" s="10"/>
      <c r="I27" s="159">
        <f>H18</f>
        <v>1702026.25</v>
      </c>
      <c r="J27" s="10"/>
      <c r="K27" s="10"/>
      <c r="L27" s="10"/>
      <c r="M27" s="10"/>
      <c r="N27" s="10"/>
    </row>
    <row r="28" ht="15" customHeight="1" spans="1:14">
      <c r="B28" s="10"/>
      <c r="C28" s="10"/>
      <c r="D28" s="10" t="s">
        <v>294</v>
      </c>
      <c r="E28" s="10"/>
      <c r="F28" s="10"/>
      <c r="G28" s="10"/>
      <c r="H28" s="10"/>
      <c r="I28" s="159">
        <f>I18</f>
        <v>854184</v>
      </c>
      <c r="J28" s="10"/>
      <c r="K28" s="10"/>
      <c r="L28" s="10"/>
      <c r="M28" s="10"/>
      <c r="N28" s="10"/>
    </row>
    <row r="29" ht="15" customHeight="1" spans="1:14">
      <c r="B29" s="10"/>
      <c r="C29" s="140"/>
      <c r="D29" s="140" t="s">
        <v>295</v>
      </c>
      <c r="E29" s="140"/>
      <c r="F29" s="140"/>
      <c r="G29" s="140"/>
      <c r="H29" s="140"/>
      <c r="I29" s="160">
        <f>I28/I27</f>
        <v>0.50186300005655</v>
      </c>
      <c r="J29" s="10"/>
      <c r="K29" s="10"/>
      <c r="L29" s="10"/>
      <c r="M29" s="10"/>
      <c r="N29" s="10"/>
    </row>
    <row r="30" ht="16.5" customHeight="1" spans="1:14"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ht="15" customHeight="1" spans="1:14">
      <c r="B31" s="10"/>
      <c r="C31" s="150" t="s">
        <v>296</v>
      </c>
      <c r="D31" s="33"/>
      <c r="E31" s="33"/>
      <c r="F31" s="33"/>
      <c r="G31" s="33"/>
      <c r="H31" s="33"/>
      <c r="I31" s="33"/>
      <c r="J31" s="10"/>
      <c r="K31" s="10"/>
      <c r="L31" s="10"/>
      <c r="M31" s="10"/>
      <c r="N31" s="10"/>
    </row>
    <row r="32" ht="15" customHeight="1" spans="1:14">
      <c r="B32" s="10"/>
      <c r="C32" s="10"/>
      <c r="D32" s="10" t="s">
        <v>297</v>
      </c>
      <c r="E32" s="10"/>
      <c r="F32" s="10"/>
      <c r="G32" s="10"/>
      <c r="H32" s="10"/>
      <c r="I32" s="158">
        <f>Model!M9</f>
        <v>0.0981472225207119</v>
      </c>
      <c r="J32" s="10"/>
      <c r="K32" s="10"/>
      <c r="L32" s="10"/>
      <c r="M32" s="10"/>
      <c r="N32" s="10"/>
    </row>
    <row r="33" ht="15" customHeight="1" spans="2:14">
      <c r="B33" s="10"/>
      <c r="C33" s="10"/>
      <c r="D33" s="10" t="s">
        <v>204</v>
      </c>
      <c r="E33" s="10"/>
      <c r="F33" s="10"/>
      <c r="G33" s="10"/>
      <c r="H33" s="10"/>
      <c r="I33" s="158">
        <f>Model!M11</f>
        <v>0.223214001082874</v>
      </c>
      <c r="J33" s="10"/>
      <c r="K33" s="10"/>
      <c r="L33" s="10"/>
      <c r="M33" s="10"/>
      <c r="N33" s="10"/>
    </row>
    <row r="34" ht="15" customHeight="1" spans="2:14">
      <c r="B34" s="10"/>
      <c r="C34" s="140"/>
      <c r="D34" s="140" t="s">
        <v>298</v>
      </c>
      <c r="E34" s="140"/>
      <c r="F34" s="140"/>
      <c r="G34" s="140"/>
      <c r="H34" s="140"/>
      <c r="I34" s="160">
        <f>I32*(1-I33)</f>
        <v>0.0762393882866926</v>
      </c>
      <c r="J34" s="10"/>
      <c r="K34" s="10"/>
      <c r="L34" s="10"/>
      <c r="M34" s="10"/>
      <c r="N34" s="10"/>
    </row>
    <row r="35" ht="16.5" customHeight="1" spans="2:14"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ht="15" customHeight="1" spans="2:14">
      <c r="B36" s="10"/>
      <c r="C36" s="150" t="s">
        <v>299</v>
      </c>
      <c r="D36" s="33"/>
      <c r="E36" s="33"/>
      <c r="F36" s="33"/>
      <c r="G36" s="33"/>
      <c r="H36" s="33"/>
      <c r="I36" s="33"/>
      <c r="J36" s="10"/>
      <c r="K36" s="10"/>
      <c r="L36" s="10"/>
      <c r="M36" s="10"/>
      <c r="N36" s="10"/>
    </row>
    <row r="37" ht="15" customHeight="1" spans="2:14">
      <c r="B37" s="10"/>
      <c r="C37" s="10"/>
      <c r="D37" s="10" t="s">
        <v>300</v>
      </c>
      <c r="E37" s="10"/>
      <c r="F37" s="10"/>
      <c r="G37" s="10"/>
      <c r="H37" s="10"/>
      <c r="I37" s="158">
        <v>0.06</v>
      </c>
      <c r="J37" s="10"/>
      <c r="K37" s="10"/>
      <c r="L37" s="10"/>
      <c r="M37" s="10"/>
      <c r="N37" s="10"/>
    </row>
    <row r="38" ht="15" customHeight="1" spans="2:14">
      <c r="B38" s="10"/>
      <c r="C38" s="10"/>
      <c r="D38" s="10" t="s">
        <v>301</v>
      </c>
      <c r="E38" s="10"/>
      <c r="F38" s="10"/>
      <c r="G38" s="10"/>
      <c r="H38" s="10"/>
      <c r="I38" s="158">
        <f>'Market Data'!K7</f>
        <v>0.130388716842143</v>
      </c>
      <c r="J38" s="10"/>
      <c r="K38" s="10"/>
      <c r="L38" s="10"/>
      <c r="M38" s="10"/>
      <c r="N38" s="10"/>
    </row>
    <row r="39" ht="15" customHeight="1" spans="2:14">
      <c r="B39" s="10"/>
      <c r="C39" s="10"/>
      <c r="D39" s="10" t="s">
        <v>302</v>
      </c>
      <c r="E39" s="10"/>
      <c r="F39" s="10"/>
      <c r="G39" s="10"/>
      <c r="H39" s="10"/>
      <c r="I39" s="158">
        <f>I38-I37</f>
        <v>0.0703887168421429</v>
      </c>
      <c r="J39" s="10"/>
      <c r="K39" s="10"/>
      <c r="L39" s="10"/>
      <c r="M39" s="10"/>
      <c r="N39" s="10"/>
    </row>
    <row r="40" ht="15" customHeight="1" spans="2:14">
      <c r="B40" s="10"/>
      <c r="C40" s="10"/>
      <c r="D40" s="10" t="s">
        <v>303</v>
      </c>
      <c r="E40" s="10"/>
      <c r="F40" s="10"/>
      <c r="G40" s="10"/>
      <c r="H40" s="10"/>
      <c r="I40" s="161">
        <f>N16*(1+I29)*(1-I33)</f>
        <v>0.724732215172793</v>
      </c>
      <c r="J40" s="10"/>
      <c r="K40" s="10"/>
      <c r="L40" s="10"/>
      <c r="M40" s="10"/>
      <c r="N40" s="10"/>
    </row>
    <row r="41" ht="15" customHeight="1" spans="2:14">
      <c r="B41" s="10"/>
      <c r="C41" s="140"/>
      <c r="D41" s="140" t="s">
        <v>299</v>
      </c>
      <c r="E41" s="140"/>
      <c r="F41" s="140"/>
      <c r="G41" s="140"/>
      <c r="H41" s="140"/>
      <c r="I41" s="160">
        <f>I37+I40*I39</f>
        <v>0.111012970680177</v>
      </c>
      <c r="J41" s="10"/>
      <c r="K41" s="10"/>
      <c r="L41" s="10"/>
      <c r="M41" s="10"/>
      <c r="N41" s="10"/>
    </row>
    <row r="42" ht="16.5" customHeight="1" spans="2:14"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ht="15" customHeight="1" spans="2:14">
      <c r="B43" s="10"/>
      <c r="C43" s="138" t="s">
        <v>304</v>
      </c>
      <c r="D43" s="10"/>
      <c r="E43" s="10"/>
      <c r="F43" s="10"/>
      <c r="G43" s="10"/>
      <c r="H43" s="10"/>
      <c r="I43" s="162">
        <f>(I23*I34)+(I41*I24)</f>
        <v>0.0993930197378801</v>
      </c>
      <c r="J43" s="10"/>
      <c r="K43" s="10"/>
      <c r="L43" s="10"/>
      <c r="M43" s="10"/>
      <c r="N43" s="10"/>
    </row>
    <row r="44" ht="16.5" customHeight="1" spans="2:14"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ht="27.75" customHeight="1" spans="2:14">
      <c r="B45" s="10"/>
      <c r="C45" s="10"/>
      <c r="D45" s="163"/>
    </row>
    <row r="46" ht="16.5" customHeight="1" spans="2:14"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ht="16.5" customHeight="1" spans="2:14"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ht="16.5" customHeight="1" spans="2:14"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</row>
  </sheetData>
  <mergeCells count="1">
    <mergeCell ref="D45:N45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3"/>
  <sheetViews>
    <sheetView showGridLines="0" workbookViewId="0">
      <selection activeCell="K17" sqref="K17"/>
    </sheetView>
  </sheetViews>
  <sheetFormatPr defaultColWidth="8.67857142857143" defaultRowHeight="16.8"/>
  <cols>
    <col min="1" max="3" width="1.24107142857143" style="10" customWidth="1"/>
    <col min="4" max="4" width="32" style="10" customWidth="1"/>
    <col min="5" max="5" width="9.08035714285714" style="10" customWidth="1"/>
    <col min="6" max="6" width="11.4642857142857" style="10" customWidth="1"/>
    <col min="7" max="7" width="2" style="10" customWidth="1"/>
    <col min="8" max="9" width="11" style="10" customWidth="1"/>
    <col min="10" max="10" width="10" style="10" customWidth="1"/>
    <col min="11" max="12" width="12" style="10" customWidth="1"/>
    <col min="13" max="13" width="13" style="10" customWidth="1"/>
    <col min="14" max="14" width="12" style="10" customWidth="1"/>
    <col min="15" max="15" width="13" style="10" customWidth="1"/>
    <col min="16" max="16384" width="8.67857142857143" style="10" customWidth="1"/>
  </cols>
  <sheetData>
    <row r="1" ht="33.75" customHeight="1" spans="1:15">
      <c r="A1" s="4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ht="15" customHeight="1" spans="1:15">
      <c r="A2" s="50" t="s">
        <v>305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4" ht="15" customHeight="1" spans="1:15">
      <c r="D4" s="41" t="s">
        <v>306</v>
      </c>
      <c r="E4" s="7"/>
      <c r="F4" s="7"/>
      <c r="G4" s="7"/>
      <c r="H4" s="41" t="s">
        <v>307</v>
      </c>
      <c r="I4" s="41" t="s">
        <v>308</v>
      </c>
      <c r="J4" s="41" t="s">
        <v>309</v>
      </c>
      <c r="K4" s="41" t="s">
        <v>278</v>
      </c>
      <c r="L4" s="41" t="s">
        <v>310</v>
      </c>
      <c r="M4" s="41" t="s">
        <v>311</v>
      </c>
      <c r="N4" s="41" t="s">
        <v>148</v>
      </c>
      <c r="O4" s="41" t="s">
        <v>312</v>
      </c>
    </row>
    <row r="5" ht="15" customHeight="1" spans="1:15">
      <c r="D5" s="15" t="s">
        <v>0</v>
      </c>
      <c r="H5" s="15" t="s">
        <v>313</v>
      </c>
      <c r="I5" s="125">
        <v>1257.5</v>
      </c>
      <c r="J5" s="125">
        <v>1353.5</v>
      </c>
      <c r="K5" s="126">
        <f>Model!L54+'Historical Data'!L79+Model!L73+'Historical Data'!L80+Model!L55</f>
        <v>854184</v>
      </c>
      <c r="L5" s="126">
        <f>Model!L36+'Historical Data'!L52</f>
        <v>243408</v>
      </c>
      <c r="M5" s="126">
        <f>Model!L20</f>
        <v>1075675</v>
      </c>
      <c r="N5" s="126">
        <f>Model!L24</f>
        <v>178949</v>
      </c>
      <c r="O5" s="126">
        <f>Model!L31</f>
        <v>95754</v>
      </c>
    </row>
    <row r="6" ht="15" customHeight="1" spans="1:15">
      <c r="D6" s="127"/>
      <c r="E6" s="127"/>
      <c r="F6" s="127"/>
      <c r="G6" s="127"/>
      <c r="H6" s="127"/>
      <c r="I6" s="127"/>
      <c r="J6" s="127"/>
      <c r="K6" s="127"/>
      <c r="L6" s="127"/>
      <c r="M6" s="127"/>
      <c r="N6" s="127"/>
      <c r="O6" s="127"/>
    </row>
    <row r="7" ht="15" customHeight="1" spans="1:15">
      <c r="D7" s="15" t="s">
        <v>282</v>
      </c>
      <c r="H7" s="15" t="s">
        <v>314</v>
      </c>
      <c r="I7" s="128">
        <v>232.3</v>
      </c>
      <c r="J7" s="128">
        <v>1258</v>
      </c>
      <c r="K7" s="129">
        <v>177500</v>
      </c>
      <c r="L7" s="129">
        <v>45500</v>
      </c>
      <c r="M7" s="129">
        <v>704127</v>
      </c>
      <c r="N7" s="129">
        <v>130000</v>
      </c>
      <c r="O7" s="129">
        <v>49800</v>
      </c>
    </row>
    <row r="8" ht="15" customHeight="1" spans="1:15">
      <c r="D8" s="15" t="s">
        <v>283</v>
      </c>
      <c r="H8" s="15" t="s">
        <v>315</v>
      </c>
      <c r="I8" s="128">
        <v>137.1</v>
      </c>
      <c r="J8" s="128">
        <v>1411</v>
      </c>
      <c r="K8" s="129">
        <v>132000</v>
      </c>
      <c r="L8" s="129">
        <v>18331</v>
      </c>
      <c r="M8" s="129">
        <v>961537</v>
      </c>
      <c r="N8" s="129">
        <v>49000</v>
      </c>
      <c r="O8" s="129">
        <v>33204</v>
      </c>
    </row>
    <row r="9" ht="15" customHeight="1" spans="1:15">
      <c r="D9" s="15" t="s">
        <v>284</v>
      </c>
      <c r="H9" s="15" t="s">
        <v>316</v>
      </c>
      <c r="I9" s="128">
        <v>319.3</v>
      </c>
      <c r="J9" s="128">
        <v>432</v>
      </c>
      <c r="K9" s="129">
        <v>45000</v>
      </c>
      <c r="L9" s="129">
        <v>5000</v>
      </c>
      <c r="M9" s="129">
        <v>552733</v>
      </c>
      <c r="N9" s="129">
        <v>19350</v>
      </c>
      <c r="O9" s="129">
        <v>16378</v>
      </c>
    </row>
    <row r="10" ht="15" customHeight="1" spans="1:15">
      <c r="D10" s="15" t="s">
        <v>285</v>
      </c>
      <c r="H10" s="15" t="s">
        <v>317</v>
      </c>
      <c r="I10" s="128">
        <v>482.9</v>
      </c>
      <c r="J10" s="128">
        <v>163</v>
      </c>
      <c r="K10" s="129">
        <v>15000</v>
      </c>
      <c r="L10" s="129">
        <v>5000</v>
      </c>
      <c r="M10" s="129">
        <v>41186</v>
      </c>
      <c r="N10" s="129">
        <v>11120</v>
      </c>
      <c r="O10" s="129">
        <v>8954</v>
      </c>
    </row>
    <row r="11" ht="15" customHeight="1" spans="1:15">
      <c r="D11" s="15" t="s">
        <v>286</v>
      </c>
      <c r="H11" s="15" t="s">
        <v>318</v>
      </c>
      <c r="I11" s="128">
        <v>2950</v>
      </c>
      <c r="J11" s="128">
        <v>135</v>
      </c>
      <c r="K11" s="129">
        <v>75000</v>
      </c>
      <c r="L11" s="129">
        <v>15000</v>
      </c>
      <c r="M11" s="129">
        <v>100468</v>
      </c>
      <c r="N11" s="129">
        <v>15000</v>
      </c>
      <c r="O11" s="129">
        <v>9693</v>
      </c>
    </row>
    <row r="13" ht="16.5" customHeight="1" spans="1:15">
      <c r="D13" s="130" t="s">
        <v>319</v>
      </c>
      <c r="E13" s="131"/>
      <c r="F13" s="131"/>
      <c r="G13" s="131"/>
      <c r="H13" s="131"/>
      <c r="I13" s="131"/>
      <c r="J13" s="131"/>
      <c r="K13" s="131"/>
      <c r="L13" s="131"/>
      <c r="M13" s="131"/>
      <c r="N13" s="131"/>
      <c r="O13" s="131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2"/>
  <sheetViews>
    <sheetView showGridLines="0" zoomScale="86" zoomScaleNormal="86" workbookViewId="0">
      <selection activeCell="N8" sqref="N8"/>
    </sheetView>
  </sheetViews>
  <sheetFormatPr defaultColWidth="8.67857142857143" defaultRowHeight="16.8"/>
  <cols>
    <col min="1" max="3" width="1.24107142857143" customWidth="1"/>
    <col min="4" max="4" width="32" customWidth="1"/>
    <col min="5" max="5" width="10" customWidth="1"/>
    <col min="6" max="6" width="11" customWidth="1"/>
    <col min="7" max="7" width="2" customWidth="1"/>
    <col min="8" max="8" width="12" customWidth="1"/>
    <col min="9" max="9" width="10.2857142857143" customWidth="1"/>
    <col min="10" max="10" width="14.1428571428571" customWidth="1"/>
    <col min="11" max="11" width="12" customWidth="1"/>
    <col min="12" max="12" width="12.3571428571429" customWidth="1"/>
    <col min="13" max="13" width="11" customWidth="1"/>
    <col min="14" max="14" width="12" customWidth="1"/>
    <col min="15" max="15" width="2" customWidth="1"/>
    <col min="16" max="18" width="12" customWidth="1"/>
    <col min="19" max="19" width="2" customWidth="1"/>
    <col min="20" max="20" width="10" customWidth="1"/>
    <col min="21" max="21" width="13.7857142857143" customWidth="1"/>
    <col min="22" max="22" width="11.6517857142857" customWidth="1"/>
  </cols>
  <sheetData>
    <row r="1" ht="33.75" customHeight="1" spans="1:25">
      <c r="A1" s="95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</row>
    <row r="2" ht="15" customHeight="1" spans="1:25">
      <c r="A2" s="96" t="s">
        <v>320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</row>
    <row r="3" ht="17.25" customHeight="1" spans="1:25">
      <c r="A3" s="10"/>
      <c r="B3" s="97"/>
      <c r="C3" s="97"/>
      <c r="D3" s="97"/>
      <c r="E3" s="97"/>
      <c r="F3" s="97"/>
      <c r="G3" s="97"/>
      <c r="H3" s="97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8"/>
      <c r="X3" s="98"/>
      <c r="Y3" s="98"/>
    </row>
    <row r="4" ht="17.25" customHeight="1" spans="1:25">
      <c r="A4" s="10"/>
      <c r="B4" s="97"/>
      <c r="C4" s="97"/>
      <c r="D4" s="97"/>
      <c r="E4" s="97"/>
      <c r="F4" s="97"/>
      <c r="G4" s="97"/>
      <c r="H4" s="97"/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  <c r="W4" s="98"/>
      <c r="X4" s="98"/>
      <c r="Y4" s="98"/>
    </row>
    <row r="5" ht="15" customHeight="1" spans="1:25">
      <c r="A5" s="10"/>
      <c r="B5" s="97"/>
      <c r="C5" s="97"/>
      <c r="D5" s="99"/>
      <c r="E5" s="100"/>
      <c r="F5" s="100"/>
      <c r="G5" s="99"/>
      <c r="H5" s="99"/>
      <c r="I5" s="101" t="s">
        <v>321</v>
      </c>
      <c r="O5" s="100"/>
      <c r="P5" s="101" t="s">
        <v>322</v>
      </c>
      <c r="S5" s="100"/>
      <c r="T5" s="101" t="s">
        <v>323</v>
      </c>
      <c r="W5" s="98"/>
      <c r="X5" s="98"/>
      <c r="Y5" s="98"/>
    </row>
    <row r="6" ht="15" customHeight="1" spans="1:25">
      <c r="A6" s="10"/>
      <c r="B6" s="97"/>
      <c r="C6" s="97"/>
      <c r="D6" s="99"/>
      <c r="E6" s="100"/>
      <c r="F6" s="100"/>
      <c r="G6" s="99"/>
      <c r="H6" s="99"/>
      <c r="I6" s="102" t="s">
        <v>308</v>
      </c>
      <c r="J6" s="102" t="s">
        <v>309</v>
      </c>
      <c r="K6" s="102" t="s">
        <v>293</v>
      </c>
      <c r="L6" s="102" t="s">
        <v>278</v>
      </c>
      <c r="M6" s="102" t="s">
        <v>310</v>
      </c>
      <c r="N6" s="102" t="s">
        <v>324</v>
      </c>
      <c r="O6" s="100"/>
      <c r="P6" s="102" t="s">
        <v>311</v>
      </c>
      <c r="Q6" s="102" t="s">
        <v>148</v>
      </c>
      <c r="R6" s="102" t="s">
        <v>325</v>
      </c>
      <c r="S6" s="100"/>
      <c r="T6" s="102" t="s">
        <v>326</v>
      </c>
      <c r="U6" s="102" t="s">
        <v>205</v>
      </c>
      <c r="V6" s="102" t="s">
        <v>327</v>
      </c>
      <c r="W6" s="98"/>
      <c r="X6" s="98"/>
      <c r="Y6" s="98"/>
    </row>
    <row r="7" ht="15" customHeight="1" spans="1:25">
      <c r="A7" s="10"/>
      <c r="B7" s="97"/>
      <c r="C7" s="97"/>
      <c r="D7" s="103" t="s">
        <v>276</v>
      </c>
      <c r="E7" s="100"/>
      <c r="F7" s="103" t="s">
        <v>307</v>
      </c>
      <c r="G7" s="103"/>
      <c r="H7" s="99"/>
      <c r="I7" s="104" t="s">
        <v>328</v>
      </c>
      <c r="J7" s="104" t="s">
        <v>329</v>
      </c>
      <c r="K7" s="105" t="s">
        <v>330</v>
      </c>
      <c r="L7" s="106"/>
      <c r="M7" s="104" t="s">
        <v>331</v>
      </c>
      <c r="N7" s="105" t="s">
        <v>330</v>
      </c>
      <c r="O7" s="100"/>
      <c r="P7" s="105" t="s">
        <v>330</v>
      </c>
      <c r="Q7" s="105" t="s">
        <v>330</v>
      </c>
      <c r="R7" s="105" t="s">
        <v>330</v>
      </c>
      <c r="S7" s="100"/>
      <c r="T7" s="104" t="s">
        <v>332</v>
      </c>
      <c r="U7" s="104" t="s">
        <v>332</v>
      </c>
      <c r="V7" s="104" t="s">
        <v>332</v>
      </c>
      <c r="W7" s="98"/>
      <c r="X7" s="98"/>
      <c r="Y7" s="98"/>
    </row>
    <row r="8" ht="15" customHeight="1" spans="1:25">
      <c r="A8" s="10"/>
      <c r="B8" s="97"/>
      <c r="C8" s="97"/>
      <c r="D8" s="107" t="s">
        <v>282</v>
      </c>
      <c r="E8" s="108"/>
      <c r="F8" s="107" t="s">
        <v>314</v>
      </c>
      <c r="G8" s="108"/>
      <c r="H8" s="108"/>
      <c r="I8" s="109">
        <f>'Comps Data'!I7</f>
        <v>232.3</v>
      </c>
      <c r="J8" s="109">
        <f>'Comps Data'!J7</f>
        <v>1258</v>
      </c>
      <c r="K8" s="110">
        <f>I8*J8</f>
        <v>292233.4</v>
      </c>
      <c r="L8" s="110">
        <f>'Comps Data'!K7</f>
        <v>177500</v>
      </c>
      <c r="M8" s="109">
        <f>'Comps Data'!L7</f>
        <v>45500</v>
      </c>
      <c r="N8" s="110">
        <f>K8+L8-M8</f>
        <v>424233.4</v>
      </c>
      <c r="O8" s="108"/>
      <c r="P8" s="109">
        <f>'Comps Data'!M7</f>
        <v>704127</v>
      </c>
      <c r="Q8" s="109">
        <f>'Comps Data'!N7</f>
        <v>130000</v>
      </c>
      <c r="R8" s="109">
        <f>'Comps Data'!O7</f>
        <v>49800</v>
      </c>
      <c r="S8" s="108"/>
      <c r="T8" s="111">
        <f>N8/P8</f>
        <v>0.60249557253166</v>
      </c>
      <c r="U8" s="111">
        <f>N8/Q8</f>
        <v>3.26333384615385</v>
      </c>
      <c r="V8" s="111">
        <f>K8/R8</f>
        <v>5.868140562249</v>
      </c>
      <c r="W8" s="98"/>
      <c r="X8" s="98"/>
      <c r="Y8" s="98"/>
    </row>
    <row r="9" ht="15" customHeight="1" spans="1:25">
      <c r="A9" s="10"/>
      <c r="B9" s="97"/>
      <c r="C9" s="97"/>
      <c r="D9" s="112" t="s">
        <v>283</v>
      </c>
      <c r="E9" s="97"/>
      <c r="F9" s="112" t="s">
        <v>315</v>
      </c>
      <c r="G9" s="97"/>
      <c r="H9" s="97"/>
      <c r="I9" s="113">
        <f>'Comps Data'!I8</f>
        <v>137.1</v>
      </c>
      <c r="J9" s="113">
        <f>'Comps Data'!J8</f>
        <v>1411</v>
      </c>
      <c r="K9" s="114">
        <f>I9*J9</f>
        <v>193448.1</v>
      </c>
      <c r="L9" s="114">
        <f>'Comps Data'!K8</f>
        <v>132000</v>
      </c>
      <c r="M9" s="113">
        <f>'Comps Data'!L8</f>
        <v>18331</v>
      </c>
      <c r="N9" s="114">
        <f>K9+L9-M9</f>
        <v>307117.1</v>
      </c>
      <c r="O9" s="97"/>
      <c r="P9" s="113">
        <f>'Comps Data'!M8</f>
        <v>961537</v>
      </c>
      <c r="Q9" s="113">
        <f>'Comps Data'!N8</f>
        <v>49000</v>
      </c>
      <c r="R9" s="113">
        <f>'Comps Data'!O8</f>
        <v>33204</v>
      </c>
      <c r="S9" s="97"/>
      <c r="T9" s="115">
        <f>N9/P9</f>
        <v>0.31940226949145</v>
      </c>
      <c r="U9" s="115">
        <f>N9/Q9</f>
        <v>6.26769591836735</v>
      </c>
      <c r="V9" s="115">
        <f>K9/R9</f>
        <v>5.82604806649801</v>
      </c>
      <c r="W9" s="98"/>
      <c r="X9" s="98"/>
      <c r="Y9" s="98"/>
    </row>
    <row r="10" ht="15" customHeight="1" spans="1:25">
      <c r="A10" s="10"/>
      <c r="B10" s="97"/>
      <c r="C10" s="97"/>
      <c r="D10" s="112" t="s">
        <v>284</v>
      </c>
      <c r="E10" s="97"/>
      <c r="F10" s="112" t="s">
        <v>316</v>
      </c>
      <c r="G10" s="97"/>
      <c r="H10" s="97"/>
      <c r="I10" s="113">
        <f>'Comps Data'!I9</f>
        <v>319.3</v>
      </c>
      <c r="J10" s="113">
        <f>'Comps Data'!J9</f>
        <v>432</v>
      </c>
      <c r="K10" s="114">
        <f>I10*J10</f>
        <v>137937.6</v>
      </c>
      <c r="L10" s="114">
        <f>'Comps Data'!K9</f>
        <v>45000</v>
      </c>
      <c r="M10" s="113">
        <f>'Comps Data'!L9</f>
        <v>5000</v>
      </c>
      <c r="N10" s="114">
        <f>K10+L10-M10</f>
        <v>177937.6</v>
      </c>
      <c r="O10" s="97"/>
      <c r="P10" s="113">
        <f>'Comps Data'!M9</f>
        <v>552733</v>
      </c>
      <c r="Q10" s="113">
        <f>'Comps Data'!N9</f>
        <v>19350</v>
      </c>
      <c r="R10" s="113">
        <f>'Comps Data'!O9</f>
        <v>16378</v>
      </c>
      <c r="S10" s="97"/>
      <c r="T10" s="115">
        <f>N10/P10</f>
        <v>0.321923243229552</v>
      </c>
      <c r="U10" s="115">
        <f>N10/Q10</f>
        <v>9.19574160206718</v>
      </c>
      <c r="V10" s="115">
        <f>K10/R10</f>
        <v>8.42212724386372</v>
      </c>
      <c r="W10" s="98"/>
      <c r="X10" s="98"/>
      <c r="Y10" s="98"/>
    </row>
    <row r="11" ht="15" customHeight="1" spans="1:25">
      <c r="A11" s="10"/>
      <c r="B11" s="97"/>
      <c r="C11" s="97"/>
      <c r="D11" s="112" t="s">
        <v>285</v>
      </c>
      <c r="E11" s="97"/>
      <c r="F11" s="112" t="s">
        <v>317</v>
      </c>
      <c r="G11" s="97"/>
      <c r="H11" s="97"/>
      <c r="I11" s="113">
        <f>'Comps Data'!I10</f>
        <v>482.9</v>
      </c>
      <c r="J11" s="113">
        <f>'Comps Data'!J10</f>
        <v>163</v>
      </c>
      <c r="K11" s="114">
        <f>I11*J11</f>
        <v>78712.7</v>
      </c>
      <c r="L11" s="114">
        <f>'Comps Data'!K10</f>
        <v>15000</v>
      </c>
      <c r="M11" s="113">
        <f>'Comps Data'!L10</f>
        <v>5000</v>
      </c>
      <c r="N11" s="114">
        <f>K11+L11-M11</f>
        <v>88712.7</v>
      </c>
      <c r="O11" s="97"/>
      <c r="P11" s="113">
        <f>'Comps Data'!M10</f>
        <v>41186</v>
      </c>
      <c r="Q11" s="113">
        <f>'Comps Data'!N10</f>
        <v>11120</v>
      </c>
      <c r="R11" s="113">
        <f>'Comps Data'!O10</f>
        <v>8954</v>
      </c>
      <c r="S11" s="97"/>
      <c r="T11" s="115">
        <f>N11/P11</f>
        <v>2.15395279949497</v>
      </c>
      <c r="U11" s="115">
        <f>N11/Q11</f>
        <v>7.97776079136691</v>
      </c>
      <c r="V11" s="115">
        <f>K11/R11</f>
        <v>8.79078624078624</v>
      </c>
      <c r="W11" s="98"/>
      <c r="X11" s="98"/>
      <c r="Y11" s="98"/>
    </row>
    <row r="12" ht="15" customHeight="1" spans="1:25">
      <c r="A12" s="10"/>
      <c r="B12" s="97"/>
      <c r="C12" s="97"/>
      <c r="D12" s="112" t="s">
        <v>286</v>
      </c>
      <c r="E12" s="97"/>
      <c r="F12" s="112" t="s">
        <v>318</v>
      </c>
      <c r="G12" s="97"/>
      <c r="H12" s="97"/>
      <c r="I12" s="113">
        <f>'Comps Data'!I11</f>
        <v>2950</v>
      </c>
      <c r="J12" s="113">
        <f>'Comps Data'!J11</f>
        <v>135</v>
      </c>
      <c r="K12" s="114">
        <f>I12*J12</f>
        <v>398250</v>
      </c>
      <c r="L12" s="114">
        <f>'Comps Data'!K11</f>
        <v>75000</v>
      </c>
      <c r="M12" s="113">
        <f>'Comps Data'!L11</f>
        <v>15000</v>
      </c>
      <c r="N12" s="114">
        <f>K12+L12-M12</f>
        <v>458250</v>
      </c>
      <c r="O12" s="97"/>
      <c r="P12" s="113">
        <f>'Comps Data'!M11</f>
        <v>100468</v>
      </c>
      <c r="Q12" s="113">
        <f>'Comps Data'!N11</f>
        <v>15000</v>
      </c>
      <c r="R12" s="113">
        <f>'Comps Data'!O11</f>
        <v>9693</v>
      </c>
      <c r="S12" s="97"/>
      <c r="T12" s="115">
        <f>N12/P12</f>
        <v>4.56115380021499</v>
      </c>
      <c r="U12" s="115">
        <f>N12/Q12</f>
        <v>30.55</v>
      </c>
      <c r="V12" s="115">
        <f>K12/R12</f>
        <v>41.0863509749304</v>
      </c>
      <c r="W12" s="98"/>
      <c r="X12" s="98"/>
      <c r="Y12" s="98"/>
    </row>
    <row r="13" ht="15" customHeight="1" spans="1:25">
      <c r="A13" s="10"/>
      <c r="B13" s="97"/>
      <c r="C13" s="97"/>
      <c r="D13" s="116" t="s">
        <v>217</v>
      </c>
      <c r="E13" s="117"/>
      <c r="F13" s="117"/>
      <c r="G13" s="117"/>
      <c r="H13" s="117"/>
      <c r="I13" s="117"/>
      <c r="J13" s="117"/>
      <c r="K13" s="117"/>
      <c r="L13" s="117"/>
      <c r="M13" s="117"/>
      <c r="N13" s="117"/>
      <c r="O13" s="117"/>
      <c r="P13" s="118"/>
      <c r="Q13" s="118"/>
      <c r="R13" s="118"/>
      <c r="S13" s="117"/>
      <c r="T13" s="119">
        <f>AVERAGE(T8:T12)</f>
        <v>1.59178553699253</v>
      </c>
      <c r="U13" s="119">
        <f>AVERAGE(U8:U12)</f>
        <v>11.4509064315911</v>
      </c>
      <c r="V13" s="119">
        <f>AVERAGE(V8:V12)</f>
        <v>13.9986906176655</v>
      </c>
      <c r="W13" s="98"/>
      <c r="X13" s="98"/>
      <c r="Y13" s="98"/>
    </row>
    <row r="14" ht="15" customHeight="1" spans="1:25">
      <c r="A14" s="10"/>
      <c r="B14" s="97"/>
      <c r="C14" s="97"/>
      <c r="D14" s="116" t="s">
        <v>287</v>
      </c>
      <c r="E14" s="117"/>
      <c r="F14" s="117"/>
      <c r="G14" s="117"/>
      <c r="H14" s="117"/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9">
        <f>MEDIAN(T8:T12)</f>
        <v>0.60249557253166</v>
      </c>
      <c r="U14" s="119">
        <f>MEDIAN(U8:U12)</f>
        <v>7.97776079136691</v>
      </c>
      <c r="V14" s="119">
        <f>MEDIAN(V8:V12)</f>
        <v>8.42212724386372</v>
      </c>
      <c r="W14" s="98"/>
      <c r="X14" s="98"/>
      <c r="Y14" s="98"/>
    </row>
    <row r="15" ht="17.25" customHeight="1" spans="1:25">
      <c r="A15" s="10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97"/>
      <c r="V15" s="97"/>
      <c r="W15" s="98"/>
      <c r="X15" s="98"/>
      <c r="Y15" s="98"/>
    </row>
    <row r="16" ht="17.25" customHeight="1" spans="1:25">
      <c r="A16" s="10"/>
      <c r="B16" s="97"/>
      <c r="C16" s="97"/>
      <c r="D16" s="97"/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8"/>
      <c r="X16" s="98"/>
      <c r="Y16" s="98"/>
    </row>
    <row r="17" ht="15" customHeight="1" spans="1:25">
      <c r="A17" s="10"/>
      <c r="B17" s="97"/>
      <c r="C17" s="97"/>
      <c r="D17" s="120" t="s">
        <v>0</v>
      </c>
      <c r="E17" s="97"/>
      <c r="F17" s="120" t="s">
        <v>313</v>
      </c>
      <c r="G17" s="97"/>
      <c r="H17" s="97"/>
      <c r="I17" s="121">
        <f>'Comps Data'!I5</f>
        <v>1257.5</v>
      </c>
      <c r="J17" s="121">
        <f>'Comps Data'!J5</f>
        <v>1353.5</v>
      </c>
      <c r="K17" s="121">
        <f>I17*J17</f>
        <v>1702026.25</v>
      </c>
      <c r="L17" s="121">
        <f>'Comps Data'!K5</f>
        <v>854184</v>
      </c>
      <c r="M17" s="121">
        <f>'Comps Data'!L5</f>
        <v>243408</v>
      </c>
      <c r="N17" s="121">
        <f>K17+L17-M17</f>
        <v>2312802.25</v>
      </c>
      <c r="O17" s="97"/>
      <c r="P17" s="121">
        <f>'Comps Data'!M5</f>
        <v>1075675</v>
      </c>
      <c r="Q17" s="121">
        <f>'Comps Data'!N5</f>
        <v>178949</v>
      </c>
      <c r="R17" s="121">
        <f>'Comps Data'!O5</f>
        <v>95754</v>
      </c>
      <c r="S17" s="97"/>
      <c r="T17" s="97"/>
      <c r="U17" s="97"/>
      <c r="V17" s="97"/>
      <c r="W17" s="98"/>
      <c r="X17" s="98"/>
      <c r="Y17" s="98"/>
    </row>
    <row r="18" ht="17.25" customHeight="1" spans="1:25">
      <c r="A18" s="10"/>
      <c r="B18" s="97"/>
      <c r="C18" s="97"/>
      <c r="D18" s="97"/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8"/>
      <c r="X18" s="98"/>
      <c r="Y18" s="98"/>
    </row>
    <row r="19" ht="15" customHeight="1" spans="1:25">
      <c r="A19" s="10"/>
      <c r="B19" s="97"/>
      <c r="C19" s="97"/>
      <c r="D19" s="101" t="s">
        <v>333</v>
      </c>
      <c r="E19" s="101" t="s">
        <v>334</v>
      </c>
      <c r="F19" s="122"/>
      <c r="G19" s="106"/>
      <c r="H19" s="101" t="s">
        <v>324</v>
      </c>
      <c r="I19" s="101" t="s">
        <v>335</v>
      </c>
      <c r="J19" s="101" t="s">
        <v>234</v>
      </c>
      <c r="K19" s="101" t="s">
        <v>309</v>
      </c>
      <c r="L19" s="101" t="s">
        <v>336</v>
      </c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8"/>
      <c r="X19" s="98"/>
      <c r="Y19" s="98"/>
    </row>
    <row r="20" ht="15" customHeight="1" spans="1:25">
      <c r="A20" s="10"/>
      <c r="B20" s="97"/>
      <c r="C20" s="97"/>
      <c r="D20" s="112" t="s">
        <v>337</v>
      </c>
      <c r="E20" s="115">
        <f>T13</f>
        <v>1.59178553699253</v>
      </c>
      <c r="F20" s="97"/>
      <c r="G20" s="97"/>
      <c r="H20" s="114">
        <f>E20*P17</f>
        <v>1712243.90750444</v>
      </c>
      <c r="I20" s="114">
        <f>$L$17-$M$17</f>
        <v>610776</v>
      </c>
      <c r="J20" s="114">
        <f>H20-I20</f>
        <v>1101467.90750444</v>
      </c>
      <c r="K20" s="114">
        <f>J17</f>
        <v>1353.5</v>
      </c>
      <c r="L20" s="123">
        <f>J20/K20</f>
        <v>813.792321761681</v>
      </c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8"/>
      <c r="X20" s="98"/>
      <c r="Y20" s="98"/>
    </row>
    <row r="21" ht="15" customHeight="1" spans="1:25">
      <c r="A21" s="10"/>
      <c r="B21" s="97"/>
      <c r="C21" s="97"/>
      <c r="D21" s="112" t="s">
        <v>205</v>
      </c>
      <c r="E21" s="115">
        <f>U13</f>
        <v>11.4509064315911</v>
      </c>
      <c r="F21" s="97"/>
      <c r="G21" s="97"/>
      <c r="H21" s="114">
        <f>E21*Q17</f>
        <v>2049128.25502679</v>
      </c>
      <c r="I21" s="114">
        <f>$L$17-$M$17</f>
        <v>610776</v>
      </c>
      <c r="J21" s="114">
        <f>H21-I21</f>
        <v>1438352.25502679</v>
      </c>
      <c r="K21" s="114">
        <f>K20</f>
        <v>1353.5</v>
      </c>
      <c r="L21" s="123">
        <f>J21/K21</f>
        <v>1062.69099004565</v>
      </c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8"/>
      <c r="X21" s="98"/>
      <c r="Y21" s="98"/>
    </row>
    <row r="22" ht="15" customHeight="1" spans="1:25">
      <c r="A22" s="10"/>
      <c r="B22" s="97"/>
      <c r="C22" s="97"/>
      <c r="D22" s="112" t="s">
        <v>327</v>
      </c>
      <c r="E22" s="115">
        <f>V13</f>
        <v>13.9986906176655</v>
      </c>
      <c r="F22" s="97"/>
      <c r="G22" s="97"/>
      <c r="H22" s="114">
        <f>E22*R17</f>
        <v>1340430.62140394</v>
      </c>
      <c r="I22" s="114">
        <f>$L$17-$M$17</f>
        <v>610776</v>
      </c>
      <c r="J22" s="114">
        <f>H22-I22</f>
        <v>729654.621403939</v>
      </c>
      <c r="K22" s="114">
        <f>K21</f>
        <v>1353.5</v>
      </c>
      <c r="L22" s="123">
        <f>J22/K22</f>
        <v>539.087271077901</v>
      </c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8"/>
      <c r="X22" s="98"/>
      <c r="Y22" s="98"/>
    </row>
    <row r="23" ht="17.25" customHeight="1" spans="1:25">
      <c r="A23" s="10"/>
      <c r="B23" s="97"/>
      <c r="C23" s="97"/>
      <c r="D23" s="97"/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8"/>
      <c r="X23" s="98"/>
      <c r="Y23" s="98"/>
    </row>
    <row r="24" ht="27.75" customHeight="1" spans="1:25">
      <c r="A24" s="10"/>
      <c r="B24" s="97"/>
      <c r="C24" s="97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97"/>
      <c r="Q24" s="97"/>
      <c r="R24" s="97"/>
      <c r="S24" s="97"/>
      <c r="T24" s="97"/>
      <c r="U24" s="97"/>
      <c r="V24" s="97"/>
      <c r="W24" s="98"/>
      <c r="X24" s="98"/>
      <c r="Y24" s="98"/>
    </row>
    <row r="25" ht="17.25" customHeight="1" spans="1:25">
      <c r="A25" s="10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8"/>
      <c r="X25" s="98"/>
      <c r="Y25" s="98"/>
    </row>
    <row r="26" ht="17.25" customHeight="1" spans="1:25">
      <c r="A26" s="10"/>
      <c r="B26" s="97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8"/>
      <c r="X26" s="98"/>
      <c r="Y26" s="98"/>
    </row>
    <row r="27" ht="17.25" customHeight="1" spans="1:25">
      <c r="B27" s="98"/>
      <c r="C27" s="98"/>
      <c r="D27" s="98"/>
      <c r="E27" s="98"/>
      <c r="F27" s="98"/>
      <c r="G27" s="98"/>
      <c r="H27" s="98"/>
      <c r="I27" s="98"/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</row>
    <row r="28" ht="17.25" customHeight="1" spans="1:25"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</row>
    <row r="29" ht="17.25" customHeight="1" spans="1:25"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</row>
    <row r="30" ht="17.25" customHeight="1" spans="1:25"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</row>
    <row r="31" ht="17.25" customHeight="1" spans="1:25"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</row>
    <row r="32" ht="17.25" customHeight="1" spans="1:25"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</row>
  </sheetData>
  <mergeCells count="3">
    <mergeCell ref="I5:N5"/>
    <mergeCell ref="P5:R5"/>
    <mergeCell ref="T5:V5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"/>
  <sheetViews>
    <sheetView showGridLines="0" zoomScale="85" zoomScaleNormal="85" workbookViewId="0">
      <selection activeCell="M21" sqref="M21"/>
    </sheetView>
  </sheetViews>
  <sheetFormatPr defaultColWidth="8.67857142857143" defaultRowHeight="16.8"/>
  <cols>
    <col min="1" max="3" width="1.24107142857143" customWidth="1"/>
    <col min="4" max="4" width="40.6428571428571" customWidth="1"/>
    <col min="5" max="6" width="11" customWidth="1"/>
    <col min="7" max="7" width="11.6071428571429" customWidth="1"/>
  </cols>
  <sheetData>
    <row r="1" ht="33.75" customHeight="1" spans="1:15">
      <c r="A1" s="47" t="s">
        <v>0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9"/>
    </row>
    <row r="2" ht="15" customHeight="1" spans="1:15">
      <c r="A2" s="50" t="s">
        <v>338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9"/>
    </row>
    <row r="4" ht="15" customHeight="1" spans="1:15">
      <c r="A4" s="51" t="s">
        <v>338</v>
      </c>
      <c r="B4" s="52"/>
      <c r="C4" s="53"/>
      <c r="D4" s="54"/>
      <c r="E4" s="54"/>
      <c r="F4" s="54"/>
      <c r="G4" s="54"/>
      <c r="H4" s="55"/>
      <c r="I4" s="55"/>
      <c r="J4" s="56"/>
      <c r="K4" s="56"/>
      <c r="L4" s="56"/>
      <c r="M4" s="56"/>
      <c r="N4" s="56"/>
      <c r="O4" s="56"/>
    </row>
    <row r="5" spans="1:15">
      <c r="A5" s="57"/>
      <c r="B5" s="57"/>
      <c r="C5" s="58"/>
      <c r="D5" s="59"/>
      <c r="E5" s="60"/>
      <c r="F5" s="60"/>
      <c r="G5" s="60"/>
      <c r="H5" s="61"/>
      <c r="I5" s="62"/>
      <c r="J5" s="62"/>
      <c r="K5" s="62"/>
      <c r="L5" s="62"/>
      <c r="M5" s="63"/>
      <c r="N5" s="63"/>
      <c r="O5" s="63"/>
    </row>
    <row r="6" ht="22" customHeight="1" spans="1:15">
      <c r="A6" s="57"/>
      <c r="B6" s="57"/>
      <c r="C6" s="58"/>
      <c r="D6" s="58"/>
      <c r="E6" s="60" t="s">
        <v>334</v>
      </c>
      <c r="F6" s="60" t="s">
        <v>339</v>
      </c>
      <c r="G6" s="64" t="s">
        <v>340</v>
      </c>
      <c r="H6" s="64" t="s">
        <v>341</v>
      </c>
      <c r="I6" s="65"/>
      <c r="J6" s="65"/>
      <c r="K6" s="65"/>
      <c r="L6" s="65"/>
      <c r="M6" s="58"/>
      <c r="N6" s="66"/>
      <c r="O6" s="66"/>
    </row>
    <row r="7" ht="15" customHeight="1" spans="1:15">
      <c r="A7" s="57"/>
      <c r="B7" s="57"/>
      <c r="C7" s="58"/>
      <c r="D7" s="67" t="s">
        <v>342</v>
      </c>
      <c r="E7" s="68">
        <f>E8</f>
        <v>1062.69099004565</v>
      </c>
      <c r="F7" s="68">
        <f>F8</f>
        <v>3061.59343441595</v>
      </c>
      <c r="G7" s="68">
        <f>G8</f>
        <v>1611</v>
      </c>
      <c r="H7" s="69">
        <f>H8</f>
        <v>1700</v>
      </c>
      <c r="I7" s="70"/>
      <c r="J7" s="71"/>
      <c r="K7" s="58"/>
      <c r="L7" s="72"/>
      <c r="M7" s="72"/>
      <c r="N7" s="72"/>
      <c r="O7" s="72"/>
    </row>
    <row r="8" ht="15" customHeight="1" spans="1:15">
      <c r="A8" s="57"/>
      <c r="B8" s="57"/>
      <c r="C8" s="58"/>
      <c r="D8" s="67" t="s">
        <v>342</v>
      </c>
      <c r="E8" s="10">
        <f>Comps!L21</f>
        <v>1062.69099004565</v>
      </c>
      <c r="F8" s="73">
        <v>3061.59343441595</v>
      </c>
      <c r="G8" s="73">
        <v>1611</v>
      </c>
      <c r="H8" s="74">
        <v>1700</v>
      </c>
      <c r="I8" s="75" t="s">
        <v>343</v>
      </c>
      <c r="J8" s="76"/>
      <c r="K8" s="58"/>
      <c r="L8" s="77"/>
      <c r="M8" s="72"/>
      <c r="N8" s="72"/>
      <c r="O8" s="72"/>
    </row>
    <row r="9" ht="15" customHeight="1" spans="1:15">
      <c r="A9" s="57"/>
      <c r="B9" s="57"/>
      <c r="C9" s="27"/>
      <c r="D9" s="67" t="s">
        <v>344</v>
      </c>
      <c r="E9" s="73">
        <f>Comps!L20</f>
        <v>813.792321761681</v>
      </c>
      <c r="F9" s="73">
        <v>1840.34890205493</v>
      </c>
      <c r="G9" s="73">
        <v>1249</v>
      </c>
      <c r="H9" s="73">
        <v>1688</v>
      </c>
      <c r="I9" s="78" t="s">
        <v>345</v>
      </c>
      <c r="J9" s="58"/>
      <c r="K9" s="77"/>
      <c r="L9" s="76"/>
      <c r="M9" s="72"/>
      <c r="N9" s="72"/>
      <c r="O9" s="72"/>
    </row>
    <row r="10" ht="15" customHeight="1" spans="1:15">
      <c r="A10" s="57"/>
      <c r="B10" s="57"/>
      <c r="C10" s="58"/>
      <c r="D10" s="67" t="s">
        <v>344</v>
      </c>
      <c r="E10" s="73">
        <f>E9</f>
        <v>813.792321761681</v>
      </c>
      <c r="F10" s="73">
        <f>F9</f>
        <v>1840.34890205493</v>
      </c>
      <c r="G10" s="73">
        <f>G9</f>
        <v>1249</v>
      </c>
      <c r="H10" s="73">
        <f>H9</f>
        <v>1688</v>
      </c>
      <c r="I10" s="79"/>
      <c r="J10" s="71"/>
      <c r="K10" s="71"/>
      <c r="L10" s="71"/>
      <c r="M10" s="72"/>
      <c r="N10" s="72"/>
      <c r="O10" s="72"/>
    </row>
    <row r="11" ht="15" customHeight="1" spans="1:15">
      <c r="A11" s="57"/>
      <c r="B11" s="57"/>
      <c r="C11" s="58"/>
      <c r="D11" s="61"/>
      <c r="E11" s="58"/>
      <c r="F11" s="58"/>
      <c r="G11" s="80"/>
      <c r="H11" s="71"/>
      <c r="I11" s="70"/>
      <c r="J11" s="71"/>
      <c r="K11" s="71"/>
      <c r="L11" s="71"/>
      <c r="M11" s="72"/>
      <c r="N11" s="72"/>
      <c r="O11" s="72"/>
    </row>
    <row r="12" ht="17.6" customHeight="1" spans="1:15">
      <c r="A12" s="51" t="s">
        <v>346</v>
      </c>
      <c r="B12" s="81"/>
      <c r="C12" s="81"/>
      <c r="D12" s="82"/>
      <c r="E12" s="83"/>
      <c r="F12" s="83"/>
      <c r="G12" s="84"/>
      <c r="H12" s="85"/>
      <c r="I12" s="86"/>
      <c r="J12" s="86"/>
      <c r="K12" s="86"/>
      <c r="L12" s="86"/>
      <c r="M12" s="86"/>
      <c r="N12" s="86"/>
      <c r="O12" s="86"/>
    </row>
    <row r="13" ht="15" customHeight="1" spans="1:15">
      <c r="A13" s="57"/>
      <c r="B13" s="57"/>
      <c r="C13" s="58"/>
      <c r="D13" s="87"/>
      <c r="E13" s="60"/>
      <c r="F13" s="60"/>
      <c r="G13" s="88"/>
      <c r="H13" s="89"/>
      <c r="I13" s="90"/>
      <c r="J13" s="90"/>
      <c r="K13" s="90"/>
      <c r="L13" s="90"/>
      <c r="M13" s="91"/>
      <c r="N13" s="92"/>
      <c r="O13" s="92"/>
    </row>
    <row r="34" ht="45" customHeight="1" spans="1:1">
      <c r="A34" s="93" t="s">
        <v>347</v>
      </c>
    </row>
    <row r="36" ht="15" customHeight="1" spans="1:1">
      <c r="A36" s="94" t="s">
        <v>348</v>
      </c>
    </row>
  </sheetData>
  <mergeCells count="2">
    <mergeCell ref="A34:H34"/>
    <mergeCell ref="A36:H36"/>
  </mergeCells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"/>
  <sheetViews>
    <sheetView workbookViewId="0">
      <selection activeCell="H26" sqref="H26"/>
    </sheetView>
  </sheetViews>
  <sheetFormatPr defaultColWidth="9.16071428571429" defaultRowHeight="16.8" outlineLevelRow="1"/>
  <cols>
    <col min="1" max="3" width="1.24107142857143" customWidth="1"/>
    <col min="4" max="4" width="40.6428571428571" customWidth="1"/>
    <col min="7" max="7" width="2.64285714285714" customWidth="1"/>
    <col min="8" max="15" width="12.6428571428571" customWidth="1"/>
  </cols>
  <sheetData>
    <row r="1" ht="33.75" customHeight="1" spans="1:14">
      <c r="A1" s="1" t="s">
        <v>0</v>
      </c>
      <c r="B1" s="3"/>
      <c r="C1" s="3"/>
      <c r="D1" s="3"/>
      <c r="E1" s="4"/>
      <c r="F1" s="5"/>
      <c r="G1" s="5"/>
      <c r="H1" s="5"/>
      <c r="I1" s="5"/>
      <c r="J1" s="5"/>
      <c r="K1" s="5"/>
      <c r="L1" s="5"/>
      <c r="M1" s="45"/>
      <c r="N1" s="45"/>
    </row>
    <row r="2" ht="20.25" customHeight="1" spans="1:14">
      <c r="A2" s="33" t="s">
        <v>349</v>
      </c>
      <c r="B2" s="3"/>
      <c r="C2" s="3"/>
      <c r="D2" s="3"/>
      <c r="E2" s="4"/>
      <c r="F2" s="5"/>
      <c r="G2" s="5"/>
      <c r="H2" s="5"/>
      <c r="I2" s="5"/>
      <c r="J2" s="5"/>
      <c r="K2" s="5"/>
      <c r="L2" s="46"/>
      <c r="M2" s="45"/>
      <c r="N2" s="4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1"/>
  <sheetViews>
    <sheetView showGridLines="0" zoomScale="81" zoomScaleNormal="81" topLeftCell="A50" workbookViewId="0">
      <selection activeCell="F76" sqref="F76"/>
    </sheetView>
  </sheetViews>
  <sheetFormatPr defaultColWidth="9.16071428571429" defaultRowHeight="16.8"/>
  <cols>
    <col min="1" max="3" width="2" customWidth="1"/>
    <col min="4" max="4" width="40" customWidth="1"/>
    <col min="5" max="6" width="14.7857142857143" customWidth="1"/>
    <col min="7" max="8" width="19.3571428571429" customWidth="1"/>
    <col min="9" max="11" width="14.7857142857143" customWidth="1"/>
    <col min="12" max="15" width="13" customWidth="1"/>
  </cols>
  <sheetData>
    <row r="1" ht="33.75" customHeight="1" spans="1:12">
      <c r="A1" s="1" t="s">
        <v>0</v>
      </c>
      <c r="B1" s="2"/>
      <c r="C1" s="3"/>
      <c r="D1" s="3"/>
      <c r="E1" s="4"/>
      <c r="F1" s="5"/>
      <c r="G1" s="5"/>
      <c r="H1" s="5"/>
      <c r="I1" s="5"/>
      <c r="J1" s="5"/>
      <c r="K1" s="5"/>
      <c r="L1" s="6"/>
    </row>
    <row r="2" ht="20.25" customHeight="1" spans="1:12">
      <c r="A2" s="7" t="s">
        <v>350</v>
      </c>
      <c r="B2" s="8"/>
      <c r="C2" s="3"/>
      <c r="D2" s="3"/>
      <c r="E2" s="4"/>
      <c r="F2" s="5"/>
      <c r="G2" s="5"/>
      <c r="H2" s="5"/>
      <c r="I2" s="5"/>
      <c r="J2" s="5"/>
      <c r="K2" s="5"/>
      <c r="L2" s="9"/>
    </row>
    <row r="3" ht="16.5" customHeight="1" spans="1:1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6.5" customHeight="1" spans="1:12">
      <c r="A4" s="10"/>
      <c r="B4" s="10"/>
      <c r="C4" s="11" t="s">
        <v>351</v>
      </c>
      <c r="D4" s="7"/>
      <c r="E4" s="7"/>
      <c r="F4" s="7"/>
      <c r="G4" s="7"/>
      <c r="H4" s="7"/>
      <c r="I4" s="7"/>
      <c r="J4" s="7"/>
      <c r="K4" s="7"/>
      <c r="L4" s="10"/>
    </row>
    <row r="5" ht="16.5" customHeight="1" spans="1:12">
      <c r="A5" s="10"/>
      <c r="B5" s="10"/>
      <c r="C5" s="12" t="s">
        <v>333</v>
      </c>
      <c r="D5" s="13"/>
      <c r="E5" s="14" t="s">
        <v>352</v>
      </c>
      <c r="F5" s="14" t="s">
        <v>353</v>
      </c>
      <c r="G5" s="14" t="s">
        <v>354</v>
      </c>
      <c r="H5" s="14" t="s">
        <v>355</v>
      </c>
      <c r="I5" s="14" t="s">
        <v>356</v>
      </c>
      <c r="J5" s="14" t="s">
        <v>357</v>
      </c>
      <c r="K5" s="14" t="s">
        <v>358</v>
      </c>
      <c r="L5" s="10"/>
    </row>
    <row r="6" ht="16.5" customHeight="1" spans="1:12">
      <c r="A6" s="10"/>
      <c r="B6" s="10"/>
      <c r="C6" s="15" t="s">
        <v>144</v>
      </c>
      <c r="D6" s="10"/>
      <c r="E6" s="16">
        <f>Model!K20</f>
        <v>980136</v>
      </c>
      <c r="F6" s="16">
        <f>Model!L20</f>
        <v>1075675</v>
      </c>
      <c r="G6" s="16">
        <f>Model!M20</f>
        <v>1191416.23815616</v>
      </c>
      <c r="H6" s="16">
        <f>Model!N20</f>
        <v>1306791.5992152</v>
      </c>
      <c r="I6" s="16">
        <f>Model!O20</f>
        <v>1420684.95821419</v>
      </c>
      <c r="J6" s="16">
        <f>Model!P20</f>
        <v>1532122.71451808</v>
      </c>
      <c r="K6" s="16">
        <f>Model!Q20</f>
        <v>1640283.70054869</v>
      </c>
      <c r="L6" s="10"/>
    </row>
    <row r="7" ht="16.5" customHeight="1" spans="1:12">
      <c r="A7" s="10"/>
      <c r="B7" s="10"/>
      <c r="C7" s="15" t="s">
        <v>148</v>
      </c>
      <c r="D7" s="10"/>
      <c r="E7" s="16">
        <f>Model!K24</f>
        <v>165444</v>
      </c>
      <c r="F7" s="16">
        <f>Model!L24</f>
        <v>178949</v>
      </c>
      <c r="G7" s="16">
        <f>Model!M24</f>
        <v>196614.615949783</v>
      </c>
      <c r="H7" s="16">
        <f>Model!N24</f>
        <v>215654.546394074</v>
      </c>
      <c r="I7" s="16">
        <f>Model!O24</f>
        <v>234449.908016367</v>
      </c>
      <c r="J7" s="16">
        <f>Model!P24</f>
        <v>252840.031431088</v>
      </c>
      <c r="K7" s="16">
        <f>Model!Q24</f>
        <v>270689.402665167</v>
      </c>
      <c r="L7" s="10"/>
    </row>
    <row r="8" ht="16.5" customHeight="1" spans="1:12">
      <c r="A8" s="10"/>
      <c r="B8" s="10"/>
      <c r="C8" s="15" t="s">
        <v>150</v>
      </c>
      <c r="D8" s="10"/>
      <c r="E8" s="16">
        <f>Model!K26</f>
        <v>112308</v>
      </c>
      <c r="F8" s="16">
        <f>Model!L26</f>
        <v>121261</v>
      </c>
      <c r="G8" s="16">
        <f>Model!M26</f>
        <v>128038.412949652</v>
      </c>
      <c r="H8" s="16">
        <f>Model!N26</f>
        <v>144129.738375898</v>
      </c>
      <c r="I8" s="16">
        <f>Model!O26</f>
        <v>160176.68246252</v>
      </c>
      <c r="J8" s="16">
        <f>Model!P26</f>
        <v>176074.814173838</v>
      </c>
      <c r="K8" s="16">
        <f>Model!Q26</f>
        <v>191732.744029622</v>
      </c>
      <c r="L8" s="10"/>
    </row>
    <row r="9" ht="16.5" customHeight="1" spans="1:12">
      <c r="A9" s="10"/>
      <c r="B9" s="10"/>
      <c r="C9" s="15" t="s">
        <v>359</v>
      </c>
      <c r="D9" s="10"/>
      <c r="E9" s="16">
        <f>Model!K31</f>
        <v>81309</v>
      </c>
      <c r="F9" s="16">
        <f>Model!L31</f>
        <v>95754</v>
      </c>
      <c r="G9" s="16">
        <f>Model!M31</f>
        <v>97721.7519193679</v>
      </c>
      <c r="H9" s="16">
        <f>Model!N31</f>
        <v>122199.335484928</v>
      </c>
      <c r="I9" s="16">
        <f>Model!O31</f>
        <v>147199.97917491</v>
      </c>
      <c r="J9" s="16">
        <f>Model!P31</f>
        <v>162417.989067589</v>
      </c>
      <c r="K9" s="16">
        <f>Model!Q31</f>
        <v>177072.61275803</v>
      </c>
      <c r="L9" s="10"/>
    </row>
    <row r="10" ht="16.5" customHeight="1" spans="1:12">
      <c r="A10" s="10"/>
      <c r="B10" s="10"/>
      <c r="C10" s="10"/>
      <c r="D10" s="10"/>
      <c r="E10" s="17"/>
      <c r="F10" s="17"/>
      <c r="G10" s="17"/>
      <c r="H10" s="17"/>
      <c r="I10" s="17"/>
      <c r="J10" s="17"/>
      <c r="K10" s="17"/>
      <c r="L10" s="10"/>
    </row>
    <row r="11" ht="16.5" customHeight="1" spans="1:12">
      <c r="A11" s="10"/>
      <c r="B11" s="10"/>
      <c r="C11" s="15" t="s">
        <v>360</v>
      </c>
      <c r="D11" s="10"/>
      <c r="E11" s="18">
        <f t="shared" ref="E11:K11" si="0">E7/E6</f>
        <v>0.16879698327579</v>
      </c>
      <c r="F11" s="18">
        <f t="shared" si="0"/>
        <v>0.166359727612894</v>
      </c>
      <c r="G11" s="18">
        <f t="shared" si="0"/>
        <v>0.165025966285356</v>
      </c>
      <c r="H11" s="18">
        <f t="shared" si="0"/>
        <v>0.165025966285356</v>
      </c>
      <c r="I11" s="18">
        <f t="shared" si="0"/>
        <v>0.165025966285356</v>
      </c>
      <c r="J11" s="18">
        <f t="shared" si="0"/>
        <v>0.165025966285356</v>
      </c>
      <c r="K11" s="18">
        <f t="shared" si="0"/>
        <v>0.165025966285356</v>
      </c>
      <c r="L11" s="10"/>
    </row>
    <row r="12" ht="16.5" customHeight="1" spans="1:12">
      <c r="A12" s="10"/>
      <c r="B12" s="10"/>
      <c r="C12" s="15" t="s">
        <v>361</v>
      </c>
      <c r="D12" s="10"/>
      <c r="E12" s="18">
        <f t="shared" ref="E12:K12" si="1">E8/E6</f>
        <v>0.114584098533265</v>
      </c>
      <c r="F12" s="18">
        <f t="shared" si="1"/>
        <v>0.112730146187278</v>
      </c>
      <c r="G12" s="18">
        <f t="shared" si="1"/>
        <v>0.10746740630949</v>
      </c>
      <c r="H12" s="18">
        <f t="shared" si="1"/>
        <v>0.110292825927605</v>
      </c>
      <c r="I12" s="18">
        <f t="shared" si="1"/>
        <v>0.1127460958437</v>
      </c>
      <c r="J12" s="18">
        <f t="shared" si="1"/>
        <v>0.114922135482615</v>
      </c>
      <c r="K12" s="18">
        <f t="shared" si="1"/>
        <v>0.11688998919241</v>
      </c>
      <c r="L12" s="10"/>
    </row>
    <row r="13" ht="16.5" customHeight="1" spans="1:12">
      <c r="A13" s="10"/>
      <c r="B13" s="10"/>
      <c r="C13" s="15" t="s">
        <v>362</v>
      </c>
      <c r="D13" s="10"/>
      <c r="E13" s="18">
        <f t="shared" ref="E13:K13" si="2">E9/E6</f>
        <v>0.0829568549670658</v>
      </c>
      <c r="F13" s="18">
        <f t="shared" si="2"/>
        <v>0.0890175936040161</v>
      </c>
      <c r="G13" s="18">
        <f t="shared" si="2"/>
        <v>0.0820215041475369</v>
      </c>
      <c r="H13" s="18">
        <f t="shared" si="2"/>
        <v>0.0935109588692764</v>
      </c>
      <c r="I13" s="18">
        <f t="shared" si="2"/>
        <v>0.10361197837974</v>
      </c>
      <c r="J13" s="18">
        <f t="shared" si="2"/>
        <v>0.10600847277346</v>
      </c>
      <c r="K13" s="18">
        <f t="shared" si="2"/>
        <v>0.107952430850101</v>
      </c>
      <c r="L13" s="10"/>
    </row>
    <row r="14" ht="16.5" customHeight="1" spans="1:12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6.5" customHeight="1" spans="1:12">
      <c r="A15" s="10"/>
      <c r="B15" s="10"/>
      <c r="C15" s="11" t="s">
        <v>363</v>
      </c>
      <c r="D15" s="7"/>
      <c r="E15" s="7"/>
      <c r="F15" s="7"/>
      <c r="G15" s="7"/>
      <c r="H15" s="7"/>
      <c r="I15" s="7"/>
      <c r="J15" s="7"/>
      <c r="K15" s="7"/>
      <c r="L15" s="10"/>
    </row>
    <row r="16" ht="16.5" customHeight="1" spans="1:12">
      <c r="A16" s="10"/>
      <c r="B16" s="10"/>
      <c r="C16" s="12" t="s">
        <v>333</v>
      </c>
      <c r="D16" s="13"/>
      <c r="E16" s="19" t="s">
        <v>352</v>
      </c>
      <c r="F16" s="19" t="s">
        <v>353</v>
      </c>
      <c r="G16" s="19" t="s">
        <v>354</v>
      </c>
      <c r="H16" s="19" t="s">
        <v>355</v>
      </c>
      <c r="I16" s="19" t="s">
        <v>356</v>
      </c>
      <c r="J16" s="19" t="s">
        <v>357</v>
      </c>
      <c r="K16" s="19" t="s">
        <v>358</v>
      </c>
      <c r="L16" s="10"/>
    </row>
    <row r="17" ht="16.5" customHeight="1" spans="1:12">
      <c r="A17" s="10"/>
      <c r="B17" s="10"/>
      <c r="C17" s="15" t="s">
        <v>45</v>
      </c>
      <c r="D17" s="10"/>
      <c r="E17" s="16">
        <f>SUM(Model!K36:K39)</f>
        <v>499270</v>
      </c>
      <c r="F17" s="16">
        <f>SUM(Model!L36:L39)</f>
        <v>594249</v>
      </c>
      <c r="G17" s="16">
        <f>SUM(Model!M36:M39)</f>
        <v>562668.06294368</v>
      </c>
      <c r="H17" s="16">
        <f>SUM(Model!N36:N39)</f>
        <v>518106.469456198</v>
      </c>
      <c r="I17" s="16">
        <f>SUM(Model!O36:O39)</f>
        <v>629168.854221469</v>
      </c>
      <c r="J17" s="16">
        <f>SUM(Model!P36:P39)</f>
        <v>763380.86062179</v>
      </c>
      <c r="K17" s="16">
        <f>SUM(Model!Q36:Q39)</f>
        <v>916048.929516632</v>
      </c>
      <c r="L17" s="10"/>
    </row>
    <row r="18" ht="16.5" customHeight="1" spans="1:12">
      <c r="A18" s="10"/>
      <c r="B18" s="10"/>
      <c r="C18" s="15" t="s">
        <v>70</v>
      </c>
      <c r="D18" s="10"/>
      <c r="E18" s="16">
        <f>SUM(Model!K50:K51)</f>
        <v>453737</v>
      </c>
      <c r="F18" s="16">
        <f>SUM(Model!L50:L51)</f>
        <v>541254</v>
      </c>
      <c r="G18" s="16">
        <f>SUM(Model!M50:M51)</f>
        <v>601376.265410224</v>
      </c>
      <c r="H18" s="16">
        <f>SUM(Model!N50:N51)</f>
        <v>622580.50988135</v>
      </c>
      <c r="I18" s="16">
        <f>SUM(Model!O50:O51)</f>
        <v>643512.384812744</v>
      </c>
      <c r="J18" s="16">
        <f>SUM(Model!P50:P51)</f>
        <v>663992.957148914</v>
      </c>
      <c r="K18" s="16">
        <f>SUM(Model!Q50:Q51)</f>
        <v>683871.308722241</v>
      </c>
      <c r="L18" s="10"/>
    </row>
    <row r="19" ht="16.5" customHeight="1" spans="1:12">
      <c r="A19" s="10"/>
      <c r="B19" s="10"/>
      <c r="C19" s="20" t="s">
        <v>364</v>
      </c>
      <c r="D19" s="21"/>
      <c r="E19" s="22">
        <f t="shared" ref="E19:K19" si="3">E17/E18</f>
        <v>1.10035108443878</v>
      </c>
      <c r="F19" s="22">
        <f t="shared" si="3"/>
        <v>1.09791151658925</v>
      </c>
      <c r="G19" s="22">
        <f t="shared" si="3"/>
        <v>0.935633970455851</v>
      </c>
      <c r="H19" s="22">
        <f t="shared" si="3"/>
        <v>0.832191919330944</v>
      </c>
      <c r="I19" s="22">
        <f t="shared" si="3"/>
        <v>0.977710560154257</v>
      </c>
      <c r="J19" s="22">
        <f t="shared" si="3"/>
        <v>1.14968216515373</v>
      </c>
      <c r="K19" s="22">
        <f t="shared" si="3"/>
        <v>1.33950484226074</v>
      </c>
      <c r="L19" s="10"/>
    </row>
    <row r="20" ht="16.5" customHeight="1" spans="1:12">
      <c r="A20" s="10"/>
      <c r="B20" s="10"/>
      <c r="C20" s="10"/>
      <c r="D20" s="10"/>
      <c r="E20" s="17"/>
      <c r="F20" s="17"/>
      <c r="G20" s="17"/>
      <c r="H20" s="17"/>
      <c r="I20" s="17"/>
      <c r="J20" s="17"/>
      <c r="K20" s="17"/>
      <c r="L20" s="10"/>
    </row>
    <row r="21" ht="16.5" customHeight="1" spans="1:12">
      <c r="A21" s="10"/>
      <c r="B21" s="10"/>
      <c r="C21" s="15" t="s">
        <v>365</v>
      </c>
      <c r="D21" s="10"/>
      <c r="E21" s="23">
        <f>Model!K13</f>
        <v>15.6857466718904</v>
      </c>
      <c r="F21" s="23">
        <f>Model!L13</f>
        <v>19.8472726427592</v>
      </c>
      <c r="G21" s="23">
        <f>Model!M13</f>
        <v>14.3527369291714</v>
      </c>
      <c r="H21" s="23">
        <f>Model!N13</f>
        <v>14.3527369291714</v>
      </c>
      <c r="I21" s="23">
        <f>Model!O13</f>
        <v>14.3527369291714</v>
      </c>
      <c r="J21" s="23">
        <f>Model!P13</f>
        <v>14.3527369291714</v>
      </c>
      <c r="K21" s="23">
        <f>Model!Q13</f>
        <v>14.3527369291714</v>
      </c>
      <c r="L21" s="10"/>
    </row>
    <row r="22" ht="16.5" customHeight="1" spans="1:12">
      <c r="A22" s="10"/>
      <c r="B22" s="10"/>
      <c r="C22" s="15" t="s">
        <v>366</v>
      </c>
      <c r="D22" s="10"/>
      <c r="E22" s="23">
        <f>Model!K14</f>
        <v>84.6650171751452</v>
      </c>
      <c r="F22" s="23">
        <f>Model!L14</f>
        <v>88.4808171776326</v>
      </c>
      <c r="G22" s="23">
        <f>Model!M14</f>
        <v>87.6161281313249</v>
      </c>
      <c r="H22" s="23">
        <f>Model!N14</f>
        <v>87.6161281313249</v>
      </c>
      <c r="I22" s="23">
        <f>Model!O14</f>
        <v>87.6161281313249</v>
      </c>
      <c r="J22" s="23">
        <f>Model!P14</f>
        <v>87.6161281313249</v>
      </c>
      <c r="K22" s="23">
        <f>Model!Q14</f>
        <v>87.6161281313249</v>
      </c>
      <c r="L22" s="10"/>
    </row>
    <row r="23" ht="16.5" customHeight="1" spans="1:12">
      <c r="A23" s="10"/>
      <c r="B23" s="10"/>
      <c r="C23" s="15" t="s">
        <v>367</v>
      </c>
      <c r="D23" s="10"/>
      <c r="E23" s="23">
        <f>Model!K15</f>
        <v>108.272472601554</v>
      </c>
      <c r="F23" s="23">
        <f>Model!L15</f>
        <v>84.1882459199928</v>
      </c>
      <c r="G23" s="23">
        <f>Model!M15</f>
        <v>103.485510597853</v>
      </c>
      <c r="H23" s="23">
        <f>Model!N15</f>
        <v>103.485510597853</v>
      </c>
      <c r="I23" s="23">
        <f>Model!O15</f>
        <v>103.485510597853</v>
      </c>
      <c r="J23" s="23">
        <f>Model!P15</f>
        <v>103.485510597853</v>
      </c>
      <c r="K23" s="23">
        <f>Model!Q15</f>
        <v>103.485510597853</v>
      </c>
      <c r="L23" s="10"/>
    </row>
    <row r="24" ht="16.5" customHeight="1" spans="1:12">
      <c r="A24" s="10"/>
      <c r="B24" s="10"/>
      <c r="C24" s="20" t="s">
        <v>368</v>
      </c>
      <c r="D24" s="21"/>
      <c r="E24" s="24">
        <f t="shared" ref="E24:K24" si="4">E22+E21-E23</f>
        <v>-7.92170875451848</v>
      </c>
      <c r="F24" s="24">
        <f t="shared" si="4"/>
        <v>24.139843900399</v>
      </c>
      <c r="G24" s="24">
        <f t="shared" si="4"/>
        <v>-1.51664553735705</v>
      </c>
      <c r="H24" s="24">
        <f t="shared" si="4"/>
        <v>-1.51664553735705</v>
      </c>
      <c r="I24" s="24">
        <f t="shared" si="4"/>
        <v>-1.51664553735705</v>
      </c>
      <c r="J24" s="24">
        <f t="shared" si="4"/>
        <v>-1.51664553735705</v>
      </c>
      <c r="K24" s="24">
        <f t="shared" si="4"/>
        <v>-1.51664553735705</v>
      </c>
      <c r="L24" s="10"/>
    </row>
    <row r="25" ht="16.5" customHeight="1" spans="1:12">
      <c r="A25" s="10"/>
      <c r="B25" s="10"/>
      <c r="C25" s="10"/>
      <c r="D25" s="10"/>
      <c r="E25" s="17"/>
      <c r="F25" s="17"/>
      <c r="G25" s="17"/>
      <c r="H25" s="17"/>
      <c r="I25" s="17"/>
      <c r="J25" s="17"/>
      <c r="K25" s="17"/>
      <c r="L25" s="10"/>
    </row>
    <row r="26" ht="16.5" customHeight="1" spans="1:12">
      <c r="A26" s="10"/>
      <c r="B26" s="10"/>
      <c r="C26" s="15" t="s">
        <v>369</v>
      </c>
      <c r="D26" s="10"/>
      <c r="E26" s="16">
        <f>Model!K37</f>
        <v>42121</v>
      </c>
      <c r="F26" s="16">
        <f>Model!L37</f>
        <v>58491</v>
      </c>
      <c r="G26" s="16">
        <f>Model!M37</f>
        <v>46849.5447654748</v>
      </c>
      <c r="H26" s="16">
        <f>Model!N37</f>
        <v>51386.400122704</v>
      </c>
      <c r="I26" s="16">
        <f>Model!O37</f>
        <v>55864.9793547372</v>
      </c>
      <c r="J26" s="16">
        <f>Model!P37</f>
        <v>60246.9979854409</v>
      </c>
      <c r="K26" s="16">
        <f>Model!Q37</f>
        <v>64500.165597762</v>
      </c>
      <c r="L26" s="10"/>
    </row>
    <row r="27" ht="16.5" customHeight="1" spans="1:12">
      <c r="A27" s="10"/>
      <c r="B27" s="10"/>
      <c r="C27" s="15" t="s">
        <v>158</v>
      </c>
      <c r="D27" s="10"/>
      <c r="E27" s="16">
        <f>Model!K38</f>
        <v>146062</v>
      </c>
      <c r="F27" s="16">
        <f>Model!L38</f>
        <v>166941</v>
      </c>
      <c r="G27" s="16">
        <f>Model!M38</f>
        <v>185386.35045167</v>
      </c>
      <c r="H27" s="16">
        <f>Model!N38</f>
        <v>203338.948740814</v>
      </c>
      <c r="I27" s="16">
        <f>Model!O38</f>
        <v>221060.945041771</v>
      </c>
      <c r="J27" s="16">
        <f>Model!P38</f>
        <v>238400.845474615</v>
      </c>
      <c r="K27" s="16">
        <f>Model!Q38</f>
        <v>255230.874996876</v>
      </c>
      <c r="L27" s="10"/>
    </row>
    <row r="28" ht="16.5" customHeight="1" spans="1:12">
      <c r="A28" s="10"/>
      <c r="B28" s="10"/>
      <c r="C28" s="15" t="s">
        <v>163</v>
      </c>
      <c r="D28" s="10"/>
      <c r="E28" s="16">
        <f>Model!K50</f>
        <v>186789</v>
      </c>
      <c r="F28" s="16">
        <f>Model!L50</f>
        <v>158842</v>
      </c>
      <c r="G28" s="16">
        <f>Model!M50</f>
        <v>218964.265410224</v>
      </c>
      <c r="H28" s="16">
        <f>Model!N50</f>
        <v>240168.50988135</v>
      </c>
      <c r="I28" s="16">
        <f>Model!O50</f>
        <v>261100.384812744</v>
      </c>
      <c r="J28" s="16">
        <f>Model!P50</f>
        <v>281580.957148914</v>
      </c>
      <c r="K28" s="16">
        <f>Model!Q50</f>
        <v>301459.308722241</v>
      </c>
      <c r="L28" s="10"/>
    </row>
    <row r="29" ht="16.5" customHeight="1" spans="1:12">
      <c r="A29" s="10"/>
      <c r="B29" s="10"/>
      <c r="C29" s="20" t="s">
        <v>370</v>
      </c>
      <c r="D29" s="21"/>
      <c r="E29" s="25">
        <f t="shared" ref="E29:K29" si="5">E26+E27-E28</f>
        <v>1394</v>
      </c>
      <c r="F29" s="25">
        <f t="shared" si="5"/>
        <v>66590</v>
      </c>
      <c r="G29" s="25">
        <f t="shared" si="5"/>
        <v>13271.6298069212</v>
      </c>
      <c r="H29" s="25">
        <f t="shared" si="5"/>
        <v>14556.8389821673</v>
      </c>
      <c r="I29" s="25">
        <f t="shared" si="5"/>
        <v>15825.5395837645</v>
      </c>
      <c r="J29" s="25">
        <f t="shared" si="5"/>
        <v>17066.8863111416</v>
      </c>
      <c r="K29" s="25">
        <f t="shared" si="5"/>
        <v>18271.7318723968</v>
      </c>
      <c r="L29" s="10"/>
    </row>
    <row r="30" ht="16.5" customHeight="1" spans="1:12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</row>
    <row r="31" ht="16.5" customHeight="1" spans="1:12">
      <c r="A31" s="10"/>
      <c r="B31" s="10"/>
      <c r="C31" s="11" t="s">
        <v>371</v>
      </c>
      <c r="D31" s="7"/>
      <c r="E31" s="7"/>
      <c r="F31" s="7"/>
      <c r="G31" s="7"/>
      <c r="H31" s="7"/>
      <c r="I31" s="7"/>
      <c r="J31" s="7"/>
      <c r="K31" s="7"/>
      <c r="L31" s="10"/>
    </row>
    <row r="32" ht="16.5" customHeight="1" spans="1:12">
      <c r="A32" s="10"/>
      <c r="B32" s="10"/>
      <c r="C32" s="26" t="s">
        <v>333</v>
      </c>
      <c r="D32" s="13"/>
      <c r="E32" s="19" t="s">
        <v>352</v>
      </c>
      <c r="F32" s="19" t="s">
        <v>353</v>
      </c>
      <c r="G32" s="19" t="s">
        <v>354</v>
      </c>
      <c r="H32" s="19" t="s">
        <v>355</v>
      </c>
      <c r="I32" s="19" t="s">
        <v>356</v>
      </c>
      <c r="J32" s="19" t="s">
        <v>357</v>
      </c>
      <c r="K32" s="19" t="s">
        <v>358</v>
      </c>
      <c r="L32" s="10"/>
    </row>
    <row r="33" ht="16.5" customHeight="1" spans="1:12">
      <c r="A33" s="10"/>
      <c r="B33" s="10"/>
      <c r="C33" s="15" t="s">
        <v>372</v>
      </c>
      <c r="D33" s="10"/>
      <c r="E33" s="16">
        <f>Model!K54</f>
        <v>236899</v>
      </c>
      <c r="F33" s="16">
        <f>Model!L54</f>
        <v>270751</v>
      </c>
      <c r="G33" s="16">
        <f>Model!M54</f>
        <v>137653</v>
      </c>
      <c r="H33" s="16">
        <f>Model!N54</f>
        <v>4555</v>
      </c>
      <c r="I33" s="16">
        <f>Model!O54</f>
        <v>0</v>
      </c>
      <c r="J33" s="16">
        <f>Model!P54</f>
        <v>0</v>
      </c>
      <c r="K33" s="16">
        <f>Model!Q54</f>
        <v>0</v>
      </c>
      <c r="L33" s="10"/>
    </row>
    <row r="34" ht="16.5" customHeight="1" spans="1:12">
      <c r="A34" s="10"/>
      <c r="B34" s="10"/>
      <c r="C34" s="15" t="s">
        <v>373</v>
      </c>
      <c r="D34" s="10"/>
      <c r="E34" s="16">
        <f>'Historical Data'!K79</f>
        <v>110631</v>
      </c>
      <c r="F34" s="16">
        <f>'Historical Data'!L79</f>
        <v>103670</v>
      </c>
      <c r="G34" s="16">
        <f>'Historical Data'!$L$79</f>
        <v>103670</v>
      </c>
      <c r="H34" s="16">
        <f>'Historical Data'!$L$79</f>
        <v>103670</v>
      </c>
      <c r="I34" s="16">
        <f>'Historical Data'!$L$79</f>
        <v>103670</v>
      </c>
      <c r="J34" s="16">
        <f>'Historical Data'!$L$79</f>
        <v>103670</v>
      </c>
      <c r="K34" s="16">
        <f>'Historical Data'!$L$79</f>
        <v>103670</v>
      </c>
      <c r="L34" s="10"/>
    </row>
    <row r="35" ht="16.5" customHeight="1" spans="1:12">
      <c r="A35" s="10"/>
      <c r="B35" s="10"/>
      <c r="C35" s="27" t="s">
        <v>374</v>
      </c>
      <c r="D35" s="28"/>
      <c r="E35" s="29">
        <f t="shared" ref="E35:K35" si="6">E33+E34</f>
        <v>347530</v>
      </c>
      <c r="F35" s="29">
        <f t="shared" si="6"/>
        <v>374421</v>
      </c>
      <c r="G35" s="29">
        <f t="shared" si="6"/>
        <v>241323</v>
      </c>
      <c r="H35" s="29">
        <f t="shared" si="6"/>
        <v>108225</v>
      </c>
      <c r="I35" s="29">
        <f t="shared" si="6"/>
        <v>103670</v>
      </c>
      <c r="J35" s="29">
        <f t="shared" si="6"/>
        <v>103670</v>
      </c>
      <c r="K35" s="29">
        <f t="shared" si="6"/>
        <v>103670</v>
      </c>
      <c r="L35" s="10"/>
    </row>
    <row r="36" ht="16.5" customHeight="1" spans="1:12">
      <c r="A36" s="10"/>
      <c r="B36" s="10"/>
      <c r="C36" s="30" t="s">
        <v>156</v>
      </c>
      <c r="D36" s="28"/>
      <c r="E36" s="31">
        <f>Model!K36</f>
        <v>106502</v>
      </c>
      <c r="F36" s="31">
        <f>Model!L36</f>
        <v>145977</v>
      </c>
      <c r="G36" s="31">
        <f>Model!M36</f>
        <v>107592.167726534</v>
      </c>
      <c r="H36" s="31">
        <f>Model!N36</f>
        <v>40541.1205926809</v>
      </c>
      <c r="I36" s="31">
        <f>Model!O36</f>
        <v>129402.929824961</v>
      </c>
      <c r="J36" s="31">
        <f>Model!P36</f>
        <v>241893.017161734</v>
      </c>
      <c r="K36" s="31">
        <f>Model!Q36</f>
        <v>373477.888921994</v>
      </c>
      <c r="L36" s="10"/>
    </row>
    <row r="37" ht="16.5" customHeight="1" spans="1:12">
      <c r="A37" s="10"/>
      <c r="B37" s="10"/>
      <c r="C37" s="27" t="s">
        <v>335</v>
      </c>
      <c r="D37" s="28"/>
      <c r="E37" s="29">
        <f t="shared" ref="E37:K37" si="7">E35-E36</f>
        <v>241028</v>
      </c>
      <c r="F37" s="29">
        <f t="shared" si="7"/>
        <v>228444</v>
      </c>
      <c r="G37" s="29">
        <f t="shared" si="7"/>
        <v>133730.832273466</v>
      </c>
      <c r="H37" s="29">
        <f t="shared" si="7"/>
        <v>67683.8794073191</v>
      </c>
      <c r="I37" s="29">
        <f t="shared" si="7"/>
        <v>-25732.9298249611</v>
      </c>
      <c r="J37" s="29">
        <f t="shared" si="7"/>
        <v>-138223.017161734</v>
      </c>
      <c r="K37" s="29">
        <f t="shared" si="7"/>
        <v>-269807.888921994</v>
      </c>
      <c r="L37" s="10"/>
    </row>
    <row r="38" ht="16.5" customHeight="1" spans="1:12">
      <c r="A38" s="10"/>
      <c r="B38" s="10"/>
      <c r="C38" s="15" t="s">
        <v>375</v>
      </c>
      <c r="D38" s="10"/>
      <c r="E38" s="16">
        <f>Model!K60</f>
        <v>843200</v>
      </c>
      <c r="F38" s="16">
        <f>Model!L60</f>
        <v>904030</v>
      </c>
      <c r="G38" s="16">
        <f>Model!M60</f>
        <v>994325.33382816</v>
      </c>
      <c r="H38" s="16">
        <f>Model!N60</f>
        <v>1107238.06384445</v>
      </c>
      <c r="I38" s="16">
        <f>Model!O60</f>
        <v>1243251.4999325</v>
      </c>
      <c r="J38" s="16">
        <f>Model!P60</f>
        <v>1393326.44491156</v>
      </c>
      <c r="K38" s="16">
        <f>Model!Q60</f>
        <v>1556942.32742258</v>
      </c>
      <c r="L38" s="10"/>
    </row>
    <row r="39" ht="16.5" customHeight="1" spans="1:12">
      <c r="A39" s="10"/>
      <c r="B39" s="10"/>
      <c r="C39" s="10"/>
      <c r="D39" s="10"/>
      <c r="E39" s="17"/>
      <c r="F39" s="17"/>
      <c r="G39" s="17"/>
      <c r="H39" s="17"/>
      <c r="I39" s="17"/>
      <c r="J39" s="17"/>
      <c r="K39" s="17"/>
      <c r="L39" s="10"/>
    </row>
    <row r="40" ht="16.5" customHeight="1" spans="1:12">
      <c r="A40" s="10"/>
      <c r="B40" s="10"/>
      <c r="C40" s="20" t="s">
        <v>295</v>
      </c>
      <c r="D40" s="21"/>
      <c r="E40" s="22">
        <f t="shared" ref="E40:K40" si="8">E35/E38</f>
        <v>0.412156072106262</v>
      </c>
      <c r="F40" s="22">
        <f t="shared" si="8"/>
        <v>0.414168777584815</v>
      </c>
      <c r="G40" s="22">
        <f t="shared" si="8"/>
        <v>0.242700242858044</v>
      </c>
      <c r="H40" s="22">
        <f t="shared" si="8"/>
        <v>0.0977432076569249</v>
      </c>
      <c r="I40" s="22">
        <f t="shared" si="8"/>
        <v>0.0833861853419269</v>
      </c>
      <c r="J40" s="22">
        <f t="shared" si="8"/>
        <v>0.074404674065151</v>
      </c>
      <c r="K40" s="22">
        <f t="shared" si="8"/>
        <v>0.0665856391557027</v>
      </c>
      <c r="L40" s="10"/>
    </row>
    <row r="41" ht="16.5" customHeight="1" spans="1:12">
      <c r="A41" s="10"/>
      <c r="B41" s="10"/>
      <c r="C41" s="20" t="s">
        <v>376</v>
      </c>
      <c r="D41" s="21"/>
      <c r="E41" s="22">
        <f t="shared" ref="E41:K41" si="9">E35/E7</f>
        <v>2.10058992770968</v>
      </c>
      <c r="F41" s="22">
        <f t="shared" si="9"/>
        <v>2.0923335698998</v>
      </c>
      <c r="G41" s="22">
        <f t="shared" si="9"/>
        <v>1.22739094870564</v>
      </c>
      <c r="H41" s="22">
        <f t="shared" si="9"/>
        <v>0.501844277385352</v>
      </c>
      <c r="I41" s="22">
        <f t="shared" si="9"/>
        <v>0.44218400799186</v>
      </c>
      <c r="J41" s="22">
        <f t="shared" si="9"/>
        <v>0.410022097423506</v>
      </c>
      <c r="K41" s="22">
        <f t="shared" si="9"/>
        <v>0.382985070635499</v>
      </c>
      <c r="L41" s="10"/>
    </row>
    <row r="42" ht="16.5" customHeight="1" spans="1:12">
      <c r="A42" s="10"/>
      <c r="B42" s="10"/>
      <c r="C42" s="20" t="s">
        <v>377</v>
      </c>
      <c r="D42" s="21"/>
      <c r="E42" s="22">
        <f t="shared" ref="E42:K42" si="10">E37/E7</f>
        <v>1.45685549188849</v>
      </c>
      <c r="F42" s="22">
        <f t="shared" si="10"/>
        <v>1.27658718405803</v>
      </c>
      <c r="G42" s="22">
        <f t="shared" si="10"/>
        <v>0.680167298994807</v>
      </c>
      <c r="H42" s="22">
        <f t="shared" si="10"/>
        <v>0.31385324603191</v>
      </c>
      <c r="I42" s="22">
        <f t="shared" si="10"/>
        <v>-0.109758754194797</v>
      </c>
      <c r="J42" s="22">
        <f t="shared" si="10"/>
        <v>-0.546681695850868</v>
      </c>
      <c r="K42" s="22">
        <f t="shared" si="10"/>
        <v>-0.996743449375949</v>
      </c>
      <c r="L42" s="10"/>
    </row>
    <row r="43" ht="16.5" customHeight="1" spans="1:12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</row>
    <row r="44" ht="16.5" customHeight="1" spans="1:12">
      <c r="A44" s="10"/>
      <c r="B44" s="10"/>
      <c r="C44" s="32" t="s">
        <v>378</v>
      </c>
      <c r="D44" s="33"/>
      <c r="E44" s="33"/>
      <c r="F44" s="33"/>
      <c r="G44" s="33"/>
      <c r="H44" s="33"/>
      <c r="I44" s="33"/>
      <c r="J44" s="33"/>
      <c r="K44" s="33"/>
      <c r="L44" s="10"/>
    </row>
    <row r="45" ht="16.5" customHeight="1" spans="1:12">
      <c r="A45" s="10"/>
      <c r="B45" s="10"/>
      <c r="C45" s="26" t="s">
        <v>333</v>
      </c>
      <c r="D45" s="13"/>
      <c r="E45" s="14" t="s">
        <v>352</v>
      </c>
      <c r="F45" s="14" t="s">
        <v>353</v>
      </c>
      <c r="G45" s="14" t="s">
        <v>354</v>
      </c>
      <c r="H45" s="14" t="s">
        <v>355</v>
      </c>
      <c r="I45" s="14" t="s">
        <v>356</v>
      </c>
      <c r="J45" s="14" t="s">
        <v>357</v>
      </c>
      <c r="K45" s="14" t="s">
        <v>358</v>
      </c>
      <c r="L45" s="10"/>
    </row>
    <row r="46" ht="16.5" customHeight="1" spans="1:12">
      <c r="A46" s="10"/>
      <c r="B46" s="10"/>
      <c r="C46" s="15" t="s">
        <v>379</v>
      </c>
      <c r="D46" s="10"/>
      <c r="E46" s="34">
        <f>-Model!K27</f>
        <v>24269</v>
      </c>
      <c r="F46" s="34">
        <f>-Model!L27</f>
        <v>27061</v>
      </c>
      <c r="G46" s="34">
        <f>-Model!M27</f>
        <v>26573.4586447053</v>
      </c>
      <c r="H46" s="34">
        <f>-Model!N27</f>
        <v>13510.2596216436</v>
      </c>
      <c r="I46" s="34">
        <f>-Model!O27</f>
        <v>447.060598581843</v>
      </c>
      <c r="J46" s="34">
        <f>-Model!P27</f>
        <v>0</v>
      </c>
      <c r="K46" s="34">
        <f>-Model!Q27</f>
        <v>0</v>
      </c>
      <c r="L46" s="10"/>
    </row>
    <row r="47" ht="16.5" customHeight="1" spans="1:12">
      <c r="A47" s="10"/>
      <c r="B47" s="10"/>
      <c r="C47" s="15" t="s">
        <v>193</v>
      </c>
      <c r="D47" s="10"/>
      <c r="E47" s="34">
        <f>-Model!K25</f>
        <v>53136</v>
      </c>
      <c r="F47" s="34">
        <f>-Model!L25</f>
        <v>57688</v>
      </c>
      <c r="G47" s="34">
        <f>-Model!M25</f>
        <v>68576.2030001319</v>
      </c>
      <c r="H47" s="34">
        <f>-Model!N25</f>
        <v>71524.8080181757</v>
      </c>
      <c r="I47" s="34">
        <f>-Model!O25</f>
        <v>74273.2255538467</v>
      </c>
      <c r="J47" s="34">
        <f>-Model!P25</f>
        <v>76765.2172572501</v>
      </c>
      <c r="K47" s="34">
        <f>-Model!Q25</f>
        <v>78956.658635545</v>
      </c>
      <c r="L47" s="10"/>
    </row>
    <row r="48" ht="16.5" customHeight="1" spans="1:12">
      <c r="A48" s="10"/>
      <c r="B48" s="10"/>
      <c r="C48" s="15" t="s">
        <v>380</v>
      </c>
      <c r="D48" s="10"/>
      <c r="E48" s="34">
        <f>-'Historical Data'!K132</f>
        <v>31755</v>
      </c>
      <c r="F48" s="34">
        <f>-'Historical Data'!L132</f>
        <v>30881</v>
      </c>
      <c r="G48" s="34">
        <f>'Re-Payment'!I8</f>
        <v>40446</v>
      </c>
      <c r="H48" s="34">
        <f>'Re-Payment'!J8</f>
        <v>71079.5</v>
      </c>
      <c r="I48" s="34">
        <f>'Re-Payment'!K8</f>
        <v>71079.5</v>
      </c>
      <c r="J48" s="34">
        <f>'Re-Payment'!L8</f>
        <v>38474</v>
      </c>
      <c r="K48" s="34">
        <f>'Re-Payment'!M8</f>
        <v>38474</v>
      </c>
      <c r="L48" s="10"/>
    </row>
    <row r="49" ht="16.5" customHeight="1" spans="1:12">
      <c r="A49" s="10"/>
      <c r="B49" s="10"/>
      <c r="C49" s="15" t="s">
        <v>381</v>
      </c>
      <c r="D49" s="10"/>
      <c r="E49" s="35">
        <f t="shared" ref="E49:K49" si="11">IF(E46=0,"N/M (No Debt)",E7/E46)</f>
        <v>6.81709176315464</v>
      </c>
      <c r="F49" s="35">
        <f t="shared" si="11"/>
        <v>6.61280070950815</v>
      </c>
      <c r="G49" s="35">
        <f t="shared" si="11"/>
        <v>7.39890951262975</v>
      </c>
      <c r="H49" s="35">
        <f t="shared" si="11"/>
        <v>15.9622799586022</v>
      </c>
      <c r="I49" s="35">
        <f t="shared" si="11"/>
        <v>524.425343588955</v>
      </c>
      <c r="J49" s="35" t="str">
        <f t="shared" si="11"/>
        <v>N/M (No Debt)</v>
      </c>
      <c r="K49" s="35" t="str">
        <f t="shared" si="11"/>
        <v>N/M (No Debt)</v>
      </c>
      <c r="L49" s="10"/>
    </row>
    <row r="50" ht="16.5" customHeight="1" spans="1:12">
      <c r="A50" s="10"/>
      <c r="B50" s="10"/>
      <c r="C50" s="15" t="s">
        <v>382</v>
      </c>
      <c r="D50" s="10"/>
      <c r="E50" s="35">
        <f t="shared" ref="E50:K50" si="12">(E9+E47+E46)/(E46+E48)</f>
        <v>2.8329644438098</v>
      </c>
      <c r="F50" s="35">
        <f t="shared" si="12"/>
        <v>3.11523592558075</v>
      </c>
      <c r="G50" s="35">
        <f t="shared" si="12"/>
        <v>2.87784200983608</v>
      </c>
      <c r="H50" s="35">
        <f t="shared" si="12"/>
        <v>2.44987577753707</v>
      </c>
      <c r="I50" s="35">
        <f t="shared" si="12"/>
        <v>3.10262738023697</v>
      </c>
      <c r="J50" s="35">
        <f t="shared" si="12"/>
        <v>6.21674913772519</v>
      </c>
      <c r="K50" s="35">
        <f t="shared" si="12"/>
        <v>6.65460496422453</v>
      </c>
      <c r="L50" s="10"/>
    </row>
    <row r="51" ht="16.5" customHeight="1" spans="1:12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</row>
    <row r="52" ht="16.5" customHeight="1" spans="1:12">
      <c r="A52" s="10"/>
      <c r="B52" s="10"/>
      <c r="C52" s="32" t="s">
        <v>383</v>
      </c>
      <c r="D52" s="33"/>
      <c r="E52" s="33"/>
      <c r="F52" s="33"/>
      <c r="G52" s="33"/>
      <c r="H52" s="33"/>
      <c r="I52" s="33"/>
      <c r="J52" s="33"/>
      <c r="K52" s="33"/>
      <c r="L52" s="10"/>
    </row>
    <row r="53" ht="16.5" customHeight="1" spans="1:12">
      <c r="A53" s="10"/>
      <c r="B53" s="10"/>
      <c r="C53" s="26" t="s">
        <v>333</v>
      </c>
      <c r="D53" s="13"/>
      <c r="E53" s="14" t="s">
        <v>352</v>
      </c>
      <c r="F53" s="14" t="s">
        <v>353</v>
      </c>
      <c r="G53" s="14" t="s">
        <v>354</v>
      </c>
      <c r="H53" s="14" t="s">
        <v>355</v>
      </c>
      <c r="I53" s="14" t="s">
        <v>356</v>
      </c>
      <c r="J53" s="14" t="s">
        <v>357</v>
      </c>
      <c r="K53" s="14" t="s">
        <v>358</v>
      </c>
      <c r="L53" s="10"/>
    </row>
    <row r="54" ht="16.5" customHeight="1" spans="1:12">
      <c r="A54" s="10"/>
      <c r="B54" s="10"/>
      <c r="C54" s="15" t="s">
        <v>384</v>
      </c>
      <c r="D54" s="10"/>
      <c r="E54" s="36" t="str">
        <f t="shared" ref="E54:K54" si="13">IF(E42&lt;3,"Low",IF(E42&lt;4.5,"Moderate","High"))</f>
        <v>Low</v>
      </c>
      <c r="F54" s="36" t="str">
        <f t="shared" si="13"/>
        <v>Low</v>
      </c>
      <c r="G54" s="36" t="str">
        <f t="shared" si="13"/>
        <v>Low</v>
      </c>
      <c r="H54" s="36" t="str">
        <f t="shared" si="13"/>
        <v>Low</v>
      </c>
      <c r="I54" s="36" t="str">
        <f t="shared" si="13"/>
        <v>Low</v>
      </c>
      <c r="J54" s="36" t="str">
        <f t="shared" si="13"/>
        <v>Low</v>
      </c>
      <c r="K54" s="36" t="str">
        <f t="shared" si="13"/>
        <v>Low</v>
      </c>
      <c r="L54" s="10"/>
    </row>
    <row r="55" ht="16.5" customHeight="1" spans="1:12">
      <c r="A55" s="10"/>
      <c r="B55" s="10"/>
      <c r="C55" s="15" t="s">
        <v>385</v>
      </c>
      <c r="D55" s="10"/>
      <c r="E55" s="36" t="str">
        <f t="shared" ref="E55:K55" si="14">IF(E19&gt;=1.2,"Adequate",IF(E19&gt;=1,"Tight","Weak"))</f>
        <v>Tight</v>
      </c>
      <c r="F55" s="36" t="str">
        <f t="shared" si="14"/>
        <v>Tight</v>
      </c>
      <c r="G55" s="36" t="str">
        <f t="shared" si="14"/>
        <v>Weak</v>
      </c>
      <c r="H55" s="36" t="str">
        <f t="shared" si="14"/>
        <v>Weak</v>
      </c>
      <c r="I55" s="36" t="str">
        <f t="shared" si="14"/>
        <v>Weak</v>
      </c>
      <c r="J55" s="36" t="str">
        <f t="shared" si="14"/>
        <v>Tight</v>
      </c>
      <c r="K55" s="36" t="str">
        <f t="shared" si="14"/>
        <v>Adequate</v>
      </c>
      <c r="L55" s="10"/>
    </row>
    <row r="56" ht="16.5" customHeight="1" spans="1:12">
      <c r="A56" s="10"/>
      <c r="B56" s="10"/>
      <c r="C56" s="15" t="s">
        <v>386</v>
      </c>
      <c r="D56" s="10"/>
      <c r="E56" s="36" t="str">
        <f t="shared" ref="E56:K56" si="15">IF(E46=0,"N/A (No Debt)",IF(E49&gt;4,"Strong",IF(E49&gt;2,"Adequate","Weak")))</f>
        <v>Strong</v>
      </c>
      <c r="F56" s="36" t="str">
        <f t="shared" si="15"/>
        <v>Strong</v>
      </c>
      <c r="G56" s="36" t="str">
        <f t="shared" si="15"/>
        <v>Strong</v>
      </c>
      <c r="H56" s="36" t="str">
        <f t="shared" si="15"/>
        <v>Strong</v>
      </c>
      <c r="I56" s="36" t="str">
        <f t="shared" si="15"/>
        <v>Strong</v>
      </c>
      <c r="J56" s="36" t="str">
        <f t="shared" si="15"/>
        <v>N/A (No Debt)</v>
      </c>
      <c r="K56" s="36" t="str">
        <f t="shared" si="15"/>
        <v>N/A (No Debt)</v>
      </c>
      <c r="L56" s="10"/>
    </row>
    <row r="57" ht="16.5" customHeight="1" spans="1:12">
      <c r="A57" s="10"/>
      <c r="B57" s="10"/>
      <c r="C57" s="15" t="s">
        <v>387</v>
      </c>
      <c r="D57" s="10"/>
      <c r="E57" s="36" t="str">
        <f t="shared" ref="E57:K57" si="16">IF(E50&gt;=1.5,"Comfortable",IF(E50&gt;=1.2,"Adequate","Tight"))</f>
        <v>Comfortable</v>
      </c>
      <c r="F57" s="36" t="str">
        <f t="shared" si="16"/>
        <v>Comfortable</v>
      </c>
      <c r="G57" s="36" t="str">
        <f t="shared" si="16"/>
        <v>Comfortable</v>
      </c>
      <c r="H57" s="36" t="str">
        <f t="shared" si="16"/>
        <v>Comfortable</v>
      </c>
      <c r="I57" s="36" t="str">
        <f t="shared" si="16"/>
        <v>Comfortable</v>
      </c>
      <c r="J57" s="36" t="str">
        <f t="shared" si="16"/>
        <v>Comfortable</v>
      </c>
      <c r="K57" s="36" t="str">
        <f t="shared" si="16"/>
        <v>Comfortable</v>
      </c>
      <c r="L57" s="10"/>
    </row>
    <row r="58" ht="16.5" customHeight="1" spans="1:12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</row>
    <row r="59" ht="16.5" customHeight="1" spans="1:12">
      <c r="A59" s="10"/>
      <c r="B59" s="10"/>
      <c r="C59" s="12" t="s">
        <v>388</v>
      </c>
      <c r="D59" s="21"/>
      <c r="E59" s="37" t="str">
        <f t="shared" ref="E59:K59" si="17">IF(E46=0,"Low Credit Risk",IF(AND(E42&lt;3,E49&gt;5,E19&gt;=1),"Low Credit Risk",IF(AND(E42&lt;4.5,E49&gt;3,E50&gt;=1.2),"Moderate Credit Risk","High Credit Risk")))</f>
        <v>Low Credit Risk</v>
      </c>
      <c r="F59" s="37" t="str">
        <f t="shared" si="17"/>
        <v>Low Credit Risk</v>
      </c>
      <c r="G59" s="37" t="str">
        <f t="shared" si="17"/>
        <v>Moderate Credit Risk</v>
      </c>
      <c r="H59" s="37" t="str">
        <f t="shared" si="17"/>
        <v>Moderate Credit Risk</v>
      </c>
      <c r="I59" s="37" t="str">
        <f t="shared" si="17"/>
        <v>Moderate Credit Risk</v>
      </c>
      <c r="J59" s="37" t="str">
        <f t="shared" si="17"/>
        <v>Low Credit Risk</v>
      </c>
      <c r="K59" s="37" t="str">
        <f t="shared" si="17"/>
        <v>Low Credit Risk</v>
      </c>
      <c r="L59" s="10"/>
    </row>
    <row r="60" ht="16.5" customHeight="1" spans="1:12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</row>
    <row r="61" ht="16.5" customHeight="1" spans="1:12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</row>
    <row r="62" ht="16.5" customHeight="1" spans="1:1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</row>
    <row r="63" ht="16.5" customHeight="1" spans="1:12">
      <c r="A63" s="10"/>
      <c r="B63" s="10"/>
      <c r="C63" s="11" t="s">
        <v>389</v>
      </c>
      <c r="D63" s="7"/>
      <c r="E63" s="7"/>
      <c r="F63" s="7"/>
      <c r="G63" s="7"/>
      <c r="H63" s="7"/>
      <c r="I63" s="7"/>
      <c r="J63" s="7"/>
      <c r="K63" s="7"/>
      <c r="L63" s="10"/>
    </row>
    <row r="64" ht="16.5" customHeight="1" spans="1:12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</row>
    <row r="65" ht="16.5" customHeight="1" spans="1:12">
      <c r="A65" s="10"/>
      <c r="B65" s="10"/>
      <c r="C65" s="38" t="s">
        <v>390</v>
      </c>
      <c r="D65" s="10"/>
      <c r="E65" s="10"/>
      <c r="F65" s="10"/>
      <c r="G65" s="10"/>
      <c r="H65" s="10"/>
      <c r="I65" s="10"/>
      <c r="J65" s="10"/>
      <c r="K65" s="10"/>
      <c r="L65" s="10"/>
    </row>
    <row r="66" ht="16.5" customHeight="1" spans="1:12">
      <c r="A66" s="10"/>
      <c r="B66" s="10"/>
      <c r="C66" s="10" t="s">
        <v>391</v>
      </c>
      <c r="D66" s="10"/>
      <c r="E66" s="39">
        <v>0.0747</v>
      </c>
      <c r="F66" s="10"/>
      <c r="G66" s="10"/>
      <c r="H66" s="10"/>
      <c r="I66" s="10"/>
      <c r="J66" s="10"/>
      <c r="K66" s="10"/>
      <c r="L66" s="10"/>
    </row>
    <row r="67" ht="16.5" customHeight="1" spans="1:12">
      <c r="A67" s="10"/>
      <c r="B67" s="10"/>
      <c r="C67" s="10" t="s">
        <v>392</v>
      </c>
      <c r="D67" s="10"/>
      <c r="E67" s="34">
        <v>12500</v>
      </c>
      <c r="F67" s="10"/>
      <c r="G67" s="10"/>
      <c r="H67" s="10"/>
      <c r="I67" s="10"/>
      <c r="J67" s="10"/>
      <c r="K67" s="10"/>
      <c r="L67" s="10"/>
    </row>
    <row r="68" ht="16.5" customHeight="1" spans="1:12">
      <c r="A68" s="10"/>
      <c r="B68" s="10"/>
      <c r="C68" s="10" t="s">
        <v>393</v>
      </c>
      <c r="D68" s="10"/>
      <c r="E68" s="34">
        <f>E67*E66</f>
        <v>933.75</v>
      </c>
      <c r="F68" s="10"/>
      <c r="G68" s="10"/>
      <c r="H68" s="10"/>
      <c r="I68" s="10"/>
      <c r="J68" s="10"/>
      <c r="K68" s="10"/>
      <c r="L68" s="10"/>
    </row>
    <row r="69" ht="16.5" customHeight="1" spans="1:12">
      <c r="F69" s="10"/>
      <c r="G69" s="10"/>
      <c r="H69" s="10"/>
      <c r="I69" s="10"/>
      <c r="J69" s="10"/>
      <c r="K69" s="10"/>
      <c r="L69" s="10"/>
    </row>
    <row r="70" ht="16.5" customHeight="1" spans="1:12">
      <c r="C70" s="40" t="s">
        <v>333</v>
      </c>
      <c r="D70" s="7"/>
      <c r="E70" s="41" t="str">
        <f t="shared" ref="E70:K70" si="18">G5</f>
        <v>FY26-27E</v>
      </c>
      <c r="F70" s="41" t="str">
        <f t="shared" si="18"/>
        <v>FY27-28E</v>
      </c>
      <c r="G70" s="41" t="str">
        <f t="shared" si="18"/>
        <v>FY28-29E</v>
      </c>
      <c r="H70" s="41" t="str">
        <f t="shared" si="18"/>
        <v>FY29-30E</v>
      </c>
      <c r="I70" s="41" t="str">
        <f t="shared" si="18"/>
        <v>FY30-31E</v>
      </c>
      <c r="J70" s="42">
        <f t="shared" si="18"/>
        <v>0</v>
      </c>
      <c r="K70" s="42">
        <f t="shared" si="18"/>
        <v>0</v>
      </c>
      <c r="L70" s="10"/>
    </row>
    <row r="71" ht="16.5" customHeight="1" spans="1:12">
      <c r="A71" s="10"/>
      <c r="B71" s="10"/>
      <c r="C71" s="15" t="s">
        <v>394</v>
      </c>
      <c r="D71" s="10"/>
      <c r="E71" s="16">
        <f>G35</f>
        <v>241323</v>
      </c>
      <c r="F71" s="16">
        <f>G35+$E$67</f>
        <v>253823</v>
      </c>
      <c r="G71" s="16">
        <f>H35+$E$67</f>
        <v>120725</v>
      </c>
      <c r="H71" s="16">
        <f>I35+$E$67</f>
        <v>116170</v>
      </c>
      <c r="I71" s="16">
        <f>J35+$E$67</f>
        <v>116170</v>
      </c>
      <c r="J71" s="10"/>
      <c r="K71" s="10"/>
      <c r="L71" s="10"/>
    </row>
    <row r="72" ht="15.75" customHeight="1" spans="1:12">
      <c r="A72" s="10"/>
      <c r="B72" s="10"/>
      <c r="C72" s="15" t="s">
        <v>295</v>
      </c>
      <c r="D72" s="10"/>
      <c r="E72" s="43">
        <f>G40</f>
        <v>0.242700242858044</v>
      </c>
      <c r="F72" s="43">
        <f>F71/G38</f>
        <v>0.255271581005363</v>
      </c>
      <c r="G72" s="43">
        <f>G71/H38</f>
        <v>0.109032559430652</v>
      </c>
      <c r="H72" s="43">
        <f>H71/I38</f>
        <v>0.0934404663950193</v>
      </c>
      <c r="I72" s="43">
        <f>I71/J38</f>
        <v>0.0833760102840609</v>
      </c>
      <c r="J72" s="10"/>
      <c r="K72" s="10"/>
      <c r="L72" s="10"/>
    </row>
    <row r="73" ht="16.5" customHeight="1" spans="1:12">
      <c r="A73" s="10"/>
      <c r="B73" s="10"/>
      <c r="C73" s="15" t="s">
        <v>376</v>
      </c>
      <c r="D73" s="10"/>
      <c r="E73" s="43">
        <f>G35/G7</f>
        <v>1.22739094870564</v>
      </c>
      <c r="F73" s="43">
        <f>F71/G7</f>
        <v>1.29096709709937</v>
      </c>
      <c r="G73" s="43">
        <f>G71/H7</f>
        <v>0.559807349386433</v>
      </c>
      <c r="H73" s="43">
        <f>H71/I7</f>
        <v>0.495500301036118</v>
      </c>
      <c r="I73" s="43">
        <f>I71/J7</f>
        <v>0.459460471280879</v>
      </c>
      <c r="J73" s="10"/>
      <c r="K73" s="10"/>
      <c r="L73" s="10"/>
    </row>
    <row r="74" ht="16.5" customHeight="1" spans="1:12">
      <c r="A74" s="10"/>
      <c r="B74" s="10"/>
      <c r="C74" s="15" t="s">
        <v>377</v>
      </c>
      <c r="D74" s="10"/>
      <c r="E74" s="43">
        <f>G42</f>
        <v>0.680167298994807</v>
      </c>
      <c r="F74" s="43">
        <f>(F71-G36)/G7</f>
        <v>0.743743447388539</v>
      </c>
      <c r="G74" s="43">
        <f>(G71-H36)/H7</f>
        <v>0.37181631803299</v>
      </c>
      <c r="H74" s="43">
        <f>(H71-I36)/I7</f>
        <v>-0.0564424611505385</v>
      </c>
      <c r="I74" s="43">
        <f>(I71-J36)/J7</f>
        <v>-0.497243321993496</v>
      </c>
      <c r="J74" s="10"/>
      <c r="K74" s="10"/>
      <c r="L74" s="10"/>
    </row>
    <row r="75" ht="16.5" customHeight="1" spans="1:12">
      <c r="A75" s="10"/>
      <c r="B75" s="10"/>
      <c r="C75" s="15" t="s">
        <v>395</v>
      </c>
      <c r="D75" s="10"/>
      <c r="E75" s="16">
        <f>G46</f>
        <v>26573.4586447053</v>
      </c>
      <c r="F75" s="16">
        <f>G46+$E$68</f>
        <v>27507.2086447053</v>
      </c>
      <c r="G75" s="16">
        <f>H46+$E$68</f>
        <v>14444.0096216436</v>
      </c>
      <c r="H75" s="16">
        <f>I46+$E$68</f>
        <v>1380.81059858184</v>
      </c>
      <c r="I75" s="16">
        <f>J46+$E$68</f>
        <v>933.75</v>
      </c>
      <c r="J75" s="10"/>
      <c r="K75" s="10"/>
      <c r="L75" s="10"/>
    </row>
    <row r="76" ht="16.5" customHeight="1" spans="1:12">
      <c r="A76" s="10"/>
      <c r="B76" s="10"/>
      <c r="C76" s="15" t="s">
        <v>396</v>
      </c>
      <c r="D76" s="10"/>
      <c r="E76" s="43">
        <f>G49</f>
        <v>7.39890951262975</v>
      </c>
      <c r="F76" s="43">
        <f>G7/F75</f>
        <v>7.14774874067888</v>
      </c>
      <c r="G76" s="43">
        <f>H7/G75</f>
        <v>14.9303795859376</v>
      </c>
      <c r="H76" s="43">
        <f>I7/H75</f>
        <v>169.791503814613</v>
      </c>
      <c r="I76" s="43">
        <f>J7/I75</f>
        <v>270.779150127002</v>
      </c>
      <c r="J76" s="10"/>
      <c r="K76" s="10"/>
      <c r="L76" s="10"/>
    </row>
    <row r="77" ht="16.5" customHeight="1" spans="1:12">
      <c r="A77" s="10"/>
      <c r="B77" s="10"/>
      <c r="C77" s="15" t="s">
        <v>397</v>
      </c>
      <c r="D77" s="10"/>
      <c r="E77" s="43">
        <f>G50</f>
        <v>2.87784200983608</v>
      </c>
      <c r="F77" s="43">
        <f>(G9+G47+F75)/(F75+G48)</f>
        <v>2.85203844571224</v>
      </c>
      <c r="G77" s="43">
        <f>(H9+H47+G75)/(G75+H48)</f>
        <v>2.4340459605281</v>
      </c>
      <c r="H77" s="43">
        <f>(I9+I47+H75)/(H75+I48)</f>
        <v>3.07553215665764</v>
      </c>
      <c r="I77" s="43">
        <f>(J9+J47+I75)/(I75+J48)</f>
        <v>6.09314046919296</v>
      </c>
      <c r="J77" s="10"/>
      <c r="K77" s="10"/>
      <c r="L77" s="10"/>
    </row>
    <row r="78" ht="16.5" customHeight="1" spans="1:12">
      <c r="A78" s="10"/>
      <c r="B78" s="10"/>
      <c r="G78" s="10"/>
      <c r="H78" s="10"/>
      <c r="I78" s="10"/>
      <c r="J78" s="10"/>
      <c r="K78" s="10"/>
      <c r="L78" s="10"/>
    </row>
    <row r="79" ht="16.5" customHeight="1" spans="1:12">
      <c r="A79" s="10"/>
      <c r="B79" s="10"/>
      <c r="G79" s="10"/>
      <c r="H79" s="10"/>
      <c r="I79" s="10"/>
      <c r="J79" s="10"/>
      <c r="K79" s="10"/>
      <c r="L79" s="10"/>
    </row>
    <row r="80" ht="16.5" customHeight="1" spans="1:12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 ht="39.75" customHeight="1" spans="4:11">
      <c r="D81" s="44"/>
      <c r="E81" s="44"/>
      <c r="F81" s="44"/>
      <c r="G81" s="44"/>
      <c r="H81" s="44"/>
      <c r="I81" s="44"/>
      <c r="J81" s="44"/>
      <c r="K81" s="44"/>
    </row>
  </sheetData>
  <pageMargins left="0.75" right="0.75" top="1" bottom="1" header="0.511811023622047" footer="0.511811023622047"/>
  <pageSetup paperSize="9" orientation="portrait" horizontalDpi="300" verticalDpi="300"/>
  <headerFooter/>
  <ignoredErrors>
    <ignoredError sqref="A1:L81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Historical Data</vt:lpstr>
      <vt:lpstr>Model</vt:lpstr>
      <vt:lpstr>Scenario</vt:lpstr>
      <vt:lpstr>Re-Payment</vt:lpstr>
      <vt:lpstr>Market Data</vt:lpstr>
      <vt:lpstr>WACC</vt:lpstr>
      <vt:lpstr>Comps Data</vt:lpstr>
      <vt:lpstr>Comps</vt:lpstr>
      <vt:lpstr>Foot_Ball Field</vt:lpstr>
      <vt:lpstr>SOTP Analysis</vt:lpstr>
      <vt:lpstr>Credit Analysis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Swyam Sanchit</cp:lastModifiedBy>
  <cp:revision>6</cp:revision>
  <dcterms:created xsi:type="dcterms:W3CDTF">2026-09-13T06:41:00Z</dcterms:created>
  <dcterms:modified xsi:type="dcterms:W3CDTF">2026-09-17T20:05:13Z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1855376B82636B7E0DBCA36AECB180FE_42</vt:lpwstr>
  </property>
  <property fmtid="{D5CDD505-2E9C-101B-9397-08002B2CF9AE}" pid="4" name="KSOProductBuildVer">
    <vt:lpwstr>1033-12.1.26050.26050</vt:lpwstr>
  </property>
</Properties>
</file>